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9890" windowHeight="7620" tabRatio="682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6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BD!$A$6:BD!$J$1596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Nikkel</author>
    <author>Elkin Antonio Zuleta Montoya</author>
  </authors>
  <commentList>
    <comment ref="O1" authorId="0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U1" authorId="1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Z1" authorId="1">
      <text>
        <r>
          <rPr>
            <b/>
            <sz val="9"/>
            <rFont val="Tahoma"/>
            <charset val="134"/>
          </rPr>
          <t>Nota</t>
        </r>
        <r>
          <rPr>
            <sz val="9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Q7" authorId="0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11" authorId="1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>
  <authors>
    <author>Elkin Antonio Zuleta Montoya</author>
  </authors>
  <commentList>
    <comment ref="B625" authorId="0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<sst xmlns="http://schemas.openxmlformats.org/spreadsheetml/2006/main" count="5016" uniqueCount="1390">
  <si>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</si>
  <si>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</si>
  <si>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</si>
  <si>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</si>
  <si>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</si>
  <si>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</si>
  <si>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</si>
  <si>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Juan Villa Salazar</t>
  </si>
  <si>
    <t>CÉDULA</t>
  </si>
  <si>
    <t>PROGRAMA</t>
  </si>
  <si>
    <t>PRODCCION  CALZADO</t>
  </si>
  <si>
    <t>FICHA(#)</t>
  </si>
  <si>
    <t>Ancho(cm)</t>
  </si>
  <si>
    <t>NOMBRE DEL PRODUCTO</t>
  </si>
  <si>
    <t>KAREN CUADROS 2</t>
  </si>
  <si>
    <t>Destinación específica</t>
  </si>
  <si>
    <t>Calzado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</si>
  <si>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</si>
  <si>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</si>
  <si>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</si>
  <si>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</si>
  <si>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</si>
  <si>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</si>
  <si>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</si>
  <si>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</si>
  <si>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</si>
  <si>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</si>
  <si>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</si>
  <si>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</si>
  <si>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</si>
  <si>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CARNAZA</t>
  </si>
  <si>
    <t>NAPPA</t>
  </si>
  <si>
    <t>SiNTETICOS_TEXTILES</t>
  </si>
  <si>
    <t>FORRO  PIQUET</t>
  </si>
  <si>
    <t>SUELAS</t>
  </si>
  <si>
    <t>SUELA DEPORTIVA UNISEX EVA SD-8006 BLANCO</t>
  </si>
  <si>
    <t>NOBUCK</t>
  </si>
  <si>
    <t>SECUNDARIO_MEDULAR</t>
  </si>
  <si>
    <t>Cordon PLANO  BEIGE 110cm</t>
  </si>
  <si>
    <t>ESPUMA MULTIFORM DENSIDAD 40 DE 10 mm</t>
  </si>
  <si>
    <t>ESPUMA MULTIFORM DENSIDAD 40 DE 5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</si>
  <si>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</si>
  <si>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</si>
  <si>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</si>
  <si>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</si>
  <si>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</si>
  <si>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</si>
  <si>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</si>
  <si>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</si>
  <si>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</si>
  <si>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</si>
  <si>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</si>
  <si>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</si>
  <si>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</si>
  <si>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</si>
  <si>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</si>
  <si>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</si>
  <si>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</si>
  <si>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</si>
  <si>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</si>
  <si>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</si>
  <si>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</si>
  <si>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</si>
  <si>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</si>
  <si>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</si>
  <si>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</si>
  <si>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</si>
  <si>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</si>
  <si>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</si>
  <si>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</si>
  <si>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</si>
  <si>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</si>
  <si>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</si>
  <si>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</si>
  <si>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</si>
  <si>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</si>
  <si>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</si>
  <si>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</si>
  <si>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</si>
  <si>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</si>
  <si>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</si>
  <si>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</si>
  <si>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</si>
  <si>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</si>
  <si>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</si>
  <si>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</si>
  <si>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</si>
  <si>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</si>
  <si>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</si>
  <si>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</si>
  <si>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</si>
  <si>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</si>
  <si>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</si>
  <si>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</si>
  <si>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</si>
  <si>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</si>
  <si>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</si>
  <si>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</si>
  <si>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</si>
  <si>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</si>
  <si>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</si>
  <si>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</si>
  <si>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</si>
  <si>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</si>
  <si>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</si>
  <si>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</si>
  <si>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</si>
  <si>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</si>
  <si>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</si>
  <si>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</si>
  <si>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</si>
  <si>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</si>
  <si>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</si>
  <si>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</si>
  <si>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</si>
  <si>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</si>
  <si>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</si>
  <si>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</si>
  <si>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</si>
  <si>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</si>
  <si>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</si>
  <si>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</si>
  <si>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</si>
  <si>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</si>
  <si>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</si>
  <si>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</si>
  <si>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</si>
  <si>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</si>
  <si>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</si>
  <si>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</si>
  <si>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</si>
  <si>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</si>
  <si>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</si>
  <si>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</si>
  <si>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</si>
  <si>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</si>
  <si>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</si>
  <si>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</si>
  <si>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</si>
  <si>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</si>
  <si>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</si>
  <si>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</si>
  <si>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</si>
  <si>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</si>
  <si>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</si>
  <si>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</si>
  <si>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</si>
  <si>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</si>
  <si>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</si>
  <si>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</si>
  <si>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</si>
  <si>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</si>
  <si>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</si>
  <si>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</si>
  <si>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</si>
  <si>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</si>
  <si>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</si>
  <si>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</si>
  <si>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</si>
  <si>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</si>
  <si>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</si>
  <si>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</si>
  <si>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</si>
  <si>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</si>
  <si>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</si>
  <si>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</si>
  <si>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</si>
  <si>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</si>
  <si>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</si>
  <si>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</si>
  <si>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</si>
  <si>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</si>
  <si>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</si>
  <si>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</si>
  <si>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</si>
  <si>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</si>
  <si>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</si>
  <si>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</si>
  <si>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</si>
  <si>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</si>
  <si>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</si>
  <si>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</si>
  <si>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</si>
  <si>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</si>
  <si>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</si>
  <si>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</si>
  <si>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</si>
  <si>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</si>
  <si>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</si>
  <si>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</si>
  <si>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</si>
  <si>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</si>
  <si>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</si>
  <si>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</si>
  <si>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</si>
  <si>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</si>
  <si>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</si>
  <si>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</si>
  <si>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</si>
  <si>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</si>
  <si>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</si>
  <si>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</si>
  <si>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</si>
  <si>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</si>
  <si>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</si>
  <si>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</si>
  <si>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</si>
  <si>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</si>
  <si>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</si>
  <si>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</si>
  <si>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</si>
  <si>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</si>
  <si>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</si>
  <si>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</si>
  <si>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</si>
  <si>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</si>
  <si>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</si>
  <si>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</si>
  <si>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</si>
  <si>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</si>
  <si>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</si>
  <si>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</si>
  <si>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</si>
  <si>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</si>
  <si>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</si>
  <si>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</si>
  <si>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</si>
  <si>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</si>
  <si>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</si>
  <si>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</si>
  <si>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</si>
  <si>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</si>
  <si>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</si>
  <si>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</si>
  <si>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</si>
  <si>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</si>
  <si>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</si>
  <si>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</si>
  <si>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</si>
  <si>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</si>
  <si>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</si>
  <si>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</si>
  <si>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</si>
  <si>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</si>
  <si>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</si>
  <si>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</si>
  <si>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</si>
  <si>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</si>
  <si>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</si>
  <si>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</si>
  <si>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</si>
  <si>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</si>
  <si>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</si>
  <si>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</si>
  <si>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</si>
  <si>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</si>
  <si>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</si>
  <si>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</si>
  <si>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</si>
  <si>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</si>
  <si>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</si>
  <si>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</si>
  <si>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</si>
  <si>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</si>
  <si>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</si>
  <si>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</si>
  <si>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</si>
  <si>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</si>
  <si>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</si>
  <si>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</si>
  <si>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</si>
  <si>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</si>
  <si>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</si>
  <si>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</si>
  <si>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</si>
  <si>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</si>
  <si>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</si>
  <si>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</si>
  <si>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</si>
  <si>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</si>
  <si>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</si>
  <si>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</si>
  <si>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</si>
  <si>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</si>
  <si>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</si>
  <si>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</si>
  <si>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</si>
  <si>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</si>
  <si>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</si>
  <si>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</si>
  <si>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</si>
  <si>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</si>
  <si>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</si>
  <si>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</si>
  <si>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</si>
  <si>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</si>
  <si>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</si>
  <si>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</si>
  <si>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</si>
  <si>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</si>
  <si>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</si>
  <si>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</si>
  <si>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</si>
  <si>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</si>
  <si>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</si>
  <si>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</si>
  <si>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</si>
  <si>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</si>
  <si>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</si>
  <si>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</si>
  <si>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</si>
  <si>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</si>
  <si>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</si>
  <si>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</si>
  <si>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</si>
  <si>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</si>
  <si>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</si>
  <si>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</si>
  <si>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</si>
  <si>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</si>
  <si>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</si>
  <si>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</si>
  <si>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</si>
  <si>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</si>
  <si>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</si>
  <si>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</si>
  <si>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</si>
  <si>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</si>
  <si>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</si>
  <si>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</si>
  <si>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</si>
  <si>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</si>
  <si>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</si>
  <si>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</si>
  <si>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</si>
  <si>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</si>
  <si>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</si>
  <si>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</si>
  <si>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</si>
  <si>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</si>
  <si>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</si>
  <si>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</si>
  <si>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</si>
  <si>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</si>
  <si>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</si>
  <si>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</si>
  <si>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</si>
  <si>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</si>
  <si>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</si>
  <si>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</si>
  <si>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</si>
  <si>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</si>
  <si>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</si>
  <si>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</si>
  <si>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</si>
  <si>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</si>
  <si>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</si>
  <si>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</si>
  <si>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</si>
  <si>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</si>
  <si>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</si>
  <si>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</si>
  <si>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</si>
  <si>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</si>
  <si>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</si>
  <si>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</si>
  <si>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</si>
  <si>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</si>
  <si>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</si>
  <si>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</si>
  <si>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</si>
  <si>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</si>
  <si>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</si>
  <si>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</si>
  <si>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</si>
  <si>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</si>
  <si>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</si>
  <si>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</si>
  <si>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</si>
  <si>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</si>
  <si>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</si>
  <si>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</si>
  <si>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</si>
  <si>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</si>
  <si>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</si>
  <si>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</si>
  <si>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</si>
  <si>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</si>
  <si>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</si>
  <si>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</si>
  <si>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</si>
  <si>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</si>
  <si>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</si>
  <si>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</si>
  <si>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</si>
  <si>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</si>
  <si>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</si>
  <si>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</si>
  <si>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</si>
  <si>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</si>
  <si>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</si>
  <si>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</si>
  <si>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</si>
  <si>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</si>
  <si>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</si>
  <si>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</si>
  <si>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</si>
  <si>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</si>
  <si>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</si>
  <si>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</si>
  <si>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</si>
  <si>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</si>
  <si>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</si>
  <si>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</si>
  <si>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</si>
  <si>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</si>
  <si>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</si>
  <si>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</si>
  <si>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</si>
  <si>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</si>
  <si>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</si>
  <si>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</si>
  <si>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</si>
  <si>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</si>
  <si>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</si>
  <si>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</si>
  <si>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</si>
  <si>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</si>
  <si>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</si>
  <si>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</si>
  <si>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</si>
  <si>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</si>
  <si>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</si>
  <si>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</si>
  <si>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</si>
  <si>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</si>
  <si>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</si>
  <si>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</si>
  <si>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</si>
  <si>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</si>
  <si>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</si>
  <si>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</si>
  <si>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</si>
  <si>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</si>
  <si>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</si>
  <si>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</si>
  <si>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</si>
  <si>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</si>
  <si>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</si>
  <si>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</si>
  <si>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</si>
  <si>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</si>
  <si>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</si>
  <si>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</si>
  <si>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</si>
  <si>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</si>
  <si>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</si>
  <si>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</si>
  <si>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</si>
  <si>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</si>
  <si>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</si>
  <si>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</si>
  <si>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</si>
  <si>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</si>
  <si>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</si>
  <si>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</si>
  <si>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</si>
  <si>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</si>
  <si>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</si>
  <si>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</si>
  <si>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</si>
  <si>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</si>
  <si>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</si>
  <si>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</si>
  <si>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</si>
  <si>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</si>
  <si>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</si>
  <si>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</si>
  <si>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</si>
  <si>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</si>
  <si>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</si>
  <si>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</si>
  <si>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</si>
  <si>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</si>
  <si>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</si>
  <si>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</si>
  <si>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</si>
  <si>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</si>
  <si>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</si>
  <si>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</si>
  <si>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</si>
  <si>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</si>
  <si>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</si>
  <si>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</si>
  <si>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</si>
  <si>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</si>
  <si>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</si>
  <si>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</si>
  <si>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</si>
  <si>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</si>
  <si>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</si>
  <si>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</si>
  <si>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</si>
  <si>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</si>
  <si>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</si>
  <si>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</si>
  <si>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</si>
  <si>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</si>
  <si>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</si>
  <si>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</si>
  <si>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</si>
  <si>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</si>
  <si>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</si>
  <si>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</si>
  <si>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</si>
  <si>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</si>
  <si>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</si>
  <si>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</si>
  <si>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</si>
  <si>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</si>
  <si>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</si>
  <si>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</si>
  <si>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</si>
  <si>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</si>
  <si>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</si>
  <si>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</si>
  <si>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</si>
  <si>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</si>
  <si>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</si>
  <si>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</si>
  <si>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</si>
  <si>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</si>
  <si>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</si>
  <si>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</si>
  <si>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</si>
  <si>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</si>
  <si>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</si>
  <si>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</si>
  <si>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</si>
  <si>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</si>
  <si>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</si>
  <si>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</si>
  <si>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</si>
  <si>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</si>
  <si>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</si>
  <si>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</si>
  <si>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</si>
  <si>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</si>
  <si>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</si>
  <si>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</si>
  <si>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</si>
  <si>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</si>
  <si>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</si>
  <si>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</si>
  <si>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</si>
  <si>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</si>
  <si>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</si>
  <si>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</si>
  <si>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</si>
  <si>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</si>
  <si>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</si>
  <si>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</si>
  <si>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</si>
  <si>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</si>
  <si>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</si>
  <si>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</si>
  <si>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</si>
  <si>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</si>
  <si>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</si>
  <si>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</si>
  <si>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</si>
  <si>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</si>
  <si>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</si>
  <si>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</si>
  <si>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</si>
  <si>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</si>
  <si>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</si>
  <si>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</si>
  <si>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</si>
  <si>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</si>
  <si>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</si>
  <si>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</si>
  <si>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</si>
  <si>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</si>
  <si>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</si>
  <si>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</si>
  <si>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</si>
  <si>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</si>
  <si>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</si>
  <si>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</si>
  <si>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</si>
  <si>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</si>
  <si>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</si>
  <si>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</si>
  <si>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</si>
  <si>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</si>
  <si>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</si>
  <si>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</si>
  <si>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</si>
  <si>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</si>
  <si>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</si>
  <si>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</si>
  <si>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</si>
  <si>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</si>
  <si>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</si>
  <si>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</si>
  <si>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</si>
  <si>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</si>
  <si>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</si>
  <si>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</si>
  <si>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</si>
  <si>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</si>
  <si>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</si>
  <si>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</si>
  <si>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</si>
  <si>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</si>
  <si>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</si>
  <si>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</si>
  <si>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</si>
  <si>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</si>
  <si>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</si>
  <si>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</si>
  <si>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</si>
  <si>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</si>
  <si>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</si>
  <si>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</si>
  <si>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</si>
  <si>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</si>
  <si>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</si>
  <si>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</si>
  <si>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</si>
  <si>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</si>
  <si>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</si>
  <si>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</si>
  <si>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</si>
  <si>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</si>
  <si>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</si>
  <si>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</si>
  <si>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</si>
  <si>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</si>
  <si>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</si>
  <si>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</si>
  <si>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</si>
  <si>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</si>
  <si>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</si>
  <si>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</si>
  <si>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</si>
  <si>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</si>
  <si>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</si>
  <si>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</si>
  <si>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</si>
  <si>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</si>
  <si>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</si>
  <si>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</si>
  <si>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</si>
  <si>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</si>
  <si>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</si>
  <si>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</si>
  <si>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</si>
  <si>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</si>
  <si>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</si>
  <si>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</si>
  <si>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</si>
  <si>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</si>
  <si>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</si>
  <si>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</si>
  <si>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</si>
  <si>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</si>
  <si>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</si>
  <si>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</si>
  <si>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</si>
  <si>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</si>
  <si>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</si>
  <si>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</si>
  <si>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</si>
  <si>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</si>
  <si>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</si>
  <si>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</si>
  <si>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</si>
  <si>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</si>
  <si>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</si>
  <si>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</si>
  <si>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</si>
  <si>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</si>
  <si>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</si>
  <si>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</si>
  <si>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</si>
  <si>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</si>
  <si>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</si>
  <si>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</si>
  <si>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</si>
  <si>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</si>
  <si>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</si>
  <si>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</si>
  <si>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</si>
  <si>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</si>
  <si>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</si>
  <si>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</si>
  <si>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</si>
  <si>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</si>
  <si>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</si>
  <si>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</si>
  <si>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</si>
  <si>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</si>
  <si>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</si>
  <si>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</si>
  <si>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</si>
  <si>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</si>
  <si>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</si>
  <si>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</si>
  <si>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</si>
  <si>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</si>
  <si>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</si>
  <si>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</si>
  <si>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</si>
  <si>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</si>
  <si>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</si>
  <si>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</si>
  <si>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</si>
  <si>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</si>
  <si>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</si>
  <si>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</si>
  <si>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</si>
  <si>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</si>
  <si>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</si>
  <si>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</si>
  <si>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</si>
  <si>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</si>
  <si>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</si>
  <si>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</si>
  <si>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</si>
  <si>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</si>
  <si>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</si>
  <si>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</si>
  <si>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</si>
  <si>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</si>
  <si>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</si>
  <si>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</si>
  <si>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</si>
  <si>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</si>
  <si>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</si>
  <si>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</si>
  <si>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</si>
  <si>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</si>
  <si>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</si>
  <si>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</si>
  <si>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</si>
  <si>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</si>
  <si>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</si>
  <si>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</si>
  <si>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</si>
  <si>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</si>
  <si>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</si>
  <si>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</si>
  <si>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</si>
  <si>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</si>
  <si>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</si>
  <si>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</si>
  <si>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</si>
  <si>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</si>
  <si>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</si>
  <si>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</si>
  <si>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</si>
  <si>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</si>
  <si>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</si>
  <si>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</si>
  <si>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</si>
  <si>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</si>
  <si>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</si>
  <si>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</si>
  <si>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</si>
  <si>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</si>
  <si>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</si>
  <si>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</si>
  <si>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</si>
  <si>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</si>
  <si>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</si>
  <si>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</si>
  <si>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</si>
  <si>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</si>
  <si>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</si>
  <si>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</si>
  <si>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</si>
  <si>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</si>
  <si>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</si>
  <si>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</si>
  <si>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</si>
  <si>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</si>
  <si>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</si>
  <si>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</si>
  <si>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</si>
  <si>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</si>
  <si>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</si>
  <si>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</si>
  <si>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</si>
  <si>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</si>
  <si>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</si>
  <si>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</si>
  <si>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</si>
  <si>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</si>
  <si>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</si>
  <si>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</si>
  <si>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</si>
  <si>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</si>
  <si>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</si>
  <si>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</si>
  <si>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</si>
  <si>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</si>
  <si>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</si>
  <si>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</si>
  <si>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</si>
  <si>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</si>
  <si>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</si>
  <si>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</si>
  <si>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</si>
  <si>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</si>
  <si>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</si>
  <si>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</si>
  <si>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</si>
  <si>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</si>
  <si>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</si>
  <si>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</si>
  <si>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</si>
  <si>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</si>
  <si>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</si>
  <si>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</si>
  <si>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</si>
  <si>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</si>
  <si>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</si>
  <si>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</si>
  <si>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</si>
  <si>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</si>
  <si>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</si>
  <si>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</si>
  <si>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</si>
  <si>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</si>
  <si>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</si>
  <si>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</si>
  <si>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</si>
  <si>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</si>
  <si>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</si>
  <si>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</si>
  <si>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</si>
  <si>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</si>
  <si>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</si>
  <si>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</si>
  <si>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</si>
  <si>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</si>
  <si>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</si>
  <si>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</si>
  <si>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</si>
  <si>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</si>
  <si>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</si>
  <si>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</si>
  <si>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</si>
  <si>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</si>
  <si>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</si>
  <si>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</si>
  <si>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</si>
  <si>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</si>
  <si>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</si>
  <si>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</si>
  <si>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</si>
  <si>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</si>
  <si>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</si>
  <si>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</si>
  <si>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</si>
  <si>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</si>
  <si>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</si>
  <si>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</si>
  <si>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</si>
  <si>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</si>
  <si>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</si>
  <si>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</si>
  <si>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</si>
  <si>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</si>
  <si>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</si>
  <si>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</si>
  <si>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</si>
  <si>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</si>
  <si>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</si>
  <si>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</si>
  <si>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</si>
  <si>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</si>
  <si>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</si>
  <si>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</si>
  <si>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</si>
  <si>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</si>
  <si>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</si>
  <si>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</si>
  <si>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</si>
  <si>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</si>
  <si>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</si>
  <si>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</si>
  <si>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</si>
  <si>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</si>
  <si>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</si>
  <si>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</si>
  <si>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</si>
  <si>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</si>
  <si>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</si>
  <si>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</si>
  <si>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</si>
  <si>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</si>
  <si>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</si>
  <si>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</si>
  <si>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</si>
  <si>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</si>
  <si>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</si>
  <si>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</si>
  <si>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</si>
  <si>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</si>
  <si>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</si>
  <si>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</si>
  <si>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</si>
  <si>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</si>
  <si>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</si>
  <si>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</si>
  <si>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</si>
  <si>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</si>
  <si>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</si>
  <si>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</si>
  <si>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</si>
  <si>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</si>
  <si>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</si>
  <si>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</si>
  <si>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</si>
  <si>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</si>
  <si>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</si>
  <si>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</si>
  <si>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</si>
  <si>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</si>
  <si>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</si>
  <si>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</si>
  <si>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</si>
  <si>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</si>
  <si>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</si>
  <si>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</si>
  <si>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</si>
  <si>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</si>
  <si>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</si>
  <si>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</si>
  <si>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</si>
  <si>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</si>
  <si>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</si>
  <si>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</si>
  <si>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</si>
  <si>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</si>
  <si>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</si>
  <si>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</si>
  <si>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</si>
  <si>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</si>
  <si>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</si>
  <si>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</si>
  <si>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</si>
  <si>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</si>
  <si>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</si>
  <si>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</si>
  <si>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</si>
  <si>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</si>
  <si>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</si>
  <si>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</si>
  <si>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</si>
  <si>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</si>
  <si>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</si>
  <si>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</si>
  <si>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</si>
  <si>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</si>
  <si>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</si>
  <si>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</si>
  <si>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</si>
  <si>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</si>
  <si>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</si>
  <si>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</si>
  <si>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</si>
  <si>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</si>
  <si>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</si>
  <si>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</si>
  <si>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</si>
  <si>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</si>
  <si>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</si>
  <si>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</si>
  <si>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</si>
  <si>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</si>
  <si>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</si>
  <si>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</si>
  <si>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</si>
  <si>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</si>
  <si>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</si>
  <si>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</si>
  <si>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</si>
  <si>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</si>
  <si>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</si>
  <si>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</si>
  <si>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</si>
  <si>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</si>
  <si>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</si>
  <si>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</si>
  <si>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</si>
  <si>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</si>
  <si>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</si>
  <si>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</si>
  <si>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</si>
  <si>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</si>
  <si>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</si>
  <si>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</si>
  <si>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</si>
  <si>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</si>
  <si>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</si>
  <si>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</si>
  <si>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</si>
  <si>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</si>
  <si>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</si>
  <si>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</si>
  <si>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</si>
  <si>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</si>
  <si>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</si>
  <si>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</si>
  <si>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</si>
  <si>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</si>
  <si>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</si>
  <si>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</si>
  <si>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</si>
  <si>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</si>
  <si>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</si>
  <si>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</si>
  <si>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</si>
  <si>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</si>
  <si>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</si>
  <si>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</si>
  <si>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</si>
  <si>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</si>
  <si>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</si>
  <si>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</si>
  <si>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</si>
  <si>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</si>
  <si>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</si>
  <si>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</si>
  <si>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</si>
  <si>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</si>
  <si>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</si>
  <si>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</si>
  <si>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</si>
  <si>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</si>
  <si>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</si>
  <si>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</si>
  <si>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</si>
  <si>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</si>
  <si>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</si>
  <si>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</si>
  <si>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</si>
  <si>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</si>
  <si>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</si>
  <si>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</si>
  <si>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</si>
  <si>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</si>
  <si>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</si>
  <si>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</si>
  <si>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</si>
  <si>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</si>
  <si>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</si>
  <si>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</si>
  <si>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</si>
  <si>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</si>
  <si>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</si>
  <si>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</si>
  <si>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</si>
  <si>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</si>
  <si>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</si>
  <si>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</si>
  <si>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</si>
  <si>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</si>
  <si>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</si>
  <si>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</si>
  <si>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</si>
  <si>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</si>
  <si>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</si>
  <si>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</si>
  <si>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</si>
  <si>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</si>
  <si>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</si>
  <si>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</si>
  <si>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</si>
  <si>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</si>
  <si>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</si>
  <si>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</si>
  <si>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</si>
  <si>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</si>
  <si>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</si>
  <si>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</si>
  <si>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</si>
  <si>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</si>
  <si>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</si>
  <si>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</si>
  <si>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</si>
  <si>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</si>
  <si>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</si>
  <si>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</si>
  <si>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</si>
  <si>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</si>
  <si>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</si>
  <si>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</si>
  <si>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</si>
  <si>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</si>
  <si>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</si>
  <si>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</si>
  <si>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</si>
  <si>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</si>
  <si>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</si>
  <si>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</si>
  <si>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</si>
  <si>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</si>
  <si>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</si>
  <si>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</si>
  <si>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</si>
  <si>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</si>
  <si>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</si>
  <si>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</si>
  <si>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</si>
  <si>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</si>
  <si>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</si>
  <si>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</si>
  <si>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</si>
  <si>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</si>
  <si>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</si>
  <si>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</si>
  <si>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</si>
  <si>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</si>
  <si>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</si>
  <si>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</si>
  <si>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</si>
  <si>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</si>
  <si>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</si>
  <si>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</si>
  <si>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</si>
  <si>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</si>
  <si>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</si>
  <si>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</si>
  <si>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</si>
  <si>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</si>
  <si>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</si>
  <si>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</si>
  <si>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</si>
  <si>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</si>
  <si>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</si>
  <si>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</si>
  <si>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</si>
  <si>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</si>
  <si>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</si>
  <si>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</si>
  <si>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</si>
  <si>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</si>
  <si>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</si>
  <si>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</si>
  <si>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</si>
  <si>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</si>
  <si>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</si>
  <si>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</si>
  <si>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</si>
  <si>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</si>
  <si>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</si>
  <si>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</si>
  <si>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</si>
  <si>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</si>
  <si>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</si>
  <si>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</si>
  <si>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</si>
  <si>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</si>
  <si>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</si>
  <si>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</si>
  <si>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</si>
  <si>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</si>
  <si>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</si>
  <si>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</si>
  <si>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</si>
  <si>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</si>
  <si>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</si>
  <si>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</si>
  <si>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</si>
  <si>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</si>
  <si>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</si>
  <si>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</si>
  <si>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</si>
  <si>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</si>
  <si>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</si>
  <si>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</si>
  <si>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</si>
  <si>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</si>
  <si>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</si>
  <si>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</si>
  <si>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</si>
  <si>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</si>
  <si>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</si>
  <si>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</si>
  <si>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</si>
  <si>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</si>
  <si>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</si>
  <si>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</si>
  <si>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</si>
  <si>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</si>
  <si>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</si>
  <si>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</si>
  <si>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</si>
  <si>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</si>
  <si>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</si>
  <si>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</si>
  <si>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</si>
  <si>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</si>
  <si>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</si>
  <si>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</si>
  <si>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</si>
  <si>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</si>
  <si>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</si>
  <si>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</si>
  <si>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</si>
  <si>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</si>
  <si>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</si>
  <si>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</si>
  <si>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</si>
  <si>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</si>
  <si>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</si>
  <si>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</si>
  <si>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</si>
  <si>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</si>
  <si>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</si>
  <si>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</si>
  <si>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</si>
  <si>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</si>
  <si>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</si>
  <si>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</si>
  <si>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</si>
  <si>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</si>
  <si>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</si>
  <si>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</si>
  <si>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</si>
  <si>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</si>
  <si>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</si>
  <si>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</si>
  <si>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</si>
  <si>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</si>
  <si>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</si>
  <si>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</si>
  <si>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</si>
  <si>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</si>
  <si>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</si>
  <si>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</si>
  <si>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</si>
  <si>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</si>
  <si>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</si>
  <si>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</si>
  <si>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</si>
  <si>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</si>
  <si>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</si>
  <si>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</si>
  <si>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</si>
  <si>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</si>
  <si>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</si>
  <si>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</si>
  <si>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</si>
  <si>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</si>
  <si>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</si>
  <si>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</si>
  <si>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</si>
  <si>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</si>
  <si>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</si>
  <si>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</si>
  <si>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</si>
  <si>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</si>
  <si>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</si>
  <si>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</si>
  <si>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</si>
  <si>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</si>
  <si>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</si>
  <si>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</si>
  <si>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</si>
  <si>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</si>
  <si>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</si>
  <si>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</si>
  <si>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</si>
  <si>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</si>
  <si>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</si>
  <si>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</si>
  <si>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</si>
  <si>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</si>
  <si>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</si>
  <si>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</si>
  <si>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</si>
  <si>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</si>
  <si>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</si>
  <si>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</si>
  <si>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</si>
  <si>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</si>
  <si>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</si>
  <si>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</si>
  <si>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</si>
  <si>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</si>
  <si>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</si>
  <si>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</si>
  <si>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</si>
  <si>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</si>
  <si>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</si>
  <si>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</si>
  <si>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</si>
  <si>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</si>
  <si>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</si>
  <si>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</si>
  <si>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</si>
  <si>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</si>
  <si>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</si>
  <si>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</si>
  <si>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</si>
  <si>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</si>
  <si>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</si>
  <si>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</si>
  <si>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</si>
  <si>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</si>
  <si>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</si>
  <si>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</si>
  <si>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</si>
  <si>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</si>
  <si>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</si>
  <si>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</si>
  <si>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</si>
  <si>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EL.ART. PROD. CUERO</t>
  </si>
  <si>
    <t>Carlos Cruz Vasquez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</si>
  <si>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</si>
  <si>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</si>
  <si>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</si>
  <si>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Marroquinería Producción</t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</si>
  <si>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</si>
  <si>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</si>
  <si>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</si>
  <si>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</si>
  <si>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</si>
  <si>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</si>
  <si>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</si>
  <si>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</si>
  <si>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</si>
  <si>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</si>
  <si>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</si>
  <si>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</si>
  <si>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</si>
  <si>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</si>
  <si>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</si>
  <si>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</si>
  <si>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</si>
  <si>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</si>
  <si>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</si>
  <si>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</si>
  <si>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</si>
  <si>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</si>
  <si>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PRODUCCION MARROQUINERIA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</si>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</sst>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&quot;$&quot;* #,##0.00_-;\-&quot;$&quot;* #,##0.00_-;_-&quot;$&quot;* &quot;-&quot;??_-;_-@_-"/>
    <numFmt numFmtId="179" formatCode="_-* #,##0.0_-;\-* #,##0.0_-;_-* &quot;-&quot;??_-;_-@_-"/>
    <numFmt numFmtId="180" formatCode="_-* #,##0_-;\-* #,##0_-;_-* &quot;-&quot;??_-;_-@_-"/>
    <numFmt numFmtId="181" formatCode="_-&quot;$&quot;\ * #,##0.00_-;\-&quot;$&quot;\ * #,##0.00_-;_-&quot;$&quot;\ * &quot;-&quot;??_-;_-@"/>
    <numFmt numFmtId="182" formatCode="[$-F800]dddd\,\ mmmm\ dd\,\ yyyy"/>
    <numFmt numFmtId="183" formatCode="0;[Red]0"/>
    <numFmt numFmtId="184" formatCode="\ d\ &quot;de&quot;\ mmmm\ &quot;de&quot;\ yyyy"/>
    <numFmt numFmtId="185" formatCode="0.000"/>
  </numFmts>
  <fonts count="10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8"/>
      <color theme="1"/>
      <name val="Calibri"/>
      <charset val="134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</font>
    <font>
      <b/>
      <i/>
      <sz val="1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Arial Nova Light"/>
      <charset val="134"/>
    </font>
    <font>
      <b/>
      <sz val="16"/>
      <color theme="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9"/>
      <color theme="1"/>
      <name val="Calibri"/>
      <charset val="134"/>
    </font>
    <font>
      <b/>
      <sz val="14"/>
      <color rgb="FFFF0000"/>
      <name val="Calibri"/>
      <charset val="134"/>
      <scheme val="minor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indexed="56"/>
      <name val="Cambria"/>
      <charset val="134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vertAlign val="superscript"/>
      <sz val="10"/>
      <name val="Arial"/>
      <charset val="134"/>
    </font>
    <font>
      <b/>
      <sz val="10"/>
      <color indexed="10"/>
      <name val="Calibri"/>
      <charset val="134"/>
    </font>
    <font>
      <b/>
      <i/>
      <sz val="8"/>
      <name val="Tahoma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Tahoma"/>
      <charset val="1"/>
    </font>
    <font>
      <b/>
      <i/>
      <sz val="9"/>
      <name val="Tahoma"/>
      <charset val="134"/>
    </font>
  </fonts>
  <fills count="1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theme="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4" tint="0.399975585192419"/>
      </top>
      <bottom/>
      <diagonal/>
    </border>
    <border>
      <left style="thin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rgb="FF000000"/>
      </top>
      <bottom style="thin">
        <color theme="4" tint="0.39997558519241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4" tint="0.399975585192419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7">
    <xf numFmtId="0" fontId="0" fillId="0" borderId="0"/>
    <xf numFmtId="176" fontId="0" fillId="0" borderId="0" applyFont="0" applyFill="0" applyBorder="0" applyAlignment="0" applyProtection="0"/>
    <xf numFmtId="44" fontId="5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61" borderId="59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60" applyNumberFormat="0" applyFill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0" borderId="61" applyNumberFormat="0" applyFill="0" applyAlignment="0" applyProtection="0">
      <alignment vertical="center"/>
    </xf>
    <xf numFmtId="0" fontId="64" fillId="0" borderId="0" applyNumberFormat="0" applyFill="0" applyBorder="0" applyAlignment="0" applyProtection="0"/>
    <xf numFmtId="0" fontId="65" fillId="62" borderId="62" applyNumberFormat="0" applyAlignment="0" applyProtection="0">
      <alignment vertical="center"/>
    </xf>
    <xf numFmtId="0" fontId="66" fillId="63" borderId="63" applyNumberFormat="0" applyAlignment="0" applyProtection="0">
      <alignment vertical="center"/>
    </xf>
    <xf numFmtId="0" fontId="67" fillId="63" borderId="62" applyNumberFormat="0" applyAlignment="0" applyProtection="0">
      <alignment vertical="center"/>
    </xf>
    <xf numFmtId="0" fontId="68" fillId="64" borderId="64" applyNumberFormat="0" applyAlignment="0" applyProtection="0">
      <alignment vertical="center"/>
    </xf>
    <xf numFmtId="0" fontId="69" fillId="0" borderId="65" applyNumberFormat="0" applyFill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74" fillId="71" borderId="0" applyNumberFormat="0" applyBorder="0" applyAlignment="0" applyProtection="0">
      <alignment vertical="center"/>
    </xf>
    <xf numFmtId="0" fontId="74" fillId="72" borderId="0" applyNumberFormat="0" applyBorder="0" applyAlignment="0" applyProtection="0">
      <alignment vertical="center"/>
    </xf>
    <xf numFmtId="0" fontId="75" fillId="73" borderId="0" applyNumberFormat="0" applyBorder="0" applyAlignment="0" applyProtection="0">
      <alignment vertical="center"/>
    </xf>
    <xf numFmtId="0" fontId="75" fillId="74" borderId="0" applyNumberFormat="0" applyBorder="0" applyAlignment="0" applyProtection="0">
      <alignment vertical="center"/>
    </xf>
    <xf numFmtId="0" fontId="74" fillId="75" borderId="0" applyNumberFormat="0" applyBorder="0" applyAlignment="0" applyProtection="0">
      <alignment vertical="center"/>
    </xf>
    <xf numFmtId="0" fontId="74" fillId="76" borderId="0" applyNumberFormat="0" applyBorder="0" applyAlignment="0" applyProtection="0">
      <alignment vertical="center"/>
    </xf>
    <xf numFmtId="0" fontId="75" fillId="77" borderId="0" applyNumberFormat="0" applyBorder="0" applyAlignment="0" applyProtection="0">
      <alignment vertical="center"/>
    </xf>
    <xf numFmtId="0" fontId="75" fillId="78" borderId="0" applyNumberFormat="0" applyBorder="0" applyAlignment="0" applyProtection="0">
      <alignment vertical="center"/>
    </xf>
    <xf numFmtId="0" fontId="74" fillId="79" borderId="0" applyNumberFormat="0" applyBorder="0" applyAlignment="0" applyProtection="0">
      <alignment vertical="center"/>
    </xf>
    <xf numFmtId="0" fontId="74" fillId="80" borderId="0" applyNumberFormat="0" applyBorder="0" applyAlignment="0" applyProtection="0">
      <alignment vertical="center"/>
    </xf>
    <xf numFmtId="0" fontId="75" fillId="81" borderId="0" applyNumberFormat="0" applyBorder="0" applyAlignment="0" applyProtection="0">
      <alignment vertical="center"/>
    </xf>
    <xf numFmtId="0" fontId="75" fillId="82" borderId="0" applyNumberFormat="0" applyBorder="0" applyAlignment="0" applyProtection="0">
      <alignment vertical="center"/>
    </xf>
    <xf numFmtId="0" fontId="74" fillId="83" borderId="0" applyNumberFormat="0" applyBorder="0" applyAlignment="0" applyProtection="0">
      <alignment vertical="center"/>
    </xf>
    <xf numFmtId="0" fontId="74" fillId="84" borderId="0" applyNumberFormat="0" applyBorder="0" applyAlignment="0" applyProtection="0">
      <alignment vertical="center"/>
    </xf>
    <xf numFmtId="0" fontId="75" fillId="85" borderId="0" applyNumberFormat="0" applyBorder="0" applyAlignment="0" applyProtection="0">
      <alignment vertical="center"/>
    </xf>
    <xf numFmtId="0" fontId="75" fillId="86" borderId="0" applyNumberFormat="0" applyBorder="0" applyAlignment="0" applyProtection="0">
      <alignment vertical="center"/>
    </xf>
    <xf numFmtId="0" fontId="74" fillId="87" borderId="0" applyNumberFormat="0" applyBorder="0" applyAlignment="0" applyProtection="0">
      <alignment vertical="center"/>
    </xf>
    <xf numFmtId="0" fontId="74" fillId="88" borderId="0" applyNumberFormat="0" applyBorder="0" applyAlignment="0" applyProtection="0">
      <alignment vertical="center"/>
    </xf>
    <xf numFmtId="0" fontId="75" fillId="89" borderId="0" applyNumberFormat="0" applyBorder="0" applyAlignment="0" applyProtection="0">
      <alignment vertical="center"/>
    </xf>
    <xf numFmtId="0" fontId="75" fillId="90" borderId="0" applyNumberFormat="0" applyBorder="0" applyAlignment="0" applyProtection="0">
      <alignment vertical="center"/>
    </xf>
    <xf numFmtId="0" fontId="74" fillId="91" borderId="0" applyNumberFormat="0" applyBorder="0" applyAlignment="0" applyProtection="0">
      <alignment vertical="center"/>
    </xf>
    <xf numFmtId="0" fontId="76" fillId="92" borderId="0" applyNumberFormat="0" applyBorder="0" applyAlignment="0" applyProtection="0"/>
    <xf numFmtId="0" fontId="76" fillId="93" borderId="0" applyNumberFormat="0" applyBorder="0" applyAlignment="0" applyProtection="0"/>
    <xf numFmtId="0" fontId="76" fillId="94" borderId="0" applyNumberFormat="0" applyBorder="0" applyAlignment="0" applyProtection="0"/>
    <xf numFmtId="0" fontId="76" fillId="95" borderId="0" applyNumberFormat="0" applyBorder="0" applyAlignment="0" applyProtection="0"/>
    <xf numFmtId="0" fontId="76" fillId="96" borderId="0" applyNumberFormat="0" applyBorder="0" applyAlignment="0" applyProtection="0"/>
    <xf numFmtId="0" fontId="76" fillId="97" borderId="0" applyNumberFormat="0" applyBorder="0" applyAlignment="0" applyProtection="0"/>
    <xf numFmtId="0" fontId="76" fillId="98" borderId="0" applyNumberFormat="0" applyBorder="0" applyAlignment="0" applyProtection="0"/>
    <xf numFmtId="0" fontId="76" fillId="99" borderId="0" applyNumberFormat="0" applyBorder="0" applyAlignment="0" applyProtection="0"/>
    <xf numFmtId="0" fontId="76" fillId="100" borderId="0" applyNumberFormat="0" applyBorder="0" applyAlignment="0" applyProtection="0"/>
    <xf numFmtId="0" fontId="76" fillId="95" borderId="0" applyNumberFormat="0" applyBorder="0" applyAlignment="0" applyProtection="0"/>
    <xf numFmtId="0" fontId="76" fillId="98" borderId="0" applyNumberFormat="0" applyBorder="0" applyAlignment="0" applyProtection="0"/>
    <xf numFmtId="0" fontId="76" fillId="101" borderId="0" applyNumberFormat="0" applyBorder="0" applyAlignment="0" applyProtection="0"/>
    <xf numFmtId="0" fontId="77" fillId="102" borderId="0" applyNumberFormat="0" applyBorder="0" applyAlignment="0" applyProtection="0"/>
    <xf numFmtId="0" fontId="77" fillId="99" borderId="0" applyNumberFormat="0" applyBorder="0" applyAlignment="0" applyProtection="0"/>
    <xf numFmtId="0" fontId="77" fillId="10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05" borderId="0" applyNumberFormat="0" applyBorder="0" applyAlignment="0" applyProtection="0"/>
    <xf numFmtId="0" fontId="78" fillId="94" borderId="0" applyNumberFormat="0" applyBorder="0" applyAlignment="0" applyProtection="0"/>
    <xf numFmtId="0" fontId="79" fillId="106" borderId="67" applyNumberFormat="0" applyAlignment="0" applyProtection="0"/>
    <xf numFmtId="0" fontId="80" fillId="107" borderId="68" applyNumberFormat="0" applyAlignment="0" applyProtection="0"/>
    <xf numFmtId="0" fontId="81" fillId="0" borderId="69" applyNumberFormat="0" applyFill="0" applyAlignment="0" applyProtection="0"/>
    <xf numFmtId="0" fontId="82" fillId="0" borderId="0" applyNumberFormat="0" applyFill="0" applyBorder="0" applyAlignment="0" applyProtection="0"/>
    <xf numFmtId="0" fontId="77" fillId="108" borderId="0" applyNumberFormat="0" applyBorder="0" applyAlignment="0" applyProtection="0"/>
    <xf numFmtId="0" fontId="77" fillId="109" borderId="0" applyNumberFormat="0" applyBorder="0" applyAlignment="0" applyProtection="0"/>
    <xf numFmtId="0" fontId="77" fillId="11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11" borderId="0" applyNumberFormat="0" applyBorder="0" applyAlignment="0" applyProtection="0"/>
    <xf numFmtId="0" fontId="83" fillId="97" borderId="67" applyNumberFormat="0" applyAlignment="0" applyProtection="0"/>
    <xf numFmtId="0" fontId="84" fillId="93" borderId="0" applyNumberFormat="0" applyBorder="0" applyAlignment="0" applyProtection="0"/>
    <xf numFmtId="178" fontId="85" fillId="0" borderId="0" applyFont="0" applyFill="0" applyBorder="0" applyAlignment="0" applyProtection="0"/>
    <xf numFmtId="0" fontId="86" fillId="112" borderId="0" applyNumberFormat="0" applyBorder="0" applyAlignment="0" applyProtection="0"/>
    <xf numFmtId="0" fontId="8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87" fillId="0" borderId="0"/>
    <xf numFmtId="0" fontId="87" fillId="0" borderId="0"/>
    <xf numFmtId="0" fontId="85" fillId="113" borderId="70" applyNumberFormat="0" applyFont="0" applyAlignment="0" applyProtection="0"/>
    <xf numFmtId="0" fontId="88" fillId="106" borderId="71" applyNumberFormat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72" applyNumberFormat="0" applyFill="0" applyAlignment="0" applyProtection="0"/>
    <xf numFmtId="0" fontId="92" fillId="0" borderId="73" applyNumberFormat="0" applyFill="0" applyAlignment="0" applyProtection="0"/>
    <xf numFmtId="0" fontId="82" fillId="0" borderId="74" applyNumberFormat="0" applyFill="0" applyAlignment="0" applyProtection="0"/>
    <xf numFmtId="0" fontId="93" fillId="0" borderId="75" applyNumberFormat="0" applyFill="0" applyAlignment="0" applyProtection="0"/>
  </cellStyleXfs>
  <cellXfs count="50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4" fillId="5" borderId="6" xfId="82" applyFont="1" applyFill="1" applyBorder="1"/>
    <xf numFmtId="0" fontId="0" fillId="4" borderId="7" xfId="0" applyFill="1" applyBorder="1"/>
    <xf numFmtId="0" fontId="0" fillId="0" borderId="4" xfId="0" applyBorder="1"/>
    <xf numFmtId="0" fontId="5" fillId="0" borderId="5" xfId="82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5" borderId="5" xfId="0" applyFill="1" applyBorder="1" applyAlignment="1">
      <alignment horizontal="left" vertical="center" wrapText="1"/>
    </xf>
    <xf numFmtId="0" fontId="4" fillId="5" borderId="8" xfId="82" applyFont="1" applyFill="1" applyBorder="1"/>
    <xf numFmtId="0" fontId="0" fillId="5" borderId="0" xfId="0" applyFill="1"/>
    <xf numFmtId="0" fontId="0" fillId="0" borderId="8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5" borderId="9" xfId="0" applyFill="1" applyBorder="1" applyAlignment="1">
      <alignment horizontal="right"/>
    </xf>
    <xf numFmtId="0" fontId="0" fillId="6" borderId="0" xfId="0" applyFill="1"/>
    <xf numFmtId="0" fontId="5" fillId="0" borderId="9" xfId="82" applyFont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9" xfId="0" applyFill="1" applyBorder="1"/>
    <xf numFmtId="0" fontId="6" fillId="6" borderId="0" xfId="0" applyFont="1" applyFill="1"/>
    <xf numFmtId="0" fontId="0" fillId="0" borderId="9" xfId="0" applyBorder="1"/>
    <xf numFmtId="0" fontId="0" fillId="7" borderId="0" xfId="0" applyFill="1"/>
    <xf numFmtId="0" fontId="0" fillId="5" borderId="9" xfId="0" applyFill="1" applyBorder="1" applyAlignment="1">
      <alignment horizontal="right" vertical="center" wrapText="1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79" fontId="0" fillId="4" borderId="0" xfId="1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10" fillId="8" borderId="0" xfId="1" applyNumberFormat="1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11" borderId="0" xfId="0" applyFont="1" applyFill="1" applyAlignment="1">
      <alignment horizontal="center" vertical="center" wrapText="1"/>
    </xf>
    <xf numFmtId="180" fontId="13" fillId="4" borderId="4" xfId="1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79" fontId="13" fillId="4" borderId="15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" fontId="1" fillId="11" borderId="1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 wrapText="1"/>
    </xf>
    <xf numFmtId="179" fontId="9" fillId="12" borderId="6" xfId="1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center" vertical="center"/>
    </xf>
    <xf numFmtId="180" fontId="18" fillId="2" borderId="6" xfId="0" applyNumberFormat="1" applyFont="1" applyFill="1" applyBorder="1" applyAlignment="1">
      <alignment horizontal="center" vertical="center"/>
    </xf>
    <xf numFmtId="0" fontId="9" fillId="14" borderId="6" xfId="83" applyFont="1" applyFill="1" applyBorder="1" applyAlignment="1">
      <alignment horizontal="center" vertical="center" wrapText="1"/>
    </xf>
    <xf numFmtId="180" fontId="0" fillId="4" borderId="4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 wrapText="1"/>
    </xf>
    <xf numFmtId="179" fontId="9" fillId="12" borderId="8" xfId="1" applyNumberFormat="1" applyFont="1" applyFill="1" applyBorder="1" applyAlignment="1">
      <alignment horizontal="right" vertical="center" wrapText="1"/>
    </xf>
    <xf numFmtId="0" fontId="0" fillId="6" borderId="6" xfId="0" applyFill="1" applyBorder="1" applyAlignment="1">
      <alignment vertical="top" wrapText="1"/>
    </xf>
    <xf numFmtId="0" fontId="19" fillId="7" borderId="6" xfId="0" applyFont="1" applyFill="1" applyBorder="1" applyAlignment="1">
      <alignment horizontal="center"/>
    </xf>
    <xf numFmtId="0" fontId="9" fillId="0" borderId="0" xfId="0" applyFont="1"/>
    <xf numFmtId="0" fontId="20" fillId="6" borderId="0" xfId="0" applyFont="1" applyFill="1" applyAlignment="1">
      <alignment horizontal="center" vertical="center"/>
    </xf>
    <xf numFmtId="0" fontId="9" fillId="6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top" wrapText="1"/>
    </xf>
    <xf numFmtId="179" fontId="13" fillId="4" borderId="14" xfId="1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1" fontId="13" fillId="18" borderId="1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5" borderId="6" xfId="0" applyFill="1" applyBorder="1"/>
    <xf numFmtId="0" fontId="9" fillId="14" borderId="8" xfId="83" applyFont="1" applyFill="1" applyBorder="1" applyAlignment="1">
      <alignment horizontal="center" vertical="center" wrapText="1"/>
    </xf>
    <xf numFmtId="0" fontId="0" fillId="5" borderId="8" xfId="0" applyFill="1" applyBorder="1"/>
    <xf numFmtId="1" fontId="13" fillId="1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20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80" fontId="13" fillId="4" borderId="0" xfId="1" applyNumberFormat="1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79" fontId="18" fillId="2" borderId="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vertical="top" wrapText="1"/>
    </xf>
    <xf numFmtId="0" fontId="9" fillId="14" borderId="15" xfId="83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top" wrapText="1"/>
    </xf>
    <xf numFmtId="179" fontId="9" fillId="12" borderId="16" xfId="1" applyNumberFormat="1" applyFont="1" applyFill="1" applyBorder="1" applyAlignment="1">
      <alignment horizontal="right" vertical="center" wrapText="1"/>
    </xf>
    <xf numFmtId="0" fontId="9" fillId="14" borderId="4" xfId="83" applyFont="1" applyFill="1" applyBorder="1" applyAlignment="1">
      <alignment horizontal="center" vertical="center" wrapText="1"/>
    </xf>
    <xf numFmtId="179" fontId="9" fillId="12" borderId="1" xfId="1" applyNumberFormat="1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83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13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6" borderId="6" xfId="0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0" borderId="8" xfId="0" applyBorder="1"/>
    <xf numFmtId="0" fontId="19" fillId="7" borderId="17" xfId="0" applyFont="1" applyFill="1" applyBorder="1" applyAlignment="1">
      <alignment horizontal="center"/>
    </xf>
    <xf numFmtId="0" fontId="0" fillId="4" borderId="0" xfId="0" applyFill="1" applyAlignment="1">
      <alignment vertical="top"/>
    </xf>
    <xf numFmtId="0" fontId="19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top" wrapText="1"/>
    </xf>
    <xf numFmtId="179" fontId="9" fillId="12" borderId="15" xfId="1" applyNumberFormat="1" applyFont="1" applyFill="1" applyBorder="1" applyAlignment="1">
      <alignment horizontal="right" vertical="center" wrapText="1"/>
    </xf>
    <xf numFmtId="179" fontId="18" fillId="2" borderId="15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vertical="top" wrapText="1"/>
    </xf>
    <xf numFmtId="0" fontId="20" fillId="21" borderId="0" xfId="0" applyFont="1" applyFill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3" borderId="15" xfId="0" applyFont="1" applyFill="1" applyBorder="1" applyAlignment="1">
      <alignment horizontal="center" vertical="center"/>
    </xf>
    <xf numFmtId="0" fontId="0" fillId="0" borderId="6" xfId="88" applyFont="1" applyBorder="1" applyAlignment="1">
      <alignment vertical="top" wrapText="1"/>
    </xf>
    <xf numFmtId="0" fontId="26" fillId="14" borderId="6" xfId="88" applyFont="1" applyFill="1" applyBorder="1" applyAlignment="1">
      <alignment horizontal="center" vertical="top"/>
    </xf>
    <xf numFmtId="179" fontId="27" fillId="5" borderId="6" xfId="88" applyNumberFormat="1" applyFont="1" applyFill="1" applyBorder="1" applyAlignment="1">
      <alignment horizontal="right"/>
    </xf>
    <xf numFmtId="0" fontId="26" fillId="14" borderId="6" xfId="88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179" fontId="9" fillId="0" borderId="6" xfId="1" applyNumberFormat="1" applyFont="1" applyFill="1" applyBorder="1" applyAlignment="1">
      <alignment horizontal="right" vertical="center" wrapText="1"/>
    </xf>
    <xf numFmtId="0" fontId="26" fillId="0" borderId="6" xfId="88" applyFont="1" applyBorder="1" applyAlignment="1">
      <alignment horizontal="center"/>
    </xf>
    <xf numFmtId="0" fontId="9" fillId="0" borderId="6" xfId="83" applyFont="1" applyBorder="1" applyAlignment="1">
      <alignment horizontal="center" vertical="center" wrapText="1"/>
    </xf>
    <xf numFmtId="179" fontId="9" fillId="24" borderId="6" xfId="1" applyNumberFormat="1" applyFont="1" applyFill="1" applyBorder="1" applyAlignment="1">
      <alignment horizontal="right" vertical="center" wrapText="1"/>
    </xf>
    <xf numFmtId="0" fontId="28" fillId="14" borderId="6" xfId="88" applyFont="1" applyFill="1" applyBorder="1" applyAlignment="1">
      <alignment horizontal="center" vertical="top"/>
    </xf>
    <xf numFmtId="179" fontId="28" fillId="14" borderId="6" xfId="88" applyNumberFormat="1" applyFont="1" applyFill="1" applyBorder="1" applyAlignment="1">
      <alignment horizontal="right"/>
    </xf>
    <xf numFmtId="0" fontId="0" fillId="0" borderId="15" xfId="88" applyFont="1" applyBorder="1" applyAlignment="1">
      <alignment vertical="top" wrapText="1"/>
    </xf>
    <xf numFmtId="0" fontId="26" fillId="14" borderId="15" xfId="88" applyFont="1" applyFill="1" applyBorder="1" applyAlignment="1">
      <alignment horizontal="center" vertical="top"/>
    </xf>
    <xf numFmtId="179" fontId="27" fillId="5" borderId="15" xfId="88" applyNumberFormat="1" applyFont="1" applyFill="1" applyBorder="1" applyAlignment="1">
      <alignment horizontal="right"/>
    </xf>
    <xf numFmtId="179" fontId="29" fillId="5" borderId="15" xfId="88" applyNumberFormat="1" applyFont="1" applyFill="1" applyBorder="1" applyAlignment="1">
      <alignment horizontal="right"/>
    </xf>
    <xf numFmtId="0" fontId="28" fillId="14" borderId="15" xfId="88" applyFont="1" applyFill="1" applyBorder="1" applyAlignment="1">
      <alignment horizontal="center" vertical="top"/>
    </xf>
    <xf numFmtId="0" fontId="28" fillId="14" borderId="6" xfId="88" applyFont="1" applyFill="1" applyBorder="1" applyAlignment="1">
      <alignment horizontal="center"/>
    </xf>
    <xf numFmtId="0" fontId="28" fillId="0" borderId="15" xfId="88" applyFont="1" applyBorder="1" applyAlignment="1">
      <alignment horizontal="center" vertical="top"/>
    </xf>
    <xf numFmtId="179" fontId="28" fillId="0" borderId="15" xfId="88" applyNumberFormat="1" applyFont="1" applyBorder="1" applyAlignment="1">
      <alignment horizontal="right"/>
    </xf>
    <xf numFmtId="0" fontId="0" fillId="0" borderId="15" xfId="0" applyBorder="1" applyAlignment="1">
      <alignment vertical="top" wrapText="1"/>
    </xf>
    <xf numFmtId="0" fontId="10" fillId="25" borderId="0" xfId="0" applyFont="1" applyFill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26" borderId="17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179" fontId="31" fillId="2" borderId="6" xfId="1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top" wrapText="1"/>
    </xf>
    <xf numFmtId="1" fontId="1" fillId="11" borderId="19" xfId="0" applyNumberFormat="1" applyFont="1" applyFill="1" applyBorder="1" applyAlignment="1">
      <alignment horizontal="center" vertical="center" wrapText="1"/>
    </xf>
    <xf numFmtId="0" fontId="9" fillId="14" borderId="11" xfId="83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top" wrapText="1"/>
    </xf>
    <xf numFmtId="0" fontId="0" fillId="4" borderId="6" xfId="88" applyFont="1" applyFill="1" applyBorder="1" applyAlignment="1">
      <alignment vertical="top" wrapText="1"/>
    </xf>
    <xf numFmtId="181" fontId="0" fillId="4" borderId="6" xfId="87" applyNumberFormat="1" applyFont="1" applyFill="1" applyBorder="1" applyAlignment="1">
      <alignment vertical="top" wrapText="1"/>
    </xf>
    <xf numFmtId="179" fontId="32" fillId="5" borderId="6" xfId="1" applyNumberFormat="1" applyFont="1" applyFill="1" applyBorder="1" applyAlignment="1">
      <alignment horizontal="right" vertical="top"/>
    </xf>
    <xf numFmtId="0" fontId="11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181" fontId="0" fillId="4" borderId="16" xfId="87" applyNumberFormat="1" applyFont="1" applyFill="1" applyBorder="1" applyAlignment="1">
      <alignment vertical="top" wrapText="1"/>
    </xf>
    <xf numFmtId="0" fontId="0" fillId="6" borderId="16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180" fontId="0" fillId="0" borderId="0" xfId="0" applyNumberFormat="1" applyAlignment="1">
      <alignment vertical="top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9" fontId="9" fillId="0" borderId="0" xfId="1" applyNumberFormat="1" applyFont="1" applyFill="1" applyBorder="1" applyAlignment="1">
      <alignment horizontal="right" vertical="center" wrapText="1"/>
    </xf>
    <xf numFmtId="180" fontId="18" fillId="0" borderId="0" xfId="0" applyNumberFormat="1" applyFont="1" applyAlignment="1">
      <alignment horizontal="center" vertical="center"/>
    </xf>
    <xf numFmtId="0" fontId="9" fillId="0" borderId="0" xfId="83" applyFont="1" applyAlignment="1">
      <alignment horizontal="center" vertical="center" wrapText="1"/>
    </xf>
    <xf numFmtId="0" fontId="0" fillId="5" borderId="11" xfId="0" applyFill="1" applyBorder="1"/>
    <xf numFmtId="0" fontId="0" fillId="0" borderId="20" xfId="0" applyBorder="1" applyAlignment="1">
      <alignment horizontal="center"/>
    </xf>
    <xf numFmtId="0" fontId="11" fillId="29" borderId="0" xfId="0" applyFont="1" applyFill="1" applyAlignment="1">
      <alignment horizontal="center" vertical="center"/>
    </xf>
    <xf numFmtId="0" fontId="34" fillId="29" borderId="21" xfId="0" applyFont="1" applyFill="1" applyBorder="1" applyAlignment="1">
      <alignment horizontal="center" vertical="center"/>
    </xf>
    <xf numFmtId="180" fontId="13" fillId="4" borderId="6" xfId="1" applyNumberFormat="1" applyFont="1" applyFill="1" applyBorder="1" applyAlignment="1">
      <alignment horizontal="center" vertical="center" wrapText="1"/>
    </xf>
    <xf numFmtId="0" fontId="14" fillId="30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9" fillId="14" borderId="6" xfId="84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top" wrapText="1"/>
    </xf>
    <xf numFmtId="180" fontId="18" fillId="2" borderId="1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19" fillId="7" borderId="0" xfId="0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179" fontId="9" fillId="12" borderId="0" xfId="1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center" vertical="center"/>
    </xf>
    <xf numFmtId="180" fontId="18" fillId="2" borderId="0" xfId="0" applyNumberFormat="1" applyFont="1" applyFill="1" applyAlignment="1">
      <alignment horizontal="center" vertical="center"/>
    </xf>
    <xf numFmtId="0" fontId="9" fillId="14" borderId="0" xfId="83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/>
    </xf>
    <xf numFmtId="0" fontId="25" fillId="31" borderId="23" xfId="0" applyFont="1" applyFill="1" applyBorder="1" applyAlignment="1">
      <alignment horizontal="center" vertical="center"/>
    </xf>
    <xf numFmtId="0" fontId="14" fillId="32" borderId="22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top" wrapText="1"/>
    </xf>
    <xf numFmtId="0" fontId="9" fillId="14" borderId="17" xfId="84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9" fillId="14" borderId="17" xfId="83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9" fillId="13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30" fillId="33" borderId="24" xfId="0" applyFont="1" applyFill="1" applyBorder="1" applyAlignment="1">
      <alignment horizontal="center" vertical="center"/>
    </xf>
    <xf numFmtId="0" fontId="14" fillId="34" borderId="17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1" fontId="13" fillId="18" borderId="25" xfId="0" applyNumberFormat="1" applyFont="1" applyFill="1" applyBorder="1" applyAlignment="1">
      <alignment horizontal="center" vertical="center" wrapText="1"/>
    </xf>
    <xf numFmtId="0" fontId="0" fillId="5" borderId="26" xfId="0" applyFill="1" applyBorder="1"/>
    <xf numFmtId="0" fontId="0" fillId="9" borderId="16" xfId="0" applyFill="1" applyBorder="1"/>
    <xf numFmtId="0" fontId="8" fillId="0" borderId="8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4" borderId="16" xfId="87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80" fontId="18" fillId="2" borderId="1" xfId="0" applyNumberFormat="1" applyFont="1" applyFill="1" applyBorder="1" applyAlignment="1">
      <alignment horizontal="center" vertical="center"/>
    </xf>
    <xf numFmtId="0" fontId="0" fillId="4" borderId="0" xfId="87" applyFont="1" applyFill="1" applyAlignment="1">
      <alignment vertical="top" wrapText="1"/>
    </xf>
    <xf numFmtId="0" fontId="19" fillId="7" borderId="1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9" fillId="14" borderId="1" xfId="84" applyFont="1" applyFill="1" applyBorder="1" applyAlignment="1">
      <alignment horizontal="center" vertical="center" wrapText="1"/>
    </xf>
    <xf numFmtId="0" fontId="0" fillId="9" borderId="0" xfId="0" applyFill="1"/>
    <xf numFmtId="0" fontId="0" fillId="4" borderId="27" xfId="0" applyFill="1" applyBorder="1" applyAlignment="1">
      <alignment vertical="top"/>
    </xf>
    <xf numFmtId="0" fontId="0" fillId="4" borderId="28" xfId="0" applyFill="1" applyBorder="1" applyAlignment="1">
      <alignment vertical="top"/>
    </xf>
    <xf numFmtId="179" fontId="9" fillId="12" borderId="11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11" fillId="35" borderId="1" xfId="0" applyFont="1" applyFill="1" applyBorder="1" applyAlignment="1">
      <alignment horizontal="center" vertical="center"/>
    </xf>
    <xf numFmtId="0" fontId="30" fillId="36" borderId="18" xfId="0" applyFont="1" applyFill="1" applyBorder="1" applyAlignment="1">
      <alignment horizontal="center" vertical="center"/>
    </xf>
    <xf numFmtId="180" fontId="13" fillId="4" borderId="29" xfId="1" applyNumberFormat="1" applyFont="1" applyFill="1" applyBorder="1" applyAlignment="1">
      <alignment horizontal="center" vertical="center" wrapText="1"/>
    </xf>
    <xf numFmtId="0" fontId="14" fillId="36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top" wrapText="1"/>
    </xf>
    <xf numFmtId="179" fontId="13" fillId="4" borderId="31" xfId="1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33" xfId="0" applyFill="1" applyBorder="1" applyAlignment="1">
      <alignment horizontal="center" vertical="top" wrapText="1"/>
    </xf>
    <xf numFmtId="179" fontId="9" fillId="12" borderId="33" xfId="1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0" fontId="11" fillId="37" borderId="0" xfId="0" applyFont="1" applyFill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180" fontId="13" fillId="4" borderId="34" xfId="1" applyNumberFormat="1" applyFont="1" applyFill="1" applyBorder="1" applyAlignment="1">
      <alignment horizontal="center" vertical="center" wrapText="1"/>
    </xf>
    <xf numFmtId="0" fontId="14" fillId="38" borderId="3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1" fontId="1" fillId="11" borderId="15" xfId="0" applyNumberFormat="1" applyFont="1" applyFill="1" applyBorder="1" applyAlignment="1">
      <alignment horizontal="center" vertical="center" wrapText="1"/>
    </xf>
    <xf numFmtId="0" fontId="32" fillId="39" borderId="28" xfId="0" applyFont="1" applyFill="1" applyBorder="1" applyAlignment="1">
      <alignment wrapText="1"/>
    </xf>
    <xf numFmtId="0" fontId="19" fillId="7" borderId="4" xfId="0" applyFont="1" applyFill="1" applyBorder="1" applyAlignment="1">
      <alignment horizontal="center"/>
    </xf>
    <xf numFmtId="0" fontId="32" fillId="0" borderId="6" xfId="0" applyFont="1" applyBorder="1" applyAlignment="1">
      <alignment horizontal="center" wrapText="1"/>
    </xf>
    <xf numFmtId="179" fontId="0" fillId="4" borderId="6" xfId="1" applyNumberFormat="1" applyFont="1" applyFill="1" applyBorder="1" applyAlignment="1">
      <alignment horizontal="right"/>
    </xf>
    <xf numFmtId="0" fontId="35" fillId="0" borderId="6" xfId="0" applyFont="1" applyBorder="1" applyAlignment="1">
      <alignment horizontal="center" wrapText="1"/>
    </xf>
    <xf numFmtId="0" fontId="32" fillId="5" borderId="6" xfId="0" applyFont="1" applyFill="1" applyBorder="1" applyAlignment="1">
      <alignment horizontal="center" wrapText="1"/>
    </xf>
    <xf numFmtId="0" fontId="35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vertical="center"/>
    </xf>
    <xf numFmtId="1" fontId="13" fillId="18" borderId="36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180" fontId="0" fillId="5" borderId="6" xfId="0" applyNumberFormat="1" applyFill="1" applyBorder="1" applyAlignment="1">
      <alignment horizontal="center" vertical="center"/>
    </xf>
    <xf numFmtId="0" fontId="0" fillId="5" borderId="6" xfId="84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40" borderId="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1" fillId="40" borderId="15" xfId="0" applyFont="1" applyFill="1" applyBorder="1" applyAlignment="1">
      <alignment horizontal="center" vertical="center" wrapText="1"/>
    </xf>
    <xf numFmtId="0" fontId="11" fillId="40" borderId="35" xfId="0" applyFont="1" applyFill="1" applyBorder="1" applyAlignment="1">
      <alignment horizontal="center" vertical="center" wrapText="1"/>
    </xf>
    <xf numFmtId="0" fontId="10" fillId="41" borderId="1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1" fillId="40" borderId="37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10" fillId="41" borderId="37" xfId="0" applyFont="1" applyFill="1" applyBorder="1" applyAlignment="1">
      <alignment horizontal="center" vertical="center" wrapText="1"/>
    </xf>
    <xf numFmtId="0" fontId="10" fillId="41" borderId="3" xfId="0" applyFont="1" applyFill="1" applyBorder="1" applyAlignment="1">
      <alignment horizontal="center" vertical="center" wrapText="1"/>
    </xf>
    <xf numFmtId="0" fontId="3" fillId="42" borderId="6" xfId="0" applyFont="1" applyFill="1" applyBorder="1" applyAlignment="1">
      <alignment horizontal="center" wrapText="1"/>
    </xf>
    <xf numFmtId="0" fontId="3" fillId="42" borderId="4" xfId="0" applyFont="1" applyFill="1" applyBorder="1" applyAlignment="1">
      <alignment horizontal="center" wrapText="1"/>
    </xf>
    <xf numFmtId="0" fontId="3" fillId="42" borderId="28" xfId="0" applyFont="1" applyFill="1" applyBorder="1" applyAlignment="1">
      <alignment horizontal="center" wrapText="1"/>
    </xf>
    <xf numFmtId="0" fontId="36" fillId="43" borderId="0" xfId="0" applyFont="1" applyFill="1" applyAlignment="1">
      <alignment horizontal="center" vertical="center"/>
    </xf>
    <xf numFmtId="0" fontId="3" fillId="42" borderId="37" xfId="0" applyFont="1" applyFill="1" applyBorder="1" applyAlignment="1">
      <alignment horizontal="center" wrapText="1"/>
    </xf>
    <xf numFmtId="0" fontId="3" fillId="42" borderId="3" xfId="0" applyFont="1" applyFill="1" applyBorder="1" applyAlignment="1">
      <alignment horizontal="center" wrapText="1"/>
    </xf>
    <xf numFmtId="0" fontId="3" fillId="42" borderId="38" xfId="0" applyFont="1" applyFill="1" applyBorder="1" applyAlignment="1">
      <alignment horizontal="center" wrapText="1"/>
    </xf>
    <xf numFmtId="0" fontId="0" fillId="44" borderId="0" xfId="0" applyFill="1"/>
    <xf numFmtId="180" fontId="37" fillId="2" borderId="16" xfId="1" applyNumberFormat="1" applyFont="1" applyFill="1" applyBorder="1" applyAlignment="1">
      <alignment horizontal="center" vertical="center"/>
    </xf>
    <xf numFmtId="180" fontId="37" fillId="2" borderId="7" xfId="1" applyNumberFormat="1" applyFont="1" applyFill="1" applyBorder="1" applyAlignment="1">
      <alignment horizontal="center" vertical="center"/>
    </xf>
    <xf numFmtId="180" fontId="37" fillId="2" borderId="27" xfId="1" applyNumberFormat="1" applyFont="1" applyFill="1" applyBorder="1" applyAlignment="1">
      <alignment horizontal="center" vertical="center"/>
    </xf>
    <xf numFmtId="0" fontId="22" fillId="45" borderId="15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38" fillId="44" borderId="6" xfId="0" applyFont="1" applyFill="1" applyBorder="1" applyAlignment="1">
      <alignment horizontal="center" vertical="center" wrapText="1"/>
    </xf>
    <xf numFmtId="0" fontId="38" fillId="44" borderId="28" xfId="0" applyFont="1" applyFill="1" applyBorder="1" applyAlignment="1">
      <alignment horizontal="center" vertical="center" wrapText="1"/>
    </xf>
    <xf numFmtId="9" fontId="39" fillId="41" borderId="1" xfId="3" applyFont="1" applyFill="1" applyBorder="1" applyAlignment="1" applyProtection="1">
      <alignment horizontal="center" vertical="center"/>
      <protection locked="0"/>
    </xf>
    <xf numFmtId="0" fontId="22" fillId="46" borderId="1" xfId="0" applyFont="1" applyFill="1" applyBorder="1" applyAlignment="1">
      <alignment horizontal="center" vertical="center"/>
    </xf>
    <xf numFmtId="180" fontId="40" fillId="47" borderId="6" xfId="1" applyNumberFormat="1" applyFont="1" applyFill="1" applyBorder="1" applyAlignment="1">
      <alignment vertical="center"/>
    </xf>
    <xf numFmtId="180" fontId="40" fillId="47" borderId="4" xfId="1" applyNumberFormat="1" applyFont="1" applyFill="1" applyBorder="1" applyAlignment="1">
      <alignment vertical="center"/>
    </xf>
    <xf numFmtId="0" fontId="38" fillId="44" borderId="15" xfId="0" applyFont="1" applyFill="1" applyBorder="1" applyAlignment="1">
      <alignment horizontal="center" vertical="center" wrapText="1"/>
    </xf>
    <xf numFmtId="0" fontId="38" fillId="44" borderId="35" xfId="0" applyFont="1" applyFill="1" applyBorder="1" applyAlignment="1">
      <alignment horizontal="center" vertical="center" wrapText="1"/>
    </xf>
    <xf numFmtId="180" fontId="40" fillId="47" borderId="37" xfId="1" applyNumberFormat="1" applyFont="1" applyFill="1" applyBorder="1" applyAlignment="1">
      <alignment vertical="center"/>
    </xf>
    <xf numFmtId="180" fontId="40" fillId="47" borderId="3" xfId="1" applyNumberFormat="1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22" fillId="17" borderId="15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41" fillId="17" borderId="39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39" xfId="0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10" fillId="41" borderId="28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27" xfId="0" applyFont="1" applyFill="1" applyBorder="1" applyAlignment="1">
      <alignment horizontal="left" vertical="center"/>
    </xf>
    <xf numFmtId="182" fontId="41" fillId="17" borderId="1" xfId="0" applyNumberFormat="1" applyFont="1" applyFill="1" applyBorder="1" applyAlignment="1">
      <alignment horizontal="center" vertical="center"/>
    </xf>
    <xf numFmtId="182" fontId="41" fillId="17" borderId="16" xfId="0" applyNumberFormat="1" applyFont="1" applyFill="1" applyBorder="1" applyAlignment="1">
      <alignment horizontal="center" vertical="center"/>
    </xf>
    <xf numFmtId="0" fontId="43" fillId="0" borderId="42" xfId="0" applyFont="1" applyBorder="1" applyAlignment="1" applyProtection="1">
      <alignment horizontal="center" vertical="center"/>
      <protection locked="0"/>
    </xf>
    <xf numFmtId="0" fontId="10" fillId="41" borderId="3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27" xfId="0" applyFont="1" applyFill="1" applyBorder="1" applyAlignment="1">
      <alignment horizontal="left" vertical="center" wrapText="1"/>
    </xf>
    <xf numFmtId="0" fontId="3" fillId="17" borderId="16" xfId="0" applyFont="1" applyFill="1" applyBorder="1" applyAlignment="1">
      <alignment horizontal="center" vertical="center"/>
    </xf>
    <xf numFmtId="0" fontId="43" fillId="0" borderId="43" xfId="0" applyFont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>
      <alignment horizontal="left"/>
    </xf>
    <xf numFmtId="0" fontId="0" fillId="17" borderId="1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10" fillId="41" borderId="38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center" wrapText="1"/>
    </xf>
    <xf numFmtId="0" fontId="44" fillId="13" borderId="16" xfId="0" applyFont="1" applyFill="1" applyBorder="1" applyAlignment="1">
      <alignment horizontal="center" wrapText="1"/>
    </xf>
    <xf numFmtId="0" fontId="36" fillId="43" borderId="35" xfId="0" applyFont="1" applyFill="1" applyBorder="1" applyAlignment="1">
      <alignment horizontal="center" vertical="center"/>
    </xf>
    <xf numFmtId="0" fontId="45" fillId="2" borderId="37" xfId="0" applyFont="1" applyFill="1" applyBorder="1" applyAlignment="1" applyProtection="1">
      <alignment horizontal="center" vertical="center"/>
      <protection locked="0"/>
    </xf>
    <xf numFmtId="0" fontId="45" fillId="2" borderId="3" xfId="0" applyFont="1" applyFill="1" applyBorder="1" applyAlignment="1" applyProtection="1">
      <alignment horizontal="center" vertical="center"/>
      <protection locked="0"/>
    </xf>
    <xf numFmtId="0" fontId="45" fillId="11" borderId="3" xfId="0" applyFont="1" applyFill="1" applyBorder="1" applyAlignment="1" applyProtection="1">
      <alignment horizontal="center" vertical="center"/>
      <protection locked="0"/>
    </xf>
    <xf numFmtId="0" fontId="22" fillId="45" borderId="3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180" fontId="40" fillId="47" borderId="28" xfId="1" applyNumberFormat="1" applyFont="1" applyFill="1" applyBorder="1" applyAlignment="1">
      <alignment vertical="center"/>
    </xf>
    <xf numFmtId="180" fontId="40" fillId="47" borderId="38" xfId="1" applyNumberFormat="1" applyFont="1" applyFill="1" applyBorder="1" applyAlignment="1">
      <alignment vertical="center"/>
    </xf>
    <xf numFmtId="0" fontId="2" fillId="48" borderId="3" xfId="0" applyFont="1" applyFill="1" applyBorder="1" applyAlignment="1">
      <alignment horizontal="center" vertical="center" wrapText="1"/>
    </xf>
    <xf numFmtId="0" fontId="2" fillId="48" borderId="38" xfId="0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/>
    </xf>
    <xf numFmtId="0" fontId="22" fillId="50" borderId="37" xfId="0" applyFont="1" applyFill="1" applyBorder="1" applyAlignment="1">
      <alignment horizontal="center" vertical="center"/>
    </xf>
    <xf numFmtId="0" fontId="22" fillId="50" borderId="3" xfId="0" applyFont="1" applyFill="1" applyBorder="1" applyAlignment="1">
      <alignment horizontal="center" vertical="center"/>
    </xf>
    <xf numFmtId="0" fontId="43" fillId="0" borderId="44" xfId="0" applyFont="1" applyBorder="1" applyAlignment="1" applyProtection="1">
      <alignment horizontal="center" vertical="center"/>
      <protection locked="0"/>
    </xf>
    <xf numFmtId="0" fontId="22" fillId="51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1" fillId="51" borderId="39" xfId="0" applyFont="1" applyFill="1" applyBorder="1" applyAlignment="1">
      <alignment horizontal="center" vertical="center" wrapText="1"/>
    </xf>
    <xf numFmtId="16" fontId="3" fillId="5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183" fontId="22" fillId="2" borderId="39" xfId="0" applyNumberFormat="1" applyFont="1" applyFill="1" applyBorder="1" applyAlignment="1">
      <alignment horizontal="center" vertical="center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39" fillId="2" borderId="39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53" borderId="1" xfId="0" applyFont="1" applyFill="1" applyBorder="1" applyAlignment="1" applyProtection="1">
      <alignment horizontal="center" vertical="center" wrapText="1"/>
      <protection locked="0"/>
    </xf>
    <xf numFmtId="0" fontId="43" fillId="0" borderId="45" xfId="0" applyFont="1" applyBorder="1" applyAlignment="1" applyProtection="1">
      <alignment horizontal="center" vertical="center"/>
      <protection locked="0"/>
    </xf>
    <xf numFmtId="0" fontId="0" fillId="54" borderId="42" xfId="0" applyFill="1" applyBorder="1" applyAlignment="1">
      <alignment horizontal="center" vertical="center" wrapText="1"/>
    </xf>
    <xf numFmtId="0" fontId="0" fillId="54" borderId="45" xfId="0" applyFill="1" applyBorder="1" applyAlignment="1">
      <alignment horizontal="center" vertical="center" wrapText="1"/>
    </xf>
    <xf numFmtId="0" fontId="43" fillId="0" borderId="46" xfId="0" applyFont="1" applyBorder="1" applyAlignment="1" applyProtection="1">
      <alignment horizontal="center" vertical="center"/>
      <protection locked="0"/>
    </xf>
    <xf numFmtId="0" fontId="0" fillId="54" borderId="44" xfId="0" applyFill="1" applyBorder="1" applyAlignment="1">
      <alignment horizontal="center" vertical="center" wrapText="1"/>
    </xf>
    <xf numFmtId="0" fontId="0" fillId="54" borderId="47" xfId="0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55" borderId="27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180" fontId="11" fillId="2" borderId="27" xfId="1" applyNumberFormat="1" applyFont="1" applyFill="1" applyBorder="1" applyAlignment="1">
      <alignment horizontal="center" vertical="center"/>
    </xf>
    <xf numFmtId="180" fontId="11" fillId="2" borderId="1" xfId="1" applyNumberFormat="1" applyFont="1" applyFill="1" applyBorder="1" applyAlignment="1">
      <alignment horizontal="center" vertical="center"/>
    </xf>
    <xf numFmtId="0" fontId="43" fillId="0" borderId="47" xfId="0" applyFont="1" applyBorder="1" applyAlignment="1" applyProtection="1">
      <alignment horizontal="center" vertical="center"/>
      <protection locked="0"/>
    </xf>
    <xf numFmtId="0" fontId="41" fillId="17" borderId="2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2" fillId="51" borderId="39" xfId="0" applyFont="1" applyFill="1" applyBorder="1" applyAlignment="1">
      <alignment horizontal="center" vertical="center" wrapText="1"/>
    </xf>
    <xf numFmtId="0" fontId="22" fillId="18" borderId="27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16" fontId="0" fillId="0" borderId="39" xfId="0" applyNumberFormat="1" applyBorder="1" applyAlignment="1" applyProtection="1">
      <alignment horizontal="center" vertical="center"/>
      <protection locked="0"/>
    </xf>
    <xf numFmtId="0" fontId="0" fillId="40" borderId="6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top" wrapText="1"/>
    </xf>
    <xf numFmtId="0" fontId="47" fillId="17" borderId="7" xfId="0" applyFont="1" applyFill="1" applyBorder="1" applyAlignment="1">
      <alignment horizontal="center" vertical="top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48" xfId="0" applyFont="1" applyFill="1" applyBorder="1" applyAlignment="1">
      <alignment horizontal="center" vertical="center" wrapText="1"/>
    </xf>
    <xf numFmtId="0" fontId="0" fillId="40" borderId="15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49" fillId="17" borderId="16" xfId="0" applyFont="1" applyFill="1" applyBorder="1" applyAlignment="1">
      <alignment horizontal="center" vertical="center" wrapText="1"/>
    </xf>
    <xf numFmtId="0" fontId="49" fillId="17" borderId="27" xfId="0" applyFont="1" applyFill="1" applyBorder="1" applyAlignment="1">
      <alignment horizontal="center" vertical="center" wrapText="1"/>
    </xf>
    <xf numFmtId="0" fontId="22" fillId="11" borderId="16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0" fillId="40" borderId="37" xfId="0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 applyProtection="1">
      <alignment horizontal="center" vertical="center" shrinkToFit="1"/>
      <protection locked="0"/>
    </xf>
    <xf numFmtId="0" fontId="2" fillId="11" borderId="7" xfId="0" applyFont="1" applyFill="1" applyBorder="1" applyAlignment="1" applyProtection="1">
      <alignment horizontal="center" vertical="center" shrinkToFit="1"/>
      <protection locked="0"/>
    </xf>
    <xf numFmtId="0" fontId="47" fillId="17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47" fillId="42" borderId="1" xfId="0" applyFont="1" applyFill="1" applyBorder="1" applyAlignment="1">
      <alignment horizontal="center" vertical="center" wrapText="1"/>
    </xf>
    <xf numFmtId="180" fontId="50" fillId="44" borderId="16" xfId="1" applyNumberFormat="1" applyFont="1" applyFill="1" applyBorder="1" applyAlignment="1">
      <alignment horizontal="center" vertical="center"/>
    </xf>
    <xf numFmtId="180" fontId="50" fillId="44" borderId="7" xfId="1" applyNumberFormat="1" applyFont="1" applyFill="1" applyBorder="1" applyAlignment="1">
      <alignment horizontal="center" vertical="center"/>
    </xf>
    <xf numFmtId="180" fontId="50" fillId="44" borderId="27" xfId="1" applyNumberFormat="1" applyFont="1" applyFill="1" applyBorder="1" applyAlignment="1">
      <alignment horizontal="center" vertical="center"/>
    </xf>
    <xf numFmtId="0" fontId="49" fillId="17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51" fillId="56" borderId="49" xfId="0" applyFont="1" applyFill="1" applyBorder="1" applyAlignment="1">
      <alignment horizontal="center" vertical="center" wrapText="1"/>
    </xf>
    <xf numFmtId="0" fontId="51" fillId="56" borderId="50" xfId="0" applyFont="1" applyFill="1" applyBorder="1" applyAlignment="1">
      <alignment horizontal="center" vertical="center" wrapText="1"/>
    </xf>
    <xf numFmtId="0" fontId="51" fillId="56" borderId="51" xfId="0" applyFont="1" applyFill="1" applyBorder="1" applyAlignment="1">
      <alignment horizontal="center" vertical="center" wrapText="1"/>
    </xf>
    <xf numFmtId="0" fontId="51" fillId="56" borderId="52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/>
    </xf>
    <xf numFmtId="0" fontId="0" fillId="17" borderId="0" xfId="0" applyFill="1"/>
    <xf numFmtId="0" fontId="52" fillId="11" borderId="7" xfId="0" applyFont="1" applyFill="1" applyBorder="1" applyAlignment="1" applyProtection="1">
      <alignment horizontal="center" vertical="center"/>
      <protection locked="0"/>
    </xf>
    <xf numFmtId="0" fontId="52" fillId="11" borderId="27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52" fillId="11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 wrapText="1"/>
      <protection locked="0"/>
    </xf>
    <xf numFmtId="0" fontId="20" fillId="0" borderId="16" xfId="0" applyFont="1" applyBorder="1" applyAlignment="1" applyProtection="1">
      <alignment horizontal="left" vertical="center" shrinkToFit="1"/>
      <protection locked="0"/>
    </xf>
    <xf numFmtId="0" fontId="20" fillId="0" borderId="7" xfId="0" applyFont="1" applyBorder="1" applyAlignment="1" applyProtection="1">
      <alignment horizontal="left" vertical="center" shrinkToFit="1"/>
      <protection locked="0"/>
    </xf>
    <xf numFmtId="0" fontId="3" fillId="57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left" wrapText="1"/>
    </xf>
    <xf numFmtId="0" fontId="3" fillId="45" borderId="0" xfId="0" applyFont="1" applyFill="1"/>
    <xf numFmtId="0" fontId="0" fillId="45" borderId="0" xfId="0" applyFill="1"/>
    <xf numFmtId="0" fontId="10" fillId="58" borderId="1" xfId="0" applyFont="1" applyFill="1" applyBorder="1" applyAlignment="1">
      <alignment horizontal="center" vertical="center"/>
    </xf>
    <xf numFmtId="0" fontId="20" fillId="59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42" borderId="1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/>
    </xf>
    <xf numFmtId="0" fontId="48" fillId="17" borderId="23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3" fillId="54" borderId="1" xfId="0" applyFont="1" applyFill="1" applyBorder="1" applyAlignment="1" applyProtection="1">
      <alignment horizontal="center" vertical="center"/>
      <protection locked="0"/>
    </xf>
    <xf numFmtId="0" fontId="28" fillId="17" borderId="27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18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2" fillId="11" borderId="38" xfId="0" applyFont="1" applyFill="1" applyBorder="1" applyAlignment="1" applyProtection="1">
      <alignment horizontal="center" vertical="center"/>
      <protection locked="0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7" xfId="0" applyFont="1" applyFill="1" applyBorder="1" applyAlignment="1">
      <alignment horizontal="center" vertical="center" wrapText="1"/>
    </xf>
    <xf numFmtId="0" fontId="22" fillId="44" borderId="1" xfId="0" applyFont="1" applyFill="1" applyBorder="1" applyAlignment="1">
      <alignment horizontal="center" vertical="center"/>
    </xf>
    <xf numFmtId="0" fontId="2" fillId="11" borderId="27" xfId="0" applyFont="1" applyFill="1" applyBorder="1" applyAlignment="1" applyProtection="1">
      <alignment horizontal="center" vertical="center" shrinkToFit="1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8" fillId="17" borderId="11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49" fillId="42" borderId="1" xfId="0" applyFont="1" applyFill="1" applyBorder="1" applyAlignment="1">
      <alignment horizontal="center" vertical="center" wrapText="1"/>
    </xf>
    <xf numFmtId="180" fontId="50" fillId="2" borderId="16" xfId="1" applyNumberFormat="1" applyFont="1" applyFill="1" applyBorder="1" applyAlignment="1">
      <alignment horizontal="left" vertical="center"/>
    </xf>
    <xf numFmtId="180" fontId="50" fillId="2" borderId="7" xfId="1" applyNumberFormat="1" applyFont="1" applyFill="1" applyBorder="1" applyAlignment="1">
      <alignment horizontal="left" vertical="center"/>
    </xf>
    <xf numFmtId="1" fontId="50" fillId="0" borderId="0" xfId="0" applyNumberFormat="1" applyFont="1" applyAlignment="1">
      <alignment horizontal="center" vertical="center"/>
    </xf>
    <xf numFmtId="0" fontId="51" fillId="56" borderId="53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9" fillId="44" borderId="1" xfId="0" applyFont="1" applyFill="1" applyBorder="1" applyAlignment="1">
      <alignment horizontal="center" vertical="center" wrapText="1"/>
    </xf>
    <xf numFmtId="0" fontId="51" fillId="56" borderId="54" xfId="0" applyFont="1" applyFill="1" applyBorder="1" applyAlignment="1">
      <alignment horizontal="center" vertical="center" wrapText="1"/>
    </xf>
    <xf numFmtId="0" fontId="20" fillId="0" borderId="27" xfId="0" applyFont="1" applyBorder="1" applyAlignment="1" applyProtection="1">
      <alignment horizontal="left" vertical="center"/>
      <protection locked="0"/>
    </xf>
    <xf numFmtId="0" fontId="22" fillId="2" borderId="16" xfId="0" applyFont="1" applyFill="1" applyBorder="1" applyAlignment="1">
      <alignment horizontal="center" vertical="center"/>
    </xf>
    <xf numFmtId="0" fontId="20" fillId="0" borderId="27" xfId="0" applyFont="1" applyBorder="1" applyAlignment="1" applyProtection="1">
      <alignment horizontal="left" vertical="center" shrinkToFit="1"/>
      <protection locked="0"/>
    </xf>
    <xf numFmtId="0" fontId="3" fillId="6" borderId="1" xfId="0" applyFont="1" applyFill="1" applyBorder="1" applyAlignment="1">
      <alignment horizontal="left" vertical="center"/>
    </xf>
    <xf numFmtId="0" fontId="41" fillId="6" borderId="1" xfId="0" applyFont="1" applyFill="1" applyBorder="1" applyAlignment="1">
      <alignment horizontal="left" vertical="center"/>
    </xf>
    <xf numFmtId="184" fontId="3" fillId="0" borderId="16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53" fillId="0" borderId="15" xfId="0" applyFont="1" applyBorder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22" fillId="44" borderId="16" xfId="0" applyFont="1" applyFill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 wrapText="1"/>
      <protection locked="0"/>
    </xf>
    <xf numFmtId="0" fontId="41" fillId="0" borderId="2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7" fillId="6" borderId="1" xfId="0" applyFont="1" applyFill="1" applyBorder="1" applyAlignment="1">
      <alignment horizontal="center" vertical="center" wrapText="1"/>
    </xf>
    <xf numFmtId="0" fontId="47" fillId="6" borderId="16" xfId="0" applyFont="1" applyFill="1" applyBorder="1" applyAlignment="1">
      <alignment horizontal="center" vertical="center" wrapText="1"/>
    </xf>
    <xf numFmtId="0" fontId="53" fillId="0" borderId="55" xfId="0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horizontal="center" vertical="center"/>
      <protection locked="0"/>
    </xf>
    <xf numFmtId="0" fontId="54" fillId="17" borderId="0" xfId="0" applyFont="1" applyFill="1" applyAlignment="1" applyProtection="1">
      <alignment horizontal="left" vertical="center"/>
      <protection locked="0"/>
    </xf>
    <xf numFmtId="0" fontId="54" fillId="17" borderId="57" xfId="0" applyFont="1" applyFill="1" applyBorder="1" applyAlignment="1" applyProtection="1">
      <alignment horizontal="left" vertical="center"/>
      <protection locked="0"/>
    </xf>
    <xf numFmtId="2" fontId="53" fillId="0" borderId="42" xfId="0" applyNumberFormat="1" applyFont="1" applyBorder="1" applyAlignment="1">
      <alignment horizontal="center" vertical="center"/>
    </xf>
    <xf numFmtId="2" fontId="53" fillId="0" borderId="45" xfId="0" applyNumberFormat="1" applyFont="1" applyBorder="1" applyAlignment="1">
      <alignment horizontal="center" vertical="center"/>
    </xf>
    <xf numFmtId="1" fontId="3" fillId="59" borderId="57" xfId="0" applyNumberFormat="1" applyFont="1" applyFill="1" applyBorder="1" applyAlignment="1" applyProtection="1">
      <alignment horizontal="center" vertical="center"/>
      <protection locked="0"/>
    </xf>
    <xf numFmtId="0" fontId="49" fillId="6" borderId="1" xfId="0" applyFont="1" applyFill="1" applyBorder="1" applyAlignment="1">
      <alignment horizontal="center" vertical="center" wrapText="1"/>
    </xf>
    <xf numFmtId="0" fontId="22" fillId="0" borderId="27" xfId="0" applyFont="1" applyBorder="1" applyAlignment="1" applyProtection="1">
      <alignment horizontal="center" vertical="center"/>
      <protection locked="0"/>
    </xf>
    <xf numFmtId="180" fontId="0" fillId="17" borderId="16" xfId="1" applyNumberFormat="1" applyFont="1" applyFill="1" applyBorder="1" applyAlignment="1" applyProtection="1">
      <alignment horizontal="right"/>
    </xf>
    <xf numFmtId="180" fontId="0" fillId="17" borderId="27" xfId="1" applyNumberFormat="1" applyFont="1" applyFill="1" applyBorder="1" applyAlignment="1" applyProtection="1">
      <alignment horizontal="right"/>
    </xf>
    <xf numFmtId="0" fontId="0" fillId="0" borderId="1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180" fontId="22" fillId="2" borderId="1" xfId="1" applyNumberFormat="1" applyFont="1" applyFill="1" applyBorder="1" applyAlignment="1">
      <alignment horizontal="right"/>
    </xf>
    <xf numFmtId="3" fontId="22" fillId="0" borderId="16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53" fillId="0" borderId="46" xfId="0" applyFont="1" applyBorder="1" applyAlignment="1" applyProtection="1">
      <alignment horizontal="center" vertical="center"/>
      <protection locked="0"/>
    </xf>
    <xf numFmtId="0" fontId="53" fillId="0" borderId="43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53" fillId="0" borderId="47" xfId="0" applyFont="1" applyBorder="1" applyAlignment="1" applyProtection="1">
      <alignment horizontal="center" vertical="center"/>
      <protection locked="0"/>
    </xf>
    <xf numFmtId="185" fontId="53" fillId="60" borderId="5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97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Énfasis1 2" xfId="49"/>
    <cellStyle name="20% - Énfasis2 2" xfId="50"/>
    <cellStyle name="20% - Énfasis3 2" xfId="51"/>
    <cellStyle name="20% - Énfasis4 2" xfId="52"/>
    <cellStyle name="20% - Énfasis5 2" xfId="53"/>
    <cellStyle name="20% - Énfasis6 2" xfId="54"/>
    <cellStyle name="40% - Énfasis1 2" xfId="55"/>
    <cellStyle name="40% - Énfasis2 2" xfId="56"/>
    <cellStyle name="40% - Énfasis3 2" xfId="57"/>
    <cellStyle name="40% - Énfasis4 2" xfId="58"/>
    <cellStyle name="40% - Énfasis5 2" xfId="59"/>
    <cellStyle name="40% - Énfasis6 2" xfId="60"/>
    <cellStyle name="60% - Énfasis1 2" xfId="61"/>
    <cellStyle name="60% - Énfasis2 2" xfId="62"/>
    <cellStyle name="60% - Énfasis3 2" xfId="63"/>
    <cellStyle name="60% - Énfasis4 2" xfId="64"/>
    <cellStyle name="60% - Énfasis5 2" xfId="65"/>
    <cellStyle name="60% - Énfasis6 2" xfId="66"/>
    <cellStyle name="Buena 2" xfId="67"/>
    <cellStyle name="Cálculo 2" xfId="68"/>
    <cellStyle name="Celda de comprobación 2" xfId="69"/>
    <cellStyle name="Celda vinculada 2" xfId="70"/>
    <cellStyle name="Encabezado 4 2" xfId="71"/>
    <cellStyle name="Énfasis1 2" xfId="72"/>
    <cellStyle name="Énfasis2 2" xfId="73"/>
    <cellStyle name="Énfasis3 2" xfId="74"/>
    <cellStyle name="Énfasis4 2" xfId="75"/>
    <cellStyle name="Énfasis5 2" xfId="76"/>
    <cellStyle name="Énfasis6 2" xfId="77"/>
    <cellStyle name="Entrada 2" xfId="78"/>
    <cellStyle name="Incorrecto 2" xfId="79"/>
    <cellStyle name="Moneda 2" xfId="80"/>
    <cellStyle name="Neutral 2" xfId="81"/>
    <cellStyle name="Normal 2" xfId="82"/>
    <cellStyle name="Normal 3" xfId="83"/>
    <cellStyle name="Normal 3 2" xfId="84"/>
    <cellStyle name="Normal 3 3" xfId="85"/>
    <cellStyle name="Normal 3 4" xfId="86"/>
    <cellStyle name="Normal 4" xfId="87"/>
    <cellStyle name="Normal 4 2" xfId="88"/>
    <cellStyle name="Notas 2" xfId="89"/>
    <cellStyle name="Salida 2" xfId="90"/>
    <cellStyle name="Texto de advertencia 2" xfId="91"/>
    <cellStyle name="Texto explicativo 2" xfId="92"/>
    <cellStyle name="Título 1 2" xfId="93"/>
    <cellStyle name="Título 2 2" xfId="94"/>
    <cellStyle name="Título 3 2" xfId="95"/>
    <cellStyle name="Total 2" xfId="96"/>
  </cellStyles>
  <dxfs count="130">
    <dxf>
      <fill>
        <patternFill patternType="solid">
          <bgColor rgb="FFFFC000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theme="6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 tint="-0.0499893185216834"/>
      </font>
      <fill>
        <patternFill patternType="solid">
          <bgColor rgb="FFFF0000"/>
        </patternFill>
      </fill>
    </dxf>
    <dxf>
      <fill>
        <patternFill patternType="solid">
          <bgColor theme="6" tint="0.399945066682943"/>
        </patternFill>
      </fill>
    </dxf>
    <dxf>
      <font>
        <b val="1"/>
        <i val="0"/>
        <color rgb="FFFF0000"/>
      </font>
      <fill>
        <patternFill patternType="solid">
          <bgColor theme="9" tint="0.799981688894314"/>
        </patternFill>
      </fill>
    </dxf>
    <dxf>
      <fill>
        <patternFill patternType="solid">
          <bgColor rgb="FF66FF33"/>
        </patternFill>
      </fill>
    </dxf>
    <dxf>
      <font>
        <b val="1"/>
        <i val="0"/>
        <color rgb="FFFF0000"/>
      </font>
      <fill>
        <patternFill patternType="solid">
          <bgColor theme="9" tint="0.599963377788629"/>
        </patternFill>
      </fill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rgb="FF000000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2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b val="1"/>
        <i val="0"/>
        <strike val="0"/>
        <u val="none"/>
        <sz val="10"/>
        <color auto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 style="thin">
          <color auto="1"/>
        </top>
        <bottom/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005C99B8"/>
      <color rgb="002CB715"/>
      <color rgb="0033CC33"/>
      <color rgb="00009900"/>
      <color rgb="0066FF33"/>
      <color rgb="00CCFF66"/>
      <color rgb="00FFFF99"/>
      <color rgb="00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Herram_"/><Relationship Id="rId8" Type="http://schemas.openxmlformats.org/officeDocument/2006/relationships/hyperlink" Target="#Aux_Med"/><Relationship Id="rId7" Type="http://schemas.openxmlformats.org/officeDocument/2006/relationships/hyperlink" Target="#Forma_"/><Relationship Id="rId6" Type="http://schemas.openxmlformats.org/officeDocument/2006/relationships/hyperlink" Target="#INSUMOS_COMPL_"/><Relationship Id="rId5" Type="http://schemas.openxmlformats.org/officeDocument/2006/relationships/hyperlink" Target="#Papel_"/><Relationship Id="rId4" Type="http://schemas.openxmlformats.org/officeDocument/2006/relationships/hyperlink" Target="#Sin_Tex"/><Relationship Id="rId3" Type="http://schemas.openxmlformats.org/officeDocument/2006/relationships/hyperlink" Target="#Herraj_"/><Relationship Id="rId2" Type="http://schemas.openxmlformats.org/officeDocument/2006/relationships/hyperlink" Target="#SUELAS"/><Relationship Id="rId12" Type="http://schemas.openxmlformats.org/officeDocument/2006/relationships/image" Target="../media/image5.emf"/><Relationship Id="rId11" Type="http://schemas.openxmlformats.org/officeDocument/2006/relationships/hyperlink" Target="#quimic_"/><Relationship Id="rId10" Type="http://schemas.openxmlformats.org/officeDocument/2006/relationships/hyperlink" Target="#AdheySol"/><Relationship Id="rId1" Type="http://schemas.openxmlformats.org/officeDocument/2006/relationships/hyperlink" Target="#Cuer_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>
      <xdr:nvSpPr>
        <xdr:cNvPr id="7" name="Trapecio 6"/>
        <xdr:cNvSpPr/>
      </xdr:nvSpPr>
      <xdr:spPr>
        <a:xfrm rot="5400000" flipV="1">
          <a:off x="10386695" y="2138045"/>
          <a:ext cx="647700" cy="101917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  <a:endParaRPr lang="es-CO" sz="9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>
      <xdr:nvSpPr>
        <xdr:cNvPr id="8" name="Trapecio 7"/>
        <xdr:cNvSpPr/>
      </xdr:nvSpPr>
      <xdr:spPr>
        <a:xfrm rot="5400000" flipV="1">
          <a:off x="11141710" y="2250440"/>
          <a:ext cx="904875" cy="99504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  <a:endParaRPr lang="es-CO" sz="9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>
      <xdr:nvSpPr>
        <xdr:cNvPr id="9" name="Flecha: a la derecha 8"/>
        <xdr:cNvSpPr/>
      </xdr:nvSpPr>
      <xdr:spPr>
        <a:xfrm>
          <a:off x="8183245" y="210947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>
      <xdr:nvSpPr>
        <xdr:cNvPr id="10" name="Trapecio 9"/>
        <xdr:cNvSpPr/>
      </xdr:nvSpPr>
      <xdr:spPr>
        <a:xfrm rot="5400000" flipV="1">
          <a:off x="11734165" y="2505075"/>
          <a:ext cx="991235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  <a:endParaRPr lang="es-CO" sz="9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15"/>
          <a:ext cx="805180" cy="8007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67950" y="37465"/>
          <a:ext cx="2419350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219075</xdr:colOff>
      <xdr:row>0</xdr:row>
      <xdr:rowOff>116852</xdr:rowOff>
    </xdr:from>
    <xdr:to>
      <xdr:col>24</xdr:col>
      <xdr:colOff>409574</xdr:colOff>
      <xdr:row>6</xdr:row>
      <xdr:rowOff>236342</xdr:rowOff>
    </xdr:to>
    <xdr:pic>
      <xdr:nvPicPr>
        <xdr:cNvPr id="6" name="Imagen 5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16840"/>
          <a:ext cx="1932940" cy="1891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505" y="29845"/>
          <a:ext cx="770255" cy="760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>
      <xdr:nvSpPr>
        <xdr:cNvPr id="2" name="Rectángulo: esquinas redondeadas 1">
          <a:hlinkClick xmlns:r="http://schemas.openxmlformats.org/officeDocument/2006/relationships" r:id="rId1"/>
        </xdr:cNvPr>
        <xdr:cNvSpPr/>
      </xdr:nvSpPr>
      <xdr:spPr>
        <a:xfrm>
          <a:off x="76200" y="76200"/>
          <a:ext cx="704850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>
      <xdr:nvSpPr>
        <xdr:cNvPr id="3" name="Rectángulo: esquinas redondeadas 2">
          <a:hlinkClick xmlns:r="http://schemas.openxmlformats.org/officeDocument/2006/relationships" r:id="rId2"/>
        </xdr:cNvPr>
        <xdr:cNvSpPr/>
      </xdr:nvSpPr>
      <xdr:spPr>
        <a:xfrm>
          <a:off x="838200" y="76200"/>
          <a:ext cx="704850" cy="33528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>
      <xdr:nvSpPr>
        <xdr:cNvPr id="4" name="Rectángulo: esquinas redondeadas 3">
          <a:hlinkClick xmlns:r="http://schemas.openxmlformats.org/officeDocument/2006/relationships" r:id="rId3"/>
        </xdr:cNvPr>
        <xdr:cNvSpPr/>
      </xdr:nvSpPr>
      <xdr:spPr>
        <a:xfrm>
          <a:off x="1590675" y="66675"/>
          <a:ext cx="866775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>
      <xdr:nvSpPr>
        <xdr:cNvPr id="5" name="Rectángulo: esquinas redondeadas 4">
          <a:hlinkClick xmlns:r="http://schemas.openxmlformats.org/officeDocument/2006/relationships" r:id="rId4"/>
        </xdr:cNvPr>
        <xdr:cNvSpPr/>
      </xdr:nvSpPr>
      <xdr:spPr>
        <a:xfrm>
          <a:off x="47625" y="466725"/>
          <a:ext cx="1590040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>
      <xdr:nvSpPr>
        <xdr:cNvPr id="6" name="Rectángulo: esquinas redondeadas 5">
          <a:hlinkClick xmlns:r="http://schemas.openxmlformats.org/officeDocument/2006/relationships" r:id="rId5"/>
        </xdr:cNvPr>
        <xdr:cNvSpPr/>
      </xdr:nvSpPr>
      <xdr:spPr>
        <a:xfrm>
          <a:off x="66675" y="876300"/>
          <a:ext cx="1000125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>
      <xdr:nvSpPr>
        <xdr:cNvPr id="7" name="Rectángulo: esquinas redondeadas 6">
          <a:hlinkClick xmlns:r="http://schemas.openxmlformats.org/officeDocument/2006/relationships" r:id="rId6"/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>
      <xdr:nvSpPr>
        <xdr:cNvPr id="9" name="Rectángulo: esquinas redondeadas 8">
          <a:hlinkClick xmlns:r="http://schemas.openxmlformats.org/officeDocument/2006/relationships" r:id="rId7"/>
        </xdr:cNvPr>
        <xdr:cNvSpPr/>
      </xdr:nvSpPr>
      <xdr:spPr>
        <a:xfrm>
          <a:off x="1123950" y="885825"/>
          <a:ext cx="1104265" cy="2952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>
      <xdr:nvSpPr>
        <xdr:cNvPr id="12" name="Rectángulo: esquinas redondeadas 11">
          <a:hlinkClick xmlns:r="http://schemas.openxmlformats.org/officeDocument/2006/relationships" r:id="rId8"/>
        </xdr:cNvPr>
        <xdr:cNvSpPr/>
      </xdr:nvSpPr>
      <xdr:spPr>
        <a:xfrm>
          <a:off x="3437890" y="485775"/>
          <a:ext cx="2477135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  <a:endParaRPr lang="es-CO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>
      <xdr:nvSpPr>
        <xdr:cNvPr id="13" name="Rectángulo: esquinas redondeadas 12">
          <a:hlinkClick xmlns:r="http://schemas.openxmlformats.org/officeDocument/2006/relationships" r:id="rId9"/>
        </xdr:cNvPr>
        <xdr:cNvSpPr/>
      </xdr:nvSpPr>
      <xdr:spPr>
        <a:xfrm>
          <a:off x="2514600" y="56515"/>
          <a:ext cx="1581150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>
      <xdr:nvSpPr>
        <xdr:cNvPr id="15" name="Rectángulo: esquinas redondeadas 14">
          <a:hlinkClick xmlns:r="http://schemas.openxmlformats.org/officeDocument/2006/relationships" r:id="rId10"/>
        </xdr:cNvPr>
        <xdr:cNvSpPr/>
      </xdr:nvSpPr>
      <xdr:spPr>
        <a:xfrm>
          <a:off x="4152900" y="38100"/>
          <a:ext cx="209550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>
      <xdr:nvSpPr>
        <xdr:cNvPr id="17" name="Rectángulo: esquinas redondeadas 16"/>
        <xdr:cNvSpPr/>
      </xdr:nvSpPr>
      <xdr:spPr>
        <a:xfrm>
          <a:off x="4009390" y="1971040"/>
          <a:ext cx="258127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>
      <xdr:nvSpPr>
        <xdr:cNvPr id="19" name="Rectángulo: esquinas redondeadas 18"/>
        <xdr:cNvSpPr/>
      </xdr:nvSpPr>
      <xdr:spPr>
        <a:xfrm>
          <a:off x="4105275" y="14201775"/>
          <a:ext cx="2505075" cy="3041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>
      <xdr:nvSpPr>
        <xdr:cNvPr id="21" name="Rectángulo: esquinas redondeadas 20"/>
        <xdr:cNvSpPr/>
      </xdr:nvSpPr>
      <xdr:spPr>
        <a:xfrm>
          <a:off x="4105275" y="120938290"/>
          <a:ext cx="2428875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>
      <xdr:nvSpPr>
        <xdr:cNvPr id="22" name="Rectángulo: esquinas redondeadas 21"/>
        <xdr:cNvSpPr/>
      </xdr:nvSpPr>
      <xdr:spPr>
        <a:xfrm>
          <a:off x="4067175" y="129921000"/>
          <a:ext cx="247650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>
      <xdr:nvSpPr>
        <xdr:cNvPr id="23" name="Rectángulo: esquinas redondeadas 22"/>
        <xdr:cNvSpPr/>
      </xdr:nvSpPr>
      <xdr:spPr>
        <a:xfrm>
          <a:off x="4093210" y="232768140"/>
          <a:ext cx="2613660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>
      <xdr:nvSpPr>
        <xdr:cNvPr id="24" name="Rectángulo: esquinas redondeadas 23"/>
        <xdr:cNvSpPr/>
      </xdr:nvSpPr>
      <xdr:spPr>
        <a:xfrm>
          <a:off x="4143375" y="246630825"/>
          <a:ext cx="2314575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>
      <xdr:nvSpPr>
        <xdr:cNvPr id="27" name="Rectángulo: esquinas redondeadas 26"/>
        <xdr:cNvSpPr/>
      </xdr:nvSpPr>
      <xdr:spPr>
        <a:xfrm>
          <a:off x="4104640" y="269271115"/>
          <a:ext cx="235267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>
      <xdr:nvSpPr>
        <xdr:cNvPr id="30" name="Rectángulo: esquinas redondeadas 29"/>
        <xdr:cNvSpPr/>
      </xdr:nvSpPr>
      <xdr:spPr>
        <a:xfrm>
          <a:off x="3971925" y="286797750"/>
          <a:ext cx="247650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>
      <xdr:nvSpPr>
        <xdr:cNvPr id="32" name="Rectángulo: esquinas redondeadas 31"/>
        <xdr:cNvSpPr/>
      </xdr:nvSpPr>
      <xdr:spPr>
        <a:xfrm>
          <a:off x="4076700" y="306838350"/>
          <a:ext cx="257175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>
      <xdr:nvSpPr>
        <xdr:cNvPr id="33" name="Rectángulo: esquinas redondeadas 32">
          <a:hlinkClick xmlns:r="http://schemas.openxmlformats.org/officeDocument/2006/relationships" r:id="rId11"/>
        </xdr:cNvPr>
        <xdr:cNvSpPr/>
      </xdr:nvSpPr>
      <xdr:spPr>
        <a:xfrm>
          <a:off x="2400300" y="904875"/>
          <a:ext cx="1104265" cy="295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>
      <xdr:nvSpPr>
        <xdr:cNvPr id="35" name="Rectángulo: esquinas redondeadas 34"/>
        <xdr:cNvSpPr/>
      </xdr:nvSpPr>
      <xdr:spPr>
        <a:xfrm>
          <a:off x="4029075" y="326955150"/>
          <a:ext cx="247650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  <a:endParaRPr lang="es-CO" sz="2000" b="1">
            <a:solidFill>
              <a:srgbClr val="FFC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1215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>
      <xdr:nvSpPr>
        <xdr:cNvPr id="10" name="Rectángulo: esquinas redondeadas 9"/>
        <xdr:cNvSpPr/>
      </xdr:nvSpPr>
      <xdr:spPr>
        <a:xfrm>
          <a:off x="4133215" y="44462700"/>
          <a:ext cx="213423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  <a:endParaRPr lang="es-CO" sz="18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sena4-my.sharepoint.com/Users/ezuleta/Desktop/Proyectos Centro/Ficha Solicitud/Ficha de Pedido CDMC Original para copi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1" name="Tabla1" displayName="Tabla1" ref="A7:K20" totalsRowShown="0">
  <autoFilter xmlns:etc="http://www.wps.cn/officeDocument/2017/etCustomData" ref="A7:K20" etc:filterBottomFollowUsedRange="0"/>
  <sortState ref="A7:K20">
    <sortCondition ref="B7:B20"/>
  </sortState>
  <tableColumns count="11">
    <tableColumn id="1" name="Item" dataDxfId="15">
      <calculatedColumnFormula>A7+1</calculatedColumnFormula>
    </tableColumn>
    <tableColumn id="2" name="Material" dataDxfId="16"/>
    <tableColumn id="3" name="Categoría" dataDxfId="17"/>
    <tableColumn id="4" name="Unidad de Compra Almacen" dataDxfId="18"/>
    <tableColumn id="5" name="Precio&#10;Unidad de Compra ( $)" dataDxfId="19"/>
    <tableColumn id="6" name="Unidad Despacho Almacen" dataDxfId="20"/>
    <tableColumn id="7" name="Valor /U Despacho en Almacen" dataDxfId="21">
      <calculatedColumnFormula>IF(BD!$E8="","",(E8/(H8*I8)))</calculatedColumnFormula>
    </tableColumn>
    <tableColumn id="8" name="Magnitud&#10;1 en U" dataDxfId="22"/>
    <tableColumn id="9" name="Magnitud&#10;2 en U" dataDxfId="23"/>
    <tableColumn id="10" name="Codigo en el  Almacén" dataDxfId="24">
      <calculatedColumnFormula>CONCATENATE(LEFT(C8,1),MID(C8,SEARCH("_",C8)+1,2),TEXT(A8,"000"))</calculatedColumnFormula>
    </tableColumn>
    <tableColumn id="11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a8" displayName="Tabla8" ref="A61:K169" totalsRowShown="0">
  <autoFilter xmlns:etc="http://www.wps.cn/officeDocument/2017/etCustomData" ref="A61:K169" etc:filterBottomFollowUsedRange="0"/>
  <sortState ref="A61:K169">
    <sortCondition ref="B61:B169"/>
  </sortState>
  <tableColumns count="11">
    <tableColumn id="1" name="Item" dataDxfId="25">
      <calculatedColumnFormula>A61+1</calculatedColumnFormula>
    </tableColumn>
    <tableColumn id="2" name="Material" dataDxfId="26"/>
    <tableColumn id="3" name="Categoría" dataDxfId="27"/>
    <tableColumn id="4" name="Unidad de Compra Almacen" dataDxfId="28"/>
    <tableColumn id="5" name="Precio&#10;Unidad de Compra ( $)" dataDxfId="29"/>
    <tableColumn id="6" name="Unidad Despacho Almacen" dataDxfId="30"/>
    <tableColumn id="7" name="Valor /U Despacho en Almacen" dataDxfId="31">
      <calculatedColumnFormula>IF(BD!$E62="","",(E62/(H62*I62)))</calculatedColumnFormula>
    </tableColumn>
    <tableColumn id="8" name="Magnitud&#10;1 en U" dataDxfId="32"/>
    <tableColumn id="9" name="Magnitud&#10;2 en U" dataDxfId="33"/>
    <tableColumn id="10" name="Codigo en el  Almacén" dataDxfId="34">
      <calculatedColumnFormula>CONCATENATE(LEFT(C62,1),"_",TEXT(A62,"000"))</calculatedColumnFormula>
    </tableColumn>
    <tableColumn id="11" name="Descripción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a11" displayName="Tabla11" ref="A216:K430" totalsRowShown="0">
  <autoFilter xmlns:etc="http://www.wps.cn/officeDocument/2017/etCustomData" ref="A216:K430" etc:filterBottomFollowUsedRange="0"/>
  <sortState ref="A216:K430">
    <sortCondition ref="B216:B430"/>
  </sortState>
  <tableColumns count="11">
    <tableColumn id="1" name="Item" dataDxfId="36"/>
    <tableColumn id="2" name="Material" dataDxfId="37"/>
    <tableColumn id="3" name="Categoría" dataDxfId="38"/>
    <tableColumn id="4" name="Unidad de Compra Almacen" dataDxfId="39"/>
    <tableColumn id="5" name="Precio&#10;Unidad de Compra ( $)" dataDxfId="40"/>
    <tableColumn id="6" name="Unidad Despacho Almacen" dataDxfId="41"/>
    <tableColumn id="7" name="Valor /U Despacho en Almacen" dataDxfId="42"/>
    <tableColumn id="8" name="Magnitud&#10;1 en U" dataDxfId="43"/>
    <tableColumn id="9" name="Magnitud&#10;2 en U" dataDxfId="44"/>
    <tableColumn id="10" name="Codigo en el  Almacén" dataDxfId="45">
      <calculatedColumnFormula>CONCATENATE(LEFT(C217,1),MID(C217,SEARCH("_",C217)+1,2),TEXT(A217,"000"))</calculatedColumnFormula>
    </tableColumn>
    <tableColumn id="11" name="Descripción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2" name="Tabla32" displayName="Tabla32" ref="A1108:K1151" totalsRowShown="0">
  <autoFilter xmlns:etc="http://www.wps.cn/officeDocument/2017/etCustomData" ref="A1108:K1151" etc:filterBottomFollowUsedRange="0"/>
  <sortState ref="A1108:K1151">
    <sortCondition ref="B1108:B1151"/>
  </sortState>
  <tableColumns count="11">
    <tableColumn id="1" name="Item" dataDxfId="47">
      <calculatedColumnFormula>A1108+1</calculatedColumnFormula>
    </tableColumn>
    <tableColumn id="2" name="Material" dataDxfId="48"/>
    <tableColumn id="3" name="Categoría" dataDxfId="49"/>
    <tableColumn id="4" name="Unidad de Compra Almacen" dataDxfId="50"/>
    <tableColumn id="5" name="Precio&#10;Unidad de Compra ( $)" dataDxfId="51"/>
    <tableColumn id="6" name="Unidad Despacho Almacen" dataDxfId="52"/>
    <tableColumn id="7" name="Valor /U Despacho en Almacen" dataDxfId="53">
      <calculatedColumnFormula>IF(BD!$E1109="","",(E1109/(Tabla32[[#This Row],[Magnitud
1 en U]]*Tabla32[[#This Row],[Magnitud
2 en U]])))</calculatedColumnFormula>
    </tableColumn>
    <tableColumn id="8" name="Magnitud&#10;1 en U" dataDxfId="54"/>
    <tableColumn id="9" name="Magnitud&#10;2 en U" dataDxfId="55"/>
    <tableColumn id="10" name="Codigo en el  Almacén" dataDxfId="56">
      <calculatedColumnFormula>IFERROR(CONCATENATE(LEFT(C1109,1),MID(C1109,SEARCH("_",C1109)+1,2),TEXT(A1109,"000")),"")</calculatedColumnFormula>
    </tableColumn>
    <tableColumn id="11" name="Descripción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4" name="Tabla34" displayName="Tabla34" ref="A1417:K1499" totalsRowShown="0">
  <autoFilter xmlns:etc="http://www.wps.cn/officeDocument/2017/etCustomData" ref="A1417:K1499" etc:filterBottomFollowUsedRange="0"/>
  <sortState ref="A1417:K1499">
    <sortCondition ref="B1417:B1499"/>
  </sortState>
  <tableColumns count="11">
    <tableColumn id="1" name="Item" dataDxfId="58"/>
    <tableColumn id="2" name="Material" dataDxfId="59"/>
    <tableColumn id="3" name="Categoría" dataDxfId="60"/>
    <tableColumn id="4" name="Unidad de Compra Almacen" dataDxfId="61"/>
    <tableColumn id="5" name="Precio&#10;Unidad de Compra ( $)" dataDxfId="62"/>
    <tableColumn id="6" name="Unidad Despacho Almacen" dataDxfId="63"/>
    <tableColumn id="7" name="Valor /U Despacho en Almacen" dataDxfId="64">
      <calculatedColumnFormula>IF(BD!$E1418="","",(E1418/(H1418*I1418)))</calculatedColumnFormula>
    </tableColumn>
    <tableColumn id="8" name="Magnitud&#10;1 en U" dataDxfId="65"/>
    <tableColumn id="9" name="Magnitud&#10;2 en U" dataDxfId="66"/>
    <tableColumn id="10" name="Codigo en el  Almacén" dataDxfId="67">
      <calculatedColumnFormula>CONCATENATE(LEFT(C1418,1),MID(C1418,SEARCH("_",C1418)+1,2),TEXT(A1418,"000"))</calculatedColumnFormula>
    </tableColumn>
    <tableColumn id="11" name="Descripción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6" name="Tabla16" displayName="Tabla16" ref="B1511:K1597" totalsRowShown="0">
  <autoFilter xmlns:etc="http://www.wps.cn/officeDocument/2017/etCustomData" ref="B1511:K1597" etc:filterBottomFollowUsedRange="0"/>
  <sortState ref="B1511:K1597">
    <sortCondition ref="B1511:B1597"/>
  </sortState>
  <tableColumns count="10">
    <tableColumn id="1" name="Material" dataDxfId="69"/>
    <tableColumn id="2" name="Categoría" dataDxfId="70"/>
    <tableColumn id="3" name="Unidad de Compra Almacen" dataDxfId="71"/>
    <tableColumn id="4" name="Precio&#10;Unidad de Compra ( $)" dataDxfId="72"/>
    <tableColumn id="5" name="Unidad Despacho Almacen" dataDxfId="73"/>
    <tableColumn id="6" name="Valor /U Despacho en Almacen" dataDxfId="74"/>
    <tableColumn id="7" name="Magnitud&#10;1 en U" dataDxfId="75"/>
    <tableColumn id="8" name="Magnitud&#10;2 en U" dataDxfId="76"/>
    <tableColumn id="9" name="Codigo en el  Almacén" dataDxfId="77"/>
    <tableColumn id="10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4" name="Tabla24" displayName="Tabla24" ref="A613:K638" totalsRowShown="0">
  <autoFilter xmlns:etc="http://www.wps.cn/officeDocument/2017/etCustomData" ref="A613:K638" etc:filterBottomFollowUsedRange="0"/>
  <sortState ref="A613:K638">
    <sortCondition ref="B613:B638"/>
  </sortState>
  <tableColumns count="11">
    <tableColumn id="1" name="Item" dataDxfId="78"/>
    <tableColumn id="2" name="Material" dataDxfId="79"/>
    <tableColumn id="3" name="Categoría" dataDxfId="80"/>
    <tableColumn id="4" name="Unidad de Compra Almacen" dataDxfId="81"/>
    <tableColumn id="5" name="Precio&#10;Unidad de Compra ( $)" dataDxfId="82"/>
    <tableColumn id="6" name="Unidad Despacho Almacen" dataDxfId="83"/>
    <tableColumn id="7" name="Valor /U Despacho en Almacen" dataDxfId="84">
      <calculatedColumnFormula>IF(BD!$E614="","",(E614/(H614*I614)))</calculatedColumnFormula>
    </tableColumn>
    <tableColumn id="8" name="Magnitud&#10;1 en U" dataDxfId="85"/>
    <tableColumn id="9" name="Magnitud&#10;2 en U" dataDxfId="86"/>
    <tableColumn id="10" name="Codigo en el  Almacén" dataDxfId="87">
      <calculatedColumnFormula>CONCATENATE(LEFT(C614,1),"_",TEXT(A614,"000"))</calculatedColumnFormula>
    </tableColumn>
    <tableColumn id="11" name="Descripción" dataDxfId="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a9" displayName="Tabla9" ref="A659:K1080" totalsRowShown="0">
  <autoFilter xmlns:etc="http://www.wps.cn/officeDocument/2017/etCustomData" ref="A659:K1080" etc:filterBottomFollowUsedRange="0"/>
  <sortState ref="A659:K1080">
    <sortCondition ref="B659:B1080"/>
  </sortState>
  <tableColumns count="11">
    <tableColumn id="1" name="Item" dataDxfId="89">
      <calculatedColumnFormula>A659+1</calculatedColumnFormula>
    </tableColumn>
    <tableColumn id="2" name="Material" dataDxfId="90"/>
    <tableColumn id="3" name="Categoría" dataDxfId="91"/>
    <tableColumn id="4" name="Unidad de Compra Almacen" dataDxfId="92"/>
    <tableColumn id="5" name="Precio&#10;Unidad de Compra ( $)" dataDxfId="93"/>
    <tableColumn id="6" name="Unidad Despacho Almacen" dataDxfId="94"/>
    <tableColumn id="7" name="Valor /U Despacho en Almacen" dataDxfId="95">
      <calculatedColumnFormula>IF(Tabla9[[#This Row],[Precio
Unidad de Compra ( $)]]="","",(E660/(H660*I660)))</calculatedColumnFormula>
    </tableColumn>
    <tableColumn id="8" name="Magnitud&#10;1 en U" dataDxfId="96"/>
    <tableColumn id="9" name="Magnitud&#10;2 en U" dataDxfId="97"/>
    <tableColumn id="10" name="Codigo en el  Almacén" dataDxfId="98"/>
    <tableColumn id="11" name="Descripción" dataDxfId="9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Tabla13" displayName="Tabla13" ref="B1276:K1316" totalsRowShown="0">
  <autoFilter xmlns:etc="http://www.wps.cn/officeDocument/2017/etCustomData" ref="B1276:K1316" etc:filterBottomFollowUsedRange="0"/>
  <sortState ref="B1276:K1316">
    <sortCondition ref="B1276:B1316"/>
  </sortState>
  <tableColumns count="10">
    <tableColumn id="1" name="Material" dataDxfId="100"/>
    <tableColumn id="2" name="Categoría" dataDxfId="101"/>
    <tableColumn id="3" name="Unidad de Compra Almacen" dataDxfId="102"/>
    <tableColumn id="4" name="Precio&#10;Unidad de Compra ( $)" dataDxfId="103"/>
    <tableColumn id="5" name="Unidad Despacho Almacen" dataDxfId="104"/>
    <tableColumn id="6" name="Valor /U Despacho en Almacen" dataDxfId="105">
      <calculatedColumnFormula>IF(BD!$E1277="","",(E1277/(H1277*I1277)))</calculatedColumnFormula>
    </tableColumn>
    <tableColumn id="7" name="Magnitud&#10;1 en U" dataDxfId="106"/>
    <tableColumn id="8" name="Magnitud&#10;2 en U" dataDxfId="107"/>
    <tableColumn id="9" name="Codigo en el  Almacén" dataDxfId="108">
      <calculatedColumnFormula>CONCATENATE(LEFT(C1277,1),"_",TEXT(A1277,"000"))</calculatedColumnFormula>
    </tableColumn>
    <tableColumn id="10" name="Descripción" dataDxfId="10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" name="Suelas_" displayName="Suelas_" ref="B1168:K1230" totalsRowShown="0">
  <autoFilter xmlns:etc="http://www.wps.cn/officeDocument/2017/etCustomData" ref="B1168:K1230" etc:filterBottomFollowUsedRange="0"/>
  <sortState ref="B1168:K1230">
    <sortCondition ref="B1168:B1230"/>
  </sortState>
  <tableColumns count="10">
    <tableColumn id="1" name="Material" dataDxfId="110"/>
    <tableColumn id="2" name="Categoría" dataDxfId="111"/>
    <tableColumn id="3" name="Unidad de Compra Almacen" dataDxfId="112"/>
    <tableColumn id="4" name="Precio&#10;Unidad de Compra ( $)" dataDxfId="113"/>
    <tableColumn id="5" name="Unidad Despacho Almacen" dataDxfId="114"/>
    <tableColumn id="6" name="Valor /U Despacho en Almacen" dataDxfId="115">
      <calculatedColumnFormula>IF(BD!$E1168="","",(E1169/(H1169*I1169)))</calculatedColumnFormula>
    </tableColumn>
    <tableColumn id="7" name="Magnitud&#10;1 en U" dataDxfId="116"/>
    <tableColumn id="8" name="Magnitud&#10;2 en U" dataDxfId="117"/>
    <tableColumn id="9" name="Codigo en el  Almacén" dataDxfId="118">
      <calculatedColumnFormula>CONCATENATE(LEFT(C1169,1),"_",TEXT(A1169,"000"))</calculatedColumnFormula>
    </tableColumn>
    <tableColumn id="10" name="Descripción" dataDxfId="11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a12" displayName="Tabla12" ref="A1332:K1396" totalsRowShown="0">
  <autoFilter xmlns:etc="http://www.wps.cn/officeDocument/2017/etCustomData" ref="A1332:K1396" etc:filterBottomFollowUsedRange="0"/>
  <sortState ref="A1332:K1396">
    <sortCondition ref="B1332:B1396"/>
  </sortState>
  <tableColumns count="11">
    <tableColumn id="1" name="219" dataDxfId="120">
      <calculatedColumnFormula>A1332+1</calculatedColumnFormula>
    </tableColumn>
    <tableColumn id="2" name="Material"/>
    <tableColumn id="3" name="Categoría" dataDxfId="121"/>
    <tableColumn id="4" name="Unidad de Compra Almacen"/>
    <tableColumn id="5" name="Precio&#10;Unidad de Compra ( $)" dataDxfId="122"/>
    <tableColumn id="6" name="Unidad Despacho Almacen" dataDxfId="123"/>
    <tableColumn id="7" name="Valor /U Despacho en Almacen"/>
    <tableColumn id="8" name="Magnitud&#10;1 en U"/>
    <tableColumn id="9" name="Magnitud&#10;2 en U"/>
    <tableColumn id="10" name="Codigo en el  Almacén" dataDxfId="124"/>
    <tableColumn id="11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a10" displayName="Tabla10" ref="A2:B28" totalsRowShown="0">
  <autoFilter xmlns:etc="http://www.wps.cn/officeDocument/2017/etCustomData" ref="A2:B28" etc:filterBottomFollowUsedRange="0"/>
  <sortState ref="A2:B28">
    <sortCondition ref="A2:A28"/>
  </sortState>
  <tableColumns count="2">
    <tableColumn id="1" name="Nombre  de la&#10;Unidades"/>
    <tableColumn id="2" name="Simbololo  de la  &#10; Unidad" dataDxfId="12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" name="Tabla2" displayName="Tabla2" ref="F1:F12" totalsRowShown="0">
  <autoFilter xmlns:etc="http://www.wps.cn/officeDocument/2017/etCustomData" ref="F1:F12" etc:filterBottomFollowUsedRange="0"/>
  <tableColumns count="1">
    <tableColumn id="1" name="Programas" dataDxfId="1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4" name="Tabla4" displayName="Tabla4" ref="K1:K12" totalsRowShown="0">
  <autoFilter xmlns:etc="http://www.wps.cn/officeDocument/2017/etCustomData" ref="K1:K12" etc:filterBottomFollowUsedRange="0"/>
  <sortState ref="K1:K12">
    <sortCondition ref="K1:K12"/>
  </sortState>
  <tableColumns count="1">
    <tableColumn id="1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7" name="Tabla7" displayName="Tabla7" ref="M1:M12" totalsRowShown="0">
  <autoFilter xmlns:etc="http://www.wps.cn/officeDocument/2017/etCustomData" ref="M1:M12" etc:filterBottomFollowUsedRange="0"/>
  <sortState ref="M1:M12">
    <sortCondition ref="M1:M12" sortBy="cellColor" dxfId="129"/>
  </sortState>
  <tableColumns count="1">
    <tableColumn id="1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" name="Tabla3" displayName="Tabla3" ref="H1:I31" totalsRowShown="0">
  <autoFilter xmlns:etc="http://www.wps.cn/officeDocument/2017/etCustomData" ref="H1:I31" etc:filterBottomFollowUsedRange="0"/>
  <sortState ref="H1:I31">
    <sortCondition ref="H1:H31"/>
  </sortState>
  <tableColumns count="2">
    <tableColumn id="1" name="Instructores"/>
    <tableColumn id="2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5" name="Tabla5" displayName="Tabla5" ref="D2:D8" totalsRowShown="0">
  <autoFilter xmlns:etc="http://www.wps.cn/officeDocument/2017/etCustomData" ref="D2:D8" etc:filterBottomFollowUsedRange="0"/>
  <tableColumns count="1">
    <tableColumn id="1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.xml"/><Relationship Id="rId8" Type="http://schemas.openxmlformats.org/officeDocument/2006/relationships/table" Target="../tables/table5.xml"/><Relationship Id="rId7" Type="http://schemas.openxmlformats.org/officeDocument/2006/relationships/table" Target="../tables/table4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4" Type="http://schemas.openxmlformats.org/officeDocument/2006/relationships/table" Target="../tables/table11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>
    <tabColor theme="7" tint="0.399975585192419"/>
  </sheetPr>
  <dimension ref="A1:AE56"/>
  <sheetViews>
    <sheetView showGridLines="0" showRowColHeaders="0" showZeros="0" tabSelected="1" workbookViewId="0">
      <pane ySplit="8" topLeftCell="A9" activePane="bottomLeft" state="frozen"/>
      <selection/>
      <selection pane="bottomLeft" activeCell="O3" sqref="O3:R3"/>
    </sheetView>
  </sheetViews>
  <sheetFormatPr defaultColWidth="0" defaultRowHeight="15" customHeight="1" zeroHeight="1"/>
  <cols>
    <col min="1" max="1" width="5" customWidth="1"/>
    <col min="2" max="2" width="7.14285714285714" customWidth="1"/>
    <col min="3" max="3" width="7.28571428571429" customWidth="1"/>
    <col min="4" max="4" width="6" customWidth="1"/>
    <col min="5" max="5" width="3.85714285714286" customWidth="1"/>
    <col min="6" max="6" width="5.28571428571429" customWidth="1"/>
    <col min="7" max="7" width="3.85714285714286" customWidth="1"/>
    <col min="8" max="8" width="4.28571428571429" customWidth="1"/>
    <col min="9" max="9" width="6.28571428571429" customWidth="1"/>
    <col min="10" max="10" width="4.42857142857143" customWidth="1"/>
    <col min="11" max="11" width="5.85714285714286" customWidth="1"/>
    <col min="12" max="12" width="6" customWidth="1"/>
    <col min="13" max="13" width="6.71428571428571" customWidth="1"/>
    <col min="14" max="14" width="7.28571428571429" customWidth="1"/>
    <col min="15" max="15" width="6.14285714285714" customWidth="1"/>
    <col min="16" max="16" width="5.57142857142857" customWidth="1"/>
    <col min="17" max="17" width="6.85714285714286" customWidth="1"/>
    <col min="18" max="18" width="8.85714285714286" customWidth="1"/>
    <col min="19" max="20" width="5.71428571428571" customWidth="1"/>
    <col min="21" max="21" width="7.42857142857143" customWidth="1"/>
    <col min="22" max="22" width="8.85714285714286" customWidth="1"/>
    <col min="23" max="23" width="4.14285714285714" customWidth="1"/>
    <col min="24" max="24" width="5.71428571428571" customWidth="1"/>
    <col min="25" max="25" width="8.14285714285714" customWidth="1"/>
    <col min="26" max="31" width="6.57142857142857" customWidth="1"/>
    <col min="33" max="16383" width="11.4285714285714" hidden="1"/>
    <col min="16384" max="16384" width="0.428571428571429" customWidth="1"/>
  </cols>
  <sheetData>
    <row r="1" ht="30" customHeight="1" spans="1:31">
      <c r="A1" s="384"/>
      <c r="B1" s="385"/>
      <c r="C1" s="386" t="s">
        <v>0</v>
      </c>
      <c r="D1" s="387"/>
      <c r="E1" s="387"/>
      <c r="F1" s="388" t="str">
        <f>IF(E2="","",CONCATENATE(LEFT(E2,1),MID(E2,SEARCH(" ",E2)+1,1),TEXT(O1,"DD"),TEXT(O1,"MM"),"-",IF(K1="",1,K1)))</f>
        <v>JV0705-1</v>
      </c>
      <c r="G1" s="389"/>
      <c r="H1" s="390"/>
      <c r="I1" s="438" t="s">
        <v>1</v>
      </c>
      <c r="J1" s="439"/>
      <c r="K1" s="440"/>
      <c r="L1" s="441" t="s">
        <v>2</v>
      </c>
      <c r="M1" s="442"/>
      <c r="N1" s="442"/>
      <c r="O1" s="443">
        <v>45784</v>
      </c>
      <c r="P1" s="443"/>
      <c r="Q1" s="443"/>
      <c r="R1" s="468"/>
      <c r="S1" s="469" t="s">
        <v>3</v>
      </c>
      <c r="T1" s="470"/>
      <c r="U1" s="471" t="s">
        <v>4</v>
      </c>
      <c r="V1" s="472"/>
      <c r="W1" s="472"/>
      <c r="X1" s="472"/>
      <c r="Y1" s="499"/>
      <c r="Z1" s="500" t="s">
        <v>5</v>
      </c>
      <c r="AA1" s="501"/>
      <c r="AB1" s="501"/>
      <c r="AC1" s="501"/>
      <c r="AD1" s="501"/>
      <c r="AE1" s="501"/>
    </row>
    <row r="2" ht="23.25" customHeight="1" spans="1:31">
      <c r="A2" s="391"/>
      <c r="B2" s="392"/>
      <c r="C2" s="393" t="s">
        <v>6</v>
      </c>
      <c r="D2" s="394"/>
      <c r="E2" s="395" t="s">
        <v>7</v>
      </c>
      <c r="F2" s="396"/>
      <c r="G2" s="396"/>
      <c r="H2" s="396"/>
      <c r="I2" s="396"/>
      <c r="J2" s="396"/>
      <c r="K2" s="444"/>
      <c r="L2" s="445" t="s">
        <v>8</v>
      </c>
      <c r="M2" s="446"/>
      <c r="N2" s="441"/>
      <c r="O2" s="447">
        <f>IF(E2="","",INDEX(Listas!H2:I30,MATCH('Soli_citud '!E2,Intructores,0),2))</f>
        <v>71639999</v>
      </c>
      <c r="P2" s="447"/>
      <c r="Q2" s="447"/>
      <c r="R2" s="473"/>
      <c r="S2" s="474"/>
      <c r="T2" s="475"/>
      <c r="U2" s="471"/>
      <c r="V2" s="472"/>
      <c r="W2" s="472"/>
      <c r="X2" s="472"/>
      <c r="Y2" s="499"/>
      <c r="Z2" s="500"/>
      <c r="AA2" s="501"/>
      <c r="AB2" s="501"/>
      <c r="AC2" s="501"/>
      <c r="AD2" s="501"/>
      <c r="AE2" s="501"/>
    </row>
    <row r="3" ht="24.75" customHeight="1" spans="1:31">
      <c r="A3" s="397"/>
      <c r="B3" s="398"/>
      <c r="C3" s="399" t="s">
        <v>9</v>
      </c>
      <c r="D3" s="400"/>
      <c r="E3" s="401" t="s">
        <v>10</v>
      </c>
      <c r="F3" s="402"/>
      <c r="G3" s="402"/>
      <c r="H3" s="402"/>
      <c r="I3" s="402"/>
      <c r="J3" s="402"/>
      <c r="K3" s="448"/>
      <c r="L3" s="445" t="s">
        <v>11</v>
      </c>
      <c r="M3" s="446"/>
      <c r="N3" s="441"/>
      <c r="O3" s="449">
        <v>2908248</v>
      </c>
      <c r="P3" s="450"/>
      <c r="Q3" s="450"/>
      <c r="R3" s="450"/>
      <c r="S3" s="474" t="s">
        <v>12</v>
      </c>
      <c r="T3" s="475"/>
      <c r="U3" s="471"/>
      <c r="V3" s="472"/>
      <c r="W3" s="472"/>
      <c r="X3" s="472"/>
      <c r="Y3" s="499"/>
      <c r="Z3" s="500"/>
      <c r="AA3" s="501"/>
      <c r="AB3" s="501"/>
      <c r="AC3" s="501"/>
      <c r="AD3" s="501"/>
      <c r="AE3" s="501"/>
    </row>
    <row r="4" ht="30.75" customHeight="1" spans="1:31">
      <c r="A4" s="403" t="s">
        <v>13</v>
      </c>
      <c r="B4" s="403"/>
      <c r="C4" s="403"/>
      <c r="D4" s="404" t="s">
        <v>14</v>
      </c>
      <c r="E4" s="405"/>
      <c r="F4" s="405"/>
      <c r="G4" s="405"/>
      <c r="H4" s="405"/>
      <c r="I4" s="405"/>
      <c r="J4" s="405"/>
      <c r="K4" s="405"/>
      <c r="L4" s="451" t="s">
        <v>15</v>
      </c>
      <c r="M4" s="451"/>
      <c r="N4" s="451"/>
      <c r="O4" s="452" t="s">
        <v>16</v>
      </c>
      <c r="P4" s="453"/>
      <c r="Q4" s="453"/>
      <c r="R4" s="453"/>
      <c r="S4" s="474"/>
      <c r="T4" s="475"/>
      <c r="U4" s="471"/>
      <c r="V4" s="472"/>
      <c r="W4" s="472"/>
      <c r="X4" s="472"/>
      <c r="Y4" s="499"/>
      <c r="Z4" s="500"/>
      <c r="AA4" s="501"/>
      <c r="AB4" s="501"/>
      <c r="AC4" s="501"/>
      <c r="AD4" s="501"/>
      <c r="AE4" s="501"/>
    </row>
    <row r="5" ht="29.25" customHeight="1" spans="1:31">
      <c r="A5" s="406" t="s">
        <v>17</v>
      </c>
      <c r="B5" s="406"/>
      <c r="C5" s="406"/>
      <c r="D5" s="407">
        <f ca="1">IF(K5="","",(SUM(W10:Y28)-(SUMIF(U10:V28,"Restar_Pedido",W10:Y28)))/$K$5)</f>
        <v>21785.246</v>
      </c>
      <c r="E5" s="408"/>
      <c r="F5" s="409"/>
      <c r="G5" s="393" t="s">
        <v>18</v>
      </c>
      <c r="H5" s="410"/>
      <c r="I5" s="410"/>
      <c r="J5" s="394"/>
      <c r="K5" s="454">
        <v>1</v>
      </c>
      <c r="L5" s="454"/>
      <c r="M5" s="455" t="s">
        <v>19</v>
      </c>
      <c r="N5" s="455"/>
      <c r="O5" s="456">
        <f ca="1">IFERROR(IF(K5=0,"",D5*K5),"")</f>
        <v>21785.246</v>
      </c>
      <c r="P5" s="457"/>
      <c r="Q5" s="457"/>
      <c r="R5" s="457"/>
      <c r="S5" s="476" t="s">
        <v>20</v>
      </c>
      <c r="T5" s="477"/>
      <c r="U5" s="471"/>
      <c r="V5" s="472"/>
      <c r="W5" s="472"/>
      <c r="X5" s="472"/>
      <c r="Y5" s="499"/>
      <c r="Z5" s="500"/>
      <c r="AA5" s="501"/>
      <c r="AB5" s="501"/>
      <c r="AC5" s="501"/>
      <c r="AD5" s="501"/>
      <c r="AE5" s="501"/>
    </row>
    <row r="6" ht="1.5" customHeight="1" spans="1:31">
      <c r="A6" s="411"/>
      <c r="B6" s="41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58"/>
      <c r="P6" s="458"/>
      <c r="Q6" s="458"/>
      <c r="R6" s="458"/>
      <c r="S6" s="478"/>
      <c r="T6" s="478"/>
      <c r="U6" s="471"/>
      <c r="V6" s="472"/>
      <c r="W6" s="472"/>
      <c r="X6" s="472"/>
      <c r="Y6" s="499"/>
      <c r="Z6" s="500"/>
      <c r="AA6" s="501"/>
      <c r="AB6" s="501"/>
      <c r="AC6" s="501"/>
      <c r="AD6" s="501"/>
      <c r="AE6" s="501"/>
    </row>
    <row r="7" ht="24" customHeight="1" spans="1:31">
      <c r="A7" s="412" t="s">
        <v>21</v>
      </c>
      <c r="B7" s="412"/>
      <c r="C7" s="413"/>
      <c r="D7" s="414" t="s">
        <v>22</v>
      </c>
      <c r="E7" s="415"/>
      <c r="F7" s="415"/>
      <c r="G7" s="415"/>
      <c r="H7" s="415"/>
      <c r="I7" s="415"/>
      <c r="J7" s="415"/>
      <c r="K7" s="415"/>
      <c r="L7" s="415"/>
      <c r="M7" s="415"/>
      <c r="N7" s="459"/>
      <c r="O7" s="460" t="s">
        <v>23</v>
      </c>
      <c r="P7" s="461"/>
      <c r="Q7" s="479" t="s">
        <v>24</v>
      </c>
      <c r="R7" s="480"/>
      <c r="S7" s="474"/>
      <c r="T7" s="475"/>
      <c r="U7" s="481"/>
      <c r="V7" s="482"/>
      <c r="W7" s="482"/>
      <c r="X7" s="482"/>
      <c r="Y7" s="502"/>
      <c r="Z7" s="500"/>
      <c r="AA7" s="501"/>
      <c r="AB7" s="501"/>
      <c r="AC7" s="501"/>
      <c r="AD7" s="501"/>
      <c r="AE7" s="501"/>
    </row>
    <row r="8" ht="18.75" customHeight="1" spans="1:31">
      <c r="A8" s="412"/>
      <c r="B8" s="412"/>
      <c r="C8" s="413"/>
      <c r="D8" s="416"/>
      <c r="E8" s="417"/>
      <c r="F8" s="417"/>
      <c r="G8" s="417"/>
      <c r="H8" s="417"/>
      <c r="I8" s="417"/>
      <c r="J8" s="417"/>
      <c r="K8" s="417"/>
      <c r="L8" s="417"/>
      <c r="M8" s="417"/>
      <c r="N8" s="462"/>
      <c r="O8" s="460"/>
      <c r="P8" s="461"/>
      <c r="Q8" s="479"/>
      <c r="R8" s="479"/>
      <c r="S8" s="483" t="s">
        <v>25</v>
      </c>
      <c r="T8" s="483"/>
      <c r="U8" s="484"/>
      <c r="V8" s="485">
        <f>IF(K5="","",1/K5)</f>
        <v>1</v>
      </c>
      <c r="W8" s="486"/>
      <c r="X8" s="487"/>
      <c r="Y8" s="503">
        <f>IFERROR((V8*X8)," ")</f>
        <v>0</v>
      </c>
      <c r="Z8" s="500"/>
      <c r="AA8" s="501"/>
      <c r="AB8" s="501"/>
      <c r="AC8" s="501"/>
      <c r="AD8" s="501"/>
      <c r="AE8" s="501"/>
    </row>
    <row r="9" ht="12" customHeight="1" spans="1:25">
      <c r="A9" s="418"/>
      <c r="B9" s="418"/>
      <c r="C9" s="418"/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88" t="s">
        <v>26</v>
      </c>
      <c r="T9" s="488"/>
      <c r="U9" s="461" t="s">
        <v>27</v>
      </c>
      <c r="V9" s="461"/>
      <c r="W9" s="461" t="s">
        <v>28</v>
      </c>
      <c r="X9" s="461"/>
      <c r="Y9" s="461"/>
    </row>
    <row r="10" ht="17.25" customHeight="1" spans="1:31">
      <c r="A10" s="420" t="s">
        <v>29</v>
      </c>
      <c r="B10" s="420"/>
      <c r="C10" s="421"/>
      <c r="D10" s="422" t="s">
        <v>30</v>
      </c>
      <c r="E10" s="423"/>
      <c r="F10" s="423"/>
      <c r="G10" s="423"/>
      <c r="H10" s="423"/>
      <c r="I10" s="423"/>
      <c r="J10" s="423"/>
      <c r="K10" s="423"/>
      <c r="L10" s="423"/>
      <c r="M10" s="423"/>
      <c r="N10" s="463"/>
      <c r="O10" s="464" t="str">
        <f ca="1" t="shared" ref="O10:O31" si="0">IFERROR(IF(D10="","",INDEX(Tabla_Completa,MATCH(D10,Materiales,0),6)),"")</f>
        <v>dm2</v>
      </c>
      <c r="P10" s="371"/>
      <c r="Q10" s="449">
        <v>6.47</v>
      </c>
      <c r="R10" s="489"/>
      <c r="S10" s="490">
        <f>IFERROR(IF(Q10="Unidad","1",(Q10*$K$5)),"")</f>
        <v>6.47</v>
      </c>
      <c r="T10" s="491"/>
      <c r="U10" s="492"/>
      <c r="V10" s="493"/>
      <c r="W10" s="494">
        <f ca="1">IFERROR(IF(D10="","",INDEX(Tabla_Completa,MATCH('Soli_citud '!D10,Materiales,0),7)*S10),"")</f>
        <v>2458.6</v>
      </c>
      <c r="X10" s="494"/>
      <c r="Y10" s="494"/>
      <c r="Z10" s="504"/>
      <c r="AA10" s="504"/>
      <c r="AB10" s="504"/>
      <c r="AC10" s="504"/>
      <c r="AD10" s="504"/>
      <c r="AE10" s="504"/>
    </row>
    <row r="11" ht="17.25" customHeight="1" spans="1:25">
      <c r="A11" s="424" t="s">
        <v>29</v>
      </c>
      <c r="B11" s="420"/>
      <c r="C11" s="421"/>
      <c r="D11" s="422" t="s">
        <v>31</v>
      </c>
      <c r="E11" s="423"/>
      <c r="F11" s="423"/>
      <c r="G11" s="423"/>
      <c r="H11" s="423"/>
      <c r="I11" s="423"/>
      <c r="J11" s="423"/>
      <c r="K11" s="423"/>
      <c r="L11" s="423"/>
      <c r="M11" s="423"/>
      <c r="N11" s="463"/>
      <c r="O11" s="464" t="str">
        <f ca="1" t="shared" si="0"/>
        <v>dm2</v>
      </c>
      <c r="P11" s="371"/>
      <c r="Q11" s="449">
        <v>4.12</v>
      </c>
      <c r="R11" s="489"/>
      <c r="S11" s="490">
        <f t="shared" ref="S11:S31" si="1">IFERROR(IF(Q11="Unidad","1",(Q11*$K$5)),"")</f>
        <v>4.12</v>
      </c>
      <c r="T11" s="491"/>
      <c r="U11" s="492"/>
      <c r="V11" s="492"/>
      <c r="W11" s="494">
        <f ca="1">IFERROR(IF(D11="","",INDEX(Tabla_Completa,MATCH('Soli_citud '!D11,Materiales,0),7)*S11),"")</f>
        <v>3701.614</v>
      </c>
      <c r="X11" s="494"/>
      <c r="Y11" s="494"/>
    </row>
    <row r="12" ht="15.75" customHeight="1" spans="1:25">
      <c r="A12" s="424" t="s">
        <v>32</v>
      </c>
      <c r="B12" s="420"/>
      <c r="C12" s="421"/>
      <c r="D12" s="425" t="s">
        <v>33</v>
      </c>
      <c r="E12" s="423"/>
      <c r="F12" s="423"/>
      <c r="G12" s="423"/>
      <c r="H12" s="423"/>
      <c r="I12" s="423"/>
      <c r="J12" s="423"/>
      <c r="K12" s="423"/>
      <c r="L12" s="423"/>
      <c r="M12" s="423"/>
      <c r="N12" s="463"/>
      <c r="O12" s="464" t="str">
        <f ca="1" t="shared" ref="O12" si="2">IFERROR(IF(D12="","",INDEX(Tabla_Completa,MATCH(D12,Materiales,0),6)),"")</f>
        <v>cm2</v>
      </c>
      <c r="P12" s="371"/>
      <c r="Q12" s="495">
        <v>28</v>
      </c>
      <c r="R12" s="489"/>
      <c r="S12" s="490">
        <f t="shared" si="1"/>
        <v>28</v>
      </c>
      <c r="T12" s="491"/>
      <c r="U12" s="492"/>
      <c r="V12" s="492"/>
      <c r="W12" s="494">
        <f ca="1">IFERROR(IF(D12="","",INDEX(Tabla_Completa,MATCH('Soli_citud '!D12,Materiales,0),7)*S12),"")</f>
        <v>56.032</v>
      </c>
      <c r="X12" s="494"/>
      <c r="Y12" s="494"/>
    </row>
    <row r="13" ht="15.75" customHeight="1" spans="1:25">
      <c r="A13" s="424" t="s">
        <v>34</v>
      </c>
      <c r="B13" s="420"/>
      <c r="C13" s="421"/>
      <c r="D13" s="422" t="s">
        <v>35</v>
      </c>
      <c r="E13" s="423"/>
      <c r="F13" s="423"/>
      <c r="G13" s="423"/>
      <c r="H13" s="423"/>
      <c r="I13" s="423"/>
      <c r="J13" s="423"/>
      <c r="K13" s="423"/>
      <c r="L13" s="423"/>
      <c r="M13" s="423"/>
      <c r="N13" s="463"/>
      <c r="O13" s="464" t="str">
        <f ca="1" t="shared" si="0"/>
        <v>Par</v>
      </c>
      <c r="P13" s="371"/>
      <c r="Q13" s="449">
        <v>1</v>
      </c>
      <c r="R13" s="489"/>
      <c r="S13" s="490">
        <f t="shared" si="1"/>
        <v>1</v>
      </c>
      <c r="T13" s="491"/>
      <c r="U13" s="492"/>
      <c r="V13" s="492"/>
      <c r="W13" s="494" t="str">
        <f ca="1">IFERROR(IF(D13="","",INDEX(Tabla_Completa,MATCH('Soli_citud '!D13,Materiales,0),7)*S13),"")</f>
        <v/>
      </c>
      <c r="X13" s="494"/>
      <c r="Y13" s="494"/>
    </row>
    <row r="14" ht="17.25" customHeight="1" spans="1:25">
      <c r="A14" s="424" t="s">
        <v>29</v>
      </c>
      <c r="B14" s="420"/>
      <c r="C14" s="421"/>
      <c r="D14" s="422" t="s">
        <v>36</v>
      </c>
      <c r="E14" s="423"/>
      <c r="F14" s="423"/>
      <c r="G14" s="423"/>
      <c r="H14" s="423"/>
      <c r="I14" s="423"/>
      <c r="J14" s="423"/>
      <c r="K14" s="423"/>
      <c r="L14" s="423"/>
      <c r="M14" s="423"/>
      <c r="N14" s="463"/>
      <c r="O14" s="464" t="str">
        <f ca="1" t="shared" si="0"/>
        <v>dm2</v>
      </c>
      <c r="P14" s="371"/>
      <c r="Q14" s="449">
        <v>12</v>
      </c>
      <c r="R14" s="489"/>
      <c r="S14" s="490">
        <f t="shared" si="1"/>
        <v>12</v>
      </c>
      <c r="T14" s="491"/>
      <c r="U14" s="492"/>
      <c r="V14" s="492"/>
      <c r="W14" s="494">
        <f ca="1">IFERROR(IF(D14="","",INDEX(Tabla_Completa,MATCH('Soli_citud '!D14,Materiales,0),7)*S14),"")</f>
        <v>14400</v>
      </c>
      <c r="X14" s="494"/>
      <c r="Y14" s="494"/>
    </row>
    <row r="15" ht="15.75" customHeight="1" spans="1:25">
      <c r="A15" s="424" t="s">
        <v>37</v>
      </c>
      <c r="B15" s="420"/>
      <c r="C15" s="421"/>
      <c r="D15" s="422" t="s">
        <v>38</v>
      </c>
      <c r="E15" s="423"/>
      <c r="F15" s="423"/>
      <c r="G15" s="423"/>
      <c r="H15" s="423"/>
      <c r="I15" s="423"/>
      <c r="J15" s="423"/>
      <c r="K15" s="423"/>
      <c r="L15" s="423"/>
      <c r="M15" s="423"/>
      <c r="N15" s="463"/>
      <c r="O15" s="464" t="str">
        <f ca="1" t="shared" si="0"/>
        <v>Par</v>
      </c>
      <c r="P15" s="371"/>
      <c r="Q15" s="449">
        <v>1</v>
      </c>
      <c r="R15" s="489"/>
      <c r="S15" s="490">
        <f t="shared" si="1"/>
        <v>1</v>
      </c>
      <c r="T15" s="491"/>
      <c r="U15" s="492"/>
      <c r="V15" s="492"/>
      <c r="W15" s="494">
        <f ca="1">IFERROR(IF(D15="","",INDEX(Tabla_Completa,MATCH('Soli_citud '!D15,Materiales,0),7)*S15),"")</f>
        <v>639</v>
      </c>
      <c r="X15" s="494"/>
      <c r="Y15" s="494"/>
    </row>
    <row r="16" ht="15.75" customHeight="1" spans="1:25">
      <c r="A16" s="424" t="s">
        <v>37</v>
      </c>
      <c r="B16" s="420"/>
      <c r="C16" s="421"/>
      <c r="D16" s="422" t="s">
        <v>39</v>
      </c>
      <c r="E16" s="423"/>
      <c r="F16" s="423"/>
      <c r="G16" s="423"/>
      <c r="H16" s="423"/>
      <c r="I16" s="423"/>
      <c r="J16" s="423"/>
      <c r="K16" s="423"/>
      <c r="L16" s="423"/>
      <c r="M16" s="423"/>
      <c r="N16" s="463"/>
      <c r="O16" s="464" t="str">
        <f ca="1" t="shared" si="0"/>
        <v>cm2</v>
      </c>
      <c r="P16" s="371"/>
      <c r="Q16" s="449">
        <v>200</v>
      </c>
      <c r="R16" s="489"/>
      <c r="S16" s="490">
        <f t="shared" si="1"/>
        <v>200</v>
      </c>
      <c r="T16" s="491"/>
      <c r="U16" s="492"/>
      <c r="V16" s="492"/>
      <c r="W16" s="494">
        <f ca="1">IFERROR(IF(D16="","",INDEX(Tabla_Completa,MATCH('Soli_citud '!D16,Materiales,0),7)*S16),"")</f>
        <v>280</v>
      </c>
      <c r="X16" s="494"/>
      <c r="Y16" s="494"/>
    </row>
    <row r="17" ht="15.75" customHeight="1" spans="1:25">
      <c r="A17" s="424" t="s">
        <v>37</v>
      </c>
      <c r="B17" s="420"/>
      <c r="C17" s="421"/>
      <c r="D17" s="422" t="s">
        <v>40</v>
      </c>
      <c r="E17" s="423"/>
      <c r="F17" s="423"/>
      <c r="G17" s="423"/>
      <c r="H17" s="423"/>
      <c r="I17" s="423"/>
      <c r="J17" s="423"/>
      <c r="K17" s="423"/>
      <c r="L17" s="423"/>
      <c r="M17" s="423"/>
      <c r="N17" s="463"/>
      <c r="O17" s="464" t="str">
        <f ca="1" t="shared" si="0"/>
        <v>cm2</v>
      </c>
      <c r="P17" s="371"/>
      <c r="Q17" s="449">
        <v>250</v>
      </c>
      <c r="R17" s="489"/>
      <c r="S17" s="490">
        <f t="shared" si="1"/>
        <v>250</v>
      </c>
      <c r="T17" s="491"/>
      <c r="U17" s="492"/>
      <c r="V17" s="492"/>
      <c r="W17" s="494">
        <f ca="1">IFERROR(IF(D17="","",INDEX(Tabla_Completa,MATCH('Soli_citud '!D17,Materiales,0),7)*S17),"")</f>
        <v>250</v>
      </c>
      <c r="X17" s="494"/>
      <c r="Y17" s="494"/>
    </row>
    <row r="18" ht="15.75" customHeight="1" spans="1:25">
      <c r="A18" s="424"/>
      <c r="B18" s="420"/>
      <c r="C18" s="421"/>
      <c r="D18" s="422"/>
      <c r="E18" s="423"/>
      <c r="F18" s="423"/>
      <c r="G18" s="423"/>
      <c r="H18" s="423"/>
      <c r="I18" s="423"/>
      <c r="J18" s="423"/>
      <c r="K18" s="423"/>
      <c r="L18" s="423"/>
      <c r="M18" s="423"/>
      <c r="N18" s="463"/>
      <c r="O18" s="464" t="str">
        <f ca="1" t="shared" si="0"/>
        <v/>
      </c>
      <c r="P18" s="371"/>
      <c r="Q18" s="449"/>
      <c r="R18" s="489"/>
      <c r="S18" s="490">
        <f t="shared" si="1"/>
        <v>0</v>
      </c>
      <c r="T18" s="491"/>
      <c r="U18" s="492"/>
      <c r="V18" s="492"/>
      <c r="W18" s="494" t="str">
        <f ca="1">IFERROR(IF(D18="","",INDEX(Tabla_Completa,MATCH('Soli_citud '!D18,Materiales,0),7)*S18),"")</f>
        <v/>
      </c>
      <c r="X18" s="494"/>
      <c r="Y18" s="494"/>
    </row>
    <row r="19" ht="15.75" spans="1:25">
      <c r="A19" s="424"/>
      <c r="B19" s="420"/>
      <c r="C19" s="421"/>
      <c r="D19" s="426"/>
      <c r="E19" s="427"/>
      <c r="F19" s="427"/>
      <c r="G19" s="427"/>
      <c r="H19" s="427"/>
      <c r="I19" s="427"/>
      <c r="J19" s="427"/>
      <c r="K19" s="427"/>
      <c r="L19" s="427"/>
      <c r="M19" s="427"/>
      <c r="N19" s="465"/>
      <c r="O19" s="464" t="str">
        <f ca="1" t="shared" si="0"/>
        <v/>
      </c>
      <c r="P19" s="371"/>
      <c r="Q19" s="449"/>
      <c r="R19" s="489"/>
      <c r="S19" s="490">
        <f t="shared" si="1"/>
        <v>0</v>
      </c>
      <c r="T19" s="491"/>
      <c r="U19" s="492"/>
      <c r="V19" s="492"/>
      <c r="W19" s="494" t="str">
        <f ca="1">IFERROR(IF(D19="","",INDEX(Tabla_Completa,MATCH('Soli_citud '!D19,Materiales,0),7)*S19),"")</f>
        <v/>
      </c>
      <c r="X19" s="494"/>
      <c r="Y19" s="494"/>
    </row>
    <row r="20" ht="15.75" spans="1:25">
      <c r="A20" s="424"/>
      <c r="B20" s="420"/>
      <c r="C20" s="421"/>
      <c r="D20" s="426"/>
      <c r="E20" s="427"/>
      <c r="F20" s="427"/>
      <c r="G20" s="427"/>
      <c r="H20" s="427"/>
      <c r="I20" s="427"/>
      <c r="J20" s="427"/>
      <c r="K20" s="427"/>
      <c r="L20" s="427"/>
      <c r="M20" s="427"/>
      <c r="N20" s="465"/>
      <c r="O20" s="464" t="str">
        <f ca="1">IFERROR(IF(D20="","",INDEX(Tabla_Completa,MATCH(D20,Materiales,0),6)),"")</f>
        <v/>
      </c>
      <c r="P20" s="371"/>
      <c r="Q20" s="449"/>
      <c r="R20" s="489"/>
      <c r="S20" s="490">
        <f t="shared" si="1"/>
        <v>0</v>
      </c>
      <c r="T20" s="491"/>
      <c r="U20" s="492"/>
      <c r="V20" s="492"/>
      <c r="W20" s="494" t="str">
        <f ca="1">IFERROR(IF(D20="","",INDEX(Tabla_Completa,MATCH('Soli_citud '!D20,Materiales,0),7)*S20),"")</f>
        <v/>
      </c>
      <c r="X20" s="494"/>
      <c r="Y20" s="494"/>
    </row>
    <row r="21" ht="15.75" spans="1:25">
      <c r="A21" s="424"/>
      <c r="B21" s="420"/>
      <c r="C21" s="421"/>
      <c r="D21" s="426"/>
      <c r="E21" s="427"/>
      <c r="F21" s="427"/>
      <c r="G21" s="427"/>
      <c r="H21" s="427"/>
      <c r="I21" s="427"/>
      <c r="J21" s="427"/>
      <c r="K21" s="427"/>
      <c r="L21" s="427"/>
      <c r="M21" s="427"/>
      <c r="N21" s="465"/>
      <c r="O21" s="464" t="str">
        <f ca="1">IFERROR(IF(D21="","",INDEX(Tabla_Completa,MATCH(D21,Materiales,0),6)),"")</f>
        <v/>
      </c>
      <c r="P21" s="371"/>
      <c r="Q21" s="449"/>
      <c r="R21" s="489"/>
      <c r="S21" s="490">
        <f t="shared" si="1"/>
        <v>0</v>
      </c>
      <c r="T21" s="491"/>
      <c r="U21" s="492"/>
      <c r="V21" s="492"/>
      <c r="W21" s="494" t="str">
        <f ca="1">IFERROR(IF(D21="","",INDEX(Tabla_Completa,MATCH('Soli_citud '!D21,Materiales,0),7)*S21),"")</f>
        <v/>
      </c>
      <c r="X21" s="494"/>
      <c r="Y21" s="494"/>
    </row>
    <row r="22" ht="15.75" spans="1:25">
      <c r="A22" s="424"/>
      <c r="B22" s="420"/>
      <c r="C22" s="421"/>
      <c r="D22" s="426"/>
      <c r="E22" s="427"/>
      <c r="F22" s="427"/>
      <c r="G22" s="427"/>
      <c r="H22" s="427"/>
      <c r="I22" s="427"/>
      <c r="J22" s="427"/>
      <c r="K22" s="427"/>
      <c r="L22" s="427"/>
      <c r="M22" s="427"/>
      <c r="N22" s="465"/>
      <c r="O22" s="464" t="str">
        <f ca="1" t="shared" si="0"/>
        <v/>
      </c>
      <c r="P22" s="371"/>
      <c r="Q22" s="449"/>
      <c r="R22" s="489"/>
      <c r="S22" s="490">
        <f t="shared" si="1"/>
        <v>0</v>
      </c>
      <c r="T22" s="491"/>
      <c r="U22" s="492"/>
      <c r="V22" s="492"/>
      <c r="W22" s="494" t="str">
        <f ca="1">IFERROR(IF(D22="","",INDEX(Tabla_Completa,MATCH('Soli_citud '!D22,Materiales,0),7)*S22),"")</f>
        <v/>
      </c>
      <c r="X22" s="494"/>
      <c r="Y22" s="494"/>
    </row>
    <row r="23" ht="15.75" spans="1:25">
      <c r="A23" s="424"/>
      <c r="B23" s="420"/>
      <c r="C23" s="421"/>
      <c r="D23" s="426"/>
      <c r="E23" s="427"/>
      <c r="F23" s="427"/>
      <c r="G23" s="427"/>
      <c r="H23" s="427"/>
      <c r="I23" s="427"/>
      <c r="J23" s="427"/>
      <c r="K23" s="427"/>
      <c r="L23" s="427"/>
      <c r="M23" s="427"/>
      <c r="N23" s="465"/>
      <c r="O23" s="464" t="str">
        <f ca="1" t="shared" si="0"/>
        <v/>
      </c>
      <c r="P23" s="371"/>
      <c r="Q23" s="449"/>
      <c r="R23" s="489"/>
      <c r="S23" s="490">
        <f t="shared" si="1"/>
        <v>0</v>
      </c>
      <c r="T23" s="491"/>
      <c r="U23" s="492"/>
      <c r="V23" s="492"/>
      <c r="W23" s="494" t="str">
        <f ca="1">IFERROR(IF(D23="","",INDEX(Tabla_Completa,MATCH('Soli_citud '!D23,Materiales,0),7)*S23),"")</f>
        <v/>
      </c>
      <c r="X23" s="494"/>
      <c r="Y23" s="494"/>
    </row>
    <row r="24" ht="15.75" spans="1:25">
      <c r="A24" s="424"/>
      <c r="B24" s="420"/>
      <c r="C24" s="421"/>
      <c r="D24" s="426"/>
      <c r="E24" s="427"/>
      <c r="F24" s="427"/>
      <c r="G24" s="427"/>
      <c r="H24" s="427"/>
      <c r="I24" s="427"/>
      <c r="J24" s="427"/>
      <c r="K24" s="427"/>
      <c r="L24" s="427"/>
      <c r="M24" s="427"/>
      <c r="N24" s="465"/>
      <c r="O24" s="464" t="str">
        <f ca="1" t="shared" si="0"/>
        <v/>
      </c>
      <c r="P24" s="371"/>
      <c r="Q24" s="449"/>
      <c r="R24" s="489"/>
      <c r="S24" s="490">
        <f t="shared" si="1"/>
        <v>0</v>
      </c>
      <c r="T24" s="491"/>
      <c r="U24" s="492"/>
      <c r="V24" s="492"/>
      <c r="W24" s="494" t="str">
        <f ca="1">IFERROR(IF(D24="","",INDEX(Tabla_Completa,MATCH('Soli_citud '!D24,Materiales,0),7)*S24),"")</f>
        <v/>
      </c>
      <c r="X24" s="494"/>
      <c r="Y24" s="494"/>
    </row>
    <row r="25" ht="15.75" spans="1:25">
      <c r="A25" s="424"/>
      <c r="B25" s="420"/>
      <c r="C25" s="421"/>
      <c r="D25" s="426"/>
      <c r="E25" s="427"/>
      <c r="F25" s="427"/>
      <c r="G25" s="427"/>
      <c r="H25" s="427"/>
      <c r="I25" s="427"/>
      <c r="J25" s="427"/>
      <c r="K25" s="427"/>
      <c r="L25" s="427"/>
      <c r="M25" s="427"/>
      <c r="N25" s="465"/>
      <c r="O25" s="464" t="str">
        <f ca="1" t="shared" si="0"/>
        <v/>
      </c>
      <c r="P25" s="371"/>
      <c r="Q25" s="449"/>
      <c r="R25" s="489"/>
      <c r="S25" s="490">
        <f t="shared" si="1"/>
        <v>0</v>
      </c>
      <c r="T25" s="491"/>
      <c r="U25" s="492"/>
      <c r="V25" s="492"/>
      <c r="W25" s="494" t="str">
        <f ca="1">IFERROR(IF(D25="","",INDEX(Tabla_Completa,MATCH('Soli_citud '!D25,Materiales,0),7)*S25),"")</f>
        <v/>
      </c>
      <c r="X25" s="494"/>
      <c r="Y25" s="494"/>
    </row>
    <row r="26" ht="15.75" spans="1:25">
      <c r="A26" s="424"/>
      <c r="B26" s="420"/>
      <c r="C26" s="421"/>
      <c r="D26" s="426"/>
      <c r="E26" s="427"/>
      <c r="F26" s="427"/>
      <c r="G26" s="427"/>
      <c r="H26" s="427"/>
      <c r="I26" s="427"/>
      <c r="J26" s="427"/>
      <c r="K26" s="427"/>
      <c r="L26" s="427"/>
      <c r="M26" s="427"/>
      <c r="N26" s="465"/>
      <c r="O26" s="464" t="str">
        <f ca="1" t="shared" si="0"/>
        <v/>
      </c>
      <c r="P26" s="371"/>
      <c r="Q26" s="449"/>
      <c r="R26" s="489"/>
      <c r="S26" s="490">
        <f t="shared" si="1"/>
        <v>0</v>
      </c>
      <c r="T26" s="491"/>
      <c r="U26" s="492"/>
      <c r="V26" s="492"/>
      <c r="W26" s="494" t="str">
        <f ca="1">IFERROR(IF(D26="","",INDEX(Tabla_Completa,MATCH('Soli_citud '!D26,Materiales,0),7)*S26),"")</f>
        <v/>
      </c>
      <c r="X26" s="494"/>
      <c r="Y26" s="494"/>
    </row>
    <row r="27" ht="15.75" spans="1:25">
      <c r="A27" s="424"/>
      <c r="B27" s="420"/>
      <c r="C27" s="421"/>
      <c r="D27" s="426"/>
      <c r="E27" s="427"/>
      <c r="F27" s="427"/>
      <c r="G27" s="427"/>
      <c r="H27" s="427"/>
      <c r="I27" s="427"/>
      <c r="J27" s="427"/>
      <c r="K27" s="427"/>
      <c r="L27" s="427"/>
      <c r="M27" s="427"/>
      <c r="N27" s="465"/>
      <c r="O27" s="464" t="str">
        <f ca="1" t="shared" si="0"/>
        <v/>
      </c>
      <c r="P27" s="371"/>
      <c r="Q27" s="449"/>
      <c r="R27" s="489"/>
      <c r="S27" s="490">
        <f t="shared" si="1"/>
        <v>0</v>
      </c>
      <c r="T27" s="491"/>
      <c r="U27" s="492"/>
      <c r="V27" s="492"/>
      <c r="W27" s="494" t="str">
        <f ca="1">IFERROR(IF(D27="","",INDEX(Tabla_Completa,MATCH('Soli_citud '!D27,Materiales,0),7)*S27),"")</f>
        <v/>
      </c>
      <c r="X27" s="494"/>
      <c r="Y27" s="494"/>
    </row>
    <row r="28" ht="15.75" spans="1:25">
      <c r="A28" s="424"/>
      <c r="B28" s="420"/>
      <c r="C28" s="421"/>
      <c r="D28" s="426"/>
      <c r="E28" s="427"/>
      <c r="F28" s="427"/>
      <c r="G28" s="427"/>
      <c r="H28" s="427"/>
      <c r="I28" s="427"/>
      <c r="J28" s="427"/>
      <c r="K28" s="427"/>
      <c r="L28" s="427"/>
      <c r="M28" s="427"/>
      <c r="N28" s="465"/>
      <c r="O28" s="464" t="str">
        <f ca="1" t="shared" si="0"/>
        <v/>
      </c>
      <c r="P28" s="371"/>
      <c r="Q28" s="449"/>
      <c r="R28" s="489"/>
      <c r="S28" s="490">
        <f t="shared" si="1"/>
        <v>0</v>
      </c>
      <c r="T28" s="491"/>
      <c r="U28" s="492"/>
      <c r="V28" s="492"/>
      <c r="W28" s="494" t="str">
        <f ca="1">IFERROR(IF(D28="","",INDEX(Tabla_Completa,MATCH('Soli_citud '!D28,Materiales,0),7)*S28),"")</f>
        <v/>
      </c>
      <c r="X28" s="494"/>
      <c r="Y28" s="494"/>
    </row>
    <row r="29" ht="15.75" spans="1:25">
      <c r="A29" s="424"/>
      <c r="B29" s="420"/>
      <c r="C29" s="421"/>
      <c r="D29" s="426"/>
      <c r="E29" s="427"/>
      <c r="F29" s="427"/>
      <c r="G29" s="427"/>
      <c r="H29" s="427"/>
      <c r="I29" s="427"/>
      <c r="J29" s="427"/>
      <c r="K29" s="427"/>
      <c r="L29" s="427"/>
      <c r="M29" s="427"/>
      <c r="N29" s="465"/>
      <c r="O29" s="464" t="str">
        <f ca="1" t="shared" si="0"/>
        <v/>
      </c>
      <c r="P29" s="371"/>
      <c r="Q29" s="449"/>
      <c r="R29" s="489"/>
      <c r="S29" s="490">
        <f t="shared" si="1"/>
        <v>0</v>
      </c>
      <c r="T29" s="491"/>
      <c r="U29" s="492"/>
      <c r="V29" s="492"/>
      <c r="W29" s="494" t="str">
        <f ca="1">IFERROR(IF(D29="","",INDEX(Tabla_Completa,MATCH('Soli_citud '!D29,Materiales,0),7)*S29),"")</f>
        <v/>
      </c>
      <c r="X29" s="494"/>
      <c r="Y29" s="494"/>
    </row>
    <row r="30" ht="15.75" spans="1:25">
      <c r="A30" s="424"/>
      <c r="B30" s="420"/>
      <c r="C30" s="421"/>
      <c r="D30" s="426"/>
      <c r="E30" s="427"/>
      <c r="F30" s="427"/>
      <c r="G30" s="427"/>
      <c r="H30" s="427"/>
      <c r="I30" s="427"/>
      <c r="J30" s="427"/>
      <c r="K30" s="427"/>
      <c r="L30" s="427"/>
      <c r="M30" s="427"/>
      <c r="N30" s="465"/>
      <c r="O30" s="464" t="str">
        <f ca="1" t="shared" si="0"/>
        <v/>
      </c>
      <c r="P30" s="371"/>
      <c r="Q30" s="449"/>
      <c r="R30" s="489"/>
      <c r="S30" s="490">
        <f t="shared" si="1"/>
        <v>0</v>
      </c>
      <c r="T30" s="491"/>
      <c r="U30" s="492"/>
      <c r="V30" s="492"/>
      <c r="W30" s="494" t="str">
        <f ca="1">IFERROR(IF(D30="","",INDEX(Tabla_Completa,MATCH('Soli_citud '!D30,Materiales,0),7)*S30),"")</f>
        <v/>
      </c>
      <c r="X30" s="494"/>
      <c r="Y30" s="494"/>
    </row>
    <row r="31" ht="15.75" spans="1:25">
      <c r="A31" s="424"/>
      <c r="B31" s="420"/>
      <c r="C31" s="421"/>
      <c r="D31" s="426"/>
      <c r="E31" s="427"/>
      <c r="F31" s="427"/>
      <c r="G31" s="427"/>
      <c r="H31" s="427"/>
      <c r="I31" s="427"/>
      <c r="J31" s="427"/>
      <c r="K31" s="427"/>
      <c r="L31" s="427"/>
      <c r="M31" s="427"/>
      <c r="N31" s="465"/>
      <c r="O31" s="464" t="str">
        <f ca="1" t="shared" si="0"/>
        <v/>
      </c>
      <c r="P31" s="371"/>
      <c r="Q31" s="449"/>
      <c r="R31" s="489"/>
      <c r="S31" s="490">
        <f t="shared" si="1"/>
        <v>0</v>
      </c>
      <c r="T31" s="491"/>
      <c r="U31" s="492"/>
      <c r="V31" s="492"/>
      <c r="W31" s="494" t="str">
        <f ca="1">IFERROR(IF(D31="","",INDEX(Tabla_Completa,MATCH('Soli_citud '!D31,Materiales,0),7)*S31),"")</f>
        <v/>
      </c>
      <c r="X31" s="494"/>
      <c r="Y31" s="494"/>
    </row>
    <row r="32"/>
    <row r="33"/>
    <row r="34"/>
    <row r="35"/>
    <row r="36"/>
    <row r="37"/>
    <row r="38" customHeight="1"/>
    <row r="39" ht="33.75" customHeight="1" spans="1:17">
      <c r="A39" s="428" t="s">
        <v>41</v>
      </c>
      <c r="B39" s="428"/>
      <c r="C39" s="428"/>
      <c r="D39" s="429" t="s">
        <v>42</v>
      </c>
      <c r="E39" s="429"/>
      <c r="F39" s="429"/>
      <c r="G39" s="429"/>
      <c r="H39" s="429"/>
      <c r="I39" s="429"/>
      <c r="J39" s="429"/>
      <c r="K39" s="429"/>
      <c r="L39" s="429"/>
      <c r="M39" s="429"/>
      <c r="N39" s="429"/>
      <c r="O39" s="429"/>
      <c r="P39" s="429"/>
      <c r="Q39" s="429"/>
    </row>
    <row r="40" spans="1:17">
      <c r="A40" s="430" t="s">
        <v>43</v>
      </c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</row>
    <row r="41"/>
    <row r="42"/>
    <row r="43"/>
    <row r="44" ht="18.75" spans="1:24">
      <c r="A44" s="432" t="s">
        <v>44</v>
      </c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N44" s="466" t="s">
        <v>45</v>
      </c>
      <c r="O44" s="466"/>
      <c r="P44" s="466"/>
      <c r="Q44" s="466"/>
      <c r="R44" s="496" t="s">
        <v>46</v>
      </c>
      <c r="S44" s="496"/>
      <c r="T44" s="496"/>
      <c r="U44" s="496"/>
      <c r="V44" s="496"/>
      <c r="W44" s="496"/>
      <c r="X44" s="496"/>
    </row>
    <row r="45" ht="29.25" customHeight="1" spans="1:24">
      <c r="A45" s="433" t="s">
        <v>47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N45" s="466" t="s">
        <v>48</v>
      </c>
      <c r="O45" s="466"/>
      <c r="P45" s="466"/>
      <c r="Q45" s="466"/>
      <c r="R45" s="497" t="s">
        <v>49</v>
      </c>
      <c r="S45" s="497"/>
      <c r="T45" s="497"/>
      <c r="U45" s="497"/>
      <c r="V45" s="497"/>
      <c r="W45" s="497"/>
      <c r="X45" s="497"/>
    </row>
    <row r="46" ht="31.5" customHeight="1" spans="1:24">
      <c r="A46" s="434" t="s">
        <v>50</v>
      </c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N46" s="466" t="s">
        <v>29</v>
      </c>
      <c r="O46" s="466"/>
      <c r="P46" s="466"/>
      <c r="Q46" s="466"/>
      <c r="R46" s="498" t="s">
        <v>51</v>
      </c>
      <c r="S46" s="498"/>
      <c r="T46" s="498"/>
      <c r="U46" s="498"/>
      <c r="V46" s="498"/>
      <c r="W46" s="498"/>
      <c r="X46" s="498"/>
    </row>
    <row r="47" ht="28.5" customHeight="1" spans="1:24">
      <c r="A47" s="435" t="s">
        <v>52</v>
      </c>
      <c r="B47" s="435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N47" s="466" t="s">
        <v>53</v>
      </c>
      <c r="O47" s="466"/>
      <c r="P47" s="466"/>
      <c r="Q47" s="466"/>
      <c r="R47" s="498" t="s">
        <v>54</v>
      </c>
      <c r="S47" s="498"/>
      <c r="T47" s="498"/>
      <c r="U47" s="498"/>
      <c r="V47" s="498"/>
      <c r="W47" s="498"/>
      <c r="X47" s="498"/>
    </row>
    <row r="48" ht="42.75" customHeight="1" spans="1:24">
      <c r="A48" s="436" t="s">
        <v>55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N48" s="466" t="s">
        <v>56</v>
      </c>
      <c r="O48" s="466"/>
      <c r="P48" s="466"/>
      <c r="Q48" s="466"/>
      <c r="R48" s="498" t="s">
        <v>57</v>
      </c>
      <c r="S48" s="498"/>
      <c r="T48" s="498"/>
      <c r="U48" s="498"/>
      <c r="V48" s="498"/>
      <c r="W48" s="498"/>
      <c r="X48" s="498"/>
    </row>
    <row r="49" ht="36" customHeight="1" spans="1:24">
      <c r="A49" s="436" t="s">
        <v>58</v>
      </c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N49" s="467" t="s">
        <v>59</v>
      </c>
      <c r="O49" s="467"/>
      <c r="P49" s="467"/>
      <c r="Q49" s="467"/>
      <c r="R49" s="497" t="s">
        <v>60</v>
      </c>
      <c r="S49" s="497"/>
      <c r="T49" s="497"/>
      <c r="U49" s="497"/>
      <c r="V49" s="497"/>
      <c r="W49" s="497"/>
      <c r="X49" s="497"/>
    </row>
    <row r="50" spans="1:24">
      <c r="A50" s="437"/>
      <c r="B50" s="437"/>
      <c r="C50" s="437"/>
      <c r="D50" s="437"/>
      <c r="N50" s="466" t="s">
        <v>61</v>
      </c>
      <c r="O50" s="466"/>
      <c r="P50" s="466"/>
      <c r="Q50" s="466"/>
      <c r="R50" s="498" t="s">
        <v>62</v>
      </c>
      <c r="S50" s="498"/>
      <c r="T50" s="498"/>
      <c r="U50" s="498"/>
      <c r="V50" s="498"/>
      <c r="W50" s="498"/>
      <c r="X50" s="498"/>
    </row>
    <row r="51" spans="14:24">
      <c r="N51" s="466" t="s">
        <v>32</v>
      </c>
      <c r="O51" s="466"/>
      <c r="P51" s="466"/>
      <c r="Q51" s="466"/>
      <c r="R51" s="498" t="s">
        <v>63</v>
      </c>
      <c r="S51" s="498"/>
      <c r="T51" s="498"/>
      <c r="U51" s="498"/>
      <c r="V51" s="498"/>
      <c r="W51" s="498"/>
      <c r="X51" s="498"/>
    </row>
    <row r="52" spans="14:24">
      <c r="N52" s="466" t="s">
        <v>34</v>
      </c>
      <c r="O52" s="466"/>
      <c r="P52" s="466"/>
      <c r="Q52" s="466"/>
      <c r="R52" s="498" t="s">
        <v>54</v>
      </c>
      <c r="S52" s="498"/>
      <c r="T52" s="498"/>
      <c r="U52" s="498"/>
      <c r="V52" s="498"/>
      <c r="W52" s="498"/>
      <c r="X52" s="498"/>
    </row>
    <row r="53" customHeight="1"/>
    <row r="54" customHeight="1"/>
    <row r="55" customHeight="1"/>
    <row r="56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C1:E1"/>
    <mergeCell ref="F1:H1"/>
    <mergeCell ref="I1:J1"/>
    <mergeCell ref="L1:N1"/>
    <mergeCell ref="O1:R1"/>
    <mergeCell ref="S1:T1"/>
    <mergeCell ref="C2:D2"/>
    <mergeCell ref="E2:K2"/>
    <mergeCell ref="L2:N2"/>
    <mergeCell ref="O2:R2"/>
    <mergeCell ref="S2:T2"/>
    <mergeCell ref="C3:D3"/>
    <mergeCell ref="E3:K3"/>
    <mergeCell ref="L3:N3"/>
    <mergeCell ref="O3:R3"/>
    <mergeCell ref="S3:T3"/>
    <mergeCell ref="A4:C4"/>
    <mergeCell ref="D4:K4"/>
    <mergeCell ref="L4:N4"/>
    <mergeCell ref="O4:R4"/>
    <mergeCell ref="S4:T4"/>
    <mergeCell ref="A5:C5"/>
    <mergeCell ref="D5:F5"/>
    <mergeCell ref="G5:J5"/>
    <mergeCell ref="K5:L5"/>
    <mergeCell ref="M5:N5"/>
    <mergeCell ref="O5:R5"/>
    <mergeCell ref="S5:T5"/>
    <mergeCell ref="S7:T7"/>
    <mergeCell ref="S8:U8"/>
    <mergeCell ref="V8:W8"/>
    <mergeCell ref="A9:C9"/>
    <mergeCell ref="S9:T9"/>
    <mergeCell ref="U9:V9"/>
    <mergeCell ref="W9:Y9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8:C28"/>
    <mergeCell ref="D28:N28"/>
    <mergeCell ref="O28:P28"/>
    <mergeCell ref="Q28:R28"/>
    <mergeCell ref="S28:T28"/>
    <mergeCell ref="U28:V28"/>
    <mergeCell ref="W28:Y28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A31:C31"/>
    <mergeCell ref="D31:N31"/>
    <mergeCell ref="O31:P31"/>
    <mergeCell ref="Q31:R31"/>
    <mergeCell ref="S31:T31"/>
    <mergeCell ref="U31:V31"/>
    <mergeCell ref="W31:Y31"/>
    <mergeCell ref="A39:C39"/>
    <mergeCell ref="D39:Q39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7:L47"/>
    <mergeCell ref="N47:Q47"/>
    <mergeCell ref="R47:X47"/>
    <mergeCell ref="A48:L48"/>
    <mergeCell ref="N48:Q48"/>
    <mergeCell ref="R48:X48"/>
    <mergeCell ref="A49:L49"/>
    <mergeCell ref="N49:Q49"/>
    <mergeCell ref="R49:X49"/>
    <mergeCell ref="A50:D50"/>
    <mergeCell ref="N50:Q50"/>
    <mergeCell ref="R50:X50"/>
    <mergeCell ref="N51:Q51"/>
    <mergeCell ref="R51:X51"/>
    <mergeCell ref="N52:Q52"/>
    <mergeCell ref="R52:X52"/>
    <mergeCell ref="U1:Y7"/>
    <mergeCell ref="A7:C8"/>
    <mergeCell ref="D7:N8"/>
    <mergeCell ref="O7:P8"/>
    <mergeCell ref="Q7:R8"/>
    <mergeCell ref="A1:B3"/>
    <mergeCell ref="Z1:AE8"/>
  </mergeCells>
  <conditionalFormatting sqref="O1">
    <cfRule type="containsBlanks" dxfId="0" priority="14">
      <formula>LEN(TRIM(O1))=0</formula>
    </cfRule>
  </conditionalFormatting>
  <conditionalFormatting sqref="O3">
    <cfRule type="containsBlanks" dxfId="0" priority="12">
      <formula>LEN(TRIM(O3))=0</formula>
    </cfRule>
  </conditionalFormatting>
  <conditionalFormatting sqref="D4:K4">
    <cfRule type="containsBlanks" dxfId="0" priority="10">
      <formula>LEN(TRIM(D4))=0</formula>
    </cfRule>
  </conditionalFormatting>
  <conditionalFormatting sqref="K5:L5">
    <cfRule type="containsBlanks" dxfId="0" priority="13">
      <formula>LEN(TRIM(K5))=0</formula>
    </cfRule>
  </conditionalFormatting>
  <conditionalFormatting sqref="D10:D31">
    <cfRule type="containsBlanks" dxfId="0" priority="1">
      <formula>LEN(TRIM(D10))=0</formula>
    </cfRule>
  </conditionalFormatting>
  <conditionalFormatting sqref="Q10:Q31">
    <cfRule type="containsBlanks" dxfId="0" priority="15">
      <formula>LEN(TRIM(Q10))=0</formula>
    </cfRule>
  </conditionalFormatting>
  <conditionalFormatting sqref="A10;A11:C31">
    <cfRule type="containsText" dxfId="1" priority="4" operator="between" text="Auxiliares">
      <formula>NOT(ISERROR(SEARCH("Auxiliares",A10)))</formula>
    </cfRule>
    <cfRule type="containsText" dxfId="2" priority="5" operator="between" text="Terminación">
      <formula>NOT(ISERROR(SEARCH("Terminación",A10)))</formula>
    </cfRule>
    <cfRule type="containsText" dxfId="3" priority="6" operator="between" text="Montaje y Ensuelado">
      <formula>NOT(ISERROR(SEARCH("Montaje y Ensuelado",A10)))</formula>
    </cfRule>
    <cfRule type="containsText" dxfId="4" priority="7" operator="between" text="Costura">
      <formula>NOT(ISERROR(SEARCH("Costura",A10)))</formula>
    </cfRule>
    <cfRule type="containsText" dxfId="5" priority="8" operator="between" text="Armado">
      <formula>NOT(ISERROR(SEARCH("Armado",A10)))</formula>
    </cfRule>
    <cfRule type="containsText" dxfId="6" priority="9" operator="between" text="Corte">
      <formula>NOT(ISERROR(SEARCH("Corte",A10)))</formula>
    </cfRule>
  </conditionalFormatting>
  <conditionalFormatting sqref="O10:P31">
    <cfRule type="containsBlanks" dxfId="7" priority="11">
      <formula>LEN(TRIM(O10))=0</formula>
    </cfRule>
  </conditionalFormatting>
  <dataValidations count="6">
    <dataValidation type="list" allowBlank="1" showInputMessage="1" showErrorMessage="1" sqref="E2:K2">
      <formula1>Intructores</formula1>
    </dataValidation>
    <dataValidation type="list" allowBlank="1" showInputMessage="1" showErrorMessage="1" sqref="E3:K3">
      <formula1>Programas</formula1>
    </dataValidation>
    <dataValidation type="list" allowBlank="1" showInputMessage="1" sqref="O4:R4">
      <formula1>Destinación</formula1>
    </dataValidation>
    <dataValidation type="list" allowBlank="1" showInputMessage="1" showErrorMessage="1" sqref="A10 A11:C31">
      <formula1>CATEGORIAS</formula1>
    </dataValidation>
    <dataValidation type="list" allowBlank="1" showInputMessage="1" sqref="U10:V31">
      <formula1>Observaciones</formula1>
    </dataValidation>
    <dataValidation type="list" allowBlank="1" showInputMessage="1" sqref="D10:N31">
      <formula1>INDIRECT($A10)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/>
      <selection pane="bottomLeft" activeCell="C1" sqref="B1:C4"/>
    </sheetView>
  </sheetViews>
  <sheetFormatPr defaultColWidth="11.4285714285714" defaultRowHeight="15"/>
  <cols>
    <col min="1" max="2" width="4.71428571428571" customWidth="1"/>
    <col min="3" max="3" width="11.4285714285714" customWidth="1"/>
    <col min="4" max="4" width="7.71428571428571" customWidth="1"/>
    <col min="5" max="5" width="9.28571428571429" customWidth="1"/>
    <col min="7" max="7" width="8.71428571428571" customWidth="1"/>
    <col min="8" max="8" width="10.7142857142857" customWidth="1"/>
    <col min="9" max="9" width="11.7142857142857" customWidth="1"/>
    <col min="10" max="10" width="10.1428571428571" customWidth="1"/>
    <col min="11" max="11" width="10.8571428571429" customWidth="1"/>
    <col min="12" max="12" width="9.57142857142857" customWidth="1"/>
    <col min="13" max="13" width="10" customWidth="1"/>
    <col min="14" max="14" width="10.7142857142857" customWidth="1"/>
    <col min="15" max="15" width="15.4285714285714" customWidth="1"/>
    <col min="16" max="16" width="14.7142857142857" customWidth="1"/>
    <col min="18" max="18" width="14.5714285714286" customWidth="1"/>
  </cols>
  <sheetData>
    <row r="1" ht="15.75" customHeight="1" spans="1:27">
      <c r="A1" s="267"/>
      <c r="B1" s="268"/>
      <c r="C1" s="269"/>
      <c r="D1" s="270" t="s">
        <v>64</v>
      </c>
      <c r="E1" s="271"/>
      <c r="F1" s="271"/>
      <c r="G1" s="271"/>
      <c r="H1" s="271"/>
      <c r="I1" s="314"/>
      <c r="J1" s="315" t="s">
        <v>65</v>
      </c>
      <c r="K1" s="316"/>
      <c r="L1" s="316"/>
      <c r="M1" s="317"/>
      <c r="N1" s="318">
        <f>IF('Soli_citud '!O1="","",'Soli_citud '!O1)</f>
        <v>45784</v>
      </c>
      <c r="O1" s="319"/>
      <c r="P1" s="320" t="s">
        <v>66</v>
      </c>
      <c r="Q1" s="363"/>
      <c r="R1" s="364" t="str">
        <f>IF('Soli_citud '!D4="","",'Soli_citud '!D4)</f>
        <v>KAREN CUADROS 2</v>
      </c>
      <c r="S1" s="365"/>
      <c r="Z1" t="s">
        <v>67</v>
      </c>
      <c r="AA1" s="37" t="s">
        <v>67</v>
      </c>
    </row>
    <row r="2" ht="15.75" customHeight="1" spans="1:19">
      <c r="A2" s="267"/>
      <c r="B2" s="272"/>
      <c r="C2" s="273"/>
      <c r="D2" s="274"/>
      <c r="E2" s="275"/>
      <c r="F2" s="275"/>
      <c r="G2" s="275"/>
      <c r="H2" s="275"/>
      <c r="I2" s="321"/>
      <c r="J2" s="322" t="s">
        <v>68</v>
      </c>
      <c r="K2" s="323"/>
      <c r="L2" s="323"/>
      <c r="M2" s="324"/>
      <c r="N2" s="303" t="str">
        <f>'Soli_citud '!F1</f>
        <v>JV0705-1</v>
      </c>
      <c r="O2" s="325"/>
      <c r="P2" s="326"/>
      <c r="Q2" s="366"/>
      <c r="R2" s="367"/>
      <c r="S2" s="368"/>
    </row>
    <row r="3" ht="15.75" customHeight="1" spans="1:19">
      <c r="A3" s="267"/>
      <c r="B3" s="272"/>
      <c r="C3" s="273"/>
      <c r="D3" s="274"/>
      <c r="E3" s="275"/>
      <c r="F3" s="275"/>
      <c r="G3" s="275"/>
      <c r="H3" s="275"/>
      <c r="I3" s="321"/>
      <c r="J3" s="327" t="s">
        <v>69</v>
      </c>
      <c r="K3" s="327"/>
      <c r="L3" s="327"/>
      <c r="M3" s="327"/>
      <c r="N3" s="328">
        <f>IF('Soli_citud '!O3="","",'Soli_citud '!O3)</f>
        <v>2908248</v>
      </c>
      <c r="O3" s="329"/>
      <c r="P3" s="326"/>
      <c r="Q3" s="366"/>
      <c r="R3" s="369" t="str" cm="1">
        <f t="array" ref="R3">IFERROR(_xlfn.IFS(L4="Calzado Producción","Entrega de Producto",L4="Marroquinería  Producción","Entrega Producto"),"")</f>
        <v/>
      </c>
      <c r="S3" s="370"/>
    </row>
    <row r="4" ht="15.75" customHeight="1" spans="1:19">
      <c r="A4" s="267"/>
      <c r="B4" s="276"/>
      <c r="C4" s="277"/>
      <c r="D4" s="278"/>
      <c r="E4" s="279"/>
      <c r="F4" s="279"/>
      <c r="G4" s="279"/>
      <c r="H4" s="279"/>
      <c r="I4" s="330"/>
      <c r="J4" s="331" t="s">
        <v>70</v>
      </c>
      <c r="K4" s="331"/>
      <c r="L4" s="331"/>
      <c r="M4" s="332" t="str">
        <f>IF('Soli_citud '!O4="","",'Soli_citud '!O4)</f>
        <v>Calzado Formación</v>
      </c>
      <c r="N4" s="332"/>
      <c r="O4" s="333"/>
      <c r="P4" s="326"/>
      <c r="Q4" s="366"/>
      <c r="R4" s="371"/>
      <c r="S4" s="372"/>
    </row>
    <row r="5" ht="2.25" customHeight="1" spans="1:17">
      <c r="A5" s="267"/>
      <c r="P5" s="326"/>
      <c r="Q5" s="366"/>
    </row>
    <row r="6" ht="27" customHeight="1" spans="1:19">
      <c r="A6" s="267"/>
      <c r="B6" s="280" t="s">
        <v>71</v>
      </c>
      <c r="C6" s="281"/>
      <c r="D6" s="282"/>
      <c r="E6" s="283" t="s">
        <v>72</v>
      </c>
      <c r="F6" s="283"/>
      <c r="G6" s="283"/>
      <c r="H6" s="283"/>
      <c r="I6" s="334"/>
      <c r="J6" s="335"/>
      <c r="K6" s="336"/>
      <c r="L6" s="336"/>
      <c r="M6" s="336"/>
      <c r="N6" s="337"/>
      <c r="O6" s="337"/>
      <c r="P6" s="326"/>
      <c r="Q6" s="366"/>
      <c r="R6" s="373" t="str">
        <f>IF(R3="","","Valor de Producción ($)")</f>
        <v/>
      </c>
      <c r="S6" s="374"/>
    </row>
    <row r="7" ht="3.75" customHeight="1" spans="1:19">
      <c r="A7" s="267"/>
      <c r="B7" s="284"/>
      <c r="C7" s="285"/>
      <c r="D7" s="286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326"/>
      <c r="Q7" s="366"/>
      <c r="R7" s="375" t="str">
        <f ca="1">IFERROR(IF(R3="","",G9*M10),"")</f>
        <v/>
      </c>
      <c r="S7" s="376"/>
    </row>
    <row r="8" ht="20.25" customHeight="1" spans="1:19">
      <c r="A8" s="267"/>
      <c r="B8" s="288">
        <f ca="1">IF('Soli_citud '!D5&lt;=0,"",'Soli_citud '!D5)</f>
        <v>21785.246</v>
      </c>
      <c r="C8" s="289"/>
      <c r="D8" s="290"/>
      <c r="E8" s="291" t="s">
        <v>73</v>
      </c>
      <c r="F8" s="292"/>
      <c r="G8" s="292"/>
      <c r="H8" s="292"/>
      <c r="I8" s="338"/>
      <c r="J8" s="339" t="str">
        <f>IF('Soli_citud '!E2="","",'Soli_citud '!E2)</f>
        <v>Juan Villa Salazar</v>
      </c>
      <c r="K8" s="340"/>
      <c r="L8" s="340"/>
      <c r="M8" s="340"/>
      <c r="N8" s="340"/>
      <c r="O8" s="340"/>
      <c r="P8" s="326"/>
      <c r="Q8" s="366"/>
      <c r="R8" s="375"/>
      <c r="S8" s="376"/>
    </row>
    <row r="9" ht="3.75" customHeight="1" spans="1:17">
      <c r="A9" s="267"/>
      <c r="B9" s="293" t="s">
        <v>74</v>
      </c>
      <c r="C9" s="294"/>
      <c r="D9" s="295"/>
      <c r="E9" s="296" t="s">
        <v>75</v>
      </c>
      <c r="F9" s="296"/>
      <c r="G9" s="297" t="str">
        <f ca="1">IFERROR(IF(D9="","",ROUNDUP(B8*(1+D9),-2)),"")</f>
        <v/>
      </c>
      <c r="H9" s="298"/>
      <c r="I9" s="341"/>
      <c r="J9" s="287"/>
      <c r="K9" s="287"/>
      <c r="L9" s="287"/>
      <c r="M9" s="287"/>
      <c r="N9" s="287"/>
      <c r="O9" s="287"/>
      <c r="P9" s="326"/>
      <c r="Q9" s="366"/>
    </row>
    <row r="10" ht="27.75" customHeight="1" spans="1:19">
      <c r="A10" s="267"/>
      <c r="B10" s="299"/>
      <c r="C10" s="300"/>
      <c r="D10" s="295"/>
      <c r="E10" s="296"/>
      <c r="F10" s="296"/>
      <c r="G10" s="301"/>
      <c r="H10" s="302"/>
      <c r="I10" s="342"/>
      <c r="J10" s="343" t="s">
        <v>76</v>
      </c>
      <c r="K10" s="343"/>
      <c r="L10" s="344"/>
      <c r="M10" s="345">
        <f>'[1]Soli_citud '!K5</f>
        <v>1</v>
      </c>
      <c r="N10" s="346" t="s">
        <v>77</v>
      </c>
      <c r="O10" s="347"/>
      <c r="P10" s="348"/>
      <c r="Q10" s="377"/>
      <c r="R10" s="378" t="s">
        <v>78</v>
      </c>
      <c r="S10" s="379" t="str" cm="1">
        <f t="array" ref="S10">IFERROR(_xlfn.IFS(M10=1,"",M10&gt;SUM(S12:S30),SUM(S12:S30),M10=SUM(S12:S30),"Cumplido",M10&lt;SUM(S12:S30),"Revisar"),"")</f>
        <v/>
      </c>
    </row>
    <row r="11" ht="45.75" customHeight="1" spans="1:19">
      <c r="A11" s="303" t="s">
        <v>79</v>
      </c>
      <c r="B11" s="304" t="s">
        <v>80</v>
      </c>
      <c r="C11" s="305" t="s">
        <v>81</v>
      </c>
      <c r="D11" s="306"/>
      <c r="E11" s="306"/>
      <c r="F11" s="307"/>
      <c r="G11" s="308" t="s">
        <v>82</v>
      </c>
      <c r="H11" s="308" t="s">
        <v>83</v>
      </c>
      <c r="I11" s="349" t="s">
        <v>84</v>
      </c>
      <c r="J11" s="350" t="s">
        <v>85</v>
      </c>
      <c r="K11" s="351" t="s">
        <v>86</v>
      </c>
      <c r="L11" s="325" t="s">
        <v>27</v>
      </c>
      <c r="M11" s="352"/>
      <c r="N11" s="353" t="s">
        <v>87</v>
      </c>
      <c r="O11" s="353" t="s">
        <v>88</v>
      </c>
      <c r="P11" s="354" t="s">
        <v>89</v>
      </c>
      <c r="Q11" s="380" t="s">
        <v>90</v>
      </c>
      <c r="R11" s="381" t="s">
        <v>91</v>
      </c>
      <c r="S11" s="382" t="s">
        <v>92</v>
      </c>
    </row>
    <row r="12" ht="19.5" customHeight="1" spans="1:19">
      <c r="A12" s="309">
        <v>1</v>
      </c>
      <c r="B12" s="310" t="str">
        <f>IF(H12="","",$N$2)</f>
        <v>JV0705-1</v>
      </c>
      <c r="C12" s="311" t="str">
        <f>IFERROR(IF('Soli_citud '!D10="","",'Soli_citud '!D10),"")</f>
        <v>CARNAZA</v>
      </c>
      <c r="D12" s="311"/>
      <c r="E12" s="311"/>
      <c r="F12" s="311"/>
      <c r="G12" s="312" t="str">
        <f ca="1">IF('Soli_citud '!O10="","",'Soli_citud '!O10)</f>
        <v>dm2</v>
      </c>
      <c r="H12" s="312" cm="1">
        <f t="array" ref="H12">_xlfn.IFS('Soli_citud '!S10="","",'Soli_citud '!S10&lt;=0,"",'Soli_citud '!S10&gt;0,'Soli_citud '!S10)</f>
        <v>6.47</v>
      </c>
      <c r="I12" s="355"/>
      <c r="J12" s="356"/>
      <c r="K12" s="357" cm="1">
        <f t="array" ref="K12">IFERROR(_xlfn.IFS(H12="","",J12=H12,"Cumplido",J12&lt;H12,H12-J12,J12&gt;H12,"Revisar"),"")</f>
        <v>6.47</v>
      </c>
      <c r="L12" s="358"/>
      <c r="M12" s="359"/>
      <c r="N12" s="356"/>
      <c r="O12" s="360" t="str">
        <f t="shared" ref="O12" si="0">IFERROR(H12/N12,"")</f>
        <v/>
      </c>
      <c r="P12" s="303" t="str" cm="1">
        <f t="array" ref="P12">IFERROR(_xlfn.IFS(Q12&gt;0,"ENTREGADO",'Soli_citud '!A10="HERRAMIENTAS_","DEVOLUTIVO"),"")</f>
        <v/>
      </c>
      <c r="Q12" s="383"/>
      <c r="R12" s="383"/>
      <c r="S12" s="356"/>
    </row>
    <row r="13" ht="21" customHeight="1" spans="1:19">
      <c r="A13" s="313">
        <v>2</v>
      </c>
      <c r="B13" s="310" t="str">
        <f t="shared" ref="B13:B32" si="1">IF(H13="","",$N$2)</f>
        <v>JV0705-1</v>
      </c>
      <c r="C13" s="311" t="str">
        <f>IFERROR(IF('Soli_citud '!D11="","",'Soli_citud '!D11),"")</f>
        <v>NAPPA</v>
      </c>
      <c r="D13" s="311"/>
      <c r="E13" s="311"/>
      <c r="F13" s="311"/>
      <c r="G13" s="312" t="str">
        <f ca="1">IF('Soli_citud '!O11="","",'Soli_citud '!O11)</f>
        <v>dm2</v>
      </c>
      <c r="H13" s="312" cm="1">
        <f t="array" ref="H13">_xlfn.IFS('Soli_citud '!S11="","",'Soli_citud '!S11&lt;=0,"",'Soli_citud '!S11&gt;0,'Soli_citud '!S11)</f>
        <v>4.12</v>
      </c>
      <c r="I13" s="355"/>
      <c r="J13" s="361"/>
      <c r="K13" s="357" cm="1">
        <f t="array" ref="K13">IFERROR(_xlfn.IFS(H13="","",J13=H13,"Cumplido",J13&lt;H13,H13-J13,J13&gt;H13,"Revisar"),"")</f>
        <v>4.12</v>
      </c>
      <c r="L13" s="358"/>
      <c r="M13" s="359"/>
      <c r="N13" s="356"/>
      <c r="O13" s="360" t="str">
        <f t="shared" ref="O13:O16" si="2">IFERROR(H13/N13,"")</f>
        <v/>
      </c>
      <c r="P13" s="303" t="str" cm="1">
        <f t="array" ref="P13">IFERROR(_xlfn.IFS(Q13&gt;0,"ENTREGADO",'Soli_citud '!A11="HERRAMIENTAS_","DEVOLUTIVO"),"")</f>
        <v/>
      </c>
      <c r="Q13" s="383"/>
      <c r="R13" s="356"/>
      <c r="S13" s="356"/>
    </row>
    <row r="14" ht="21" customHeight="1" spans="1:19">
      <c r="A14" s="309">
        <v>3</v>
      </c>
      <c r="B14" s="310" t="str">
        <f t="shared" si="1"/>
        <v>JV0705-1</v>
      </c>
      <c r="C14" s="311" t="str">
        <f>IFERROR(IF('Soli_citud '!D12="","",'Soli_citud '!D12),"")</f>
        <v>FORRO  PIQUET</v>
      </c>
      <c r="D14" s="311"/>
      <c r="E14" s="311"/>
      <c r="F14" s="311"/>
      <c r="G14" s="312" t="str">
        <f ca="1">IF('Soli_citud '!O12="","",'Soli_citud '!O12)</f>
        <v>cm2</v>
      </c>
      <c r="H14" s="312" cm="1">
        <f t="array" ref="H14">_xlfn.IFS('Soli_citud '!S12="","",'Soli_citud '!S12&lt;=0,"",'Soli_citud '!S12&gt;0,'Soli_citud '!S12)</f>
        <v>28</v>
      </c>
      <c r="I14" s="355"/>
      <c r="J14" s="361"/>
      <c r="K14" s="357" cm="1">
        <f t="array" ref="K14">IFERROR(_xlfn.IFS(H14="","",J14=H14,"Cumplido",J14&lt;H14,H14-J14,J14&gt;H14,"Revisar"),"")</f>
        <v>28</v>
      </c>
      <c r="L14" s="358"/>
      <c r="M14" s="359"/>
      <c r="N14" s="356"/>
      <c r="O14" s="360" t="str">
        <f t="shared" si="2"/>
        <v/>
      </c>
      <c r="P14" s="303" t="str" cm="1">
        <f t="array" ref="P14">IFERROR(_xlfn.IFS(Q14&gt;0,"ENTREGADO",'Soli_citud '!A12="HERRAMIENTAS_","DEVOLUTIVO"),"")</f>
        <v/>
      </c>
      <c r="Q14" s="383"/>
      <c r="R14" s="356"/>
      <c r="S14" s="356"/>
    </row>
    <row r="15" ht="21" customHeight="1" spans="1:19">
      <c r="A15" s="313">
        <v>4</v>
      </c>
      <c r="B15" s="310" t="str">
        <f t="shared" si="1"/>
        <v>JV0705-1</v>
      </c>
      <c r="C15" s="311" t="str">
        <f>IFERROR(IF('Soli_citud '!D13="","",'Soli_citud '!D13),"")</f>
        <v>SUELA DEPORTIVA UNISEX EVA SD-8006 BLANCO</v>
      </c>
      <c r="D15" s="311"/>
      <c r="E15" s="311"/>
      <c r="F15" s="311"/>
      <c r="G15" s="312" t="str">
        <f ca="1">IF('Soli_citud '!O13="","",'Soli_citud '!O13)</f>
        <v>Par</v>
      </c>
      <c r="H15" s="312" cm="1">
        <f t="array" ref="H15">_xlfn.IFS('Soli_citud '!S13="","",'Soli_citud '!S13&lt;=0,"",'Soli_citud '!S13&gt;0,'Soli_citud '!S13)</f>
        <v>1</v>
      </c>
      <c r="I15" s="355"/>
      <c r="J15" s="361"/>
      <c r="K15" s="357" cm="1">
        <f t="array" ref="K15">IFERROR(_xlfn.IFS(H15="","",J15=H15,"Cumplido",J15&lt;H15,H15-J15,J15&gt;H15,"Revisar"),"")</f>
        <v>1</v>
      </c>
      <c r="L15" s="358"/>
      <c r="M15" s="359"/>
      <c r="N15" s="356"/>
      <c r="O15" s="360" t="str">
        <f t="shared" si="2"/>
        <v/>
      </c>
      <c r="P15" s="303" t="str" cm="1">
        <f t="array" ref="P15">IFERROR(_xlfn.IFS(Q15&gt;0,"ENTREGADO",'Soli_citud '!A13="HERRAMIENTAS_","DEVOLUTIVO"),"")</f>
        <v/>
      </c>
      <c r="Q15" s="383"/>
      <c r="R15" s="356"/>
      <c r="S15" s="356"/>
    </row>
    <row r="16" ht="21" customHeight="1" spans="1:19">
      <c r="A16" s="309">
        <v>5</v>
      </c>
      <c r="B16" s="310" t="str">
        <f t="shared" si="1"/>
        <v>JV0705-1</v>
      </c>
      <c r="C16" s="311" t="str">
        <f>IFERROR(IF('Soli_citud '!D14="","",'Soli_citud '!D14),"")</f>
        <v>NOBUCK</v>
      </c>
      <c r="D16" s="311"/>
      <c r="E16" s="311"/>
      <c r="F16" s="311"/>
      <c r="G16" s="312" t="str">
        <f ca="1">IF('Soli_citud '!O14="","",'Soli_citud '!O14)</f>
        <v>dm2</v>
      </c>
      <c r="H16" s="312" cm="1">
        <f t="array" ref="H16">_xlfn.IFS('Soli_citud '!S14="","",'Soli_citud '!S14&lt;=0,"",'Soli_citud '!S14&gt;0,'Soli_citud '!S14)</f>
        <v>12</v>
      </c>
      <c r="I16" s="355"/>
      <c r="J16" s="361"/>
      <c r="K16" s="357" cm="1">
        <f t="array" ref="K16">IFERROR(_xlfn.IFS(H16="","",J16=H16,"Cumplido",J16&lt;H16,H16-J16,J16&gt;H16,"Revisar"),"")</f>
        <v>12</v>
      </c>
      <c r="L16" s="358"/>
      <c r="M16" s="359"/>
      <c r="N16" s="356"/>
      <c r="O16" s="360" t="str">
        <f t="shared" si="2"/>
        <v/>
      </c>
      <c r="P16" s="303" t="str" cm="1">
        <f t="array" ref="P16">IFERROR(_xlfn.IFS(Q16&gt;0,"ENTREGADO",'Soli_citud '!A14="HERRAMIENTAS_","DEVOLUTIVO"),"")</f>
        <v/>
      </c>
      <c r="Q16" s="383"/>
      <c r="R16" s="356"/>
      <c r="S16" s="356"/>
    </row>
    <row r="17" ht="34.5" customHeight="1" spans="1:19">
      <c r="A17" s="313">
        <v>6</v>
      </c>
      <c r="B17" s="310" t="str">
        <f t="shared" si="1"/>
        <v>JV0705-1</v>
      </c>
      <c r="C17" s="311" t="str">
        <f>IFERROR(IF('Soli_citud '!D15="","",'Soli_citud '!D15),"")</f>
        <v>Cordon PLANO  BEIGE 110cm</v>
      </c>
      <c r="D17" s="311"/>
      <c r="E17" s="311"/>
      <c r="F17" s="311"/>
      <c r="G17" s="312" t="str">
        <f ca="1">IF('Soli_citud '!O15="","",'Soli_citud '!O15)</f>
        <v>Par</v>
      </c>
      <c r="H17" s="312" cm="1">
        <f t="array" ref="H17">_xlfn.IFS('Soli_citud '!S15="","",'Soli_citud '!S15&lt;=0,"",'Soli_citud '!S15&gt;0,'Soli_citud '!S15)</f>
        <v>1</v>
      </c>
      <c r="I17" s="355"/>
      <c r="J17" s="361"/>
      <c r="K17" s="357" cm="1">
        <f t="array" ref="K17">IFERROR(_xlfn.IFS(H17="","",J17=H17,"Cumplido",J17&lt;H17,H17-J17,J17&gt;H17,"Revisar"),"")</f>
        <v>1</v>
      </c>
      <c r="L17" s="358"/>
      <c r="M17" s="359"/>
      <c r="N17" s="356"/>
      <c r="O17" s="360" t="str">
        <f t="shared" ref="O17:O32" si="3">IFERROR(H17/N17,"")</f>
        <v/>
      </c>
      <c r="P17" s="303" t="str" cm="1">
        <f t="array" ref="P17">IFERROR(_xlfn.IFS(Q17&gt;0,"ENTREGADO",'Soli_citud '!A15="HERRAMIENTAS_","DEVOLUTIVO"),"")</f>
        <v/>
      </c>
      <c r="Q17" s="383"/>
      <c r="R17" s="356"/>
      <c r="S17" s="356"/>
    </row>
    <row r="18" ht="21" customHeight="1" spans="1:19">
      <c r="A18" s="309">
        <v>7</v>
      </c>
      <c r="B18" s="310" t="str">
        <f t="shared" si="1"/>
        <v>JV0705-1</v>
      </c>
      <c r="C18" s="311" t="str">
        <f>IFERROR(IF('Soli_citud '!D16="","",'Soli_citud '!D16),"")</f>
        <v>ESPUMA MULTIFORM DENSIDAD 40 DE 10 mm</v>
      </c>
      <c r="D18" s="311"/>
      <c r="E18" s="311"/>
      <c r="F18" s="311"/>
      <c r="G18" s="312" t="str">
        <f ca="1">IF('Soli_citud '!O16="","",'Soli_citud '!O16)</f>
        <v>cm2</v>
      </c>
      <c r="H18" s="312" cm="1">
        <f t="array" ref="H18">_xlfn.IFS('Soli_citud '!S16="","",'Soli_citud '!S16&lt;=0,"",'Soli_citud '!S16&gt;0,'Soli_citud '!S16)</f>
        <v>200</v>
      </c>
      <c r="I18" s="355"/>
      <c r="J18" s="361"/>
      <c r="K18" s="357" cm="1">
        <f t="array" ref="K18">IFERROR(_xlfn.IFS(H18="","",J18=H18,"Cumplido",J18&lt;H18,H18-J18,J18&gt;H18,"Revisar"),"")</f>
        <v>200</v>
      </c>
      <c r="L18" s="358"/>
      <c r="M18" s="359"/>
      <c r="N18" s="356"/>
      <c r="O18" s="360" t="str">
        <f t="shared" si="3"/>
        <v/>
      </c>
      <c r="P18" s="303" t="str" cm="1">
        <f t="array" ref="P18">IFERROR(_xlfn.IFS(Q18&gt;0,"ENTREGADO",'Soli_citud '!A16="HERRAMIENTAS_","DEVOLUTIVO"),"")</f>
        <v/>
      </c>
      <c r="Q18" s="383"/>
      <c r="R18" s="356"/>
      <c r="S18" s="356"/>
    </row>
    <row r="19" ht="21" customHeight="1" spans="1:19">
      <c r="A19" s="313">
        <v>8</v>
      </c>
      <c r="B19" s="310" t="str">
        <f t="shared" si="1"/>
        <v>JV0705-1</v>
      </c>
      <c r="C19" s="311" t="str">
        <f>IFERROR(IF('Soli_citud '!D17="","",'Soli_citud '!D17),"")</f>
        <v>ESPUMA MULTIFORM DENSIDAD 40 DE 5 mm</v>
      </c>
      <c r="D19" s="311"/>
      <c r="E19" s="311"/>
      <c r="F19" s="311"/>
      <c r="G19" s="312" t="str">
        <f ca="1">IF('Soli_citud '!O17="","",'Soli_citud '!O17)</f>
        <v>cm2</v>
      </c>
      <c r="H19" s="312" cm="1">
        <f t="array" ref="H19">_xlfn.IFS('Soli_citud '!S17="","",'Soli_citud '!S17&lt;=0,"",'Soli_citud '!S17&gt;0,'Soli_citud '!S17)</f>
        <v>250</v>
      </c>
      <c r="I19" s="355"/>
      <c r="J19" s="361"/>
      <c r="K19" s="357" cm="1">
        <f t="array" ref="K19">IFERROR(_xlfn.IFS(H19="","",J19=H19,"Cumplido",J19&lt;H19,H19-J19,J19&gt;H19,"Revisar"),"")</f>
        <v>250</v>
      </c>
      <c r="L19" s="358"/>
      <c r="M19" s="359"/>
      <c r="N19" s="356"/>
      <c r="O19" s="360" t="str">
        <f t="shared" si="3"/>
        <v/>
      </c>
      <c r="P19" s="303" t="str" cm="1">
        <f t="array" ref="P19">IFERROR(_xlfn.IFS(Q19&gt;0,"ENTREGADO",'Soli_citud '!A17="HERRAMIENTAS_","DEVOLUTIVO"),"")</f>
        <v/>
      </c>
      <c r="Q19" s="383"/>
      <c r="R19" s="356"/>
      <c r="S19" s="356"/>
    </row>
    <row r="20" ht="21" customHeight="1" spans="1:19">
      <c r="A20" s="309">
        <v>9</v>
      </c>
      <c r="B20" s="310" t="str">
        <f t="shared" si="1"/>
        <v/>
      </c>
      <c r="C20" s="311" t="str">
        <f>IFERROR(IF('Soli_citud '!D18="","",'Soli_citud '!D18),"")</f>
        <v/>
      </c>
      <c r="D20" s="311"/>
      <c r="E20" s="311"/>
      <c r="F20" s="311"/>
      <c r="G20" s="312" t="str">
        <f ca="1">IF('Soli_citud '!O18="","",'Soli_citud '!O18)</f>
        <v/>
      </c>
      <c r="H20" s="312" t="str" cm="1">
        <f t="array" ref="H20">_xlfn.IFS('Soli_citud '!S18="","",'Soli_citud '!S18&lt;=0,"",'Soli_citud '!S18&gt;0,'Soli_citud '!S18)</f>
        <v/>
      </c>
      <c r="I20" s="355"/>
      <c r="J20" s="361"/>
      <c r="K20" s="357" t="str" cm="1">
        <f t="array" ref="K20">IFERROR(_xlfn.IFS(H20="","",J20=H20,"Cumplido",J20&lt;H20,H20-J20,J20&gt;H20,"Revisar"),"")</f>
        <v/>
      </c>
      <c r="L20" s="358"/>
      <c r="M20" s="359"/>
      <c r="N20" s="356"/>
      <c r="O20" s="360" t="str">
        <f t="shared" si="3"/>
        <v/>
      </c>
      <c r="P20" s="303" t="str" cm="1">
        <f t="array" ref="P20">IFERROR(_xlfn.IFS(Q20&gt;0,"ENTREGADO",'Soli_citud '!A18="HERRAMIENTAS_","DEVOLUTIVO"),"")</f>
        <v/>
      </c>
      <c r="Q20" s="383"/>
      <c r="R20" s="356"/>
      <c r="S20" s="356"/>
    </row>
    <row r="21" ht="21" customHeight="1" spans="1:19">
      <c r="A21" s="309">
        <v>11</v>
      </c>
      <c r="B21" s="310" t="str">
        <f t="shared" si="1"/>
        <v/>
      </c>
      <c r="C21" s="311" t="str">
        <f>IFERROR(IF('Soli_citud '!D19="","",'Soli_citud '!D19),"")</f>
        <v/>
      </c>
      <c r="D21" s="311"/>
      <c r="E21" s="311"/>
      <c r="F21" s="311"/>
      <c r="G21" s="312" t="str">
        <f ca="1">IF('Soli_citud '!O19="","",'Soli_citud '!O19)</f>
        <v/>
      </c>
      <c r="H21" s="312" t="str" cm="1">
        <f t="array" ref="H21">_xlfn.IFS('Soli_citud '!S19="","",'Soli_citud '!S19&lt;=0,"",'Soli_citud '!S19&gt;0,'Soli_citud '!S19)</f>
        <v/>
      </c>
      <c r="I21" s="355"/>
      <c r="J21" s="361"/>
      <c r="K21" s="357" t="str" cm="1">
        <f t="array" ref="K21">IFERROR(_xlfn.IFS(H21="","",J21=H21,"Cumplido",J21&lt;H21,H21-J21,J21&gt;H21,"Revisar"),"")</f>
        <v/>
      </c>
      <c r="L21" s="358"/>
      <c r="M21" s="359"/>
      <c r="N21" s="356"/>
      <c r="O21" s="360" t="str">
        <f t="shared" si="3"/>
        <v/>
      </c>
      <c r="P21" s="303" t="str" cm="1">
        <f t="array" ref="P21">IFERROR(_xlfn.IFS(Q21&gt;0,"ENTREGADO",'Soli_citud '!A19="HERRAMIENTAS_","DEVOLUTIVO"),"")</f>
        <v/>
      </c>
      <c r="Q21" s="383"/>
      <c r="R21" s="356"/>
      <c r="S21" s="356"/>
    </row>
    <row r="22" ht="21" customHeight="1" spans="1:19">
      <c r="A22" s="313">
        <v>12</v>
      </c>
      <c r="B22" s="310" t="str">
        <f t="shared" si="1"/>
        <v/>
      </c>
      <c r="C22" s="311" t="str">
        <f>IFERROR(IF('Soli_citud '!D20="","",'Soli_citud '!D20),"")</f>
        <v/>
      </c>
      <c r="D22" s="311"/>
      <c r="E22" s="311"/>
      <c r="F22" s="311"/>
      <c r="G22" s="312" t="str">
        <f ca="1">IF('Soli_citud '!O20="","",'Soli_citud '!O20)</f>
        <v/>
      </c>
      <c r="H22" s="312" t="str" cm="1">
        <f t="array" ref="H22">_xlfn.IFS('Soli_citud '!S20="","",'Soli_citud '!S20&lt;=0,"",'Soli_citud '!S20&gt;0,'Soli_citud '!S20)</f>
        <v/>
      </c>
      <c r="I22" s="362"/>
      <c r="J22" s="361"/>
      <c r="K22" s="357" t="str" cm="1">
        <f t="array" ref="K22">IFERROR(_xlfn.IFS(H22="","",J22=H22,"Cumplido",J22&lt;H22,H22-J22,J22&gt;H22,"Revisar"),"")</f>
        <v/>
      </c>
      <c r="L22" s="358"/>
      <c r="M22" s="359"/>
      <c r="N22" s="356"/>
      <c r="O22" s="360" t="str">
        <f t="shared" si="3"/>
        <v/>
      </c>
      <c r="P22" s="303" t="str" cm="1">
        <f t="array" ref="P22">IFERROR(_xlfn.IFS(Q22&gt;0,"ENTREGADO",'Soli_citud '!A20="HERRAMIENTAS_","DEVOLUTIVO"),"")</f>
        <v/>
      </c>
      <c r="Q22" s="383"/>
      <c r="R22" s="356"/>
      <c r="S22" s="356"/>
    </row>
    <row r="23" ht="21" customHeight="1" spans="1:19">
      <c r="A23" s="309">
        <v>13</v>
      </c>
      <c r="B23" s="310" t="str">
        <f t="shared" si="1"/>
        <v/>
      </c>
      <c r="C23" s="311" t="str">
        <f>IFERROR(IF('Soli_citud '!D21="","",'Soli_citud '!D21),"")</f>
        <v/>
      </c>
      <c r="D23" s="311"/>
      <c r="E23" s="311"/>
      <c r="F23" s="311"/>
      <c r="G23" s="312" t="str">
        <f ca="1">IF('Soli_citud '!O21="","",'Soli_citud '!O21)</f>
        <v/>
      </c>
      <c r="H23" s="312" t="str" cm="1">
        <f t="array" ref="H23">_xlfn.IFS('Soli_citud '!S21="","",'Soli_citud '!S21&lt;=0,"",'Soli_citud '!S21&gt;0,'Soli_citud '!S21)</f>
        <v/>
      </c>
      <c r="I23" s="362"/>
      <c r="J23" s="361"/>
      <c r="K23" s="357" t="str" cm="1">
        <f t="array" ref="K23">IFERROR(_xlfn.IFS(H23="","",J23=H23,"Cumplido",J23&lt;H23,H23-J23,J23&gt;H23,"Revisar"),"")</f>
        <v/>
      </c>
      <c r="L23" s="358"/>
      <c r="M23" s="359"/>
      <c r="N23" s="356"/>
      <c r="O23" s="360" t="str">
        <f t="shared" si="3"/>
        <v/>
      </c>
      <c r="P23" s="303" t="str" cm="1">
        <f t="array" ref="P23">IFERROR(_xlfn.IFS(Q23&gt;0,"ENTREGADO",'Soli_citud '!A21="HERRAMIENTAS_","DEVOLUTIVO"),"")</f>
        <v/>
      </c>
      <c r="Q23" s="383"/>
      <c r="R23" s="356"/>
      <c r="S23" s="356"/>
    </row>
    <row r="24" ht="21" customHeight="1" spans="1:19">
      <c r="A24" s="313">
        <v>14</v>
      </c>
      <c r="B24" s="310" t="str">
        <f t="shared" si="1"/>
        <v/>
      </c>
      <c r="C24" s="311" t="str">
        <f>IFERROR(IF('Soli_citud '!D22="","",'Soli_citud '!D22),"")</f>
        <v/>
      </c>
      <c r="D24" s="311"/>
      <c r="E24" s="311"/>
      <c r="F24" s="311"/>
      <c r="G24" s="312" t="str">
        <f ca="1">IF('Soli_citud '!O22="","",'Soli_citud '!O22)</f>
        <v/>
      </c>
      <c r="H24" s="312" t="str" cm="1">
        <f t="array" ref="H24">_xlfn.IFS('Soli_citud '!S22="","",'Soli_citud '!S22&lt;=0,"",'Soli_citud '!S22&gt;0,'Soli_citud '!S22)</f>
        <v/>
      </c>
      <c r="I24" s="362"/>
      <c r="J24" s="361"/>
      <c r="K24" s="357" t="str" cm="1">
        <f t="array" ref="K24">IFERROR(_xlfn.IFS(H24="","",J24=H24,"Cumplido",J24&lt;H24,H24-J24,J24&gt;H24,"Revisar"),"")</f>
        <v/>
      </c>
      <c r="L24" s="358"/>
      <c r="M24" s="359"/>
      <c r="N24" s="356"/>
      <c r="O24" s="360" t="str">
        <f t="shared" si="3"/>
        <v/>
      </c>
      <c r="P24" s="303" t="str" cm="1">
        <f t="array" ref="P24">IFERROR(_xlfn.IFS(Q24&gt;0,"ENTREGADO",'Soli_citud '!A22="HERRAMIENTAS_","DEVOLUTIVO"),"")</f>
        <v/>
      </c>
      <c r="Q24" s="383"/>
      <c r="R24" s="356"/>
      <c r="S24" s="356"/>
    </row>
    <row r="25" ht="21" customHeight="1" spans="1:19">
      <c r="A25" s="309">
        <v>15</v>
      </c>
      <c r="B25" s="310" t="str">
        <f t="shared" si="1"/>
        <v/>
      </c>
      <c r="C25" s="311" t="str">
        <f>IFERROR(IF('Soli_citud '!D23="","",'Soli_citud '!D23),"")</f>
        <v/>
      </c>
      <c r="D25" s="311"/>
      <c r="E25" s="311"/>
      <c r="F25" s="311"/>
      <c r="G25" s="312" t="str">
        <f ca="1">IF('Soli_citud '!O23="","",'Soli_citud '!O23)</f>
        <v/>
      </c>
      <c r="H25" s="312" t="str" cm="1">
        <f t="array" ref="H25">_xlfn.IFS('Soli_citud '!S23="","",'Soli_citud '!S23&lt;=0,"",'Soli_citud '!S23&gt;0,'Soli_citud '!S23)</f>
        <v/>
      </c>
      <c r="I25" s="362"/>
      <c r="J25" s="361"/>
      <c r="K25" s="357" t="str" cm="1">
        <f t="array" ref="K25">IFERROR(_xlfn.IFS(H25="","",J25=H25,"Cumplido",J25&lt;H25,H25-J25,J25&gt;H25,"Revisar"),"")</f>
        <v/>
      </c>
      <c r="L25" s="358"/>
      <c r="M25" s="359"/>
      <c r="N25" s="356"/>
      <c r="O25" s="360" t="str">
        <f t="shared" si="3"/>
        <v/>
      </c>
      <c r="P25" s="303" t="str" cm="1">
        <f t="array" ref="P25">IFERROR(_xlfn.IFS(Q25&gt;0,"ENTREGADO",'Soli_citud '!A23="HERRAMIENTAS_","DEVOLUTIVO"),"")</f>
        <v/>
      </c>
      <c r="Q25" s="383"/>
      <c r="R25" s="356"/>
      <c r="S25" s="356"/>
    </row>
    <row r="26" ht="21" customHeight="1" spans="1:19">
      <c r="A26" s="313">
        <v>16</v>
      </c>
      <c r="B26" s="310" t="str">
        <f t="shared" si="1"/>
        <v/>
      </c>
      <c r="C26" s="311" t="str">
        <f>IFERROR(IF('Soli_citud '!D24="","",'Soli_citud '!D24),"")</f>
        <v/>
      </c>
      <c r="D26" s="311"/>
      <c r="E26" s="311"/>
      <c r="F26" s="311"/>
      <c r="G26" s="312" t="str">
        <f ca="1">IF('Soli_citud '!O24="","",'Soli_citud '!O24)</f>
        <v/>
      </c>
      <c r="H26" s="312" t="str" cm="1">
        <f t="array" ref="H26">_xlfn.IFS('Soli_citud '!S24="","",'Soli_citud '!S24&lt;=0,"",'Soli_citud '!S24&gt;0,'Soli_citud '!S24)</f>
        <v/>
      </c>
      <c r="I26" s="362"/>
      <c r="J26" s="361"/>
      <c r="K26" s="357" t="str" cm="1">
        <f t="array" ref="K26">IFERROR(_xlfn.IFS(H26="","",J26=H26,"Cumplido",J26&lt;H26,H26-J26,J26&gt;H26,"Revisar"),"")</f>
        <v/>
      </c>
      <c r="L26" s="358"/>
      <c r="M26" s="359"/>
      <c r="N26" s="356"/>
      <c r="O26" s="360" t="str">
        <f t="shared" si="3"/>
        <v/>
      </c>
      <c r="P26" s="303" t="str" cm="1">
        <f t="array" ref="P26">IFERROR(_xlfn.IFS(Q26&gt;0,"ENTREGADO",'Soli_citud '!A24="HERRAMIENTAS_","DEVOLUTIVO"),"")</f>
        <v/>
      </c>
      <c r="Q26" s="383"/>
      <c r="R26" s="356"/>
      <c r="S26" s="356"/>
    </row>
    <row r="27" ht="21" customHeight="1" spans="1:19">
      <c r="A27" s="309">
        <v>17</v>
      </c>
      <c r="B27" s="310" t="str">
        <f t="shared" si="1"/>
        <v/>
      </c>
      <c r="C27" s="311" t="str">
        <f>IFERROR(IF('Soli_citud '!D25="","",'Soli_citud '!D25),"")</f>
        <v/>
      </c>
      <c r="D27" s="311"/>
      <c r="E27" s="311"/>
      <c r="F27" s="311"/>
      <c r="G27" s="312" t="str">
        <f ca="1">IF('Soli_citud '!O25="","",'Soli_citud '!O25)</f>
        <v/>
      </c>
      <c r="H27" s="312" t="str" cm="1">
        <f t="array" ref="H27">_xlfn.IFS('Soli_citud '!S25="","",'Soli_citud '!S25&lt;=0,"",'Soli_citud '!S25&gt;0,'Soli_citud '!S25)</f>
        <v/>
      </c>
      <c r="I27" s="362"/>
      <c r="J27" s="361"/>
      <c r="K27" s="357" t="str" cm="1">
        <f t="array" ref="K27">IFERROR(_xlfn.IFS(H27="","",J27=H27,"Cumplido",J27&lt;H27,H27-J27,J27&gt;H27,"Revisar"),"")</f>
        <v/>
      </c>
      <c r="L27" s="358"/>
      <c r="M27" s="359"/>
      <c r="N27" s="356"/>
      <c r="O27" s="360" t="str">
        <f t="shared" si="3"/>
        <v/>
      </c>
      <c r="P27" s="303" t="str" cm="1">
        <f t="array" ref="P27">IFERROR(_xlfn.IFS(Q27&gt;0,"ENTREGADO",'Soli_citud '!A25="HERRAMIENTAS_","DEVOLUTIVO"),"")</f>
        <v/>
      </c>
      <c r="Q27" s="383"/>
      <c r="R27" s="356"/>
      <c r="S27" s="356"/>
    </row>
    <row r="28" ht="21" customHeight="1" spans="1:19">
      <c r="A28" s="313">
        <v>18</v>
      </c>
      <c r="B28" s="310" t="str">
        <f t="shared" si="1"/>
        <v/>
      </c>
      <c r="C28" s="311" t="str">
        <f>IFERROR(IF('Soli_citud '!D26="","",'Soli_citud '!D26),"")</f>
        <v/>
      </c>
      <c r="D28" s="311"/>
      <c r="E28" s="311"/>
      <c r="F28" s="311"/>
      <c r="G28" s="312" t="str">
        <f ca="1">IF('Soli_citud '!O26="","",'Soli_citud '!O26)</f>
        <v/>
      </c>
      <c r="H28" s="312" t="str" cm="1">
        <f t="array" ref="H28">_xlfn.IFS('Soli_citud '!S26="","",'Soli_citud '!S26&lt;=0,"",'Soli_citud '!S26&gt;0,'Soli_citud '!S26)</f>
        <v/>
      </c>
      <c r="I28" s="362"/>
      <c r="J28" s="361"/>
      <c r="K28" s="357" t="str" cm="1">
        <f t="array" ref="K28">IFERROR(_xlfn.IFS(H28="","",J28=H28,"Cumplido",J28&lt;H28,H28-J28,J28&gt;H28,"Revisar"),"")</f>
        <v/>
      </c>
      <c r="L28" s="358"/>
      <c r="M28" s="359"/>
      <c r="N28" s="356"/>
      <c r="O28" s="360" t="str">
        <f t="shared" si="3"/>
        <v/>
      </c>
      <c r="P28" s="303" t="str" cm="1">
        <f t="array" ref="P28">IFERROR(_xlfn.IFS(Q28&gt;0,"ENTREGADO",'Soli_citud '!A26="HERRAMIENTAS_","DEVOLUTIVO"),"")</f>
        <v/>
      </c>
      <c r="Q28" s="383"/>
      <c r="R28" s="356"/>
      <c r="S28" s="356"/>
    </row>
    <row r="29" ht="21" spans="1:19">
      <c r="A29" s="309">
        <v>19</v>
      </c>
      <c r="B29" s="310" t="str">
        <f t="shared" si="1"/>
        <v/>
      </c>
      <c r="C29" s="311" t="str">
        <f>IFERROR(IF('Soli_citud '!D27="","",'Soli_citud '!D27),"")</f>
        <v/>
      </c>
      <c r="D29" s="311"/>
      <c r="E29" s="311"/>
      <c r="F29" s="311"/>
      <c r="G29" s="312" t="str">
        <f ca="1">IF('Soli_citud '!O27="","",'Soli_citud '!O27)</f>
        <v/>
      </c>
      <c r="H29" s="312" t="str" cm="1">
        <f t="array" ref="H29">_xlfn.IFS('Soli_citud '!S27="","",'Soli_citud '!S27&lt;=0,"",'Soli_citud '!S27&gt;0,'Soli_citud '!S27)</f>
        <v/>
      </c>
      <c r="I29" s="362"/>
      <c r="J29" s="361"/>
      <c r="K29" s="357" t="str" cm="1">
        <f t="array" ref="K29">IFERROR(_xlfn.IFS(H29="","",J29=H29,"Cumplido",J29&lt;H29,H29-J29,J29&gt;H29,"Revisar"),"")</f>
        <v/>
      </c>
      <c r="L29" s="358"/>
      <c r="M29" s="359"/>
      <c r="N29" s="356"/>
      <c r="O29" s="360" t="str">
        <f t="shared" si="3"/>
        <v/>
      </c>
      <c r="P29" s="303" t="str" cm="1">
        <f t="array" ref="P29">IFERROR(_xlfn.IFS(Q29&gt;0,"ENTREGADO",'Soli_citud '!A27="HERRAMIENTAS_","DEVOLUTIVO"),"")</f>
        <v/>
      </c>
      <c r="Q29" s="383"/>
      <c r="R29" s="356"/>
      <c r="S29" s="356"/>
    </row>
    <row r="30" ht="21" spans="1:19">
      <c r="A30" s="313">
        <v>20</v>
      </c>
      <c r="B30" s="310" t="str">
        <f t="shared" si="1"/>
        <v/>
      </c>
      <c r="C30" s="311" t="str">
        <f>IFERROR(IF('Soli_citud '!D28="","",'Soli_citud '!D28),"")</f>
        <v/>
      </c>
      <c r="D30" s="311"/>
      <c r="E30" s="311"/>
      <c r="F30" s="311"/>
      <c r="G30" s="312" t="str">
        <f ca="1">IF('Soli_citud '!O28="","",'Soli_citud '!O28)</f>
        <v/>
      </c>
      <c r="H30" s="312" t="str" cm="1">
        <f t="array" ref="H30">_xlfn.IFS('Soli_citud '!S28="","",'Soli_citud '!S28&lt;=0,"",'Soli_citud '!S28&gt;0,'Soli_citud '!S28)</f>
        <v/>
      </c>
      <c r="I30" s="362"/>
      <c r="J30" s="361"/>
      <c r="K30" s="357" t="str" cm="1">
        <f t="array" ref="K30">IFERROR(_xlfn.IFS(H30="","",J30=H30,"Cumplido",J30&lt;H30,H30-J30,J30&gt;H30,"Revisar"),"")</f>
        <v/>
      </c>
      <c r="L30" s="358"/>
      <c r="M30" s="359"/>
      <c r="N30" s="356"/>
      <c r="O30" s="360" t="str">
        <f t="shared" si="3"/>
        <v/>
      </c>
      <c r="P30" s="303" t="str" cm="1">
        <f t="array" ref="P30">IFERROR(_xlfn.IFS(Q30&gt;0,"ENTREGADO",'Soli_citud '!A28="HERRAMIENTAS_","DEVOLUTIVO"),"")</f>
        <v/>
      </c>
      <c r="Q30" s="383"/>
      <c r="R30" s="356"/>
      <c r="S30" s="356"/>
    </row>
    <row r="31" ht="22.5" customHeight="1" spans="1:19">
      <c r="A31" s="313">
        <v>21</v>
      </c>
      <c r="B31" s="310" t="str">
        <f t="shared" si="1"/>
        <v/>
      </c>
      <c r="C31" s="311" t="str">
        <f>IFERROR(IF('Soli_citud '!D29="","",'Soli_citud '!D29),"")</f>
        <v/>
      </c>
      <c r="D31" s="311"/>
      <c r="E31" s="311"/>
      <c r="F31" s="311"/>
      <c r="G31" s="312" t="str">
        <f ca="1">IF('Soli_citud '!O29="","",'Soli_citud '!O29)</f>
        <v/>
      </c>
      <c r="H31" s="312" t="str" cm="1">
        <f t="array" ref="H31">_xlfn.IFS('Soli_citud '!S29="","",'Soli_citud '!S29&lt;=0,"",'Soli_citud '!S29&gt;0,'Soli_citud '!S29)</f>
        <v/>
      </c>
      <c r="I31" s="362"/>
      <c r="J31" s="361"/>
      <c r="K31" s="357" t="str" cm="1">
        <f t="array" ref="K31">IFERROR(_xlfn.IFS(H31="","",J31=H31,"Cumplido",J31&lt;H31,H31-J31,J31&gt;H31,"Revisar"),"")</f>
        <v/>
      </c>
      <c r="L31" s="358"/>
      <c r="M31" s="359"/>
      <c r="N31" s="356"/>
      <c r="O31" s="360" t="str">
        <f t="shared" si="3"/>
        <v/>
      </c>
      <c r="P31" s="303" t="str" cm="1">
        <f t="array" ref="P31">IFERROR(_xlfn.IFS(Q31&gt;0,"ENTREGADO",'Soli_citud '!A29="HERRAMIENTAS_","DEVOLUTIVO"),"")</f>
        <v/>
      </c>
      <c r="Q31" s="383"/>
      <c r="R31" s="356"/>
      <c r="S31" s="356"/>
    </row>
    <row r="32" ht="21" spans="1:19">
      <c r="A32" s="313">
        <v>22</v>
      </c>
      <c r="B32" s="310" t="str">
        <f t="shared" si="1"/>
        <v/>
      </c>
      <c r="C32" s="311" t="str">
        <f>IFERROR(IF('Soli_citud '!D30="","",'Soli_citud '!D30),"")</f>
        <v/>
      </c>
      <c r="D32" s="311"/>
      <c r="E32" s="311"/>
      <c r="F32" s="311"/>
      <c r="G32" s="312" t="str">
        <f ca="1">IF('Soli_citud '!O30="","",'Soli_citud '!O30)</f>
        <v/>
      </c>
      <c r="H32" s="312" t="str" cm="1">
        <f t="array" ref="H32">_xlfn.IFS('Soli_citud '!S30="","",'Soli_citud '!S30&lt;=0,"",'Soli_citud '!S30&gt;0,'Soli_citud '!S30)</f>
        <v/>
      </c>
      <c r="I32" s="362"/>
      <c r="J32" s="361"/>
      <c r="K32" s="357" t="str" cm="1">
        <f t="array" ref="K32">IFERROR(_xlfn.IFS(H32="","",J32=H32,"Cumplido",J32&lt;H32,H32-J32,J32&gt;H32,"Revisar"),"")</f>
        <v/>
      </c>
      <c r="L32" s="358"/>
      <c r="M32" s="359"/>
      <c r="N32" s="356"/>
      <c r="O32" s="360" t="str">
        <f t="shared" si="3"/>
        <v/>
      </c>
      <c r="P32" s="303" t="str" cm="1">
        <f t="array" ref="P32">IFERROR(_xlfn.IFS(Q32&gt;0,"ENTREGADO",'Soli_citud '!A30="HERRAMIENTAS_","DEVOLUTIVO"),"")</f>
        <v/>
      </c>
      <c r="Q32" s="383"/>
      <c r="R32" s="356"/>
      <c r="S32" s="35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J1:M1"/>
    <mergeCell ref="N1:O1"/>
    <mergeCell ref="J2:M2"/>
    <mergeCell ref="N2:O2"/>
    <mergeCell ref="J3:M3"/>
    <mergeCell ref="N3:O3"/>
    <mergeCell ref="J4:L4"/>
    <mergeCell ref="M4:O4"/>
    <mergeCell ref="E6:I6"/>
    <mergeCell ref="J6:M6"/>
    <mergeCell ref="N6:O6"/>
    <mergeCell ref="R6:S6"/>
    <mergeCell ref="B8:D8"/>
    <mergeCell ref="E8:I8"/>
    <mergeCell ref="J8:O8"/>
    <mergeCell ref="J10:L10"/>
    <mergeCell ref="N10:O10"/>
    <mergeCell ref="C11:F11"/>
    <mergeCell ref="L11:M11"/>
    <mergeCell ref="C12:F12"/>
    <mergeCell ref="L12:M12"/>
    <mergeCell ref="C13:F13"/>
    <mergeCell ref="L13:M13"/>
    <mergeCell ref="C14:F14"/>
    <mergeCell ref="L14:M14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29:F29"/>
    <mergeCell ref="L29:M29"/>
    <mergeCell ref="C30:F30"/>
    <mergeCell ref="L30:M30"/>
    <mergeCell ref="C31:F31"/>
    <mergeCell ref="L31:M31"/>
    <mergeCell ref="C32:F32"/>
    <mergeCell ref="L32:M32"/>
    <mergeCell ref="D9:D10"/>
    <mergeCell ref="B1:C4"/>
    <mergeCell ref="B9:C10"/>
    <mergeCell ref="E9:F10"/>
    <mergeCell ref="G9:I10"/>
    <mergeCell ref="R7:S8"/>
    <mergeCell ref="P1:Q10"/>
    <mergeCell ref="R1:S2"/>
    <mergeCell ref="R3:S4"/>
    <mergeCell ref="B6:D7"/>
    <mergeCell ref="D1:I4"/>
  </mergeCells>
  <conditionalFormatting sqref="N6:O6">
    <cfRule type="containsText" dxfId="8" priority="12" operator="between" text="Aprobar Pedido">
      <formula>NOT(ISERROR(SEARCH("Aprobar Pedido",N6)))</formula>
    </cfRule>
  </conditionalFormatting>
  <conditionalFormatting sqref="D9">
    <cfRule type="containsBlanks" dxfId="0" priority="23">
      <formula>LEN(TRIM(D9))=0</formula>
    </cfRule>
  </conditionalFormatting>
  <conditionalFormatting sqref="S10">
    <cfRule type="containsText" dxfId="9" priority="17" operator="between" text="Cumplido">
      <formula>NOT(ISERROR(SEARCH("Cumplido",S10)))</formula>
    </cfRule>
  </conditionalFormatting>
  <conditionalFormatting sqref="K12:K32">
    <cfRule type="containsText" dxfId="10" priority="8" operator="between" text="Revisar">
      <formula>NOT(ISERROR(SEARCH("Revisar",K12)))</formula>
    </cfRule>
    <cfRule type="containsText" dxfId="11" priority="9" operator="between" text="Cumplido">
      <formula>NOT(ISERROR(SEARCH("Cumplido",K12)))</formula>
    </cfRule>
  </conditionalFormatting>
  <conditionalFormatting sqref="N12:N32">
    <cfRule type="containsBlanks" dxfId="0" priority="5">
      <formula>LEN(TRIM(N12))=0</formula>
    </cfRule>
  </conditionalFormatting>
  <conditionalFormatting sqref="P12:P32">
    <cfRule type="containsText" dxfId="12" priority="4" operator="between" text="DEVOLUTIVO">
      <formula>NOT(ISERROR(SEARCH("DEVOLUTIVO",P12)))</formula>
    </cfRule>
  </conditionalFormatting>
  <conditionalFormatting sqref="R3:S4">
    <cfRule type="containsText" dxfId="1" priority="14" operator="between" text="Entrega de Producto">
      <formula>NOT(ISERROR(SEARCH("Entrega de Producto",R3)))</formula>
    </cfRule>
  </conditionalFormatting>
  <conditionalFormatting sqref="R7:S8">
    <cfRule type="cellIs" dxfId="13" priority="13" operator="greaterThanOrEqual">
      <formula>1</formula>
    </cfRule>
  </conditionalFormatting>
  <conditionalFormatting sqref="C12:D32">
    <cfRule type="expression" dxfId="14" priority="2">
      <formula>P12="DEVOLUTIVO"</formula>
    </cfRule>
  </conditionalFormatting>
  <conditionalFormatting sqref="I12:J32">
    <cfRule type="containsBlanks" dxfId="0" priority="7">
      <formula>LEN(TRIM(I12))=0</formula>
    </cfRule>
  </conditionalFormatting>
  <conditionalFormatting sqref="Q12:S32">
    <cfRule type="containsBlanks" dxfId="0" priority="3">
      <formula>LEN(TRIM(Q12))=0</formula>
    </cfRule>
  </conditionalFormatting>
  <dataValidations count="2">
    <dataValidation type="list" allowBlank="1" showInputMessage="1" sqref="J6">
      <formula1>"Paul Ernestto Tamayo Caviedes"</formula1>
    </dataValidation>
    <dataValidation type="list" allowBlank="1" showInputMessage="1" showErrorMessage="1" sqref="N6:O6">
      <formula1>"Aprobar Pedido,Modificar Pedido,Condicionado"</formula1>
    </dataValidation>
  </dataValidations>
  <pageMargins left="0.236220472440945" right="0.236220472440945" top="0.354330708661417" bottom="0" header="0.31496062992126" footer="0.31496062992126"/>
  <pageSetup paperSize="9" orientation="landscape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Z1597"/>
  <sheetViews>
    <sheetView showGridLines="0" zoomScale="85" zoomScaleNormal="85" workbookViewId="0">
      <pane xSplit="4" ySplit="5" topLeftCell="E6" activePane="bottomRight" state="frozen"/>
      <selection/>
      <selection pane="topRight"/>
      <selection pane="bottomLeft"/>
      <selection pane="bottomRight" activeCell="D13" sqref="D13:N13"/>
    </sheetView>
  </sheetViews>
  <sheetFormatPr defaultColWidth="11.4285714285714" defaultRowHeight="15"/>
  <cols>
    <col min="1" max="1" width="10.8571428571429" customWidth="1"/>
    <col min="2" max="2" width="48.7142857142857" style="39" customWidth="1"/>
    <col min="3" max="3" width="23.1428571428571" style="40" customWidth="1"/>
    <col min="4" max="4" width="17.7142857142857" style="41" customWidth="1"/>
    <col min="5" max="5" width="14.2857142857143" style="42" customWidth="1"/>
    <col min="6" max="6" width="14.2857142857143" style="43" customWidth="1"/>
    <col min="7" max="7" width="18.8571428571429" customWidth="1"/>
    <col min="8" max="8" width="10.5714285714286" style="44" customWidth="1"/>
    <col min="9" max="9" width="11.7142857142857" style="44" customWidth="1"/>
    <col min="10" max="10" width="24.7142857142857" customWidth="1"/>
    <col min="11" max="11" width="26.8571428571429" customWidth="1"/>
    <col min="12" max="12" width="31.2857142857143" customWidth="1"/>
  </cols>
  <sheetData>
    <row r="1" ht="56.25" customHeight="1" spans="1:26">
      <c r="A1" s="40"/>
      <c r="B1" s="40"/>
      <c r="C1" s="40"/>
      <c r="D1" s="40"/>
      <c r="E1" s="45" t="s">
        <v>93</v>
      </c>
      <c r="F1" s="45"/>
      <c r="H1" s="46" t="s">
        <v>94</v>
      </c>
      <c r="Z1" s="37" t="s">
        <v>95</v>
      </c>
    </row>
    <row r="2" ht="18.75" customHeight="1" spans="1:6">
      <c r="A2" s="40"/>
      <c r="B2" s="40"/>
      <c r="C2" s="40"/>
      <c r="D2" s="40"/>
      <c r="E2" s="45"/>
      <c r="F2" s="45"/>
    </row>
    <row r="3" ht="24" customHeight="1" spans="1:7">
      <c r="A3" s="40"/>
      <c r="B3" s="40"/>
      <c r="C3" s="40"/>
      <c r="D3" s="40"/>
      <c r="E3" s="47">
        <f>SUM(Total_AdhySol,Total_SECUNDARIO_MEDULAR,Total_Cuero,Total_Herrajes,Total_Sint_y_Tex,Total_Suelas,Total_Herramientas,Total_Ins_Compl)</f>
        <v>860</v>
      </c>
      <c r="F3" s="47"/>
      <c r="G3" s="44"/>
    </row>
    <row r="5" ht="40.5" customHeight="1" spans="2:4">
      <c r="B5"/>
      <c r="C5"/>
      <c r="D5"/>
    </row>
    <row r="6" ht="34.5" customHeight="1" spans="1:9">
      <c r="A6" s="48" t="s">
        <v>96</v>
      </c>
      <c r="B6" s="49">
        <f>SUBTOTAL(3,(BD!$B$8:$B$20))</f>
        <v>13</v>
      </c>
      <c r="C6" s="50"/>
      <c r="D6" s="51"/>
      <c r="H6" s="52" t="s">
        <v>97</v>
      </c>
      <c r="I6" s="52"/>
    </row>
    <row r="7" ht="47.25" spans="1:11">
      <c r="A7" s="53" t="s">
        <v>79</v>
      </c>
      <c r="B7" s="54" t="s">
        <v>98</v>
      </c>
      <c r="C7" s="55" t="s">
        <v>99</v>
      </c>
      <c r="D7" s="56" t="s">
        <v>100</v>
      </c>
      <c r="E7" s="57" t="s">
        <v>101</v>
      </c>
      <c r="F7" s="58" t="s">
        <v>102</v>
      </c>
      <c r="G7" s="56" t="s">
        <v>103</v>
      </c>
      <c r="H7" s="59" t="s">
        <v>104</v>
      </c>
      <c r="I7" s="59" t="s">
        <v>105</v>
      </c>
      <c r="J7" s="84" t="s">
        <v>106</v>
      </c>
      <c r="K7" s="85" t="s">
        <v>107</v>
      </c>
    </row>
    <row r="8" customHeight="1" spans="1:10">
      <c r="A8" s="60">
        <v>1</v>
      </c>
      <c r="B8" s="61" t="s">
        <v>108</v>
      </c>
      <c r="C8" s="62" t="s">
        <v>45</v>
      </c>
      <c r="D8" s="63" t="s">
        <v>109</v>
      </c>
      <c r="E8" s="64">
        <v>74650</v>
      </c>
      <c r="F8" s="65" t="s">
        <v>110</v>
      </c>
      <c r="G8" s="66">
        <f>IF(BD!$E8="","",(E8/(H8*I8)))</f>
        <v>19.7225891677675</v>
      </c>
      <c r="H8" s="67">
        <v>3785</v>
      </c>
      <c r="I8" s="67">
        <v>1</v>
      </c>
      <c r="J8" s="86" t="str">
        <f t="shared" ref="J8:J19" si="0">CONCATENATE(LEFT(C8,1),MID(C8,SEARCH("_",C8)+1,2),TEXT(A8,"000"))</f>
        <v>ASo001</v>
      </c>
    </row>
    <row r="9" customHeight="1" spans="1:10">
      <c r="A9" s="60">
        <f t="shared" ref="A9:A20" si="1">A8+1</f>
        <v>2</v>
      </c>
      <c r="B9" s="61" t="s">
        <v>111</v>
      </c>
      <c r="C9" s="62" t="s">
        <v>45</v>
      </c>
      <c r="D9" s="63" t="s">
        <v>109</v>
      </c>
      <c r="E9" s="64">
        <v>231671.5</v>
      </c>
      <c r="F9" s="65" t="s">
        <v>110</v>
      </c>
      <c r="G9" s="66">
        <f>IF(BD!$E9="","",(E9/(H9*I9)))</f>
        <v>61.2077939233818</v>
      </c>
      <c r="H9" s="67">
        <v>3785</v>
      </c>
      <c r="I9" s="67">
        <v>1</v>
      </c>
      <c r="J9" s="86" t="str">
        <f t="shared" si="0"/>
        <v>ASo002</v>
      </c>
    </row>
    <row r="10" customHeight="1" spans="1:10">
      <c r="A10" s="60">
        <f t="shared" si="1"/>
        <v>3</v>
      </c>
      <c r="B10" s="61" t="s">
        <v>112</v>
      </c>
      <c r="C10" s="62" t="s">
        <v>45</v>
      </c>
      <c r="D10" s="63" t="s">
        <v>109</v>
      </c>
      <c r="E10" s="64">
        <v>231671.5</v>
      </c>
      <c r="F10" s="65" t="s">
        <v>110</v>
      </c>
      <c r="G10" s="66">
        <f>IF(BD!$E10="","",(E10/(H10*I10)))</f>
        <v>61.2077939233818</v>
      </c>
      <c r="H10" s="67">
        <v>3785</v>
      </c>
      <c r="I10" s="67">
        <v>1</v>
      </c>
      <c r="J10" s="86" t="str">
        <f t="shared" si="0"/>
        <v>ASo003</v>
      </c>
    </row>
    <row r="11" customHeight="1" spans="1:10">
      <c r="A11" s="60">
        <f t="shared" si="1"/>
        <v>4</v>
      </c>
      <c r="B11" s="61" t="s">
        <v>113</v>
      </c>
      <c r="C11" s="62" t="s">
        <v>45</v>
      </c>
      <c r="D11" s="63" t="s">
        <v>109</v>
      </c>
      <c r="E11" s="64">
        <v>78666.625</v>
      </c>
      <c r="F11" s="65" t="s">
        <v>110</v>
      </c>
      <c r="G11" s="66">
        <f>IF(BD!$E11="","",(E11/(H11*I11)))</f>
        <v>20.783784676354</v>
      </c>
      <c r="H11" s="67">
        <v>3785</v>
      </c>
      <c r="I11" s="67">
        <v>1</v>
      </c>
      <c r="J11" s="86" t="str">
        <f t="shared" si="0"/>
        <v>ASo004</v>
      </c>
    </row>
    <row r="12" customHeight="1" spans="1:10">
      <c r="A12" s="68">
        <f t="shared" si="1"/>
        <v>5</v>
      </c>
      <c r="B12" s="61" t="s">
        <v>114</v>
      </c>
      <c r="C12" s="62" t="s">
        <v>45</v>
      </c>
      <c r="D12" s="63" t="s">
        <v>115</v>
      </c>
      <c r="E12" s="64">
        <v>72665</v>
      </c>
      <c r="F12" s="65" t="s">
        <v>115</v>
      </c>
      <c r="G12" s="66">
        <f>IF(BD!$E12="","",(E12/(H12*I12)))</f>
        <v>72665</v>
      </c>
      <c r="H12" s="67">
        <v>1</v>
      </c>
      <c r="I12" s="67">
        <v>1</v>
      </c>
      <c r="J12" s="86" t="str">
        <f t="shared" si="0"/>
        <v>ASo005</v>
      </c>
    </row>
    <row r="13" s="38" customFormat="1" customHeight="1" spans="1:10">
      <c r="A13" s="60">
        <f t="shared" si="1"/>
        <v>6</v>
      </c>
      <c r="B13" s="61" t="s">
        <v>116</v>
      </c>
      <c r="C13" s="62" t="s">
        <v>45</v>
      </c>
      <c r="D13" s="63" t="s">
        <v>109</v>
      </c>
      <c r="E13" s="64">
        <v>59690.625</v>
      </c>
      <c r="F13" s="65" t="s">
        <v>110</v>
      </c>
      <c r="G13" s="66">
        <f>IF(BD!$E13="","",(E13/(H13*I13)))</f>
        <v>15.7703104359313</v>
      </c>
      <c r="H13" s="67">
        <v>3785</v>
      </c>
      <c r="I13" s="67">
        <v>1</v>
      </c>
      <c r="J13" s="86" t="str">
        <f t="shared" si="0"/>
        <v>ASo006</v>
      </c>
    </row>
    <row r="14" ht="17.25" customHeight="1" spans="1:10">
      <c r="A14" s="60">
        <f t="shared" si="1"/>
        <v>7</v>
      </c>
      <c r="B14" s="61" t="s">
        <v>117</v>
      </c>
      <c r="C14" s="62" t="s">
        <v>45</v>
      </c>
      <c r="D14" s="63" t="s">
        <v>109</v>
      </c>
      <c r="E14" s="64">
        <v>50200</v>
      </c>
      <c r="F14" s="65" t="s">
        <v>110</v>
      </c>
      <c r="G14" s="66">
        <f>IF(BD!$E14="","",(E14/(H14*I14)))</f>
        <v>13.2628797886394</v>
      </c>
      <c r="H14" s="67">
        <v>3785</v>
      </c>
      <c r="I14" s="67">
        <v>1</v>
      </c>
      <c r="J14" s="86" t="str">
        <f t="shared" si="0"/>
        <v>ASo007</v>
      </c>
    </row>
    <row r="15" ht="17.25" customHeight="1" spans="1:10">
      <c r="A15" s="60">
        <f t="shared" si="1"/>
        <v>8</v>
      </c>
      <c r="B15" s="69" t="s">
        <v>118</v>
      </c>
      <c r="C15" s="62" t="s">
        <v>45</v>
      </c>
      <c r="D15" s="70" t="s">
        <v>109</v>
      </c>
      <c r="E15" s="71">
        <v>66108</v>
      </c>
      <c r="F15" s="65" t="s">
        <v>110</v>
      </c>
      <c r="G15" s="66">
        <f>IF(BD!$E15="","",(E15/(H15*I15)))</f>
        <v>17.465785997358</v>
      </c>
      <c r="H15" s="67">
        <v>3785</v>
      </c>
      <c r="I15" s="87">
        <v>1</v>
      </c>
      <c r="J15" s="88" t="str">
        <f t="shared" si="0"/>
        <v>ASo008</v>
      </c>
    </row>
    <row r="16" ht="17.25" customHeight="1" spans="1:10">
      <c r="A16" s="68">
        <f t="shared" si="1"/>
        <v>9</v>
      </c>
      <c r="B16" s="72" t="s">
        <v>119</v>
      </c>
      <c r="C16" s="62" t="s">
        <v>45</v>
      </c>
      <c r="D16" s="70" t="s">
        <v>109</v>
      </c>
      <c r="E16" s="64"/>
      <c r="F16" s="65" t="s">
        <v>110</v>
      </c>
      <c r="G16" s="66" t="str">
        <f>IF(BD!$E16="","",(E16/(H16*I16)))</f>
        <v/>
      </c>
      <c r="H16" s="67">
        <v>3785</v>
      </c>
      <c r="I16" s="67">
        <v>1</v>
      </c>
      <c r="J16" s="86" t="str">
        <f t="shared" si="0"/>
        <v>ASo009</v>
      </c>
    </row>
    <row r="17" ht="17.25" customHeight="1" spans="1:10">
      <c r="A17" s="60">
        <f t="shared" si="1"/>
        <v>10</v>
      </c>
      <c r="B17" s="61" t="s">
        <v>120</v>
      </c>
      <c r="C17" s="62" t="s">
        <v>45</v>
      </c>
      <c r="D17" s="70" t="s">
        <v>109</v>
      </c>
      <c r="E17" s="64">
        <v>61960</v>
      </c>
      <c r="F17" s="65" t="s">
        <v>110</v>
      </c>
      <c r="G17" s="66">
        <f>IF(BD!$E17="","",(E17/(H17*I17)))</f>
        <v>16.3698811096433</v>
      </c>
      <c r="H17" s="67">
        <v>3785</v>
      </c>
      <c r="I17" s="67">
        <v>1</v>
      </c>
      <c r="J17" s="86" t="str">
        <f t="shared" si="0"/>
        <v>ASo010</v>
      </c>
    </row>
    <row r="18" ht="17.25" customHeight="1" spans="1:10">
      <c r="A18" s="68">
        <f t="shared" si="1"/>
        <v>11</v>
      </c>
      <c r="B18" s="61" t="s">
        <v>121</v>
      </c>
      <c r="C18" s="62" t="s">
        <v>45</v>
      </c>
      <c r="D18" s="63" t="s">
        <v>109</v>
      </c>
      <c r="E18" s="64">
        <v>28400</v>
      </c>
      <c r="F18" s="65" t="s">
        <v>110</v>
      </c>
      <c r="G18" s="66">
        <f>IF(BD!$E18="","",(E18/(H18*I18)))</f>
        <v>7.50330250990753</v>
      </c>
      <c r="H18" s="67">
        <v>3785</v>
      </c>
      <c r="I18" s="67">
        <v>1</v>
      </c>
      <c r="J18" s="86" t="str">
        <f t="shared" si="0"/>
        <v>ASo011</v>
      </c>
    </row>
    <row r="19" ht="17.25" customHeight="1" spans="1:10">
      <c r="A19" s="68">
        <f t="shared" si="1"/>
        <v>12</v>
      </c>
      <c r="B19" s="61" t="s">
        <v>122</v>
      </c>
      <c r="C19" s="62" t="s">
        <v>45</v>
      </c>
      <c r="D19" s="63" t="s">
        <v>109</v>
      </c>
      <c r="E19" s="64">
        <v>36816</v>
      </c>
      <c r="F19" s="65" t="s">
        <v>109</v>
      </c>
      <c r="G19" s="66">
        <f>IF(BD!$E19="","",(E19/(H19*I19)))</f>
        <v>36816</v>
      </c>
      <c r="H19" s="67">
        <v>1</v>
      </c>
      <c r="I19" s="67">
        <v>1</v>
      </c>
      <c r="J19" s="86" t="str">
        <f t="shared" si="0"/>
        <v>ASo012</v>
      </c>
    </row>
    <row r="20" ht="17.25" customHeight="1" spans="1:10">
      <c r="A20" s="68">
        <f t="shared" si="1"/>
        <v>13</v>
      </c>
      <c r="B20" s="61" t="s">
        <v>123</v>
      </c>
      <c r="C20" s="73" t="s">
        <v>45</v>
      </c>
      <c r="D20" s="63" t="s">
        <v>110</v>
      </c>
      <c r="E20" s="64"/>
      <c r="F20" s="65" t="s">
        <v>110</v>
      </c>
      <c r="G20" s="66" t="s">
        <v>124</v>
      </c>
      <c r="H20" s="67">
        <v>1</v>
      </c>
      <c r="I20" s="67">
        <v>1</v>
      </c>
      <c r="J20" s="86" t="s">
        <v>125</v>
      </c>
    </row>
    <row r="21" ht="17.25" customHeight="1" spans="2:9">
      <c r="B21"/>
      <c r="C21"/>
      <c r="D21"/>
      <c r="E21"/>
      <c r="F21" s="74"/>
      <c r="H21"/>
      <c r="I21"/>
    </row>
    <row r="22" ht="17.25" customHeight="1" spans="2:9">
      <c r="B22"/>
      <c r="C22"/>
      <c r="D22"/>
      <c r="E22"/>
      <c r="F22" s="74"/>
      <c r="H22"/>
      <c r="I22"/>
    </row>
    <row r="23" ht="17.25" customHeight="1" spans="2:9">
      <c r="B23"/>
      <c r="C23"/>
      <c r="D23"/>
      <c r="E23"/>
      <c r="F23" s="74"/>
      <c r="H23"/>
      <c r="I23"/>
    </row>
    <row r="24" ht="17.25" customHeight="1" spans="2:9">
      <c r="B24"/>
      <c r="C24"/>
      <c r="D24"/>
      <c r="E24"/>
      <c r="F24" s="74"/>
      <c r="H24"/>
      <c r="I24"/>
    </row>
    <row r="25" ht="17.25" customHeight="1" spans="2:9">
      <c r="B25"/>
      <c r="C25"/>
      <c r="D25"/>
      <c r="E25"/>
      <c r="F25" s="74"/>
      <c r="H25"/>
      <c r="I25"/>
    </row>
    <row r="26" ht="17.25" customHeight="1" spans="2:9">
      <c r="B26"/>
      <c r="C26"/>
      <c r="D26"/>
      <c r="E26"/>
      <c r="F26" s="74"/>
      <c r="H26"/>
      <c r="I26"/>
    </row>
    <row r="27" ht="17.25" customHeight="1" spans="2:9">
      <c r="B27"/>
      <c r="C27"/>
      <c r="D27"/>
      <c r="E27"/>
      <c r="F27" s="74"/>
      <c r="H27"/>
      <c r="I27"/>
    </row>
    <row r="28" ht="17.25" customHeight="1" spans="2:9">
      <c r="B28"/>
      <c r="C28"/>
      <c r="D28"/>
      <c r="E28"/>
      <c r="F28" s="74"/>
      <c r="H28"/>
      <c r="I28"/>
    </row>
    <row r="29" ht="17.25" customHeight="1" spans="2:9">
      <c r="B29"/>
      <c r="C29"/>
      <c r="D29"/>
      <c r="E29"/>
      <c r="F29" s="74"/>
      <c r="H29"/>
      <c r="I29"/>
    </row>
    <row r="30" ht="17.25" customHeight="1" spans="2:9">
      <c r="B30"/>
      <c r="C30"/>
      <c r="D30"/>
      <c r="E30"/>
      <c r="F30" s="74"/>
      <c r="H30"/>
      <c r="I30"/>
    </row>
    <row r="31" ht="17.25" customHeight="1" spans="2:9">
      <c r="B31"/>
      <c r="C31"/>
      <c r="D31"/>
      <c r="E31"/>
      <c r="F31" s="74"/>
      <c r="H31"/>
      <c r="I31"/>
    </row>
    <row r="32" ht="17.25" customHeight="1" spans="2:9">
      <c r="B32"/>
      <c r="C32"/>
      <c r="D32"/>
      <c r="E32"/>
      <c r="F32" s="74"/>
      <c r="H32"/>
      <c r="I32"/>
    </row>
    <row r="33" customFormat="1" ht="17.25" customHeight="1" spans="6:6">
      <c r="F33" s="74"/>
    </row>
    <row r="34" customFormat="1" ht="17.25" customHeight="1" spans="6:6">
      <c r="F34" s="74"/>
    </row>
    <row r="35" customFormat="1" ht="17.25" customHeight="1" spans="6:6">
      <c r="F35" s="74"/>
    </row>
    <row r="36" customFormat="1" ht="17.25" customHeight="1" spans="6:6">
      <c r="F36" s="74"/>
    </row>
    <row r="37" customFormat="1" ht="17.25" customHeight="1" spans="6:6">
      <c r="F37" s="74"/>
    </row>
    <row r="38" customFormat="1" ht="17.25" customHeight="1" spans="6:6">
      <c r="F38" s="74"/>
    </row>
    <row r="39" customFormat="1" ht="17.25" customHeight="1" spans="6:6">
      <c r="F39" s="74"/>
    </row>
    <row r="40" customFormat="1" ht="17.25" customHeight="1" spans="6:6">
      <c r="F40" s="74"/>
    </row>
    <row r="41" customFormat="1" ht="17.25" customHeight="1" spans="6:6">
      <c r="F41" s="74"/>
    </row>
    <row r="42" customFormat="1" ht="17.25" customHeight="1" spans="6:6">
      <c r="F42" s="74"/>
    </row>
    <row r="43" customFormat="1" ht="17.25" customHeight="1" spans="6:6">
      <c r="F43" s="74"/>
    </row>
    <row r="44" customFormat="1" ht="17.25" customHeight="1" spans="6:6">
      <c r="F44" s="74"/>
    </row>
    <row r="45" customFormat="1" ht="17.25" customHeight="1" spans="6:6">
      <c r="F45" s="74"/>
    </row>
    <row r="46" customFormat="1" ht="17.25" customHeight="1" spans="6:6">
      <c r="F46" s="74"/>
    </row>
    <row r="47" customFormat="1" ht="17.25" customHeight="1" spans="6:6">
      <c r="F47" s="74"/>
    </row>
    <row r="48" customFormat="1" ht="17.25" customHeight="1" spans="6:6">
      <c r="F48" s="74"/>
    </row>
    <row r="49" ht="17.25" customHeight="1" spans="2:9">
      <c r="B49"/>
      <c r="C49"/>
      <c r="D49"/>
      <c r="E49"/>
      <c r="F49" s="74"/>
      <c r="H49"/>
      <c r="I49"/>
    </row>
    <row r="50" ht="17.25" customHeight="1" spans="2:9">
      <c r="B50"/>
      <c r="C50"/>
      <c r="D50"/>
      <c r="E50"/>
      <c r="F50" s="74"/>
      <c r="H50"/>
      <c r="I50"/>
    </row>
    <row r="51" ht="17.25" customHeight="1" spans="2:9">
      <c r="B51"/>
      <c r="C51"/>
      <c r="D51"/>
      <c r="E51"/>
      <c r="F51" s="74"/>
      <c r="H51"/>
      <c r="I51"/>
    </row>
    <row r="52" ht="17.25" customHeight="1" spans="2:9">
      <c r="B52"/>
      <c r="C52"/>
      <c r="D52"/>
      <c r="E52"/>
      <c r="F52" s="74"/>
      <c r="H52"/>
      <c r="I52"/>
    </row>
    <row r="53" ht="17.25" customHeight="1" spans="2:9">
      <c r="B53"/>
      <c r="C53"/>
      <c r="D53"/>
      <c r="E53"/>
      <c r="F53" s="74"/>
      <c r="H53"/>
      <c r="I53"/>
    </row>
    <row r="54" ht="17.25" customHeight="1" spans="2:9">
      <c r="B54"/>
      <c r="C54"/>
      <c r="D54"/>
      <c r="E54"/>
      <c r="F54" s="74"/>
      <c r="H54"/>
      <c r="I54"/>
    </row>
    <row r="55" ht="17.25" customHeight="1" spans="2:9">
      <c r="B55"/>
      <c r="C55"/>
      <c r="D55"/>
      <c r="E55"/>
      <c r="F55" s="74"/>
      <c r="H55"/>
      <c r="I55"/>
    </row>
    <row r="56" ht="17.25" customHeight="1" spans="2:9">
      <c r="B56"/>
      <c r="C56"/>
      <c r="D56"/>
      <c r="E56"/>
      <c r="F56" s="74"/>
      <c r="H56"/>
      <c r="I56"/>
    </row>
    <row r="57" ht="17.25" customHeight="1" spans="1:10">
      <c r="A57" s="25"/>
      <c r="B57" s="75" t="s">
        <v>126</v>
      </c>
      <c r="C57" s="25"/>
      <c r="D57" s="25"/>
      <c r="E57" s="25"/>
      <c r="F57" s="76"/>
      <c r="G57" s="25"/>
      <c r="H57" s="25"/>
      <c r="I57" s="25"/>
      <c r="J57" s="25"/>
    </row>
    <row r="59" spans="2:9">
      <c r="B59"/>
      <c r="C59"/>
      <c r="D59"/>
      <c r="E59"/>
      <c r="F59" s="74"/>
      <c r="H59"/>
      <c r="I59"/>
    </row>
    <row r="60" ht="34.5" customHeight="1" spans="1:9">
      <c r="A60" s="77" t="s">
        <v>96</v>
      </c>
      <c r="B60" s="78">
        <f>SUBTOTAL(3,(B62:B169))</f>
        <v>108</v>
      </c>
      <c r="C60"/>
      <c r="D60"/>
      <c r="E60"/>
      <c r="F60" s="74"/>
      <c r="H60"/>
      <c r="I60"/>
    </row>
    <row r="61" ht="47.25" spans="1:11">
      <c r="A61" s="53" t="s">
        <v>79</v>
      </c>
      <c r="B61" s="79" t="s">
        <v>98</v>
      </c>
      <c r="C61" s="80" t="s">
        <v>99</v>
      </c>
      <c r="D61" s="81" t="s">
        <v>100</v>
      </c>
      <c r="E61" s="82" t="s">
        <v>101</v>
      </c>
      <c r="F61" s="58" t="s">
        <v>102</v>
      </c>
      <c r="G61" s="56" t="s">
        <v>103</v>
      </c>
      <c r="H61" s="59" t="s">
        <v>104</v>
      </c>
      <c r="I61" s="59" t="s">
        <v>105</v>
      </c>
      <c r="J61" s="89" t="s">
        <v>106</v>
      </c>
      <c r="K61" s="90" t="s">
        <v>107</v>
      </c>
    </row>
    <row r="62" customHeight="1" spans="1:11">
      <c r="A62" s="60">
        <v>1</v>
      </c>
      <c r="B62" s="61" t="s">
        <v>127</v>
      </c>
      <c r="C62" s="83" t="s">
        <v>128</v>
      </c>
      <c r="D62" s="63" t="s">
        <v>115</v>
      </c>
      <c r="E62" s="64">
        <v>8995</v>
      </c>
      <c r="F62" s="65" t="s">
        <v>115</v>
      </c>
      <c r="G62" s="66">
        <f>IF(BD!$E62="","",(E62/(H62*I62)))</f>
        <v>8995</v>
      </c>
      <c r="H62" s="67">
        <v>1</v>
      </c>
      <c r="I62" s="67">
        <v>1</v>
      </c>
      <c r="J62" s="91" t="str">
        <f t="shared" ref="J62:J93" si="2">CONCATENATE(LEFT(C62,1),"_",TEXT(A62,"000"))</f>
        <v>F_001</v>
      </c>
      <c r="K62" s="92"/>
    </row>
    <row r="63" customHeight="1" spans="1:11">
      <c r="A63" s="60">
        <f t="shared" ref="A63:A94" si="3">A62+1</f>
        <v>2</v>
      </c>
      <c r="B63" s="61" t="s">
        <v>129</v>
      </c>
      <c r="C63" s="83" t="s">
        <v>128</v>
      </c>
      <c r="D63" s="63" t="s">
        <v>115</v>
      </c>
      <c r="E63" s="64">
        <v>109707</v>
      </c>
      <c r="F63" s="65" t="s">
        <v>115</v>
      </c>
      <c r="G63" s="66">
        <f>IF(BD!$E63="","",(E63/(H63*I63)))</f>
        <v>109707</v>
      </c>
      <c r="H63" s="67">
        <v>1</v>
      </c>
      <c r="I63" s="67">
        <v>1</v>
      </c>
      <c r="J63" s="91" t="str">
        <f t="shared" si="2"/>
        <v>F_002</v>
      </c>
      <c r="K63" s="92"/>
    </row>
    <row r="64" customHeight="1" spans="1:11">
      <c r="A64" s="60">
        <f t="shared" si="3"/>
        <v>3</v>
      </c>
      <c r="B64" s="61" t="s">
        <v>130</v>
      </c>
      <c r="C64" s="83" t="s">
        <v>128</v>
      </c>
      <c r="D64" s="63" t="s">
        <v>115</v>
      </c>
      <c r="E64" s="64">
        <v>65500</v>
      </c>
      <c r="F64" s="65" t="s">
        <v>115</v>
      </c>
      <c r="G64" s="66">
        <f>IF(BD!$E64="","",(E64/(H64*I64)))</f>
        <v>65500</v>
      </c>
      <c r="H64" s="67">
        <v>1</v>
      </c>
      <c r="I64" s="67">
        <v>1</v>
      </c>
      <c r="J64" s="91" t="str">
        <f t="shared" si="2"/>
        <v>F_003</v>
      </c>
      <c r="K64" s="92"/>
    </row>
    <row r="65" customHeight="1" spans="1:11">
      <c r="A65" s="60">
        <f t="shared" si="3"/>
        <v>4</v>
      </c>
      <c r="B65" s="61" t="s">
        <v>131</v>
      </c>
      <c r="C65" s="83" t="s">
        <v>128</v>
      </c>
      <c r="D65" s="63" t="s">
        <v>115</v>
      </c>
      <c r="E65" s="64">
        <v>24994</v>
      </c>
      <c r="F65" s="65" t="s">
        <v>115</v>
      </c>
      <c r="G65" s="66">
        <f>IF(BD!$E65="","",(E65/(H65*I65)))</f>
        <v>24994</v>
      </c>
      <c r="H65" s="67">
        <v>1</v>
      </c>
      <c r="I65" s="67">
        <v>1</v>
      </c>
      <c r="J65" s="91" t="str">
        <f t="shared" si="2"/>
        <v>F_004</v>
      </c>
      <c r="K65" s="92"/>
    </row>
    <row r="66" customHeight="1" spans="1:11">
      <c r="A66" s="60">
        <f t="shared" si="3"/>
        <v>5</v>
      </c>
      <c r="B66" s="61" t="s">
        <v>132</v>
      </c>
      <c r="C66" s="83" t="s">
        <v>128</v>
      </c>
      <c r="D66" s="63" t="s">
        <v>115</v>
      </c>
      <c r="E66" s="64">
        <v>20237</v>
      </c>
      <c r="F66" s="65" t="s">
        <v>115</v>
      </c>
      <c r="G66" s="66">
        <f>IF(BD!$E66="","",(E66/(H66*I66)))</f>
        <v>20237</v>
      </c>
      <c r="H66" s="67">
        <v>1</v>
      </c>
      <c r="I66" s="67">
        <v>1</v>
      </c>
      <c r="J66" s="91" t="str">
        <f t="shared" si="2"/>
        <v>F_005</v>
      </c>
      <c r="K66" s="92"/>
    </row>
    <row r="67" customHeight="1" spans="1:11">
      <c r="A67" s="60">
        <f t="shared" si="3"/>
        <v>6</v>
      </c>
      <c r="B67" s="61" t="s">
        <v>133</v>
      </c>
      <c r="C67" s="83" t="s">
        <v>128</v>
      </c>
      <c r="D67" s="63" t="s">
        <v>115</v>
      </c>
      <c r="E67" s="64">
        <v>24994</v>
      </c>
      <c r="F67" s="65" t="s">
        <v>115</v>
      </c>
      <c r="G67" s="66">
        <f>IF(BD!$E67="","",(E67/(H67*I67)))</f>
        <v>24994</v>
      </c>
      <c r="H67" s="67">
        <v>1</v>
      </c>
      <c r="I67" s="67">
        <v>1</v>
      </c>
      <c r="J67" s="91" t="str">
        <f t="shared" si="2"/>
        <v>F_006</v>
      </c>
      <c r="K67" s="92"/>
    </row>
    <row r="68" customHeight="1" spans="1:11">
      <c r="A68" s="60">
        <f t="shared" si="3"/>
        <v>7</v>
      </c>
      <c r="B68" s="61" t="s">
        <v>134</v>
      </c>
      <c r="C68" s="83" t="s">
        <v>128</v>
      </c>
      <c r="D68" s="63" t="s">
        <v>115</v>
      </c>
      <c r="E68" s="64">
        <v>24994</v>
      </c>
      <c r="F68" s="65" t="s">
        <v>115</v>
      </c>
      <c r="G68" s="66">
        <f>IF(BD!$E68="","",(E68/(H68*I68)))</f>
        <v>24994</v>
      </c>
      <c r="H68" s="67">
        <v>1</v>
      </c>
      <c r="I68" s="67">
        <v>1</v>
      </c>
      <c r="J68" s="91" t="str">
        <f t="shared" si="2"/>
        <v>F_007</v>
      </c>
      <c r="K68" s="92"/>
    </row>
    <row r="69" customHeight="1" spans="1:11">
      <c r="A69" s="60">
        <f t="shared" si="3"/>
        <v>8</v>
      </c>
      <c r="B69" s="61" t="s">
        <v>135</v>
      </c>
      <c r="C69" s="83" t="s">
        <v>128</v>
      </c>
      <c r="D69" s="63" t="s">
        <v>115</v>
      </c>
      <c r="E69" s="64">
        <v>24994</v>
      </c>
      <c r="F69" s="65" t="s">
        <v>115</v>
      </c>
      <c r="G69" s="66">
        <f>IF(BD!$E69="","",(E69/(H69*I69)))</f>
        <v>24994</v>
      </c>
      <c r="H69" s="67">
        <v>1</v>
      </c>
      <c r="I69" s="67">
        <v>1</v>
      </c>
      <c r="J69" s="91" t="str">
        <f t="shared" si="2"/>
        <v>F_008</v>
      </c>
      <c r="K69" s="92"/>
    </row>
    <row r="70" customHeight="1" spans="1:11">
      <c r="A70" s="60">
        <f t="shared" si="3"/>
        <v>9</v>
      </c>
      <c r="B70" s="61" t="s">
        <v>136</v>
      </c>
      <c r="C70" s="83" t="s">
        <v>128</v>
      </c>
      <c r="D70" s="63" t="s">
        <v>115</v>
      </c>
      <c r="E70" s="64">
        <v>24994</v>
      </c>
      <c r="F70" s="65" t="s">
        <v>115</v>
      </c>
      <c r="G70" s="66">
        <f>IF(BD!$E70="","",(E70/(H70*I70)))</f>
        <v>24994</v>
      </c>
      <c r="H70" s="67">
        <v>1</v>
      </c>
      <c r="I70" s="67">
        <v>1</v>
      </c>
      <c r="J70" s="91" t="str">
        <f t="shared" si="2"/>
        <v>F_009</v>
      </c>
      <c r="K70" s="92"/>
    </row>
    <row r="71" customHeight="1" spans="1:11">
      <c r="A71" s="60">
        <f t="shared" si="3"/>
        <v>10</v>
      </c>
      <c r="B71" s="61" t="s">
        <v>137</v>
      </c>
      <c r="C71" s="83" t="s">
        <v>128</v>
      </c>
      <c r="D71" s="63" t="s">
        <v>115</v>
      </c>
      <c r="E71" s="64">
        <v>24994</v>
      </c>
      <c r="F71" s="65" t="s">
        <v>115</v>
      </c>
      <c r="G71" s="66">
        <f>IF(BD!$E71="","",(E71/(H71*I71)))</f>
        <v>24994</v>
      </c>
      <c r="H71" s="67">
        <v>1</v>
      </c>
      <c r="I71" s="67">
        <v>1</v>
      </c>
      <c r="J71" s="91" t="str">
        <f t="shared" si="2"/>
        <v>F_010</v>
      </c>
      <c r="K71" s="92"/>
    </row>
    <row r="72" customHeight="1" spans="1:11">
      <c r="A72" s="60">
        <f t="shared" si="3"/>
        <v>11</v>
      </c>
      <c r="B72" s="61" t="s">
        <v>138</v>
      </c>
      <c r="C72" s="83" t="s">
        <v>128</v>
      </c>
      <c r="D72" s="63" t="s">
        <v>115</v>
      </c>
      <c r="E72" s="64">
        <v>24994</v>
      </c>
      <c r="F72" s="65" t="s">
        <v>115</v>
      </c>
      <c r="G72" s="66">
        <f>IF(BD!$E72="","",(E72/(H72*I72)))</f>
        <v>24994</v>
      </c>
      <c r="H72" s="67">
        <v>1</v>
      </c>
      <c r="I72" s="67">
        <v>1</v>
      </c>
      <c r="J72" s="91" t="str">
        <f t="shared" si="2"/>
        <v>F_011</v>
      </c>
      <c r="K72" s="92"/>
    </row>
    <row r="73" customHeight="1" spans="1:11">
      <c r="A73" s="60">
        <f t="shared" si="3"/>
        <v>12</v>
      </c>
      <c r="B73" s="61" t="s">
        <v>139</v>
      </c>
      <c r="C73" s="83" t="s">
        <v>128</v>
      </c>
      <c r="D73" s="63" t="s">
        <v>115</v>
      </c>
      <c r="E73" s="64">
        <v>24994</v>
      </c>
      <c r="F73" s="65" t="s">
        <v>115</v>
      </c>
      <c r="G73" s="66">
        <f>IF(BD!$E73="","",(E73/(H73*I73)))</f>
        <v>24994</v>
      </c>
      <c r="H73" s="67">
        <v>1</v>
      </c>
      <c r="I73" s="67">
        <v>1</v>
      </c>
      <c r="J73" s="91" t="str">
        <f t="shared" si="2"/>
        <v>F_012</v>
      </c>
      <c r="K73" s="92"/>
    </row>
    <row r="74" customHeight="1" spans="1:11">
      <c r="A74" s="60">
        <f t="shared" si="3"/>
        <v>13</v>
      </c>
      <c r="B74" s="61" t="s">
        <v>140</v>
      </c>
      <c r="C74" s="83" t="s">
        <v>128</v>
      </c>
      <c r="D74" s="63" t="s">
        <v>115</v>
      </c>
      <c r="E74" s="64">
        <v>24994</v>
      </c>
      <c r="F74" s="65" t="s">
        <v>115</v>
      </c>
      <c r="G74" s="66">
        <f>IF(BD!$E74="","",(E74/(H74*I74)))</f>
        <v>24994</v>
      </c>
      <c r="H74" s="67">
        <v>1</v>
      </c>
      <c r="I74" s="67">
        <v>1</v>
      </c>
      <c r="J74" s="91" t="str">
        <f t="shared" si="2"/>
        <v>F_013</v>
      </c>
      <c r="K74" s="92"/>
    </row>
    <row r="75" customHeight="1" spans="1:11">
      <c r="A75" s="60">
        <f t="shared" si="3"/>
        <v>14</v>
      </c>
      <c r="B75" s="61" t="s">
        <v>141</v>
      </c>
      <c r="C75" s="83" t="s">
        <v>128</v>
      </c>
      <c r="D75" s="63" t="s">
        <v>115</v>
      </c>
      <c r="E75" s="64">
        <v>24994</v>
      </c>
      <c r="F75" s="65" t="s">
        <v>115</v>
      </c>
      <c r="G75" s="66">
        <f>IF(BD!$E75="","",(E75/(H75*I75)))</f>
        <v>24994</v>
      </c>
      <c r="H75" s="67">
        <v>1</v>
      </c>
      <c r="I75" s="67">
        <v>1</v>
      </c>
      <c r="J75" s="91" t="str">
        <f t="shared" si="2"/>
        <v>F_014</v>
      </c>
      <c r="K75" s="92"/>
    </row>
    <row r="76" customHeight="1" spans="1:11">
      <c r="A76" s="60">
        <f t="shared" si="3"/>
        <v>15</v>
      </c>
      <c r="B76" s="61" t="s">
        <v>142</v>
      </c>
      <c r="C76" s="83" t="s">
        <v>128</v>
      </c>
      <c r="D76" s="63" t="s">
        <v>115</v>
      </c>
      <c r="E76" s="64">
        <v>24994</v>
      </c>
      <c r="F76" s="65" t="s">
        <v>115</v>
      </c>
      <c r="G76" s="66">
        <f>IF(BD!$E76="","",(E76/(H76*I76)))</f>
        <v>24994</v>
      </c>
      <c r="H76" s="67">
        <v>1</v>
      </c>
      <c r="I76" s="67">
        <v>1</v>
      </c>
      <c r="J76" s="91" t="str">
        <f t="shared" si="2"/>
        <v>F_015</v>
      </c>
      <c r="K76" s="92"/>
    </row>
    <row r="77" customHeight="1" spans="1:11">
      <c r="A77" s="60">
        <f t="shared" si="3"/>
        <v>16</v>
      </c>
      <c r="B77" s="61" t="s">
        <v>143</v>
      </c>
      <c r="C77" s="83" t="s">
        <v>128</v>
      </c>
      <c r="D77" s="63" t="s">
        <v>115</v>
      </c>
      <c r="E77" s="64">
        <v>24994</v>
      </c>
      <c r="F77" s="65" t="s">
        <v>115</v>
      </c>
      <c r="G77" s="66">
        <f>IF(BD!$E77="","",(E77/(H77*I77)))</f>
        <v>24994</v>
      </c>
      <c r="H77" s="67">
        <v>1</v>
      </c>
      <c r="I77" s="67">
        <v>1</v>
      </c>
      <c r="J77" s="91" t="str">
        <f t="shared" si="2"/>
        <v>F_016</v>
      </c>
      <c r="K77" s="92"/>
    </row>
    <row r="78" customHeight="1" spans="1:11">
      <c r="A78" s="60">
        <f t="shared" si="3"/>
        <v>17</v>
      </c>
      <c r="B78" s="61" t="s">
        <v>144</v>
      </c>
      <c r="C78" s="83" t="s">
        <v>128</v>
      </c>
      <c r="D78" s="63" t="s">
        <v>115</v>
      </c>
      <c r="E78" s="64">
        <v>24994</v>
      </c>
      <c r="F78" s="65" t="s">
        <v>115</v>
      </c>
      <c r="G78" s="66">
        <f>IF(BD!$E78="","",(E78/(H78*I78)))</f>
        <v>24994</v>
      </c>
      <c r="H78" s="67">
        <v>1</v>
      </c>
      <c r="I78" s="67">
        <v>1</v>
      </c>
      <c r="J78" s="91" t="str">
        <f t="shared" si="2"/>
        <v>F_017</v>
      </c>
      <c r="K78" s="92"/>
    </row>
    <row r="79" customHeight="1" spans="1:11">
      <c r="A79" s="60">
        <f t="shared" si="3"/>
        <v>18</v>
      </c>
      <c r="B79" s="61" t="s">
        <v>145</v>
      </c>
      <c r="C79" s="83" t="s">
        <v>128</v>
      </c>
      <c r="D79" s="63" t="s">
        <v>115</v>
      </c>
      <c r="E79" s="64">
        <v>24994</v>
      </c>
      <c r="F79" s="65" t="s">
        <v>115</v>
      </c>
      <c r="G79" s="66">
        <f>IF(BD!$E79="","",(E79/(H79*I79)))</f>
        <v>24994</v>
      </c>
      <c r="H79" s="67">
        <v>1</v>
      </c>
      <c r="I79" s="67">
        <v>1</v>
      </c>
      <c r="J79" s="91" t="str">
        <f t="shared" si="2"/>
        <v>F_018</v>
      </c>
      <c r="K79" s="92"/>
    </row>
    <row r="80" customHeight="1" spans="1:11">
      <c r="A80" s="60">
        <f t="shared" si="3"/>
        <v>19</v>
      </c>
      <c r="B80" s="61" t="s">
        <v>146</v>
      </c>
      <c r="C80" s="83" t="s">
        <v>128</v>
      </c>
      <c r="D80" s="63" t="s">
        <v>115</v>
      </c>
      <c r="E80" s="64">
        <v>24994</v>
      </c>
      <c r="F80" s="65" t="s">
        <v>115</v>
      </c>
      <c r="G80" s="66">
        <f>IF(BD!$E80="","",(E80/(H80*I80)))</f>
        <v>24994</v>
      </c>
      <c r="H80" s="67">
        <v>1</v>
      </c>
      <c r="I80" s="67">
        <v>1</v>
      </c>
      <c r="J80" s="91" t="str">
        <f t="shared" si="2"/>
        <v>F_019</v>
      </c>
      <c r="K80" s="92"/>
    </row>
    <row r="81" customHeight="1" spans="1:11">
      <c r="A81" s="60">
        <f t="shared" si="3"/>
        <v>20</v>
      </c>
      <c r="B81" s="61" t="s">
        <v>147</v>
      </c>
      <c r="C81" s="83" t="s">
        <v>128</v>
      </c>
      <c r="D81" s="63" t="s">
        <v>115</v>
      </c>
      <c r="E81" s="64">
        <v>24994</v>
      </c>
      <c r="F81" s="65" t="s">
        <v>115</v>
      </c>
      <c r="G81" s="66">
        <f>IF(BD!$E81="","",(E81/(H81*I81)))</f>
        <v>24994</v>
      </c>
      <c r="H81" s="67">
        <v>1</v>
      </c>
      <c r="I81" s="67">
        <v>1</v>
      </c>
      <c r="J81" s="91" t="str">
        <f t="shared" si="2"/>
        <v>F_020</v>
      </c>
      <c r="K81" s="92"/>
    </row>
    <row r="82" customHeight="1" spans="1:11">
      <c r="A82" s="60">
        <f t="shared" si="3"/>
        <v>21</v>
      </c>
      <c r="B82" s="61" t="s">
        <v>148</v>
      </c>
      <c r="C82" s="83" t="s">
        <v>128</v>
      </c>
      <c r="D82" s="63" t="s">
        <v>115</v>
      </c>
      <c r="E82" s="64">
        <v>24994</v>
      </c>
      <c r="F82" s="65" t="s">
        <v>115</v>
      </c>
      <c r="G82" s="66">
        <f>IF(BD!$E82="","",(E82/(H82*I82)))</f>
        <v>24994</v>
      </c>
      <c r="H82" s="67">
        <v>1</v>
      </c>
      <c r="I82" s="67">
        <v>1</v>
      </c>
      <c r="J82" s="91" t="str">
        <f t="shared" si="2"/>
        <v>F_021</v>
      </c>
      <c r="K82" s="92"/>
    </row>
    <row r="83" customHeight="1" spans="1:11">
      <c r="A83" s="60">
        <f t="shared" si="3"/>
        <v>22</v>
      </c>
      <c r="B83" s="61" t="s">
        <v>149</v>
      </c>
      <c r="C83" s="83" t="s">
        <v>128</v>
      </c>
      <c r="D83" s="63" t="s">
        <v>115</v>
      </c>
      <c r="E83" s="64">
        <v>24994</v>
      </c>
      <c r="F83" s="65" t="s">
        <v>115</v>
      </c>
      <c r="G83" s="66">
        <f>IF(BD!$E83="","",(E83/(H83*I83)))</f>
        <v>24994</v>
      </c>
      <c r="H83" s="67">
        <v>1</v>
      </c>
      <c r="I83" s="67">
        <v>1</v>
      </c>
      <c r="J83" s="91" t="str">
        <f t="shared" si="2"/>
        <v>F_022</v>
      </c>
      <c r="K83" s="92"/>
    </row>
    <row r="84" customHeight="1" spans="1:11">
      <c r="A84" s="60">
        <f t="shared" si="3"/>
        <v>23</v>
      </c>
      <c r="B84" s="61" t="s">
        <v>150</v>
      </c>
      <c r="C84" s="83" t="s">
        <v>128</v>
      </c>
      <c r="D84" s="63" t="s">
        <v>115</v>
      </c>
      <c r="E84" s="64">
        <v>24994</v>
      </c>
      <c r="F84" s="65" t="s">
        <v>115</v>
      </c>
      <c r="G84" s="66">
        <f>IF(BD!$E84="","",(E84/(H84*I84)))</f>
        <v>24994</v>
      </c>
      <c r="H84" s="67">
        <v>1</v>
      </c>
      <c r="I84" s="67">
        <v>1</v>
      </c>
      <c r="J84" s="91" t="str">
        <f t="shared" si="2"/>
        <v>F_023</v>
      </c>
      <c r="K84" s="92"/>
    </row>
    <row r="85" customHeight="1" spans="1:11">
      <c r="A85" s="60">
        <f t="shared" si="3"/>
        <v>24</v>
      </c>
      <c r="B85" s="61" t="s">
        <v>151</v>
      </c>
      <c r="C85" s="83" t="s">
        <v>128</v>
      </c>
      <c r="D85" s="63" t="s">
        <v>115</v>
      </c>
      <c r="E85" s="64">
        <v>24994</v>
      </c>
      <c r="F85" s="65" t="s">
        <v>115</v>
      </c>
      <c r="G85" s="66">
        <f>IF(BD!$E85="","",(E85/(H85*I85)))</f>
        <v>24994</v>
      </c>
      <c r="H85" s="67">
        <v>1</v>
      </c>
      <c r="I85" s="67">
        <v>1</v>
      </c>
      <c r="J85" s="91" t="str">
        <f t="shared" si="2"/>
        <v>F_024</v>
      </c>
      <c r="K85" s="92"/>
    </row>
    <row r="86" customHeight="1" spans="1:11">
      <c r="A86" s="60">
        <f t="shared" si="3"/>
        <v>25</v>
      </c>
      <c r="B86" s="61" t="s">
        <v>152</v>
      </c>
      <c r="C86" s="83" t="s">
        <v>128</v>
      </c>
      <c r="D86" s="63" t="s">
        <v>115</v>
      </c>
      <c r="E86" s="64">
        <v>24994</v>
      </c>
      <c r="F86" s="65" t="s">
        <v>115</v>
      </c>
      <c r="G86" s="66">
        <f>IF(BD!$E86="","",(E86/(H86*I86)))</f>
        <v>24994</v>
      </c>
      <c r="H86" s="67">
        <v>1</v>
      </c>
      <c r="I86" s="67">
        <v>1</v>
      </c>
      <c r="J86" s="91" t="str">
        <f t="shared" si="2"/>
        <v>F_025</v>
      </c>
      <c r="K86" s="92"/>
    </row>
    <row r="87" customHeight="1" spans="1:11">
      <c r="A87" s="60">
        <f t="shared" si="3"/>
        <v>26</v>
      </c>
      <c r="B87" s="61" t="s">
        <v>153</v>
      </c>
      <c r="C87" s="83" t="s">
        <v>128</v>
      </c>
      <c r="D87" s="63" t="s">
        <v>115</v>
      </c>
      <c r="E87" s="64">
        <v>24994</v>
      </c>
      <c r="F87" s="65" t="s">
        <v>115</v>
      </c>
      <c r="G87" s="66">
        <f>IF(BD!$E87="","",(E87/(H87*I87)))</f>
        <v>24994</v>
      </c>
      <c r="H87" s="67">
        <v>1</v>
      </c>
      <c r="I87" s="67">
        <v>1</v>
      </c>
      <c r="J87" s="91" t="str">
        <f t="shared" si="2"/>
        <v>F_026</v>
      </c>
      <c r="K87" s="92"/>
    </row>
    <row r="88" customHeight="1" spans="1:11">
      <c r="A88" s="60">
        <f t="shared" si="3"/>
        <v>27</v>
      </c>
      <c r="B88" s="61" t="s">
        <v>154</v>
      </c>
      <c r="C88" s="83" t="s">
        <v>128</v>
      </c>
      <c r="D88" s="63" t="s">
        <v>115</v>
      </c>
      <c r="E88" s="64">
        <v>24994</v>
      </c>
      <c r="F88" s="65" t="s">
        <v>115</v>
      </c>
      <c r="G88" s="66">
        <f>IF(BD!$E88="","",(E88/(H88*I88)))</f>
        <v>24994</v>
      </c>
      <c r="H88" s="67">
        <v>1</v>
      </c>
      <c r="I88" s="67">
        <v>1</v>
      </c>
      <c r="J88" s="91" t="str">
        <f t="shared" si="2"/>
        <v>F_027</v>
      </c>
      <c r="K88" s="92"/>
    </row>
    <row r="89" customHeight="1" spans="1:11">
      <c r="A89" s="60">
        <f t="shared" si="3"/>
        <v>28</v>
      </c>
      <c r="B89" s="61" t="s">
        <v>155</v>
      </c>
      <c r="C89" s="83" t="s">
        <v>128</v>
      </c>
      <c r="D89" s="63" t="s">
        <v>115</v>
      </c>
      <c r="E89" s="64">
        <v>24994</v>
      </c>
      <c r="F89" s="65" t="s">
        <v>115</v>
      </c>
      <c r="G89" s="66">
        <f>IF(BD!$E89="","",(E89/(H89*I89)))</f>
        <v>24994</v>
      </c>
      <c r="H89" s="67">
        <v>1</v>
      </c>
      <c r="I89" s="67">
        <v>1</v>
      </c>
      <c r="J89" s="91" t="str">
        <f t="shared" si="2"/>
        <v>F_028</v>
      </c>
      <c r="K89" s="92"/>
    </row>
    <row r="90" customHeight="1" spans="1:11">
      <c r="A90" s="60">
        <f t="shared" si="3"/>
        <v>29</v>
      </c>
      <c r="B90" s="61" t="s">
        <v>156</v>
      </c>
      <c r="C90" s="83" t="s">
        <v>128</v>
      </c>
      <c r="D90" s="63" t="s">
        <v>115</v>
      </c>
      <c r="E90" s="64">
        <v>24994</v>
      </c>
      <c r="F90" s="65" t="s">
        <v>115</v>
      </c>
      <c r="G90" s="66">
        <f>IF(BD!$E90="","",(E90/(H90*I90)))</f>
        <v>24994</v>
      </c>
      <c r="H90" s="67">
        <v>1</v>
      </c>
      <c r="I90" s="67">
        <v>1</v>
      </c>
      <c r="J90" s="91" t="str">
        <f t="shared" si="2"/>
        <v>F_029</v>
      </c>
      <c r="K90" s="92"/>
    </row>
    <row r="91" customHeight="1" spans="1:11">
      <c r="A91" s="60">
        <f t="shared" si="3"/>
        <v>30</v>
      </c>
      <c r="B91" s="61" t="s">
        <v>157</v>
      </c>
      <c r="C91" s="83" t="s">
        <v>128</v>
      </c>
      <c r="D91" s="63" t="s">
        <v>115</v>
      </c>
      <c r="E91" s="64">
        <v>24994</v>
      </c>
      <c r="F91" s="65" t="s">
        <v>115</v>
      </c>
      <c r="G91" s="66">
        <f>IF(BD!$E91="","",(E91/(H91*I91)))</f>
        <v>24994</v>
      </c>
      <c r="H91" s="67">
        <v>1</v>
      </c>
      <c r="I91" s="67">
        <v>1</v>
      </c>
      <c r="J91" s="91" t="str">
        <f t="shared" si="2"/>
        <v>F_030</v>
      </c>
      <c r="K91" s="92"/>
    </row>
    <row r="92" customHeight="1" spans="1:11">
      <c r="A92" s="60">
        <f t="shared" si="3"/>
        <v>31</v>
      </c>
      <c r="B92" s="61" t="s">
        <v>158</v>
      </c>
      <c r="C92" s="83" t="s">
        <v>128</v>
      </c>
      <c r="D92" s="63" t="s">
        <v>115</v>
      </c>
      <c r="E92" s="64">
        <v>20111</v>
      </c>
      <c r="F92" s="65" t="s">
        <v>115</v>
      </c>
      <c r="G92" s="66">
        <f>IF(BD!$E92="","",(E92/(H92*I92)))</f>
        <v>20111</v>
      </c>
      <c r="H92" s="67">
        <v>1</v>
      </c>
      <c r="I92" s="67">
        <v>1</v>
      </c>
      <c r="J92" s="91" t="str">
        <f t="shared" si="2"/>
        <v>F_031</v>
      </c>
      <c r="K92" s="92"/>
    </row>
    <row r="93" customHeight="1" spans="1:11">
      <c r="A93" s="60">
        <f t="shared" si="3"/>
        <v>32</v>
      </c>
      <c r="B93" s="61" t="s">
        <v>159</v>
      </c>
      <c r="C93" s="83" t="s">
        <v>128</v>
      </c>
      <c r="D93" s="63" t="s">
        <v>115</v>
      </c>
      <c r="E93" s="64">
        <v>20111</v>
      </c>
      <c r="F93" s="65" t="s">
        <v>115</v>
      </c>
      <c r="G93" s="66">
        <f>IF(BD!$E93="","",(E93/(H93*I93)))</f>
        <v>20111</v>
      </c>
      <c r="H93" s="67">
        <v>1</v>
      </c>
      <c r="I93" s="67">
        <v>1</v>
      </c>
      <c r="J93" s="91" t="str">
        <f t="shared" si="2"/>
        <v>F_032</v>
      </c>
      <c r="K93" s="92"/>
    </row>
    <row r="94" customHeight="1" spans="1:11">
      <c r="A94" s="60">
        <f t="shared" si="3"/>
        <v>33</v>
      </c>
      <c r="B94" s="61" t="s">
        <v>160</v>
      </c>
      <c r="C94" s="83" t="s">
        <v>128</v>
      </c>
      <c r="D94" s="63" t="s">
        <v>115</v>
      </c>
      <c r="E94" s="64">
        <v>20111</v>
      </c>
      <c r="F94" s="65" t="s">
        <v>115</v>
      </c>
      <c r="G94" s="66">
        <f>IF(BD!$E94="","",(E94/(H94*I94)))</f>
        <v>20111</v>
      </c>
      <c r="H94" s="67">
        <v>1</v>
      </c>
      <c r="I94" s="67">
        <v>1</v>
      </c>
      <c r="J94" s="91" t="str">
        <f t="shared" ref="J94:J125" si="4">CONCATENATE(LEFT(C94,1),"_",TEXT(A94,"000"))</f>
        <v>F_033</v>
      </c>
      <c r="K94" s="92"/>
    </row>
    <row r="95" customHeight="1" spans="1:11">
      <c r="A95" s="60">
        <f t="shared" ref="A95:A126" si="5">A94+1</f>
        <v>34</v>
      </c>
      <c r="B95" s="61" t="s">
        <v>161</v>
      </c>
      <c r="C95" s="83" t="s">
        <v>128</v>
      </c>
      <c r="D95" s="63" t="s">
        <v>115</v>
      </c>
      <c r="E95" s="64">
        <v>5611</v>
      </c>
      <c r="F95" s="65" t="s">
        <v>115</v>
      </c>
      <c r="G95" s="66">
        <f>IF(BD!$E95="","",(E95/(H95*I95)))</f>
        <v>5611</v>
      </c>
      <c r="H95" s="67">
        <v>1</v>
      </c>
      <c r="I95" s="67">
        <v>1</v>
      </c>
      <c r="J95" s="91" t="str">
        <f t="shared" si="4"/>
        <v>F_034</v>
      </c>
      <c r="K95" s="92"/>
    </row>
    <row r="96" customHeight="1" spans="1:11">
      <c r="A96" s="60">
        <f t="shared" si="5"/>
        <v>35</v>
      </c>
      <c r="B96" s="61" t="s">
        <v>162</v>
      </c>
      <c r="C96" s="83" t="s">
        <v>128</v>
      </c>
      <c r="D96" s="63" t="s">
        <v>115</v>
      </c>
      <c r="E96" s="64">
        <v>20111</v>
      </c>
      <c r="F96" s="65" t="s">
        <v>115</v>
      </c>
      <c r="G96" s="66">
        <f>IF(BD!$E96="","",(E96/(H96*I96)))</f>
        <v>20111</v>
      </c>
      <c r="H96" s="67">
        <v>1</v>
      </c>
      <c r="I96" s="67">
        <v>1</v>
      </c>
      <c r="J96" s="91" t="str">
        <f t="shared" si="4"/>
        <v>F_035</v>
      </c>
      <c r="K96" s="92"/>
    </row>
    <row r="97" customHeight="1" spans="1:11">
      <c r="A97" s="60">
        <f t="shared" si="5"/>
        <v>36</v>
      </c>
      <c r="B97" s="61" t="s">
        <v>163</v>
      </c>
      <c r="C97" s="83" t="s">
        <v>128</v>
      </c>
      <c r="D97" s="63" t="s">
        <v>115</v>
      </c>
      <c r="E97" s="64">
        <v>5611</v>
      </c>
      <c r="F97" s="65" t="s">
        <v>115</v>
      </c>
      <c r="G97" s="66">
        <f>IF(BD!$E97="","",(E97/(H97*I97)))</f>
        <v>5611</v>
      </c>
      <c r="H97" s="67">
        <v>1</v>
      </c>
      <c r="I97" s="67">
        <v>1</v>
      </c>
      <c r="J97" s="91" t="str">
        <f t="shared" si="4"/>
        <v>F_036</v>
      </c>
      <c r="K97" s="92"/>
    </row>
    <row r="98" customHeight="1" spans="1:11">
      <c r="A98" s="60">
        <f t="shared" si="5"/>
        <v>37</v>
      </c>
      <c r="B98" s="61" t="s">
        <v>164</v>
      </c>
      <c r="C98" s="83" t="s">
        <v>128</v>
      </c>
      <c r="D98" s="63" t="s">
        <v>115</v>
      </c>
      <c r="E98" s="64">
        <v>5611</v>
      </c>
      <c r="F98" s="65" t="s">
        <v>115</v>
      </c>
      <c r="G98" s="66">
        <f>IF(BD!$E98="","",(E98/(H98*I98)))</f>
        <v>5611</v>
      </c>
      <c r="H98" s="67">
        <v>1</v>
      </c>
      <c r="I98" s="67">
        <v>1</v>
      </c>
      <c r="J98" s="91" t="str">
        <f t="shared" si="4"/>
        <v>F_037</v>
      </c>
      <c r="K98" s="92"/>
    </row>
    <row r="99" customHeight="1" spans="1:11">
      <c r="A99" s="60">
        <f t="shared" si="5"/>
        <v>38</v>
      </c>
      <c r="B99" s="61" t="s">
        <v>165</v>
      </c>
      <c r="C99" s="83" t="s">
        <v>128</v>
      </c>
      <c r="D99" s="63" t="s">
        <v>115</v>
      </c>
      <c r="E99" s="64">
        <v>5611</v>
      </c>
      <c r="F99" s="65" t="s">
        <v>115</v>
      </c>
      <c r="G99" s="66">
        <f>IF(BD!$E99="","",(E99/(H99*I99)))</f>
        <v>5611</v>
      </c>
      <c r="H99" s="67">
        <v>1</v>
      </c>
      <c r="I99" s="67">
        <v>1</v>
      </c>
      <c r="J99" s="91" t="str">
        <f t="shared" si="4"/>
        <v>F_038</v>
      </c>
      <c r="K99" s="92"/>
    </row>
    <row r="100" customHeight="1" spans="1:11">
      <c r="A100" s="60">
        <f t="shared" si="5"/>
        <v>39</v>
      </c>
      <c r="B100" s="61" t="s">
        <v>166</v>
      </c>
      <c r="C100" s="83" t="s">
        <v>128</v>
      </c>
      <c r="D100" s="63" t="s">
        <v>115</v>
      </c>
      <c r="E100" s="64">
        <v>20111</v>
      </c>
      <c r="F100" s="65" t="s">
        <v>115</v>
      </c>
      <c r="G100" s="66">
        <f>IF(BD!$E100="","",(E100/(H100*I100)))</f>
        <v>20111</v>
      </c>
      <c r="H100" s="67">
        <v>1</v>
      </c>
      <c r="I100" s="67">
        <v>1</v>
      </c>
      <c r="J100" s="91" t="str">
        <f t="shared" si="4"/>
        <v>F_039</v>
      </c>
      <c r="K100" s="92"/>
    </row>
    <row r="101" customHeight="1" spans="1:11">
      <c r="A101" s="60">
        <f t="shared" si="5"/>
        <v>40</v>
      </c>
      <c r="B101" s="61" t="s">
        <v>167</v>
      </c>
      <c r="C101" s="83" t="s">
        <v>128</v>
      </c>
      <c r="D101" s="63" t="s">
        <v>115</v>
      </c>
      <c r="E101" s="64">
        <v>20111</v>
      </c>
      <c r="F101" s="65" t="s">
        <v>115</v>
      </c>
      <c r="G101" s="66">
        <f>IF(BD!$E101="","",(E101/(H101*I101)))</f>
        <v>20111</v>
      </c>
      <c r="H101" s="67">
        <v>1</v>
      </c>
      <c r="I101" s="67">
        <v>1</v>
      </c>
      <c r="J101" s="91" t="str">
        <f t="shared" si="4"/>
        <v>F_040</v>
      </c>
      <c r="K101" s="92"/>
    </row>
    <row r="102" customHeight="1" spans="1:11">
      <c r="A102" s="60">
        <f t="shared" si="5"/>
        <v>41</v>
      </c>
      <c r="B102" s="61" t="s">
        <v>168</v>
      </c>
      <c r="C102" s="83" t="s">
        <v>128</v>
      </c>
      <c r="D102" s="63" t="s">
        <v>115</v>
      </c>
      <c r="E102" s="64">
        <v>20111</v>
      </c>
      <c r="F102" s="65" t="s">
        <v>115</v>
      </c>
      <c r="G102" s="66">
        <f>IF(BD!$E102="","",(E102/(H102*I102)))</f>
        <v>20111</v>
      </c>
      <c r="H102" s="67">
        <v>1</v>
      </c>
      <c r="I102" s="67">
        <v>1</v>
      </c>
      <c r="J102" s="91" t="str">
        <f t="shared" si="4"/>
        <v>F_041</v>
      </c>
      <c r="K102" s="92"/>
    </row>
    <row r="103" customHeight="1" spans="1:11">
      <c r="A103" s="60">
        <f t="shared" si="5"/>
        <v>42</v>
      </c>
      <c r="B103" s="61" t="s">
        <v>169</v>
      </c>
      <c r="C103" s="83" t="s">
        <v>128</v>
      </c>
      <c r="D103" s="63" t="s">
        <v>115</v>
      </c>
      <c r="E103" s="64">
        <v>20111</v>
      </c>
      <c r="F103" s="65" t="s">
        <v>115</v>
      </c>
      <c r="G103" s="66">
        <f>IF(BD!$E103="","",(E103/(H103*I103)))</f>
        <v>20111</v>
      </c>
      <c r="H103" s="67">
        <v>1</v>
      </c>
      <c r="I103" s="67">
        <v>1</v>
      </c>
      <c r="J103" s="91" t="str">
        <f t="shared" si="4"/>
        <v>F_042</v>
      </c>
      <c r="K103" s="92"/>
    </row>
    <row r="104" customHeight="1" spans="1:11">
      <c r="A104" s="60">
        <f t="shared" si="5"/>
        <v>43</v>
      </c>
      <c r="B104" s="61" t="s">
        <v>170</v>
      </c>
      <c r="C104" s="83" t="s">
        <v>128</v>
      </c>
      <c r="D104" s="63" t="s">
        <v>115</v>
      </c>
      <c r="E104" s="64">
        <v>229095</v>
      </c>
      <c r="F104" s="65" t="s">
        <v>115</v>
      </c>
      <c r="G104" s="66">
        <f>IF(BD!$E104="","",(E104/(H104*I104)))</f>
        <v>229095</v>
      </c>
      <c r="H104" s="67">
        <v>1</v>
      </c>
      <c r="I104" s="67">
        <v>1</v>
      </c>
      <c r="J104" s="91" t="str">
        <f t="shared" si="4"/>
        <v>F_043</v>
      </c>
      <c r="K104" s="92"/>
    </row>
    <row r="105" customHeight="1" spans="1:11">
      <c r="A105" s="60">
        <f t="shared" si="5"/>
        <v>44</v>
      </c>
      <c r="B105" s="61" t="s">
        <v>171</v>
      </c>
      <c r="C105" s="83" t="s">
        <v>128</v>
      </c>
      <c r="D105" s="63" t="s">
        <v>115</v>
      </c>
      <c r="E105" s="64">
        <v>279854.5</v>
      </c>
      <c r="F105" s="65" t="s">
        <v>115</v>
      </c>
      <c r="G105" s="66">
        <f>IF(BD!$E105="","",(E105/(H105*I105)))</f>
        <v>279854.5</v>
      </c>
      <c r="H105" s="67">
        <v>1</v>
      </c>
      <c r="I105" s="67">
        <v>1</v>
      </c>
      <c r="J105" s="91" t="str">
        <f t="shared" si="4"/>
        <v>F_044</v>
      </c>
      <c r="K105" s="92"/>
    </row>
    <row r="106" customHeight="1" spans="1:11">
      <c r="A106" s="60">
        <f t="shared" si="5"/>
        <v>45</v>
      </c>
      <c r="B106" s="61" t="s">
        <v>172</v>
      </c>
      <c r="C106" s="83" t="s">
        <v>128</v>
      </c>
      <c r="D106" s="63" t="s">
        <v>115</v>
      </c>
      <c r="E106" s="64">
        <v>157271</v>
      </c>
      <c r="F106" s="65" t="s">
        <v>115</v>
      </c>
      <c r="G106" s="66">
        <f>IF(BD!$E106="","",(E106/(H106*I106)))</f>
        <v>157271</v>
      </c>
      <c r="H106" s="67">
        <v>1</v>
      </c>
      <c r="I106" s="67">
        <v>1</v>
      </c>
      <c r="J106" s="91" t="str">
        <f t="shared" si="4"/>
        <v>F_045</v>
      </c>
      <c r="K106" s="92"/>
    </row>
    <row r="107" customHeight="1" spans="1:11">
      <c r="A107" s="60">
        <f t="shared" si="5"/>
        <v>46</v>
      </c>
      <c r="B107" s="61" t="s">
        <v>173</v>
      </c>
      <c r="C107" s="83" t="s">
        <v>128</v>
      </c>
      <c r="D107" s="63" t="s">
        <v>115</v>
      </c>
      <c r="E107" s="64">
        <v>284545</v>
      </c>
      <c r="F107" s="65" t="s">
        <v>115</v>
      </c>
      <c r="G107" s="66">
        <f>IF(BD!$E107="","",(E107/(H107*I107)))</f>
        <v>284545</v>
      </c>
      <c r="H107" s="67">
        <v>1</v>
      </c>
      <c r="I107" s="67">
        <v>1</v>
      </c>
      <c r="J107" s="91" t="str">
        <f t="shared" si="4"/>
        <v>F_046</v>
      </c>
      <c r="K107" s="92"/>
    </row>
    <row r="108" customHeight="1" spans="1:11">
      <c r="A108" s="60">
        <f t="shared" si="5"/>
        <v>47</v>
      </c>
      <c r="B108" s="61" t="s">
        <v>174</v>
      </c>
      <c r="C108" s="83" t="s">
        <v>128</v>
      </c>
      <c r="D108" s="63" t="s">
        <v>115</v>
      </c>
      <c r="E108" s="64">
        <v>120557.6</v>
      </c>
      <c r="F108" s="65" t="s">
        <v>115</v>
      </c>
      <c r="G108" s="66">
        <f>IF(BD!$E108="","",(E108/(H108*I108)))</f>
        <v>120557.6</v>
      </c>
      <c r="H108" s="67">
        <v>1</v>
      </c>
      <c r="I108" s="67">
        <v>1</v>
      </c>
      <c r="J108" s="91" t="str">
        <f t="shared" si="4"/>
        <v>F_047</v>
      </c>
      <c r="K108" s="92"/>
    </row>
    <row r="109" customHeight="1" spans="1:11">
      <c r="A109" s="60">
        <f t="shared" si="5"/>
        <v>48</v>
      </c>
      <c r="B109" s="61" t="s">
        <v>175</v>
      </c>
      <c r="C109" s="83" t="s">
        <v>128</v>
      </c>
      <c r="D109" s="63" t="s">
        <v>115</v>
      </c>
      <c r="E109" s="64">
        <v>31797.6</v>
      </c>
      <c r="F109" s="65" t="s">
        <v>115</v>
      </c>
      <c r="G109" s="66">
        <f>IF(BD!$E109="","",(E109/(H109*I109)))</f>
        <v>31797.6</v>
      </c>
      <c r="H109" s="67">
        <v>1</v>
      </c>
      <c r="I109" s="67">
        <v>1</v>
      </c>
      <c r="J109" s="91" t="str">
        <f t="shared" si="4"/>
        <v>F_048</v>
      </c>
      <c r="K109" s="92"/>
    </row>
    <row r="110" customHeight="1" spans="1:11">
      <c r="A110" s="60">
        <f t="shared" si="5"/>
        <v>49</v>
      </c>
      <c r="B110" s="61" t="s">
        <v>176</v>
      </c>
      <c r="C110" s="83" t="s">
        <v>128</v>
      </c>
      <c r="D110" s="63" t="s">
        <v>115</v>
      </c>
      <c r="E110" s="64">
        <v>25200</v>
      </c>
      <c r="F110" s="65" t="s">
        <v>115</v>
      </c>
      <c r="G110" s="66">
        <f>IF(BD!$E110="","",(E110/(H110*I110)))</f>
        <v>25200</v>
      </c>
      <c r="H110" s="67">
        <v>1</v>
      </c>
      <c r="I110" s="67">
        <v>1</v>
      </c>
      <c r="J110" s="91" t="str">
        <f t="shared" si="4"/>
        <v>F_049</v>
      </c>
      <c r="K110" s="92"/>
    </row>
    <row r="111" customHeight="1" spans="1:11">
      <c r="A111" s="60">
        <f t="shared" si="5"/>
        <v>50</v>
      </c>
      <c r="B111" s="61" t="s">
        <v>177</v>
      </c>
      <c r="C111" s="83" t="s">
        <v>128</v>
      </c>
      <c r="D111" s="63" t="s">
        <v>115</v>
      </c>
      <c r="E111" s="64">
        <v>131707</v>
      </c>
      <c r="F111" s="65" t="s">
        <v>115</v>
      </c>
      <c r="G111" s="66">
        <f>IF(BD!$E111="","",(E111/(H111*I111)))</f>
        <v>131707</v>
      </c>
      <c r="H111" s="67">
        <v>1</v>
      </c>
      <c r="I111" s="67">
        <v>1</v>
      </c>
      <c r="J111" s="91" t="str">
        <f t="shared" si="4"/>
        <v>F_050</v>
      </c>
      <c r="K111" s="92"/>
    </row>
    <row r="112" customHeight="1" spans="1:11">
      <c r="A112" s="60">
        <f t="shared" si="5"/>
        <v>51</v>
      </c>
      <c r="B112" s="61" t="s">
        <v>178</v>
      </c>
      <c r="C112" s="83" t="s">
        <v>128</v>
      </c>
      <c r="D112" s="63" t="s">
        <v>115</v>
      </c>
      <c r="E112" s="64">
        <v>446666</v>
      </c>
      <c r="F112" s="65" t="s">
        <v>115</v>
      </c>
      <c r="G112" s="66">
        <f>IF(BD!$E112="","",(E112/(H112*I112)))</f>
        <v>446666</v>
      </c>
      <c r="H112" s="67">
        <v>1</v>
      </c>
      <c r="I112" s="67">
        <v>1</v>
      </c>
      <c r="J112" s="91" t="str">
        <f t="shared" si="4"/>
        <v>F_051</v>
      </c>
      <c r="K112" s="92"/>
    </row>
    <row r="113" customHeight="1" spans="1:11">
      <c r="A113" s="60">
        <f t="shared" si="5"/>
        <v>52</v>
      </c>
      <c r="B113" s="61" t="s">
        <v>179</v>
      </c>
      <c r="C113" s="83" t="s">
        <v>128</v>
      </c>
      <c r="D113" s="63" t="s">
        <v>180</v>
      </c>
      <c r="E113" s="64">
        <v>97321</v>
      </c>
      <c r="F113" s="65" t="s">
        <v>180</v>
      </c>
      <c r="G113" s="66">
        <f>IF(BD!$E113="","",(E113/(H113*I113)))</f>
        <v>97321</v>
      </c>
      <c r="H113" s="67">
        <v>1</v>
      </c>
      <c r="I113" s="67">
        <v>1</v>
      </c>
      <c r="J113" s="91" t="str">
        <f t="shared" si="4"/>
        <v>F_052</v>
      </c>
      <c r="K113" s="92"/>
    </row>
    <row r="114" customHeight="1" spans="1:11">
      <c r="A114" s="60">
        <f t="shared" si="5"/>
        <v>53</v>
      </c>
      <c r="B114" s="61" t="s">
        <v>181</v>
      </c>
      <c r="C114" s="83" t="s">
        <v>128</v>
      </c>
      <c r="D114" s="63" t="s">
        <v>180</v>
      </c>
      <c r="E114" s="64">
        <v>99191</v>
      </c>
      <c r="F114" s="65" t="s">
        <v>180</v>
      </c>
      <c r="G114" s="66">
        <f>IF(BD!$E114="","",(E114/(H114*I114)))</f>
        <v>99191</v>
      </c>
      <c r="H114" s="67">
        <v>1</v>
      </c>
      <c r="I114" s="67">
        <v>1</v>
      </c>
      <c r="J114" s="91" t="str">
        <f t="shared" si="4"/>
        <v>F_053</v>
      </c>
      <c r="K114" s="92"/>
    </row>
    <row r="115" customHeight="1" spans="1:11">
      <c r="A115" s="60">
        <f t="shared" si="5"/>
        <v>54</v>
      </c>
      <c r="B115" s="61" t="s">
        <v>182</v>
      </c>
      <c r="C115" s="83" t="s">
        <v>128</v>
      </c>
      <c r="D115" s="63" t="s">
        <v>115</v>
      </c>
      <c r="E115" s="64">
        <v>30600</v>
      </c>
      <c r="F115" s="65" t="s">
        <v>115</v>
      </c>
      <c r="G115" s="66">
        <f>IF(BD!$E115="","",(E115/(H115*I115)))</f>
        <v>30600</v>
      </c>
      <c r="H115" s="67">
        <v>1</v>
      </c>
      <c r="I115" s="67">
        <v>1</v>
      </c>
      <c r="J115" s="91" t="str">
        <f t="shared" si="4"/>
        <v>F_054</v>
      </c>
      <c r="K115" s="92"/>
    </row>
    <row r="116" customHeight="1" spans="1:11">
      <c r="A116" s="60">
        <f t="shared" si="5"/>
        <v>55</v>
      </c>
      <c r="B116" s="61" t="s">
        <v>183</v>
      </c>
      <c r="C116" s="83" t="s">
        <v>128</v>
      </c>
      <c r="D116" s="63" t="s">
        <v>115</v>
      </c>
      <c r="E116" s="64">
        <v>27800</v>
      </c>
      <c r="F116" s="65" t="s">
        <v>115</v>
      </c>
      <c r="G116" s="66">
        <f>IF(BD!$E116="","",(E116/(H116*I116)))</f>
        <v>27800</v>
      </c>
      <c r="H116" s="67">
        <v>1</v>
      </c>
      <c r="I116" s="67">
        <v>1</v>
      </c>
      <c r="J116" s="91" t="str">
        <f t="shared" si="4"/>
        <v>F_055</v>
      </c>
      <c r="K116" s="92"/>
    </row>
    <row r="117" customHeight="1" spans="1:11">
      <c r="A117" s="60">
        <f t="shared" si="5"/>
        <v>56</v>
      </c>
      <c r="B117" s="61" t="s">
        <v>184</v>
      </c>
      <c r="C117" s="83" t="s">
        <v>128</v>
      </c>
      <c r="D117" s="63" t="s">
        <v>115</v>
      </c>
      <c r="E117" s="64">
        <v>25955</v>
      </c>
      <c r="F117" s="65" t="s">
        <v>115</v>
      </c>
      <c r="G117" s="66">
        <f>IF(BD!$E117="","",(E117/(H117*I117)))</f>
        <v>25955</v>
      </c>
      <c r="H117" s="67">
        <v>1</v>
      </c>
      <c r="I117" s="67">
        <v>1</v>
      </c>
      <c r="J117" s="91" t="str">
        <f t="shared" si="4"/>
        <v>F_056</v>
      </c>
      <c r="K117" s="92"/>
    </row>
    <row r="118" customHeight="1" spans="1:11">
      <c r="A118" s="60">
        <f t="shared" si="5"/>
        <v>57</v>
      </c>
      <c r="B118" s="61" t="s">
        <v>185</v>
      </c>
      <c r="C118" s="83" t="s">
        <v>128</v>
      </c>
      <c r="D118" s="63" t="s">
        <v>115</v>
      </c>
      <c r="E118" s="64">
        <v>58187.6</v>
      </c>
      <c r="F118" s="65" t="s">
        <v>115</v>
      </c>
      <c r="G118" s="66">
        <f>IF(BD!$E118="","",(E118/(H118*I118)))</f>
        <v>58187.6</v>
      </c>
      <c r="H118" s="67">
        <v>1</v>
      </c>
      <c r="I118" s="67">
        <v>1</v>
      </c>
      <c r="J118" s="91" t="str">
        <f t="shared" si="4"/>
        <v>F_057</v>
      </c>
      <c r="K118" s="92"/>
    </row>
    <row r="119" customHeight="1" spans="1:11">
      <c r="A119" s="60">
        <f t="shared" si="5"/>
        <v>58</v>
      </c>
      <c r="B119" s="61" t="s">
        <v>186</v>
      </c>
      <c r="C119" s="83" t="s">
        <v>128</v>
      </c>
      <c r="D119" s="63" t="s">
        <v>115</v>
      </c>
      <c r="E119" s="64">
        <v>40505.5</v>
      </c>
      <c r="F119" s="65" t="s">
        <v>115</v>
      </c>
      <c r="G119" s="66">
        <f>IF(BD!$E119="","",(E119/(H119*I119)))</f>
        <v>40505.5</v>
      </c>
      <c r="H119" s="67">
        <v>1</v>
      </c>
      <c r="I119" s="67">
        <v>1</v>
      </c>
      <c r="J119" s="91" t="str">
        <f t="shared" si="4"/>
        <v>F_058</v>
      </c>
      <c r="K119" s="92"/>
    </row>
    <row r="120" customHeight="1" spans="1:11">
      <c r="A120" s="60">
        <f t="shared" si="5"/>
        <v>59</v>
      </c>
      <c r="B120" s="61" t="s">
        <v>187</v>
      </c>
      <c r="C120" s="83" t="s">
        <v>128</v>
      </c>
      <c r="D120" s="63" t="s">
        <v>115</v>
      </c>
      <c r="E120" s="64">
        <v>28585</v>
      </c>
      <c r="F120" s="65" t="s">
        <v>115</v>
      </c>
      <c r="G120" s="66">
        <f>IF(BD!$E120="","",(E120/(H120*I120)))</f>
        <v>28585</v>
      </c>
      <c r="H120" s="67">
        <v>1</v>
      </c>
      <c r="I120" s="67">
        <v>1</v>
      </c>
      <c r="J120" s="91" t="str">
        <f t="shared" si="4"/>
        <v>F_059</v>
      </c>
      <c r="K120" s="92"/>
    </row>
    <row r="121" customHeight="1" spans="1:11">
      <c r="A121" s="60">
        <f t="shared" si="5"/>
        <v>60</v>
      </c>
      <c r="B121" s="61" t="s">
        <v>188</v>
      </c>
      <c r="C121" s="83" t="s">
        <v>128</v>
      </c>
      <c r="D121" s="63" t="s">
        <v>115</v>
      </c>
      <c r="E121" s="64">
        <v>204785</v>
      </c>
      <c r="F121" s="65" t="s">
        <v>115</v>
      </c>
      <c r="G121" s="66">
        <f>IF(BD!$E121="","",(E121/(H121*I121)))</f>
        <v>204785</v>
      </c>
      <c r="H121" s="67">
        <v>1</v>
      </c>
      <c r="I121" s="67">
        <v>1</v>
      </c>
      <c r="J121" s="91" t="str">
        <f t="shared" si="4"/>
        <v>F_060</v>
      </c>
      <c r="K121" s="92"/>
    </row>
    <row r="122" customHeight="1" spans="1:11">
      <c r="A122" s="60">
        <f t="shared" si="5"/>
        <v>61</v>
      </c>
      <c r="B122" s="61" t="s">
        <v>189</v>
      </c>
      <c r="C122" s="83" t="s">
        <v>128</v>
      </c>
      <c r="D122" s="63" t="s">
        <v>115</v>
      </c>
      <c r="E122" s="64">
        <v>64500</v>
      </c>
      <c r="F122" s="65" t="s">
        <v>115</v>
      </c>
      <c r="G122" s="66">
        <f>IF(BD!$E122="","",(E122/(H122*I122)))</f>
        <v>64500</v>
      </c>
      <c r="H122" s="67">
        <v>1</v>
      </c>
      <c r="I122" s="67">
        <v>1</v>
      </c>
      <c r="J122" s="91" t="str">
        <f t="shared" si="4"/>
        <v>F_061</v>
      </c>
      <c r="K122" s="92"/>
    </row>
    <row r="123" customHeight="1" spans="1:11">
      <c r="A123" s="60">
        <f t="shared" si="5"/>
        <v>62</v>
      </c>
      <c r="B123" s="61" t="s">
        <v>190</v>
      </c>
      <c r="C123" s="83" t="s">
        <v>128</v>
      </c>
      <c r="D123" s="63" t="s">
        <v>115</v>
      </c>
      <c r="E123" s="64">
        <v>111250</v>
      </c>
      <c r="F123" s="65" t="s">
        <v>115</v>
      </c>
      <c r="G123" s="66">
        <f>IF(BD!$E123="","",(E123/(H123*I123)))</f>
        <v>111250</v>
      </c>
      <c r="H123" s="67">
        <v>1</v>
      </c>
      <c r="I123" s="67">
        <v>1</v>
      </c>
      <c r="J123" s="91" t="str">
        <f t="shared" si="4"/>
        <v>F_062</v>
      </c>
      <c r="K123" s="92"/>
    </row>
    <row r="124" customHeight="1" spans="1:11">
      <c r="A124" s="60">
        <f t="shared" si="5"/>
        <v>63</v>
      </c>
      <c r="B124" s="61" t="s">
        <v>191</v>
      </c>
      <c r="C124" s="83" t="s">
        <v>128</v>
      </c>
      <c r="D124" s="63" t="s">
        <v>115</v>
      </c>
      <c r="E124" s="64">
        <v>79000</v>
      </c>
      <c r="F124" s="65" t="s">
        <v>115</v>
      </c>
      <c r="G124" s="66">
        <f>IF(BD!$E124="","",(E124/(H124*I124)))</f>
        <v>79000</v>
      </c>
      <c r="H124" s="67">
        <v>1</v>
      </c>
      <c r="I124" s="67">
        <v>1</v>
      </c>
      <c r="J124" s="91" t="str">
        <f t="shared" si="4"/>
        <v>F_063</v>
      </c>
      <c r="K124" s="92"/>
    </row>
    <row r="125" customHeight="1" spans="1:11">
      <c r="A125" s="60">
        <f t="shared" si="5"/>
        <v>64</v>
      </c>
      <c r="B125" s="61" t="s">
        <v>192</v>
      </c>
      <c r="C125" s="83" t="s">
        <v>128</v>
      </c>
      <c r="D125" s="63" t="s">
        <v>115</v>
      </c>
      <c r="E125" s="64">
        <v>108010</v>
      </c>
      <c r="F125" s="65" t="s">
        <v>115</v>
      </c>
      <c r="G125" s="66">
        <f>IF(BD!$E125="","",(E125/(H125*I125)))</f>
        <v>108010</v>
      </c>
      <c r="H125" s="67">
        <v>1</v>
      </c>
      <c r="I125" s="67">
        <v>1</v>
      </c>
      <c r="J125" s="91" t="str">
        <f t="shared" si="4"/>
        <v>F_064</v>
      </c>
      <c r="K125" s="92"/>
    </row>
    <row r="126" customHeight="1" spans="1:11">
      <c r="A126" s="60">
        <f t="shared" si="5"/>
        <v>65</v>
      </c>
      <c r="B126" s="61" t="s">
        <v>193</v>
      </c>
      <c r="C126" s="83" t="s">
        <v>128</v>
      </c>
      <c r="D126" s="63" t="s">
        <v>115</v>
      </c>
      <c r="E126" s="64">
        <v>71816.5</v>
      </c>
      <c r="F126" s="65" t="s">
        <v>115</v>
      </c>
      <c r="G126" s="66">
        <f>IF(BD!$E126="","",(E126/(H126*I126)))</f>
        <v>71816.5</v>
      </c>
      <c r="H126" s="67">
        <v>1</v>
      </c>
      <c r="I126" s="67">
        <v>1</v>
      </c>
      <c r="J126" s="91" t="str">
        <f t="shared" ref="J126:J157" si="6">CONCATENATE(LEFT(C126,1),"_",TEXT(A126,"000"))</f>
        <v>F_065</v>
      </c>
      <c r="K126" s="92"/>
    </row>
    <row r="127" customHeight="1" spans="1:11">
      <c r="A127" s="60">
        <f t="shared" ref="A127:A158" si="7">A126+1</f>
        <v>66</v>
      </c>
      <c r="B127" s="61" t="s">
        <v>194</v>
      </c>
      <c r="C127" s="83" t="s">
        <v>128</v>
      </c>
      <c r="D127" s="63" t="s">
        <v>115</v>
      </c>
      <c r="E127" s="64">
        <v>89211</v>
      </c>
      <c r="F127" s="65" t="s">
        <v>115</v>
      </c>
      <c r="G127" s="66">
        <f>IF(BD!$E127="","",(E127/(H127*I127)))</f>
        <v>89211</v>
      </c>
      <c r="H127" s="67">
        <v>1</v>
      </c>
      <c r="I127" s="67">
        <v>1</v>
      </c>
      <c r="J127" s="91" t="str">
        <f t="shared" si="6"/>
        <v>F_066</v>
      </c>
      <c r="K127" s="92"/>
    </row>
    <row r="128" customHeight="1" spans="1:11">
      <c r="A128" s="60">
        <f t="shared" si="7"/>
        <v>67</v>
      </c>
      <c r="B128" s="61" t="s">
        <v>195</v>
      </c>
      <c r="C128" s="83" t="s">
        <v>128</v>
      </c>
      <c r="D128" s="63" t="s">
        <v>115</v>
      </c>
      <c r="E128" s="64">
        <v>603076</v>
      </c>
      <c r="F128" s="65" t="s">
        <v>115</v>
      </c>
      <c r="G128" s="66">
        <f>IF(BD!$E128="","",(E128/(H128*I128)))</f>
        <v>603076</v>
      </c>
      <c r="H128" s="67">
        <v>1</v>
      </c>
      <c r="I128" s="67">
        <v>1</v>
      </c>
      <c r="J128" s="91" t="str">
        <f t="shared" si="6"/>
        <v>F_067</v>
      </c>
      <c r="K128" s="92"/>
    </row>
    <row r="129" customHeight="1" spans="1:11">
      <c r="A129" s="60">
        <f t="shared" si="7"/>
        <v>68</v>
      </c>
      <c r="B129" s="61" t="s">
        <v>196</v>
      </c>
      <c r="C129" s="83" t="s">
        <v>128</v>
      </c>
      <c r="D129" s="63" t="s">
        <v>115</v>
      </c>
      <c r="E129" s="64">
        <v>248532</v>
      </c>
      <c r="F129" s="65" t="s">
        <v>115</v>
      </c>
      <c r="G129" s="66">
        <f>IF(BD!$E129="","",(E129/(H129*I129)))</f>
        <v>248532</v>
      </c>
      <c r="H129" s="67">
        <v>1</v>
      </c>
      <c r="I129" s="67">
        <v>1</v>
      </c>
      <c r="J129" s="91" t="str">
        <f t="shared" si="6"/>
        <v>F_068</v>
      </c>
      <c r="K129" s="92"/>
    </row>
    <row r="130" customHeight="1" spans="1:11">
      <c r="A130" s="60">
        <f t="shared" si="7"/>
        <v>69</v>
      </c>
      <c r="B130" s="61" t="s">
        <v>197</v>
      </c>
      <c r="C130" s="83" t="s">
        <v>128</v>
      </c>
      <c r="D130" s="63" t="s">
        <v>115</v>
      </c>
      <c r="E130" s="64">
        <v>33000</v>
      </c>
      <c r="F130" s="65" t="s">
        <v>115</v>
      </c>
      <c r="G130" s="66">
        <f>IF(BD!$E130="","",(E130/(H130*I130)))</f>
        <v>33000</v>
      </c>
      <c r="H130" s="67">
        <v>1</v>
      </c>
      <c r="I130" s="67">
        <v>1</v>
      </c>
      <c r="J130" s="91" t="str">
        <f t="shared" si="6"/>
        <v>F_069</v>
      </c>
      <c r="K130" s="92"/>
    </row>
    <row r="131" customHeight="1" spans="1:11">
      <c r="A131" s="60">
        <f t="shared" si="7"/>
        <v>70</v>
      </c>
      <c r="B131" s="61" t="s">
        <v>198</v>
      </c>
      <c r="C131" s="83" t="s">
        <v>128</v>
      </c>
      <c r="D131" s="63" t="s">
        <v>115</v>
      </c>
      <c r="E131" s="64">
        <v>26141</v>
      </c>
      <c r="F131" s="65" t="s">
        <v>115</v>
      </c>
      <c r="G131" s="66">
        <f>IF(BD!$E131="","",(E131/(H131*I131)))</f>
        <v>26141</v>
      </c>
      <c r="H131" s="67">
        <v>1</v>
      </c>
      <c r="I131" s="67">
        <v>1</v>
      </c>
      <c r="J131" s="91" t="str">
        <f t="shared" si="6"/>
        <v>F_070</v>
      </c>
      <c r="K131" s="92"/>
    </row>
    <row r="132" customHeight="1" spans="1:11">
      <c r="A132" s="60">
        <f t="shared" si="7"/>
        <v>71</v>
      </c>
      <c r="B132" s="61" t="s">
        <v>199</v>
      </c>
      <c r="C132" s="83" t="s">
        <v>128</v>
      </c>
      <c r="D132" s="63" t="s">
        <v>115</v>
      </c>
      <c r="E132" s="64">
        <v>9818</v>
      </c>
      <c r="F132" s="65" t="s">
        <v>115</v>
      </c>
      <c r="G132" s="66">
        <f>IF(BD!$E132="","",(E132/(H132*I132)))</f>
        <v>9818</v>
      </c>
      <c r="H132" s="67">
        <v>1</v>
      </c>
      <c r="I132" s="67">
        <v>1</v>
      </c>
      <c r="J132" s="91" t="str">
        <f t="shared" si="6"/>
        <v>F_071</v>
      </c>
      <c r="K132" s="92"/>
    </row>
    <row r="133" customHeight="1" spans="1:11">
      <c r="A133" s="60">
        <f t="shared" si="7"/>
        <v>72</v>
      </c>
      <c r="B133" s="61" t="s">
        <v>200</v>
      </c>
      <c r="C133" s="83" t="s">
        <v>128</v>
      </c>
      <c r="D133" s="63" t="s">
        <v>115</v>
      </c>
      <c r="E133" s="64">
        <v>37905</v>
      </c>
      <c r="F133" s="65" t="s">
        <v>115</v>
      </c>
      <c r="G133" s="66">
        <f>IF(BD!$E133="","",(E133/(H133*I133)))</f>
        <v>37905</v>
      </c>
      <c r="H133" s="67">
        <v>1</v>
      </c>
      <c r="I133" s="67">
        <v>1</v>
      </c>
      <c r="J133" s="91" t="str">
        <f t="shared" si="6"/>
        <v>F_072</v>
      </c>
      <c r="K133" s="92"/>
    </row>
    <row r="134" customHeight="1" spans="1:11">
      <c r="A134" s="60">
        <f t="shared" si="7"/>
        <v>73</v>
      </c>
      <c r="B134" s="61" t="s">
        <v>201</v>
      </c>
      <c r="C134" s="83" t="s">
        <v>128</v>
      </c>
      <c r="D134" s="63" t="s">
        <v>115</v>
      </c>
      <c r="E134" s="64">
        <v>17500</v>
      </c>
      <c r="F134" s="65" t="s">
        <v>115</v>
      </c>
      <c r="G134" s="66">
        <f>IF(BD!$E134="","",(E134/(H134*I134)))</f>
        <v>17500</v>
      </c>
      <c r="H134" s="67">
        <v>1</v>
      </c>
      <c r="I134" s="67">
        <v>1</v>
      </c>
      <c r="J134" s="91" t="str">
        <f t="shared" si="6"/>
        <v>F_073</v>
      </c>
      <c r="K134" s="92"/>
    </row>
    <row r="135" customHeight="1" spans="1:11">
      <c r="A135" s="60">
        <f t="shared" si="7"/>
        <v>74</v>
      </c>
      <c r="B135" s="61" t="s">
        <v>202</v>
      </c>
      <c r="C135" s="83" t="s">
        <v>128</v>
      </c>
      <c r="D135" s="63" t="s">
        <v>180</v>
      </c>
      <c r="E135" s="64">
        <v>47662</v>
      </c>
      <c r="F135" s="65" t="s">
        <v>180</v>
      </c>
      <c r="G135" s="66">
        <f>IF(BD!$E135="","",(E135/(H135*I135)))</f>
        <v>47662</v>
      </c>
      <c r="H135" s="67">
        <v>1</v>
      </c>
      <c r="I135" s="67">
        <v>1</v>
      </c>
      <c r="J135" s="91" t="str">
        <f t="shared" si="6"/>
        <v>F_074</v>
      </c>
      <c r="K135" s="92"/>
    </row>
    <row r="136" customHeight="1" spans="1:11">
      <c r="A136" s="60">
        <f t="shared" si="7"/>
        <v>75</v>
      </c>
      <c r="B136" s="61" t="s">
        <v>203</v>
      </c>
      <c r="C136" s="83" t="s">
        <v>128</v>
      </c>
      <c r="D136" s="63" t="s">
        <v>180</v>
      </c>
      <c r="E136" s="64">
        <v>8533</v>
      </c>
      <c r="F136" s="65" t="s">
        <v>180</v>
      </c>
      <c r="G136" s="66">
        <f>IF(BD!$E136="","",(E136/(H136*I136)))</f>
        <v>8533</v>
      </c>
      <c r="H136" s="67">
        <v>1</v>
      </c>
      <c r="I136" s="67">
        <v>1</v>
      </c>
      <c r="J136" s="91" t="str">
        <f t="shared" si="6"/>
        <v>F_075</v>
      </c>
      <c r="K136" s="92"/>
    </row>
    <row r="137" customHeight="1" spans="1:11">
      <c r="A137" s="60">
        <f t="shared" si="7"/>
        <v>76</v>
      </c>
      <c r="B137" s="61" t="s">
        <v>204</v>
      </c>
      <c r="C137" s="83" t="s">
        <v>128</v>
      </c>
      <c r="D137" s="63" t="s">
        <v>180</v>
      </c>
      <c r="E137" s="64">
        <v>8367</v>
      </c>
      <c r="F137" s="65" t="s">
        <v>180</v>
      </c>
      <c r="G137" s="66">
        <f>IF(BD!$E137="","",(E137/(H137*I137)))</f>
        <v>8367</v>
      </c>
      <c r="H137" s="67">
        <v>1</v>
      </c>
      <c r="I137" s="67">
        <v>1</v>
      </c>
      <c r="J137" s="91" t="str">
        <f t="shared" si="6"/>
        <v>F_076</v>
      </c>
      <c r="K137" s="92"/>
    </row>
    <row r="138" customHeight="1" spans="1:11">
      <c r="A138" s="60">
        <f t="shared" si="7"/>
        <v>77</v>
      </c>
      <c r="B138" s="61" t="s">
        <v>205</v>
      </c>
      <c r="C138" s="83" t="s">
        <v>128</v>
      </c>
      <c r="D138" s="63" t="s">
        <v>180</v>
      </c>
      <c r="E138" s="64">
        <v>32859</v>
      </c>
      <c r="F138" s="65" t="s">
        <v>180</v>
      </c>
      <c r="G138" s="66">
        <f>IF(BD!$E138="","",(E138/(H138*I138)))</f>
        <v>32859</v>
      </c>
      <c r="H138" s="67">
        <v>1</v>
      </c>
      <c r="I138" s="67">
        <v>1</v>
      </c>
      <c r="J138" s="91" t="str">
        <f t="shared" si="6"/>
        <v>F_077</v>
      </c>
      <c r="K138" s="92"/>
    </row>
    <row r="139" customHeight="1" spans="1:11">
      <c r="A139" s="60">
        <f t="shared" si="7"/>
        <v>78</v>
      </c>
      <c r="B139" s="61" t="s">
        <v>206</v>
      </c>
      <c r="C139" s="83" t="s">
        <v>128</v>
      </c>
      <c r="D139" s="63" t="s">
        <v>180</v>
      </c>
      <c r="E139" s="64">
        <v>9366</v>
      </c>
      <c r="F139" s="65" t="s">
        <v>180</v>
      </c>
      <c r="G139" s="66">
        <f>IF(BD!$E139="","",(E139/(H139*I139)))</f>
        <v>9366</v>
      </c>
      <c r="H139" s="67">
        <v>1</v>
      </c>
      <c r="I139" s="67">
        <v>1</v>
      </c>
      <c r="J139" s="91" t="str">
        <f t="shared" si="6"/>
        <v>F_078</v>
      </c>
      <c r="K139" s="92"/>
    </row>
    <row r="140" customHeight="1" spans="1:11">
      <c r="A140" s="60">
        <f t="shared" si="7"/>
        <v>79</v>
      </c>
      <c r="B140" s="61" t="s">
        <v>207</v>
      </c>
      <c r="C140" s="83" t="s">
        <v>128</v>
      </c>
      <c r="D140" s="63" t="s">
        <v>180</v>
      </c>
      <c r="E140" s="64">
        <v>54502</v>
      </c>
      <c r="F140" s="65" t="s">
        <v>180</v>
      </c>
      <c r="G140" s="66">
        <f>IF(BD!$E140="","",(E140/(H140*I140)))</f>
        <v>54502</v>
      </c>
      <c r="H140" s="67">
        <v>1</v>
      </c>
      <c r="I140" s="67">
        <v>1</v>
      </c>
      <c r="J140" s="91" t="str">
        <f t="shared" si="6"/>
        <v>F_079</v>
      </c>
      <c r="K140" s="92"/>
    </row>
    <row r="141" customHeight="1" spans="1:11">
      <c r="A141" s="60">
        <f t="shared" si="7"/>
        <v>80</v>
      </c>
      <c r="B141" s="61" t="s">
        <v>208</v>
      </c>
      <c r="C141" s="83" t="s">
        <v>128</v>
      </c>
      <c r="D141" s="63" t="s">
        <v>209</v>
      </c>
      <c r="E141" s="64">
        <v>14170</v>
      </c>
      <c r="F141" s="65" t="s">
        <v>209</v>
      </c>
      <c r="G141" s="66">
        <f>IF(BD!$E141="","",(E141/(H141*I141)))</f>
        <v>14170</v>
      </c>
      <c r="H141" s="67">
        <v>1</v>
      </c>
      <c r="I141" s="67">
        <v>1</v>
      </c>
      <c r="J141" s="91" t="str">
        <f t="shared" si="6"/>
        <v>F_080</v>
      </c>
      <c r="K141" s="92"/>
    </row>
    <row r="142" customHeight="1" spans="1:11">
      <c r="A142" s="60">
        <f t="shared" si="7"/>
        <v>81</v>
      </c>
      <c r="B142" s="61" t="s">
        <v>210</v>
      </c>
      <c r="C142" s="83" t="s">
        <v>128</v>
      </c>
      <c r="D142" s="63" t="s">
        <v>115</v>
      </c>
      <c r="E142" s="64">
        <v>57850</v>
      </c>
      <c r="F142" s="65" t="s">
        <v>115</v>
      </c>
      <c r="G142" s="66">
        <f>IF(BD!$E142="","",(E142/(H142*I142)))</f>
        <v>57850</v>
      </c>
      <c r="H142" s="67">
        <v>1</v>
      </c>
      <c r="I142" s="67">
        <v>1</v>
      </c>
      <c r="J142" s="91" t="str">
        <f t="shared" si="6"/>
        <v>F_081</v>
      </c>
      <c r="K142" s="92"/>
    </row>
    <row r="143" customHeight="1" spans="1:11">
      <c r="A143" s="60">
        <f t="shared" si="7"/>
        <v>82</v>
      </c>
      <c r="B143" s="61" t="s">
        <v>211</v>
      </c>
      <c r="C143" s="83" t="s">
        <v>128</v>
      </c>
      <c r="D143" s="63" t="s">
        <v>212</v>
      </c>
      <c r="E143" s="64">
        <v>33800</v>
      </c>
      <c r="F143" s="65" t="s">
        <v>115</v>
      </c>
      <c r="G143" s="66">
        <f>IF(BD!$E143="","",(E143/(H143*I143)))</f>
        <v>33800</v>
      </c>
      <c r="H143" s="67">
        <v>1</v>
      </c>
      <c r="I143" s="67">
        <v>1</v>
      </c>
      <c r="J143" s="91" t="str">
        <f t="shared" si="6"/>
        <v>F_082</v>
      </c>
      <c r="K143" s="92"/>
    </row>
    <row r="144" customHeight="1" spans="1:11">
      <c r="A144" s="60">
        <f t="shared" si="7"/>
        <v>83</v>
      </c>
      <c r="B144" s="61" t="s">
        <v>213</v>
      </c>
      <c r="C144" s="83" t="s">
        <v>128</v>
      </c>
      <c r="D144" s="63" t="s">
        <v>214</v>
      </c>
      <c r="E144" s="64">
        <v>50178</v>
      </c>
      <c r="F144" s="65" t="s">
        <v>214</v>
      </c>
      <c r="G144" s="66">
        <f>IF(BD!$E144="","",(E144/(H144*I144)))</f>
        <v>50178</v>
      </c>
      <c r="H144" s="67">
        <v>1</v>
      </c>
      <c r="I144" s="67">
        <v>1</v>
      </c>
      <c r="J144" s="91" t="str">
        <f t="shared" si="6"/>
        <v>F_083</v>
      </c>
      <c r="K144" s="92"/>
    </row>
    <row r="145" customHeight="1" spans="1:11">
      <c r="A145" s="60">
        <f t="shared" si="7"/>
        <v>84</v>
      </c>
      <c r="B145" s="61" t="s">
        <v>215</v>
      </c>
      <c r="C145" s="83" t="s">
        <v>128</v>
      </c>
      <c r="D145" s="63" t="s">
        <v>180</v>
      </c>
      <c r="E145" s="64">
        <v>35105</v>
      </c>
      <c r="F145" s="65" t="s">
        <v>180</v>
      </c>
      <c r="G145" s="66">
        <f>IF(BD!$E145="","",(E145/(H145*I145)))</f>
        <v>35105</v>
      </c>
      <c r="H145" s="67">
        <v>1</v>
      </c>
      <c r="I145" s="67">
        <v>1</v>
      </c>
      <c r="J145" s="91" t="str">
        <f t="shared" si="6"/>
        <v>F_084</v>
      </c>
      <c r="K145" s="92"/>
    </row>
    <row r="146" customHeight="1" spans="1:11">
      <c r="A146" s="60">
        <f t="shared" si="7"/>
        <v>85</v>
      </c>
      <c r="B146" s="61" t="s">
        <v>216</v>
      </c>
      <c r="C146" s="83" t="s">
        <v>128</v>
      </c>
      <c r="D146" s="63" t="s">
        <v>115</v>
      </c>
      <c r="E146" s="64">
        <v>175000</v>
      </c>
      <c r="F146" s="65" t="s">
        <v>115</v>
      </c>
      <c r="G146" s="66">
        <f>IF(BD!$E146="","",(E146/(H146*I146)))</f>
        <v>175000</v>
      </c>
      <c r="H146" s="67">
        <v>1</v>
      </c>
      <c r="I146" s="67">
        <v>1</v>
      </c>
      <c r="J146" s="91" t="str">
        <f t="shared" si="6"/>
        <v>F_085</v>
      </c>
      <c r="K146" s="92"/>
    </row>
    <row r="147" customHeight="1" spans="1:11">
      <c r="A147" s="60">
        <f t="shared" si="7"/>
        <v>86</v>
      </c>
      <c r="B147" s="61" t="s">
        <v>217</v>
      </c>
      <c r="C147" s="83" t="s">
        <v>128</v>
      </c>
      <c r="D147" s="63" t="s">
        <v>115</v>
      </c>
      <c r="E147" s="64">
        <v>283333.333333333</v>
      </c>
      <c r="F147" s="65" t="s">
        <v>115</v>
      </c>
      <c r="G147" s="66">
        <f>IF(BD!$E147="","",(E147/(H147*I147)))</f>
        <v>283333.333333333</v>
      </c>
      <c r="H147" s="67">
        <v>1</v>
      </c>
      <c r="I147" s="67">
        <v>1</v>
      </c>
      <c r="J147" s="91" t="str">
        <f t="shared" si="6"/>
        <v>F_086</v>
      </c>
      <c r="K147" s="92"/>
    </row>
    <row r="148" customHeight="1" spans="1:11">
      <c r="A148" s="60">
        <f t="shared" si="7"/>
        <v>87</v>
      </c>
      <c r="B148" s="61" t="s">
        <v>218</v>
      </c>
      <c r="C148" s="83" t="s">
        <v>128</v>
      </c>
      <c r="D148" s="63" t="s">
        <v>115</v>
      </c>
      <c r="E148" s="64">
        <v>40333.5</v>
      </c>
      <c r="F148" s="65" t="s">
        <v>115</v>
      </c>
      <c r="G148" s="66">
        <f>IF(BD!$E148="","",(E148/(H148*I148)))</f>
        <v>40333.5</v>
      </c>
      <c r="H148" s="67">
        <v>1</v>
      </c>
      <c r="I148" s="67">
        <v>1</v>
      </c>
      <c r="J148" s="91" t="str">
        <f t="shared" si="6"/>
        <v>F_087</v>
      </c>
      <c r="K148" s="92"/>
    </row>
    <row r="149" customHeight="1" spans="1:11">
      <c r="A149" s="60">
        <f t="shared" si="7"/>
        <v>88</v>
      </c>
      <c r="B149" s="61" t="s">
        <v>219</v>
      </c>
      <c r="C149" s="83" t="s">
        <v>128</v>
      </c>
      <c r="D149" s="63" t="s">
        <v>115</v>
      </c>
      <c r="E149" s="64">
        <v>15547.5</v>
      </c>
      <c r="F149" s="65" t="s">
        <v>115</v>
      </c>
      <c r="G149" s="66">
        <f>IF(BD!$E149="","",(E149/(H149*I149)))</f>
        <v>15547.5</v>
      </c>
      <c r="H149" s="67">
        <v>1</v>
      </c>
      <c r="I149" s="67">
        <v>1</v>
      </c>
      <c r="J149" s="91" t="str">
        <f t="shared" si="6"/>
        <v>F_088</v>
      </c>
      <c r="K149" s="92"/>
    </row>
    <row r="150" customHeight="1" spans="1:11">
      <c r="A150" s="60">
        <f t="shared" si="7"/>
        <v>89</v>
      </c>
      <c r="B150" s="61" t="s">
        <v>220</v>
      </c>
      <c r="C150" s="83" t="s">
        <v>128</v>
      </c>
      <c r="D150" s="63" t="s">
        <v>115</v>
      </c>
      <c r="E150" s="64">
        <v>18172.6</v>
      </c>
      <c r="F150" s="65" t="s">
        <v>115</v>
      </c>
      <c r="G150" s="66">
        <f>IF(BD!$E150="","",(E150/(H150*I150)))</f>
        <v>18172.6</v>
      </c>
      <c r="H150" s="67">
        <v>1</v>
      </c>
      <c r="I150" s="67">
        <v>1</v>
      </c>
      <c r="J150" s="91" t="str">
        <f t="shared" si="6"/>
        <v>F_089</v>
      </c>
      <c r="K150" s="92"/>
    </row>
    <row r="151" customHeight="1" spans="1:11">
      <c r="A151" s="60">
        <f t="shared" si="7"/>
        <v>90</v>
      </c>
      <c r="B151" s="61" t="s">
        <v>221</v>
      </c>
      <c r="C151" s="83" t="s">
        <v>128</v>
      </c>
      <c r="D151" s="63" t="s">
        <v>222</v>
      </c>
      <c r="E151" s="64">
        <v>38591.6666666667</v>
      </c>
      <c r="F151" s="65" t="s">
        <v>222</v>
      </c>
      <c r="G151" s="66">
        <f>IF(BD!$E151="","",(E151/(H151*I151)))</f>
        <v>38591.6666666667</v>
      </c>
      <c r="H151" s="67">
        <v>1</v>
      </c>
      <c r="I151" s="67">
        <v>1</v>
      </c>
      <c r="J151" s="91" t="str">
        <f t="shared" si="6"/>
        <v>F_090</v>
      </c>
      <c r="K151" s="92"/>
    </row>
    <row r="152" customHeight="1" spans="1:11">
      <c r="A152" s="60">
        <f t="shared" si="7"/>
        <v>91</v>
      </c>
      <c r="B152" s="61" t="s">
        <v>223</v>
      </c>
      <c r="C152" s="83" t="s">
        <v>128</v>
      </c>
      <c r="D152" s="63" t="s">
        <v>180</v>
      </c>
      <c r="E152" s="64">
        <v>22134</v>
      </c>
      <c r="F152" s="65" t="s">
        <v>180</v>
      </c>
      <c r="G152" s="66">
        <f>IF(BD!$E152="","",(E152/(H152*I152)))</f>
        <v>22134</v>
      </c>
      <c r="H152" s="67">
        <v>1</v>
      </c>
      <c r="I152" s="67">
        <v>1</v>
      </c>
      <c r="J152" s="91" t="str">
        <f t="shared" si="6"/>
        <v>F_091</v>
      </c>
      <c r="K152" s="92"/>
    </row>
    <row r="153" customHeight="1" spans="1:11">
      <c r="A153" s="60">
        <f t="shared" si="7"/>
        <v>92</v>
      </c>
      <c r="B153" s="61" t="s">
        <v>224</v>
      </c>
      <c r="C153" s="83" t="s">
        <v>128</v>
      </c>
      <c r="D153" s="63" t="s">
        <v>115</v>
      </c>
      <c r="E153" s="64">
        <v>18125</v>
      </c>
      <c r="F153" s="65" t="s">
        <v>115</v>
      </c>
      <c r="G153" s="66">
        <f>IF(BD!$E153="","",(E153/(H153*I153)))</f>
        <v>18125</v>
      </c>
      <c r="H153" s="67">
        <v>1</v>
      </c>
      <c r="I153" s="67">
        <v>1</v>
      </c>
      <c r="J153" s="91" t="str">
        <f t="shared" si="6"/>
        <v>F_092</v>
      </c>
      <c r="K153" s="92"/>
    </row>
    <row r="154" customHeight="1" spans="1:11">
      <c r="A154" s="60">
        <f t="shared" si="7"/>
        <v>93</v>
      </c>
      <c r="B154" s="61" t="s">
        <v>225</v>
      </c>
      <c r="C154" s="83" t="s">
        <v>128</v>
      </c>
      <c r="D154" s="63" t="s">
        <v>115</v>
      </c>
      <c r="E154" s="64">
        <v>102685</v>
      </c>
      <c r="F154" s="65" t="s">
        <v>115</v>
      </c>
      <c r="G154" s="66">
        <f>IF(BD!$E154="","",(E154/(H154*I154)))</f>
        <v>102685</v>
      </c>
      <c r="H154" s="67">
        <v>1</v>
      </c>
      <c r="I154" s="67">
        <v>1</v>
      </c>
      <c r="J154" s="91" t="str">
        <f t="shared" si="6"/>
        <v>F_093</v>
      </c>
      <c r="K154" s="92"/>
    </row>
    <row r="155" customHeight="1" spans="1:11">
      <c r="A155" s="60">
        <f t="shared" si="7"/>
        <v>94</v>
      </c>
      <c r="B155" s="61" t="s">
        <v>226</v>
      </c>
      <c r="C155" s="83" t="s">
        <v>128</v>
      </c>
      <c r="D155" s="63" t="s">
        <v>115</v>
      </c>
      <c r="E155" s="64">
        <v>25163</v>
      </c>
      <c r="F155" s="65" t="s">
        <v>115</v>
      </c>
      <c r="G155" s="66">
        <f>IF(BD!$E155="","",(E155/(H155*I155)))</f>
        <v>25163</v>
      </c>
      <c r="H155" s="67">
        <v>1</v>
      </c>
      <c r="I155" s="67">
        <v>1</v>
      </c>
      <c r="J155" s="91" t="str">
        <f t="shared" si="6"/>
        <v>F_094</v>
      </c>
      <c r="K155" s="92"/>
    </row>
    <row r="156" customHeight="1" spans="1:11">
      <c r="A156" s="60">
        <f t="shared" si="7"/>
        <v>95</v>
      </c>
      <c r="B156" s="61" t="s">
        <v>227</v>
      </c>
      <c r="C156" s="83" t="s">
        <v>128</v>
      </c>
      <c r="D156" s="63" t="s">
        <v>180</v>
      </c>
      <c r="E156" s="64">
        <v>149370</v>
      </c>
      <c r="F156" s="65" t="s">
        <v>180</v>
      </c>
      <c r="G156" s="66">
        <f>IF(BD!$E156="","",(E156/(H156*I156)))</f>
        <v>149370</v>
      </c>
      <c r="H156" s="67">
        <v>1</v>
      </c>
      <c r="I156" s="67">
        <v>1</v>
      </c>
      <c r="J156" s="91" t="str">
        <f t="shared" si="6"/>
        <v>F_095</v>
      </c>
      <c r="K156" s="92"/>
    </row>
    <row r="157" customHeight="1" spans="1:11">
      <c r="A157" s="60">
        <f t="shared" si="7"/>
        <v>96</v>
      </c>
      <c r="B157" s="61" t="s">
        <v>228</v>
      </c>
      <c r="C157" s="83" t="s">
        <v>128</v>
      </c>
      <c r="D157" s="63" t="s">
        <v>115</v>
      </c>
      <c r="E157" s="64">
        <v>83922.5</v>
      </c>
      <c r="F157" s="65" t="s">
        <v>115</v>
      </c>
      <c r="G157" s="66">
        <f>IF(BD!$E157="","",(E157/(H157*I157)))</f>
        <v>83922.5</v>
      </c>
      <c r="H157" s="67">
        <v>1</v>
      </c>
      <c r="I157" s="67">
        <v>1</v>
      </c>
      <c r="J157" s="91" t="str">
        <f t="shared" si="6"/>
        <v>F_096</v>
      </c>
      <c r="K157" s="92"/>
    </row>
    <row r="158" customHeight="1" spans="1:11">
      <c r="A158" s="60">
        <f t="shared" si="7"/>
        <v>97</v>
      </c>
      <c r="B158" s="61" t="s">
        <v>229</v>
      </c>
      <c r="C158" s="83" t="s">
        <v>128</v>
      </c>
      <c r="D158" s="63" t="s">
        <v>115</v>
      </c>
      <c r="E158" s="64">
        <v>547525</v>
      </c>
      <c r="F158" s="65" t="s">
        <v>115</v>
      </c>
      <c r="G158" s="66">
        <f>IF(BD!$E158="","",(E158/(H158*I158)))</f>
        <v>547525</v>
      </c>
      <c r="H158" s="67">
        <v>1</v>
      </c>
      <c r="I158" s="67">
        <v>1</v>
      </c>
      <c r="J158" s="91" t="str">
        <f t="shared" ref="J158:J169" si="8">CONCATENATE(LEFT(C158,1),"_",TEXT(A158,"000"))</f>
        <v>F_097</v>
      </c>
      <c r="K158" s="92"/>
    </row>
    <row r="159" customHeight="1" spans="1:11">
      <c r="A159" s="60">
        <f t="shared" ref="A159:A169" si="9">A158+1</f>
        <v>98</v>
      </c>
      <c r="B159" s="61" t="s">
        <v>230</v>
      </c>
      <c r="C159" s="83" t="s">
        <v>128</v>
      </c>
      <c r="D159" s="63" t="s">
        <v>214</v>
      </c>
      <c r="E159" s="64">
        <v>8850</v>
      </c>
      <c r="F159" s="65" t="s">
        <v>214</v>
      </c>
      <c r="G159" s="66">
        <f>IF(BD!$E159="","",(E159/(H159*I159)))</f>
        <v>8850</v>
      </c>
      <c r="H159" s="67">
        <v>1</v>
      </c>
      <c r="I159" s="67">
        <v>1</v>
      </c>
      <c r="J159" s="91" t="str">
        <f t="shared" si="8"/>
        <v>F_098</v>
      </c>
      <c r="K159" s="92"/>
    </row>
    <row r="160" customHeight="1" spans="1:11">
      <c r="A160" s="60">
        <f t="shared" si="9"/>
        <v>99</v>
      </c>
      <c r="B160" s="61" t="s">
        <v>231</v>
      </c>
      <c r="C160" s="83" t="s">
        <v>128</v>
      </c>
      <c r="D160" s="63" t="s">
        <v>232</v>
      </c>
      <c r="E160" s="64">
        <v>135533.5</v>
      </c>
      <c r="F160" s="65" t="s">
        <v>232</v>
      </c>
      <c r="G160" s="66">
        <f>IF(BD!$E160="","",(E160/(H160*I160)))</f>
        <v>135533.5</v>
      </c>
      <c r="H160" s="67">
        <v>1</v>
      </c>
      <c r="I160" s="67">
        <v>1</v>
      </c>
      <c r="J160" s="91" t="str">
        <f t="shared" si="8"/>
        <v>F_099</v>
      </c>
      <c r="K160" s="92"/>
    </row>
    <row r="161" customHeight="1" spans="1:11">
      <c r="A161" s="60">
        <f t="shared" si="9"/>
        <v>100</v>
      </c>
      <c r="B161" s="61" t="s">
        <v>233</v>
      </c>
      <c r="C161" s="83" t="s">
        <v>128</v>
      </c>
      <c r="D161" s="63" t="s">
        <v>115</v>
      </c>
      <c r="E161" s="64">
        <v>313317.5</v>
      </c>
      <c r="F161" s="65" t="s">
        <v>115</v>
      </c>
      <c r="G161" s="66">
        <f>IF(BD!$E161="","",(E161/(H161*I161)))</f>
        <v>313317.5</v>
      </c>
      <c r="H161" s="67">
        <v>1</v>
      </c>
      <c r="I161" s="67">
        <v>1</v>
      </c>
      <c r="J161" s="91" t="str">
        <f t="shared" si="8"/>
        <v>F_100</v>
      </c>
      <c r="K161" s="92"/>
    </row>
    <row r="162" customHeight="1" spans="1:11">
      <c r="A162" s="60">
        <f t="shared" si="9"/>
        <v>101</v>
      </c>
      <c r="B162" s="61" t="s">
        <v>234</v>
      </c>
      <c r="C162" s="83" t="s">
        <v>128</v>
      </c>
      <c r="D162" s="63" t="s">
        <v>115</v>
      </c>
      <c r="E162" s="64">
        <v>22214</v>
      </c>
      <c r="F162" s="65" t="s">
        <v>115</v>
      </c>
      <c r="G162" s="66">
        <f>IF(BD!$E162="","",(E162/(H162*I162)))</f>
        <v>22214</v>
      </c>
      <c r="H162" s="67">
        <v>1</v>
      </c>
      <c r="I162" s="67">
        <v>1</v>
      </c>
      <c r="J162" s="91" t="str">
        <f t="shared" si="8"/>
        <v>F_101</v>
      </c>
      <c r="K162" s="92"/>
    </row>
    <row r="163" customHeight="1" spans="1:11">
      <c r="A163" s="60">
        <f t="shared" si="9"/>
        <v>102</v>
      </c>
      <c r="B163" s="61" t="s">
        <v>235</v>
      </c>
      <c r="C163" s="83" t="s">
        <v>128</v>
      </c>
      <c r="D163" s="63" t="s">
        <v>115</v>
      </c>
      <c r="E163" s="64">
        <v>293333.335</v>
      </c>
      <c r="F163" s="65" t="s">
        <v>115</v>
      </c>
      <c r="G163" s="66">
        <f>IF(BD!$E163="","",(E163/(H163*I163)))</f>
        <v>293333.335</v>
      </c>
      <c r="H163" s="67">
        <v>1</v>
      </c>
      <c r="I163" s="67">
        <v>1</v>
      </c>
      <c r="J163" s="91" t="str">
        <f t="shared" si="8"/>
        <v>F_102</v>
      </c>
      <c r="K163" s="92"/>
    </row>
    <row r="164" customHeight="1" spans="1:11">
      <c r="A164" s="60">
        <f t="shared" si="9"/>
        <v>103</v>
      </c>
      <c r="B164" s="61" t="s">
        <v>236</v>
      </c>
      <c r="C164" s="83" t="s">
        <v>128</v>
      </c>
      <c r="D164" s="63" t="s">
        <v>115</v>
      </c>
      <c r="E164" s="64">
        <v>30290</v>
      </c>
      <c r="F164" s="65" t="s">
        <v>115</v>
      </c>
      <c r="G164" s="66">
        <f>IF(BD!$E164="","",(E164/(H164*I164)))</f>
        <v>30290</v>
      </c>
      <c r="H164" s="67">
        <v>1</v>
      </c>
      <c r="I164" s="67">
        <v>1</v>
      </c>
      <c r="J164" s="91" t="str">
        <f t="shared" si="8"/>
        <v>F_103</v>
      </c>
      <c r="K164" s="92"/>
    </row>
    <row r="165" customHeight="1" spans="1:11">
      <c r="A165" s="60">
        <f t="shared" si="9"/>
        <v>104</v>
      </c>
      <c r="B165" s="61" t="s">
        <v>237</v>
      </c>
      <c r="C165" s="83" t="s">
        <v>128</v>
      </c>
      <c r="D165" s="63" t="s">
        <v>115</v>
      </c>
      <c r="E165" s="64">
        <v>69202</v>
      </c>
      <c r="F165" s="65" t="s">
        <v>115</v>
      </c>
      <c r="G165" s="66">
        <f>IF(BD!$E165="","",(E165/(H165*I165)))</f>
        <v>69202</v>
      </c>
      <c r="H165" s="67">
        <v>1</v>
      </c>
      <c r="I165" s="67">
        <v>1</v>
      </c>
      <c r="J165" s="91" t="str">
        <f t="shared" si="8"/>
        <v>F_104</v>
      </c>
      <c r="K165" s="92"/>
    </row>
    <row r="166" customHeight="1" spans="1:11">
      <c r="A166" s="60">
        <f t="shared" si="9"/>
        <v>105</v>
      </c>
      <c r="B166" s="61" t="s">
        <v>238</v>
      </c>
      <c r="C166" s="83" t="s">
        <v>128</v>
      </c>
      <c r="D166" s="63" t="s">
        <v>222</v>
      </c>
      <c r="E166" s="64">
        <v>90800</v>
      </c>
      <c r="F166" s="65" t="s">
        <v>222</v>
      </c>
      <c r="G166" s="66">
        <f>IF(BD!$E166="","",(E166/(H166*I166)))</f>
        <v>90800</v>
      </c>
      <c r="H166" s="67">
        <v>1</v>
      </c>
      <c r="I166" s="67">
        <v>1</v>
      </c>
      <c r="J166" s="91" t="str">
        <f t="shared" si="8"/>
        <v>F_105</v>
      </c>
      <c r="K166" s="92"/>
    </row>
    <row r="167" customHeight="1" spans="1:11">
      <c r="A167" s="60">
        <f t="shared" si="9"/>
        <v>106</v>
      </c>
      <c r="B167" s="61" t="s">
        <v>239</v>
      </c>
      <c r="C167" s="83" t="s">
        <v>128</v>
      </c>
      <c r="D167" s="63" t="s">
        <v>115</v>
      </c>
      <c r="E167" s="64">
        <v>79333.6666666667</v>
      </c>
      <c r="F167" s="65" t="s">
        <v>115</v>
      </c>
      <c r="G167" s="66">
        <f>IF(BD!$E167="","",(E167/(H167*I167)))</f>
        <v>79333.6666666667</v>
      </c>
      <c r="H167" s="67">
        <v>1</v>
      </c>
      <c r="I167" s="67">
        <v>1</v>
      </c>
      <c r="J167" s="91" t="str">
        <f t="shared" si="8"/>
        <v>F_106</v>
      </c>
      <c r="K167" s="92"/>
    </row>
    <row r="168" customHeight="1" spans="1:11">
      <c r="A168" s="60">
        <f t="shared" si="9"/>
        <v>107</v>
      </c>
      <c r="B168" s="61" t="s">
        <v>240</v>
      </c>
      <c r="C168" s="83" t="s">
        <v>128</v>
      </c>
      <c r="D168" s="63" t="s">
        <v>115</v>
      </c>
      <c r="E168" s="64">
        <v>27500</v>
      </c>
      <c r="F168" s="65" t="s">
        <v>115</v>
      </c>
      <c r="G168" s="66">
        <f>IF(BD!$E168="","",(E168/(H168*I168)))</f>
        <v>27500</v>
      </c>
      <c r="H168" s="67">
        <v>1</v>
      </c>
      <c r="I168" s="67">
        <v>1</v>
      </c>
      <c r="J168" s="91" t="str">
        <f t="shared" si="8"/>
        <v>F_107</v>
      </c>
      <c r="K168" s="92"/>
    </row>
    <row r="169" customHeight="1" spans="1:11">
      <c r="A169" s="60">
        <f t="shared" si="9"/>
        <v>108</v>
      </c>
      <c r="B169" s="61" t="s">
        <v>241</v>
      </c>
      <c r="C169" s="83" t="s">
        <v>128</v>
      </c>
      <c r="D169" s="63" t="s">
        <v>115</v>
      </c>
      <c r="E169" s="64">
        <v>16548</v>
      </c>
      <c r="F169" s="65" t="s">
        <v>115</v>
      </c>
      <c r="G169" s="66">
        <f>IF(BD!$E169="","",(E169/(H169*I169)))</f>
        <v>16548</v>
      </c>
      <c r="H169" s="67">
        <v>1</v>
      </c>
      <c r="I169" s="67">
        <v>1</v>
      </c>
      <c r="J169" s="91" t="str">
        <f t="shared" si="8"/>
        <v>F_108</v>
      </c>
      <c r="K169" s="92"/>
    </row>
    <row r="170" customHeight="1" spans="2:9">
      <c r="B170"/>
      <c r="C170"/>
      <c r="D170"/>
      <c r="E170"/>
      <c r="F170" s="74"/>
      <c r="H170"/>
      <c r="I170"/>
    </row>
    <row r="171" customHeight="1" spans="2:9">
      <c r="B171"/>
      <c r="C171"/>
      <c r="D171"/>
      <c r="E171"/>
      <c r="F171" s="74"/>
      <c r="H171"/>
      <c r="I171"/>
    </row>
    <row r="172" customHeight="1" spans="2:9">
      <c r="B172"/>
      <c r="C172"/>
      <c r="D172"/>
      <c r="E172"/>
      <c r="F172" s="74"/>
      <c r="H172"/>
      <c r="I172"/>
    </row>
    <row r="173" customHeight="1" spans="2:9">
      <c r="B173"/>
      <c r="C173"/>
      <c r="D173"/>
      <c r="E173"/>
      <c r="F173" s="74"/>
      <c r="H173"/>
      <c r="I173"/>
    </row>
    <row r="174" customHeight="1" spans="2:9">
      <c r="B174"/>
      <c r="C174"/>
      <c r="D174"/>
      <c r="E174"/>
      <c r="F174" s="74"/>
      <c r="H174"/>
      <c r="I174"/>
    </row>
    <row r="175" customHeight="1" spans="2:9">
      <c r="B175"/>
      <c r="C175"/>
      <c r="D175"/>
      <c r="E175"/>
      <c r="F175" s="74"/>
      <c r="H175"/>
      <c r="I175"/>
    </row>
    <row r="176" customHeight="1" spans="2:9">
      <c r="B176"/>
      <c r="C176"/>
      <c r="D176"/>
      <c r="E176"/>
      <c r="F176" s="74"/>
      <c r="H176"/>
      <c r="I176"/>
    </row>
    <row r="177" customFormat="1" customHeight="1" spans="6:6">
      <c r="F177" s="74"/>
    </row>
    <row r="178" customFormat="1" customHeight="1" spans="6:6">
      <c r="F178" s="74"/>
    </row>
    <row r="179" customFormat="1" customHeight="1" spans="6:6">
      <c r="F179" s="74"/>
    </row>
    <row r="180" customFormat="1" customHeight="1" spans="6:6">
      <c r="F180" s="74"/>
    </row>
    <row r="181" customFormat="1" customHeight="1" spans="6:6">
      <c r="F181" s="74"/>
    </row>
    <row r="182" customFormat="1" customHeight="1" spans="6:6">
      <c r="F182" s="74"/>
    </row>
    <row r="183" customFormat="1" customHeight="1" spans="6:6">
      <c r="F183" s="74"/>
    </row>
    <row r="184" customFormat="1" customHeight="1" spans="6:6">
      <c r="F184" s="74"/>
    </row>
    <row r="185" customFormat="1" customHeight="1" spans="6:6">
      <c r="F185" s="74"/>
    </row>
    <row r="186" customFormat="1" customHeight="1" spans="6:6">
      <c r="F186" s="74"/>
    </row>
    <row r="187" customFormat="1" customHeight="1" spans="6:6">
      <c r="F187" s="74"/>
    </row>
    <row r="188" customFormat="1" customHeight="1" spans="6:6">
      <c r="F188" s="74"/>
    </row>
    <row r="189" customFormat="1" customHeight="1" spans="6:6">
      <c r="F189" s="74"/>
    </row>
    <row r="190" customFormat="1" customHeight="1" spans="6:6">
      <c r="F190" s="74"/>
    </row>
    <row r="191" customFormat="1" customHeight="1" spans="6:6">
      <c r="F191" s="74"/>
    </row>
    <row r="192" customFormat="1" customHeight="1" spans="6:6">
      <c r="F192" s="74"/>
    </row>
    <row r="193" customFormat="1" customHeight="1" spans="6:6">
      <c r="F193" s="74"/>
    </row>
    <row r="194" customFormat="1" customHeight="1" spans="6:6">
      <c r="F194" s="74"/>
    </row>
    <row r="195" customFormat="1" customHeight="1" spans="6:6">
      <c r="F195" s="74"/>
    </row>
    <row r="196" customFormat="1" customHeight="1" spans="6:6">
      <c r="F196" s="74"/>
    </row>
    <row r="197" customFormat="1" customHeight="1" spans="6:6">
      <c r="F197" s="74"/>
    </row>
    <row r="198" customFormat="1" customHeight="1" spans="6:6">
      <c r="F198" s="74"/>
    </row>
    <row r="199" customFormat="1" customHeight="1" spans="6:6">
      <c r="F199" s="74"/>
    </row>
    <row r="200" customFormat="1" customHeight="1" spans="6:6">
      <c r="F200" s="74"/>
    </row>
    <row r="201" customFormat="1" customHeight="1" spans="6:6">
      <c r="F201" s="74"/>
    </row>
    <row r="202" customFormat="1" customHeight="1" spans="6:6">
      <c r="F202" s="74"/>
    </row>
    <row r="203" customFormat="1" customHeight="1" spans="6:6">
      <c r="F203" s="74"/>
    </row>
    <row r="204" customFormat="1" customHeight="1" spans="6:6">
      <c r="F204" s="74"/>
    </row>
    <row r="205" customFormat="1" customHeight="1" spans="6:6">
      <c r="F205" s="74"/>
    </row>
    <row r="206" customFormat="1" customHeight="1" spans="6:6">
      <c r="F206" s="74"/>
    </row>
    <row r="207" customFormat="1" customHeight="1" spans="6:6">
      <c r="F207" s="74"/>
    </row>
    <row r="208" customFormat="1" customHeight="1" spans="6:6">
      <c r="F208" s="74"/>
    </row>
    <row r="209" customHeight="1" spans="2:9">
      <c r="B209"/>
      <c r="C209"/>
      <c r="D209"/>
      <c r="E209"/>
      <c r="F209" s="74"/>
      <c r="H209"/>
      <c r="I209"/>
    </row>
    <row r="210" customHeight="1" spans="2:9">
      <c r="B210"/>
      <c r="C210"/>
      <c r="D210"/>
      <c r="E210"/>
      <c r="F210" s="74"/>
      <c r="H210"/>
      <c r="I210"/>
    </row>
    <row r="211" customHeight="1" spans="2:9">
      <c r="B211"/>
      <c r="C211"/>
      <c r="D211"/>
      <c r="E211"/>
      <c r="F211" s="74"/>
      <c r="H211"/>
      <c r="I211"/>
    </row>
    <row r="212" ht="17.25" customHeight="1" spans="1:10">
      <c r="A212" s="25"/>
      <c r="B212" s="75" t="s">
        <v>126</v>
      </c>
      <c r="C212" s="25"/>
      <c r="D212" s="25"/>
      <c r="E212" s="25"/>
      <c r="F212" s="76"/>
      <c r="G212" s="25"/>
      <c r="H212" s="25"/>
      <c r="I212" s="25"/>
      <c r="J212" s="25"/>
    </row>
    <row r="213" ht="17.25" customHeight="1" spans="2:9">
      <c r="B213" s="93"/>
      <c r="C213"/>
      <c r="D213"/>
      <c r="E213"/>
      <c r="F213" s="74"/>
      <c r="H213"/>
      <c r="I213"/>
    </row>
    <row r="214" customHeight="1" spans="2:9">
      <c r="B214"/>
      <c r="C214"/>
      <c r="D214"/>
      <c r="F214" s="74"/>
      <c r="H214"/>
      <c r="I214"/>
    </row>
    <row r="215" ht="34.5" customHeight="1" spans="1:9">
      <c r="A215" s="94" t="s">
        <v>96</v>
      </c>
      <c r="B215" s="95">
        <f>SUBTOTAL(3,(B217:B430))</f>
        <v>214</v>
      </c>
      <c r="C215" s="92"/>
      <c r="D215" s="92"/>
      <c r="E215"/>
      <c r="F215" s="74"/>
      <c r="H215"/>
      <c r="I215"/>
    </row>
    <row r="216" ht="47.25" spans="1:11">
      <c r="A216" s="96" t="s">
        <v>79</v>
      </c>
      <c r="B216" s="97" t="s">
        <v>98</v>
      </c>
      <c r="C216" s="98" t="s">
        <v>99</v>
      </c>
      <c r="D216" s="99" t="s">
        <v>100</v>
      </c>
      <c r="E216" s="82" t="s">
        <v>101</v>
      </c>
      <c r="F216" s="58" t="s">
        <v>102</v>
      </c>
      <c r="G216" s="56" t="s">
        <v>103</v>
      </c>
      <c r="H216" s="59" t="s">
        <v>104</v>
      </c>
      <c r="I216" s="59" t="s">
        <v>105</v>
      </c>
      <c r="J216" s="89" t="s">
        <v>106</v>
      </c>
      <c r="K216" s="90" t="s">
        <v>107</v>
      </c>
    </row>
    <row r="217" customHeight="1" spans="1:11">
      <c r="A217" s="60">
        <v>1</v>
      </c>
      <c r="B217" s="100" t="s">
        <v>242</v>
      </c>
      <c r="C217" s="83" t="s">
        <v>37</v>
      </c>
      <c r="D217" s="63" t="s">
        <v>180</v>
      </c>
      <c r="E217" s="64">
        <v>760</v>
      </c>
      <c r="F217" s="65" t="s">
        <v>180</v>
      </c>
      <c r="G217" s="101">
        <v>760</v>
      </c>
      <c r="H217" s="67">
        <v>1</v>
      </c>
      <c r="I217" s="67">
        <v>1</v>
      </c>
      <c r="J217" s="91" t="str">
        <f t="shared" ref="J217:J280" si="10">CONCATENATE(LEFT(C217,1),MID(C217,SEARCH("_",C217)+1,2),TEXT(A217,"000"))</f>
        <v>SME001</v>
      </c>
      <c r="K217" s="92"/>
    </row>
    <row r="218" customHeight="1" spans="1:11">
      <c r="A218" s="60">
        <v>128</v>
      </c>
      <c r="B218" s="102" t="s">
        <v>243</v>
      </c>
      <c r="C218" s="83" t="s">
        <v>37</v>
      </c>
      <c r="D218" s="63" t="s">
        <v>244</v>
      </c>
      <c r="E218" s="64"/>
      <c r="F218" s="65" t="s">
        <v>245</v>
      </c>
      <c r="G218" s="101"/>
      <c r="H218" s="67">
        <v>1</v>
      </c>
      <c r="I218" s="67">
        <v>100</v>
      </c>
      <c r="J218" s="91" t="str">
        <f t="shared" si="10"/>
        <v>SME128</v>
      </c>
      <c r="K218" s="92"/>
    </row>
    <row r="219" customHeight="1" spans="1:11">
      <c r="A219" s="60">
        <v>2</v>
      </c>
      <c r="B219" s="100" t="s">
        <v>246</v>
      </c>
      <c r="C219" s="83" t="s">
        <v>37</v>
      </c>
      <c r="D219" s="63" t="s">
        <v>247</v>
      </c>
      <c r="E219" s="64">
        <v>45667</v>
      </c>
      <c r="F219" s="65" t="s">
        <v>247</v>
      </c>
      <c r="G219" s="101">
        <v>45667</v>
      </c>
      <c r="H219" s="67">
        <v>1</v>
      </c>
      <c r="I219" s="67">
        <v>1</v>
      </c>
      <c r="J219" s="91" t="str">
        <f t="shared" si="10"/>
        <v>SME002</v>
      </c>
      <c r="K219" s="92"/>
    </row>
    <row r="220" customHeight="1" spans="1:11">
      <c r="A220" s="60">
        <v>128</v>
      </c>
      <c r="B220" s="102" t="s">
        <v>248</v>
      </c>
      <c r="C220" s="83" t="s">
        <v>37</v>
      </c>
      <c r="D220" s="63" t="s">
        <v>244</v>
      </c>
      <c r="E220" s="64"/>
      <c r="F220" s="65" t="s">
        <v>245</v>
      </c>
      <c r="G220" s="101"/>
      <c r="H220" s="67">
        <v>1</v>
      </c>
      <c r="I220" s="67">
        <v>100</v>
      </c>
      <c r="J220" s="91" t="str">
        <f t="shared" si="10"/>
        <v>SME128</v>
      </c>
      <c r="K220" s="92"/>
    </row>
    <row r="221" customHeight="1" spans="1:11">
      <c r="A221" s="60">
        <v>128</v>
      </c>
      <c r="B221" s="102" t="s">
        <v>249</v>
      </c>
      <c r="C221" s="83" t="s">
        <v>37</v>
      </c>
      <c r="D221" s="63" t="s">
        <v>244</v>
      </c>
      <c r="E221" s="64"/>
      <c r="F221" s="65" t="s">
        <v>245</v>
      </c>
      <c r="G221" s="101"/>
      <c r="H221" s="67">
        <v>1</v>
      </c>
      <c r="I221" s="67">
        <v>100</v>
      </c>
      <c r="J221" s="91" t="str">
        <f t="shared" si="10"/>
        <v>SME128</v>
      </c>
      <c r="K221" s="92"/>
    </row>
    <row r="222" customHeight="1" spans="1:11">
      <c r="A222" s="60">
        <v>128</v>
      </c>
      <c r="B222" s="102" t="s">
        <v>250</v>
      </c>
      <c r="C222" s="83" t="s">
        <v>37</v>
      </c>
      <c r="D222" s="63" t="s">
        <v>244</v>
      </c>
      <c r="E222" s="64"/>
      <c r="F222" s="65" t="s">
        <v>245</v>
      </c>
      <c r="G222" s="101"/>
      <c r="H222" s="67">
        <v>1</v>
      </c>
      <c r="I222" s="67">
        <v>100</v>
      </c>
      <c r="J222" s="91" t="str">
        <f t="shared" si="10"/>
        <v>SME128</v>
      </c>
      <c r="K222" s="92"/>
    </row>
    <row r="223" customHeight="1" spans="1:11">
      <c r="A223" s="60">
        <v>128</v>
      </c>
      <c r="B223" s="102" t="s">
        <v>251</v>
      </c>
      <c r="C223" s="83" t="s">
        <v>37</v>
      </c>
      <c r="D223" s="63" t="s">
        <v>244</v>
      </c>
      <c r="E223" s="64"/>
      <c r="F223" s="65" t="s">
        <v>245</v>
      </c>
      <c r="G223" s="101"/>
      <c r="H223" s="67">
        <v>1</v>
      </c>
      <c r="I223" s="67">
        <v>100</v>
      </c>
      <c r="J223" s="91" t="str">
        <f t="shared" si="10"/>
        <v>SME128</v>
      </c>
      <c r="K223" s="92"/>
    </row>
    <row r="224" customHeight="1" spans="1:11">
      <c r="A224" s="60">
        <v>128</v>
      </c>
      <c r="B224" s="102" t="s">
        <v>252</v>
      </c>
      <c r="C224" s="83" t="s">
        <v>37</v>
      </c>
      <c r="D224" s="63" t="s">
        <v>244</v>
      </c>
      <c r="E224" s="64"/>
      <c r="F224" s="65" t="s">
        <v>245</v>
      </c>
      <c r="G224" s="101"/>
      <c r="H224" s="67">
        <v>1</v>
      </c>
      <c r="I224" s="67">
        <v>100</v>
      </c>
      <c r="J224" s="91" t="str">
        <f t="shared" si="10"/>
        <v>SME128</v>
      </c>
      <c r="K224" s="92"/>
    </row>
    <row r="225" customHeight="1" spans="1:11">
      <c r="A225" s="60">
        <v>128</v>
      </c>
      <c r="B225" s="102" t="s">
        <v>253</v>
      </c>
      <c r="C225" s="83" t="s">
        <v>37</v>
      </c>
      <c r="D225" s="63" t="s">
        <v>244</v>
      </c>
      <c r="E225" s="64"/>
      <c r="F225" s="65" t="s">
        <v>245</v>
      </c>
      <c r="G225" s="101"/>
      <c r="H225" s="67">
        <v>1</v>
      </c>
      <c r="I225" s="67">
        <v>100</v>
      </c>
      <c r="J225" s="91" t="str">
        <f t="shared" si="10"/>
        <v>SME128</v>
      </c>
      <c r="K225" s="92"/>
    </row>
    <row r="226" customHeight="1" spans="1:11">
      <c r="A226" s="60">
        <v>128</v>
      </c>
      <c r="B226" s="102" t="s">
        <v>254</v>
      </c>
      <c r="C226" s="83" t="s">
        <v>37</v>
      </c>
      <c r="D226" s="63" t="s">
        <v>244</v>
      </c>
      <c r="E226" s="64"/>
      <c r="F226" s="65" t="s">
        <v>245</v>
      </c>
      <c r="G226" s="101"/>
      <c r="H226" s="67">
        <v>1</v>
      </c>
      <c r="I226" s="67">
        <v>100</v>
      </c>
      <c r="J226" s="91" t="str">
        <f t="shared" si="10"/>
        <v>SME128</v>
      </c>
      <c r="K226" s="92"/>
    </row>
    <row r="227" customHeight="1" spans="1:11">
      <c r="A227" s="60">
        <v>128</v>
      </c>
      <c r="B227" s="102" t="s">
        <v>255</v>
      </c>
      <c r="C227" s="83" t="s">
        <v>37</v>
      </c>
      <c r="D227" s="63" t="s">
        <v>244</v>
      </c>
      <c r="E227" s="64"/>
      <c r="F227" s="65" t="s">
        <v>245</v>
      </c>
      <c r="G227" s="101"/>
      <c r="H227" s="103">
        <v>1</v>
      </c>
      <c r="I227" s="67">
        <v>100</v>
      </c>
      <c r="J227" s="91" t="str">
        <f t="shared" si="10"/>
        <v>SME128</v>
      </c>
      <c r="K227" s="92"/>
    </row>
    <row r="228" customHeight="1" spans="1:11">
      <c r="A228" s="60">
        <v>128</v>
      </c>
      <c r="B228" s="102" t="s">
        <v>256</v>
      </c>
      <c r="C228" s="83" t="s">
        <v>37</v>
      </c>
      <c r="D228" s="63" t="s">
        <v>244</v>
      </c>
      <c r="E228" s="64"/>
      <c r="F228" s="65" t="s">
        <v>245</v>
      </c>
      <c r="G228" s="101"/>
      <c r="H228" s="103">
        <v>1</v>
      </c>
      <c r="I228" s="67">
        <v>100</v>
      </c>
      <c r="J228" s="91" t="str">
        <f t="shared" si="10"/>
        <v>SME128</v>
      </c>
      <c r="K228" s="92"/>
    </row>
    <row r="229" customHeight="1" spans="1:11">
      <c r="A229" s="60">
        <v>3</v>
      </c>
      <c r="B229" s="100" t="s">
        <v>257</v>
      </c>
      <c r="C229" s="83" t="s">
        <v>37</v>
      </c>
      <c r="D229" s="63" t="s">
        <v>258</v>
      </c>
      <c r="E229" s="64">
        <v>41000</v>
      </c>
      <c r="F229" s="65" t="s">
        <v>244</v>
      </c>
      <c r="G229" s="101">
        <v>410</v>
      </c>
      <c r="H229" s="103">
        <v>100</v>
      </c>
      <c r="I229" s="67">
        <v>1</v>
      </c>
      <c r="J229" s="91" t="str">
        <f t="shared" si="10"/>
        <v>SME003</v>
      </c>
      <c r="K229" s="92"/>
    </row>
    <row r="230" customHeight="1" spans="1:11">
      <c r="A230" s="60">
        <v>4</v>
      </c>
      <c r="B230" s="100" t="s">
        <v>259</v>
      </c>
      <c r="C230" s="83" t="s">
        <v>37</v>
      </c>
      <c r="D230" s="63" t="s">
        <v>258</v>
      </c>
      <c r="E230" s="64">
        <v>58500</v>
      </c>
      <c r="F230" s="65" t="s">
        <v>244</v>
      </c>
      <c r="G230" s="101">
        <v>585</v>
      </c>
      <c r="H230" s="103">
        <v>100</v>
      </c>
      <c r="I230" s="67">
        <v>1</v>
      </c>
      <c r="J230" s="91" t="str">
        <f t="shared" si="10"/>
        <v>SME004</v>
      </c>
      <c r="K230" s="92"/>
    </row>
    <row r="231" customHeight="1" spans="1:11">
      <c r="A231" s="60">
        <v>5</v>
      </c>
      <c r="B231" s="100" t="s">
        <v>260</v>
      </c>
      <c r="C231" s="83" t="s">
        <v>37</v>
      </c>
      <c r="D231" s="63" t="s">
        <v>247</v>
      </c>
      <c r="E231" s="64">
        <v>17830</v>
      </c>
      <c r="F231" s="65" t="s">
        <v>261</v>
      </c>
      <c r="G231" s="101">
        <v>1.27357142857143</v>
      </c>
      <c r="H231" s="103">
        <v>140</v>
      </c>
      <c r="I231" s="67">
        <v>100</v>
      </c>
      <c r="J231" s="91" t="str">
        <f t="shared" si="10"/>
        <v>SME005</v>
      </c>
      <c r="K231" s="92"/>
    </row>
    <row r="232" customHeight="1" spans="1:11">
      <c r="A232" s="60">
        <v>42</v>
      </c>
      <c r="B232" s="100" t="s">
        <v>262</v>
      </c>
      <c r="C232" s="83" t="s">
        <v>37</v>
      </c>
      <c r="D232" s="63" t="s">
        <v>180</v>
      </c>
      <c r="E232" s="64">
        <v>639</v>
      </c>
      <c r="F232" s="65" t="s">
        <v>180</v>
      </c>
      <c r="G232" s="101">
        <v>639</v>
      </c>
      <c r="H232" s="103">
        <v>1</v>
      </c>
      <c r="I232" s="67">
        <v>1</v>
      </c>
      <c r="J232" s="91" t="str">
        <f t="shared" si="10"/>
        <v>SME042</v>
      </c>
      <c r="K232" s="92"/>
    </row>
    <row r="233" customHeight="1" spans="1:11">
      <c r="A233" s="60">
        <v>43</v>
      </c>
      <c r="B233" s="100" t="s">
        <v>263</v>
      </c>
      <c r="C233" s="83" t="s">
        <v>37</v>
      </c>
      <c r="D233" s="63" t="s">
        <v>180</v>
      </c>
      <c r="E233" s="64">
        <v>639</v>
      </c>
      <c r="F233" s="65" t="s">
        <v>180</v>
      </c>
      <c r="G233" s="101">
        <v>639</v>
      </c>
      <c r="H233" s="103">
        <v>1</v>
      </c>
      <c r="I233" s="67">
        <v>1</v>
      </c>
      <c r="J233" s="91" t="str">
        <f t="shared" si="10"/>
        <v>SME043</v>
      </c>
      <c r="K233" s="92"/>
    </row>
    <row r="234" customHeight="1" spans="1:11">
      <c r="A234" s="60">
        <v>44</v>
      </c>
      <c r="B234" s="100" t="s">
        <v>264</v>
      </c>
      <c r="C234" s="83" t="s">
        <v>37</v>
      </c>
      <c r="D234" s="63" t="s">
        <v>180</v>
      </c>
      <c r="E234" s="64">
        <v>639</v>
      </c>
      <c r="F234" s="65" t="s">
        <v>180</v>
      </c>
      <c r="G234" s="101">
        <v>639</v>
      </c>
      <c r="H234" s="103">
        <v>1</v>
      </c>
      <c r="I234" s="67">
        <v>1</v>
      </c>
      <c r="J234" s="91" t="str">
        <f t="shared" si="10"/>
        <v>SME044</v>
      </c>
      <c r="K234" s="92"/>
    </row>
    <row r="235" customHeight="1" spans="1:11">
      <c r="A235" s="60">
        <v>45</v>
      </c>
      <c r="B235" s="100" t="s">
        <v>265</v>
      </c>
      <c r="C235" s="83" t="s">
        <v>37</v>
      </c>
      <c r="D235" s="63" t="s">
        <v>180</v>
      </c>
      <c r="E235" s="71">
        <v>639</v>
      </c>
      <c r="F235" s="65" t="s">
        <v>180</v>
      </c>
      <c r="G235" s="101">
        <v>639</v>
      </c>
      <c r="H235" s="103">
        <v>1</v>
      </c>
      <c r="I235" s="67">
        <v>1</v>
      </c>
      <c r="J235" s="91" t="str">
        <f t="shared" si="10"/>
        <v>SME045</v>
      </c>
      <c r="K235" s="92"/>
    </row>
    <row r="236" customHeight="1" spans="1:11">
      <c r="A236" s="60">
        <v>46</v>
      </c>
      <c r="B236" s="100" t="s">
        <v>266</v>
      </c>
      <c r="C236" s="83" t="s">
        <v>37</v>
      </c>
      <c r="D236" s="63" t="s">
        <v>180</v>
      </c>
      <c r="E236" s="71">
        <v>639</v>
      </c>
      <c r="F236" s="65" t="s">
        <v>180</v>
      </c>
      <c r="G236" s="101">
        <v>639</v>
      </c>
      <c r="H236" s="103">
        <v>1</v>
      </c>
      <c r="I236" s="67">
        <v>1</v>
      </c>
      <c r="J236" s="91" t="str">
        <f t="shared" si="10"/>
        <v>SME046</v>
      </c>
      <c r="K236" s="92"/>
    </row>
    <row r="237" customHeight="1" spans="1:11">
      <c r="A237" s="60">
        <v>47</v>
      </c>
      <c r="B237" s="100" t="s">
        <v>267</v>
      </c>
      <c r="C237" s="83" t="s">
        <v>37</v>
      </c>
      <c r="D237" s="63" t="s">
        <v>180</v>
      </c>
      <c r="E237" s="71">
        <v>639</v>
      </c>
      <c r="F237" s="65" t="s">
        <v>180</v>
      </c>
      <c r="G237" s="101">
        <v>639</v>
      </c>
      <c r="H237" s="103">
        <v>1</v>
      </c>
      <c r="I237" s="67">
        <v>1</v>
      </c>
      <c r="J237" s="91" t="str">
        <f t="shared" si="10"/>
        <v>SME047</v>
      </c>
      <c r="K237" s="92"/>
    </row>
    <row r="238" customHeight="1" spans="1:11">
      <c r="A238" s="60">
        <v>48</v>
      </c>
      <c r="B238" s="100" t="s">
        <v>268</v>
      </c>
      <c r="C238" s="83" t="s">
        <v>37</v>
      </c>
      <c r="D238" s="63" t="s">
        <v>180</v>
      </c>
      <c r="E238" s="71">
        <v>639</v>
      </c>
      <c r="F238" s="65" t="s">
        <v>180</v>
      </c>
      <c r="G238" s="101">
        <v>639</v>
      </c>
      <c r="H238" s="103">
        <v>1</v>
      </c>
      <c r="I238" s="67">
        <v>1</v>
      </c>
      <c r="J238" s="91" t="str">
        <f t="shared" si="10"/>
        <v>SME048</v>
      </c>
      <c r="K238" s="92"/>
    </row>
    <row r="239" customHeight="1" spans="1:11">
      <c r="A239" s="60">
        <v>49</v>
      </c>
      <c r="B239" s="100" t="s">
        <v>269</v>
      </c>
      <c r="C239" s="83" t="s">
        <v>37</v>
      </c>
      <c r="D239" s="63" t="s">
        <v>180</v>
      </c>
      <c r="E239" s="71">
        <v>639</v>
      </c>
      <c r="F239" s="65" t="s">
        <v>180</v>
      </c>
      <c r="G239" s="101">
        <v>639</v>
      </c>
      <c r="H239" s="103">
        <v>1</v>
      </c>
      <c r="I239" s="67">
        <v>1</v>
      </c>
      <c r="J239" s="91" t="str">
        <f t="shared" si="10"/>
        <v>SME049</v>
      </c>
      <c r="K239" s="92"/>
    </row>
    <row r="240" customHeight="1" spans="1:11">
      <c r="A240" s="60">
        <v>6</v>
      </c>
      <c r="B240" s="100" t="s">
        <v>270</v>
      </c>
      <c r="C240" s="83" t="s">
        <v>37</v>
      </c>
      <c r="D240" s="63" t="s">
        <v>180</v>
      </c>
      <c r="E240" s="71">
        <v>639</v>
      </c>
      <c r="F240" s="63" t="s">
        <v>180</v>
      </c>
      <c r="G240" s="101">
        <v>639</v>
      </c>
      <c r="H240" s="103">
        <v>1</v>
      </c>
      <c r="I240" s="67">
        <v>1</v>
      </c>
      <c r="J240" s="91" t="str">
        <f t="shared" si="10"/>
        <v>SME006</v>
      </c>
      <c r="K240" s="92"/>
    </row>
    <row r="241" customHeight="1" spans="1:11">
      <c r="A241" s="60">
        <v>7</v>
      </c>
      <c r="B241" s="100" t="s">
        <v>271</v>
      </c>
      <c r="C241" s="83" t="s">
        <v>37</v>
      </c>
      <c r="D241" s="63" t="s">
        <v>180</v>
      </c>
      <c r="E241" s="71">
        <v>639</v>
      </c>
      <c r="F241" s="63" t="s">
        <v>180</v>
      </c>
      <c r="G241" s="101">
        <v>639</v>
      </c>
      <c r="H241" s="103">
        <v>1</v>
      </c>
      <c r="I241" s="67">
        <v>1</v>
      </c>
      <c r="J241" s="91" t="str">
        <f t="shared" si="10"/>
        <v>SME007</v>
      </c>
      <c r="K241" s="92"/>
    </row>
    <row r="242" customHeight="1" spans="1:11">
      <c r="A242" s="60">
        <v>8</v>
      </c>
      <c r="B242" s="100" t="s">
        <v>38</v>
      </c>
      <c r="C242" s="83" t="s">
        <v>37</v>
      </c>
      <c r="D242" s="63" t="s">
        <v>180</v>
      </c>
      <c r="E242" s="71">
        <v>639</v>
      </c>
      <c r="F242" s="63" t="s">
        <v>180</v>
      </c>
      <c r="G242" s="101">
        <v>639</v>
      </c>
      <c r="H242" s="103">
        <v>1</v>
      </c>
      <c r="I242" s="67">
        <v>1</v>
      </c>
      <c r="J242" s="91" t="str">
        <f t="shared" si="10"/>
        <v>SME008</v>
      </c>
      <c r="K242" s="92"/>
    </row>
    <row r="243" customHeight="1" spans="1:11">
      <c r="A243" s="60">
        <v>9</v>
      </c>
      <c r="B243" s="100" t="s">
        <v>272</v>
      </c>
      <c r="C243" s="83" t="s">
        <v>37</v>
      </c>
      <c r="D243" s="63" t="s">
        <v>180</v>
      </c>
      <c r="E243" s="71">
        <v>639</v>
      </c>
      <c r="F243" s="63" t="s">
        <v>180</v>
      </c>
      <c r="G243" s="101">
        <v>639</v>
      </c>
      <c r="H243" s="103">
        <v>1</v>
      </c>
      <c r="I243" s="67">
        <v>1</v>
      </c>
      <c r="J243" s="91" t="str">
        <f t="shared" si="10"/>
        <v>SME009</v>
      </c>
      <c r="K243" s="92"/>
    </row>
    <row r="244" customHeight="1" spans="1:11">
      <c r="A244" s="60">
        <v>12</v>
      </c>
      <c r="B244" s="100" t="s">
        <v>273</v>
      </c>
      <c r="C244" s="83" t="s">
        <v>37</v>
      </c>
      <c r="D244" s="70" t="s">
        <v>180</v>
      </c>
      <c r="E244" s="71">
        <v>639</v>
      </c>
      <c r="F244" s="70" t="s">
        <v>180</v>
      </c>
      <c r="G244" s="101">
        <v>639</v>
      </c>
      <c r="H244" s="103">
        <v>1</v>
      </c>
      <c r="I244" s="67">
        <v>1</v>
      </c>
      <c r="J244" s="91" t="str">
        <f t="shared" si="10"/>
        <v>SME012</v>
      </c>
      <c r="K244" s="92"/>
    </row>
    <row r="245" customHeight="1" spans="1:11">
      <c r="A245" s="60">
        <v>13</v>
      </c>
      <c r="B245" s="100" t="s">
        <v>274</v>
      </c>
      <c r="C245" s="83" t="s">
        <v>37</v>
      </c>
      <c r="D245" s="70" t="s">
        <v>180</v>
      </c>
      <c r="E245" s="71">
        <v>639</v>
      </c>
      <c r="F245" s="70" t="s">
        <v>180</v>
      </c>
      <c r="G245" s="101">
        <v>639</v>
      </c>
      <c r="H245" s="103">
        <v>1</v>
      </c>
      <c r="I245" s="67">
        <v>1</v>
      </c>
      <c r="J245" s="91" t="str">
        <f t="shared" si="10"/>
        <v>SME013</v>
      </c>
      <c r="K245" s="92"/>
    </row>
    <row r="246" customHeight="1" spans="1:11">
      <c r="A246" s="60">
        <v>14</v>
      </c>
      <c r="B246" s="100" t="s">
        <v>275</v>
      </c>
      <c r="C246" s="83" t="s">
        <v>37</v>
      </c>
      <c r="D246" s="70" t="s">
        <v>180</v>
      </c>
      <c r="E246" s="71">
        <v>639</v>
      </c>
      <c r="F246" s="70" t="s">
        <v>180</v>
      </c>
      <c r="G246" s="101">
        <v>639</v>
      </c>
      <c r="H246" s="103">
        <v>1</v>
      </c>
      <c r="I246" s="67">
        <v>1</v>
      </c>
      <c r="J246" s="91" t="str">
        <f t="shared" si="10"/>
        <v>SME014</v>
      </c>
      <c r="K246" s="92"/>
    </row>
    <row r="247" customHeight="1" spans="1:11">
      <c r="A247" s="60">
        <v>15</v>
      </c>
      <c r="B247" s="100" t="s">
        <v>276</v>
      </c>
      <c r="C247" s="83" t="s">
        <v>37</v>
      </c>
      <c r="D247" s="70" t="s">
        <v>180</v>
      </c>
      <c r="E247" s="71">
        <v>639</v>
      </c>
      <c r="F247" s="70" t="s">
        <v>180</v>
      </c>
      <c r="G247" s="101">
        <v>639</v>
      </c>
      <c r="H247" s="103">
        <v>1</v>
      </c>
      <c r="I247" s="67">
        <v>1</v>
      </c>
      <c r="J247" s="91" t="str">
        <f t="shared" si="10"/>
        <v>SME015</v>
      </c>
      <c r="K247" s="92"/>
    </row>
    <row r="248" customHeight="1" spans="1:11">
      <c r="A248" s="60">
        <v>16</v>
      </c>
      <c r="B248" s="100" t="s">
        <v>277</v>
      </c>
      <c r="C248" s="83" t="s">
        <v>37</v>
      </c>
      <c r="D248" s="70" t="s">
        <v>180</v>
      </c>
      <c r="E248" s="71">
        <v>639</v>
      </c>
      <c r="F248" s="70" t="s">
        <v>180</v>
      </c>
      <c r="G248" s="101">
        <v>639</v>
      </c>
      <c r="H248" s="103">
        <v>1</v>
      </c>
      <c r="I248" s="67">
        <v>1</v>
      </c>
      <c r="J248" s="91" t="str">
        <f t="shared" si="10"/>
        <v>SME016</v>
      </c>
      <c r="K248" s="92"/>
    </row>
    <row r="249" customHeight="1" spans="1:11">
      <c r="A249" s="60">
        <v>50</v>
      </c>
      <c r="B249" s="100" t="s">
        <v>278</v>
      </c>
      <c r="C249" s="83" t="s">
        <v>37</v>
      </c>
      <c r="D249" s="70" t="s">
        <v>180</v>
      </c>
      <c r="E249" s="71">
        <v>639</v>
      </c>
      <c r="F249" s="104" t="s">
        <v>180</v>
      </c>
      <c r="G249" s="101">
        <v>639</v>
      </c>
      <c r="H249" s="103">
        <v>1</v>
      </c>
      <c r="I249" s="67">
        <v>1</v>
      </c>
      <c r="J249" s="91" t="str">
        <f t="shared" si="10"/>
        <v>SME050</v>
      </c>
      <c r="K249" s="92"/>
    </row>
    <row r="250" customHeight="1" spans="1:11">
      <c r="A250" s="60">
        <v>51</v>
      </c>
      <c r="B250" s="100" t="s">
        <v>279</v>
      </c>
      <c r="C250" s="83" t="s">
        <v>37</v>
      </c>
      <c r="D250" s="70" t="s">
        <v>180</v>
      </c>
      <c r="E250" s="71">
        <v>639</v>
      </c>
      <c r="F250" s="104" t="s">
        <v>180</v>
      </c>
      <c r="G250" s="101">
        <v>639</v>
      </c>
      <c r="H250" s="103">
        <v>1</v>
      </c>
      <c r="I250" s="67">
        <v>1</v>
      </c>
      <c r="J250" s="91" t="str">
        <f t="shared" si="10"/>
        <v>SME051</v>
      </c>
      <c r="K250" s="92"/>
    </row>
    <row r="251" customHeight="1" spans="1:11">
      <c r="A251" s="60">
        <v>52</v>
      </c>
      <c r="B251" s="100" t="s">
        <v>280</v>
      </c>
      <c r="C251" s="83" t="s">
        <v>37</v>
      </c>
      <c r="D251" s="63" t="s">
        <v>180</v>
      </c>
      <c r="E251" s="64">
        <v>639</v>
      </c>
      <c r="F251" s="65" t="s">
        <v>180</v>
      </c>
      <c r="G251" s="101">
        <v>639</v>
      </c>
      <c r="H251" s="103">
        <v>1</v>
      </c>
      <c r="I251" s="67">
        <v>1</v>
      </c>
      <c r="J251" s="91" t="str">
        <f t="shared" si="10"/>
        <v>SME052</v>
      </c>
      <c r="K251" s="92"/>
    </row>
    <row r="252" customHeight="1" spans="1:11">
      <c r="A252" s="60">
        <v>53</v>
      </c>
      <c r="B252" s="100" t="s">
        <v>281</v>
      </c>
      <c r="C252" s="83" t="s">
        <v>37</v>
      </c>
      <c r="D252" s="63" t="s">
        <v>180</v>
      </c>
      <c r="E252" s="64">
        <v>639</v>
      </c>
      <c r="F252" s="65" t="s">
        <v>180</v>
      </c>
      <c r="G252" s="101">
        <v>639</v>
      </c>
      <c r="H252" s="67">
        <v>1</v>
      </c>
      <c r="I252" s="67">
        <v>1</v>
      </c>
      <c r="J252" s="91" t="str">
        <f t="shared" si="10"/>
        <v>SME053</v>
      </c>
      <c r="K252" s="92"/>
    </row>
    <row r="253" customHeight="1" spans="1:11">
      <c r="A253" s="60">
        <v>54</v>
      </c>
      <c r="B253" s="100" t="s">
        <v>282</v>
      </c>
      <c r="C253" s="83" t="s">
        <v>37</v>
      </c>
      <c r="D253" s="63" t="s">
        <v>180</v>
      </c>
      <c r="E253" s="64">
        <v>639</v>
      </c>
      <c r="F253" s="65" t="s">
        <v>180</v>
      </c>
      <c r="G253" s="101">
        <v>639</v>
      </c>
      <c r="H253" s="67">
        <v>1</v>
      </c>
      <c r="I253" s="67">
        <v>1</v>
      </c>
      <c r="J253" s="91" t="str">
        <f t="shared" si="10"/>
        <v>SME054</v>
      </c>
      <c r="K253" s="92"/>
    </row>
    <row r="254" customHeight="1" spans="1:11">
      <c r="A254" s="60">
        <v>55</v>
      </c>
      <c r="B254" s="100" t="s">
        <v>283</v>
      </c>
      <c r="C254" s="83" t="s">
        <v>37</v>
      </c>
      <c r="D254" s="105" t="s">
        <v>180</v>
      </c>
      <c r="E254" s="106">
        <v>639</v>
      </c>
      <c r="F254" s="65" t="s">
        <v>180</v>
      </c>
      <c r="G254" s="101">
        <v>639</v>
      </c>
      <c r="H254" s="67">
        <v>1</v>
      </c>
      <c r="I254" s="67">
        <v>1</v>
      </c>
      <c r="J254" s="91" t="str">
        <f t="shared" si="10"/>
        <v>SME055</v>
      </c>
      <c r="K254" s="92"/>
    </row>
    <row r="255" customHeight="1" spans="1:11">
      <c r="A255" s="60">
        <v>56</v>
      </c>
      <c r="B255" s="100" t="s">
        <v>284</v>
      </c>
      <c r="C255" s="83" t="s">
        <v>37</v>
      </c>
      <c r="D255" s="63" t="s">
        <v>180</v>
      </c>
      <c r="E255" s="64">
        <v>639</v>
      </c>
      <c r="F255" s="65" t="s">
        <v>180</v>
      </c>
      <c r="G255" s="101">
        <v>639</v>
      </c>
      <c r="H255" s="67">
        <v>1</v>
      </c>
      <c r="I255" s="67">
        <v>1</v>
      </c>
      <c r="J255" s="91" t="str">
        <f t="shared" si="10"/>
        <v>SME056</v>
      </c>
      <c r="K255" s="92"/>
    </row>
    <row r="256" customHeight="1" spans="1:11">
      <c r="A256" s="60">
        <v>57</v>
      </c>
      <c r="B256" s="100" t="s">
        <v>285</v>
      </c>
      <c r="C256" s="83" t="s">
        <v>37</v>
      </c>
      <c r="D256" s="105" t="s">
        <v>180</v>
      </c>
      <c r="E256" s="106">
        <v>475.34</v>
      </c>
      <c r="F256" s="65" t="s">
        <v>180</v>
      </c>
      <c r="G256" s="101">
        <v>475.34</v>
      </c>
      <c r="H256" s="67">
        <v>1</v>
      </c>
      <c r="I256" s="67">
        <v>1</v>
      </c>
      <c r="J256" s="91" t="str">
        <f t="shared" si="10"/>
        <v>SME057</v>
      </c>
      <c r="K256" s="92"/>
    </row>
    <row r="257" customHeight="1" spans="1:11">
      <c r="A257" s="60">
        <v>17</v>
      </c>
      <c r="B257" s="100" t="s">
        <v>286</v>
      </c>
      <c r="C257" s="83" t="s">
        <v>37</v>
      </c>
      <c r="D257" s="105" t="s">
        <v>180</v>
      </c>
      <c r="E257" s="106">
        <v>475</v>
      </c>
      <c r="F257" s="63" t="s">
        <v>180</v>
      </c>
      <c r="G257" s="101">
        <v>475</v>
      </c>
      <c r="H257" s="67">
        <v>1</v>
      </c>
      <c r="I257" s="67">
        <v>1</v>
      </c>
      <c r="J257" s="91" t="str">
        <f t="shared" si="10"/>
        <v>SME017</v>
      </c>
      <c r="K257" s="92"/>
    </row>
    <row r="258" customHeight="1" spans="1:11">
      <c r="A258" s="60">
        <v>18</v>
      </c>
      <c r="B258" s="100" t="s">
        <v>287</v>
      </c>
      <c r="C258" s="83" t="s">
        <v>37</v>
      </c>
      <c r="D258" s="105" t="s">
        <v>180</v>
      </c>
      <c r="E258" s="106">
        <v>475</v>
      </c>
      <c r="F258" s="63" t="s">
        <v>180</v>
      </c>
      <c r="G258" s="101">
        <v>475</v>
      </c>
      <c r="H258" s="67">
        <v>1</v>
      </c>
      <c r="I258" s="67">
        <v>1</v>
      </c>
      <c r="J258" s="91" t="str">
        <f t="shared" si="10"/>
        <v>SME018</v>
      </c>
      <c r="K258" s="92"/>
    </row>
    <row r="259" customHeight="1" spans="1:11">
      <c r="A259" s="60">
        <v>19</v>
      </c>
      <c r="B259" s="100" t="s">
        <v>288</v>
      </c>
      <c r="C259" s="83" t="s">
        <v>37</v>
      </c>
      <c r="D259" s="105" t="s">
        <v>180</v>
      </c>
      <c r="E259" s="106">
        <v>475</v>
      </c>
      <c r="F259" s="63" t="s">
        <v>180</v>
      </c>
      <c r="G259" s="101">
        <v>475</v>
      </c>
      <c r="H259" s="67">
        <v>1</v>
      </c>
      <c r="I259" s="67">
        <v>1</v>
      </c>
      <c r="J259" s="91" t="str">
        <f t="shared" si="10"/>
        <v>SME019</v>
      </c>
      <c r="K259" s="92"/>
    </row>
    <row r="260" customHeight="1" spans="1:11">
      <c r="A260" s="60">
        <v>20</v>
      </c>
      <c r="B260" s="100" t="s">
        <v>289</v>
      </c>
      <c r="C260" s="83" t="s">
        <v>37</v>
      </c>
      <c r="D260" s="105" t="s">
        <v>180</v>
      </c>
      <c r="E260" s="106">
        <v>475</v>
      </c>
      <c r="F260" s="63" t="s">
        <v>180</v>
      </c>
      <c r="G260" s="101">
        <v>475</v>
      </c>
      <c r="H260" s="67">
        <v>1</v>
      </c>
      <c r="I260" s="67">
        <v>1</v>
      </c>
      <c r="J260" s="91" t="str">
        <f t="shared" si="10"/>
        <v>SME020</v>
      </c>
      <c r="K260" s="92"/>
    </row>
    <row r="261" customHeight="1" spans="1:11">
      <c r="A261" s="60">
        <v>21</v>
      </c>
      <c r="B261" s="100" t="s">
        <v>290</v>
      </c>
      <c r="C261" s="83" t="s">
        <v>37</v>
      </c>
      <c r="D261" s="105" t="s">
        <v>180</v>
      </c>
      <c r="E261" s="106">
        <v>475</v>
      </c>
      <c r="F261" s="63" t="s">
        <v>180</v>
      </c>
      <c r="G261" s="101">
        <v>475</v>
      </c>
      <c r="H261" s="67">
        <v>1</v>
      </c>
      <c r="I261" s="67">
        <v>1</v>
      </c>
      <c r="J261" s="91" t="str">
        <f t="shared" si="10"/>
        <v>SME021</v>
      </c>
      <c r="K261" s="92"/>
    </row>
    <row r="262" customHeight="1" spans="1:11">
      <c r="A262" s="60">
        <v>22</v>
      </c>
      <c r="B262" s="100" t="s">
        <v>291</v>
      </c>
      <c r="C262" s="83" t="s">
        <v>37</v>
      </c>
      <c r="D262" s="105" t="s">
        <v>180</v>
      </c>
      <c r="E262" s="106">
        <v>475</v>
      </c>
      <c r="F262" s="63" t="s">
        <v>180</v>
      </c>
      <c r="G262" s="101">
        <v>475</v>
      </c>
      <c r="H262" s="67">
        <v>1</v>
      </c>
      <c r="I262" s="67">
        <v>1</v>
      </c>
      <c r="J262" s="91" t="str">
        <f t="shared" si="10"/>
        <v>SME022</v>
      </c>
      <c r="K262" s="92"/>
    </row>
    <row r="263" customHeight="1" spans="1:11">
      <c r="A263" s="60">
        <v>23</v>
      </c>
      <c r="B263" s="100" t="s">
        <v>292</v>
      </c>
      <c r="C263" s="83" t="s">
        <v>37</v>
      </c>
      <c r="D263" s="63" t="s">
        <v>180</v>
      </c>
      <c r="E263" s="64">
        <v>475</v>
      </c>
      <c r="F263" s="63" t="s">
        <v>180</v>
      </c>
      <c r="G263" s="101">
        <v>475</v>
      </c>
      <c r="H263" s="67">
        <v>1</v>
      </c>
      <c r="I263" s="67">
        <v>1</v>
      </c>
      <c r="J263" s="91" t="str">
        <f t="shared" si="10"/>
        <v>SME023</v>
      </c>
      <c r="K263" s="92"/>
    </row>
    <row r="264" customHeight="1" spans="1:11">
      <c r="A264" s="60">
        <v>24</v>
      </c>
      <c r="B264" s="100" t="s">
        <v>293</v>
      </c>
      <c r="C264" s="83" t="s">
        <v>37</v>
      </c>
      <c r="D264" s="105" t="s">
        <v>180</v>
      </c>
      <c r="E264" s="106">
        <v>475</v>
      </c>
      <c r="F264" s="63" t="s">
        <v>180</v>
      </c>
      <c r="G264" s="101">
        <v>475</v>
      </c>
      <c r="H264" s="107">
        <v>1</v>
      </c>
      <c r="I264" s="67">
        <v>1</v>
      </c>
      <c r="J264" s="91" t="str">
        <f t="shared" si="10"/>
        <v>SME024</v>
      </c>
      <c r="K264" s="92"/>
    </row>
    <row r="265" customHeight="1" spans="1:11">
      <c r="A265" s="60">
        <v>25</v>
      </c>
      <c r="B265" s="100" t="s">
        <v>294</v>
      </c>
      <c r="C265" s="83" t="s">
        <v>37</v>
      </c>
      <c r="D265" s="105" t="s">
        <v>180</v>
      </c>
      <c r="E265" s="106">
        <v>475</v>
      </c>
      <c r="F265" s="63" t="s">
        <v>180</v>
      </c>
      <c r="G265" s="101">
        <v>475</v>
      </c>
      <c r="H265" s="107">
        <v>1</v>
      </c>
      <c r="I265" s="67">
        <v>1</v>
      </c>
      <c r="J265" s="91" t="str">
        <f t="shared" si="10"/>
        <v>SME025</v>
      </c>
      <c r="K265" s="92"/>
    </row>
    <row r="266" customHeight="1" spans="1:11">
      <c r="A266" s="60">
        <v>26</v>
      </c>
      <c r="B266" s="100" t="s">
        <v>295</v>
      </c>
      <c r="C266" s="83" t="s">
        <v>37</v>
      </c>
      <c r="D266" s="105" t="s">
        <v>180</v>
      </c>
      <c r="E266" s="106">
        <v>475</v>
      </c>
      <c r="F266" s="63" t="s">
        <v>180</v>
      </c>
      <c r="G266" s="101">
        <v>475</v>
      </c>
      <c r="H266" s="107">
        <v>1</v>
      </c>
      <c r="I266" s="67">
        <v>1</v>
      </c>
      <c r="J266" s="91" t="str">
        <f t="shared" si="10"/>
        <v>SME026</v>
      </c>
      <c r="K266" s="92"/>
    </row>
    <row r="267" customHeight="1" spans="1:11">
      <c r="A267" s="60">
        <v>27</v>
      </c>
      <c r="B267" s="100" t="s">
        <v>296</v>
      </c>
      <c r="C267" s="83" t="s">
        <v>37</v>
      </c>
      <c r="D267" s="105" t="s">
        <v>180</v>
      </c>
      <c r="E267" s="106">
        <v>475</v>
      </c>
      <c r="F267" s="63" t="s">
        <v>180</v>
      </c>
      <c r="G267" s="101">
        <v>475</v>
      </c>
      <c r="H267" s="107">
        <v>1</v>
      </c>
      <c r="I267" s="67">
        <v>1</v>
      </c>
      <c r="J267" s="91" t="str">
        <f t="shared" si="10"/>
        <v>SME027</v>
      </c>
      <c r="K267" s="92"/>
    </row>
    <row r="268" customHeight="1" spans="1:11">
      <c r="A268" s="60">
        <v>28</v>
      </c>
      <c r="B268" s="100" t="s">
        <v>297</v>
      </c>
      <c r="C268" s="83" t="s">
        <v>37</v>
      </c>
      <c r="D268" s="105" t="s">
        <v>180</v>
      </c>
      <c r="E268" s="106">
        <v>475</v>
      </c>
      <c r="F268" s="63" t="s">
        <v>180</v>
      </c>
      <c r="G268" s="101">
        <v>475</v>
      </c>
      <c r="H268" s="107">
        <v>1</v>
      </c>
      <c r="I268" s="67">
        <v>1</v>
      </c>
      <c r="J268" s="91" t="str">
        <f t="shared" si="10"/>
        <v>SME028</v>
      </c>
      <c r="K268" s="92"/>
    </row>
    <row r="269" customHeight="1" spans="1:11">
      <c r="A269" s="60">
        <v>29</v>
      </c>
      <c r="B269" s="100" t="s">
        <v>298</v>
      </c>
      <c r="C269" s="83" t="s">
        <v>37</v>
      </c>
      <c r="D269" s="63" t="s">
        <v>180</v>
      </c>
      <c r="E269" s="64">
        <v>475</v>
      </c>
      <c r="F269" s="63" t="s">
        <v>180</v>
      </c>
      <c r="G269" s="101">
        <v>475</v>
      </c>
      <c r="H269" s="107">
        <v>1</v>
      </c>
      <c r="I269" s="67">
        <v>1</v>
      </c>
      <c r="J269" s="91" t="str">
        <f t="shared" si="10"/>
        <v>SME029</v>
      </c>
      <c r="K269" s="92"/>
    </row>
    <row r="270" customHeight="1" spans="1:11">
      <c r="A270" s="60">
        <v>31</v>
      </c>
      <c r="B270" s="100" t="s">
        <v>299</v>
      </c>
      <c r="C270" s="83" t="s">
        <v>37</v>
      </c>
      <c r="D270" s="63" t="s">
        <v>180</v>
      </c>
      <c r="E270" s="108">
        <v>475</v>
      </c>
      <c r="F270" s="109" t="s">
        <v>180</v>
      </c>
      <c r="G270" s="101">
        <v>475</v>
      </c>
      <c r="H270" s="110">
        <v>1</v>
      </c>
      <c r="I270" s="67">
        <v>1</v>
      </c>
      <c r="J270" s="91" t="str">
        <f t="shared" si="10"/>
        <v>SME031</v>
      </c>
      <c r="K270" s="92"/>
    </row>
    <row r="271" customHeight="1" spans="1:11">
      <c r="A271" s="60">
        <v>32</v>
      </c>
      <c r="B271" s="100" t="s">
        <v>300</v>
      </c>
      <c r="C271" s="83" t="s">
        <v>37</v>
      </c>
      <c r="D271" s="63" t="s">
        <v>180</v>
      </c>
      <c r="E271" s="108">
        <v>475</v>
      </c>
      <c r="F271" s="109" t="s">
        <v>180</v>
      </c>
      <c r="G271" s="101">
        <v>475</v>
      </c>
      <c r="H271" s="110">
        <v>1</v>
      </c>
      <c r="I271" s="67">
        <v>1</v>
      </c>
      <c r="J271" s="91" t="str">
        <f t="shared" si="10"/>
        <v>SME032</v>
      </c>
      <c r="K271" s="92"/>
    </row>
    <row r="272" customHeight="1" spans="1:11">
      <c r="A272" s="60">
        <v>33</v>
      </c>
      <c r="B272" s="100" t="s">
        <v>301</v>
      </c>
      <c r="C272" s="83" t="s">
        <v>37</v>
      </c>
      <c r="D272" s="63" t="s">
        <v>180</v>
      </c>
      <c r="E272" s="108">
        <v>475</v>
      </c>
      <c r="F272" s="109" t="s">
        <v>180</v>
      </c>
      <c r="G272" s="101">
        <v>475</v>
      </c>
      <c r="H272" s="110">
        <v>1</v>
      </c>
      <c r="I272" s="67">
        <v>1</v>
      </c>
      <c r="J272" s="91" t="str">
        <f t="shared" si="10"/>
        <v>SME033</v>
      </c>
      <c r="K272" s="92"/>
    </row>
    <row r="273" customHeight="1" spans="1:11">
      <c r="A273" s="60">
        <v>34</v>
      </c>
      <c r="B273" s="111" t="s">
        <v>302</v>
      </c>
      <c r="C273" s="83" t="s">
        <v>37</v>
      </c>
      <c r="D273" s="63" t="s">
        <v>180</v>
      </c>
      <c r="E273" s="64">
        <v>475</v>
      </c>
      <c r="F273" s="112" t="s">
        <v>180</v>
      </c>
      <c r="G273" s="101">
        <v>475</v>
      </c>
      <c r="H273" s="107">
        <v>1</v>
      </c>
      <c r="I273" s="67">
        <v>1</v>
      </c>
      <c r="J273" s="91" t="str">
        <f t="shared" si="10"/>
        <v>SME034</v>
      </c>
      <c r="K273" s="92"/>
    </row>
    <row r="274" customHeight="1" spans="1:11">
      <c r="A274" s="60">
        <v>35</v>
      </c>
      <c r="B274" s="113" t="s">
        <v>303</v>
      </c>
      <c r="C274" s="83" t="s">
        <v>37</v>
      </c>
      <c r="D274" s="114" t="s">
        <v>180</v>
      </c>
      <c r="E274" s="108">
        <v>475</v>
      </c>
      <c r="F274" s="115" t="s">
        <v>180</v>
      </c>
      <c r="G274" s="101">
        <v>475</v>
      </c>
      <c r="H274" s="110">
        <v>1</v>
      </c>
      <c r="I274" s="110">
        <v>1</v>
      </c>
      <c r="J274" s="91" t="str">
        <f t="shared" si="10"/>
        <v>SME035</v>
      </c>
      <c r="K274" s="92"/>
    </row>
    <row r="275" customHeight="1" spans="1:11">
      <c r="A275" s="60">
        <v>36</v>
      </c>
      <c r="B275" s="113" t="s">
        <v>304</v>
      </c>
      <c r="C275" s="83" t="s">
        <v>37</v>
      </c>
      <c r="D275" s="114" t="s">
        <v>180</v>
      </c>
      <c r="E275" s="108">
        <v>475</v>
      </c>
      <c r="F275" s="115" t="s">
        <v>180</v>
      </c>
      <c r="G275" s="101">
        <v>475</v>
      </c>
      <c r="H275" s="110">
        <v>1</v>
      </c>
      <c r="I275" s="110">
        <v>1</v>
      </c>
      <c r="J275" s="91" t="str">
        <f t="shared" si="10"/>
        <v>SME036</v>
      </c>
      <c r="K275" s="92"/>
    </row>
    <row r="276" customHeight="1" spans="1:11">
      <c r="A276" s="60">
        <v>37</v>
      </c>
      <c r="B276" s="113" t="s">
        <v>305</v>
      </c>
      <c r="C276" s="83" t="s">
        <v>37</v>
      </c>
      <c r="D276" s="114" t="s">
        <v>180</v>
      </c>
      <c r="E276" s="108">
        <v>475</v>
      </c>
      <c r="F276" s="115" t="s">
        <v>180</v>
      </c>
      <c r="G276" s="101">
        <v>475</v>
      </c>
      <c r="H276" s="110">
        <v>1</v>
      </c>
      <c r="I276" s="110">
        <v>1</v>
      </c>
      <c r="J276" s="91" t="str">
        <f t="shared" si="10"/>
        <v>SME037</v>
      </c>
      <c r="K276" s="92"/>
    </row>
    <row r="277" customHeight="1" spans="1:11">
      <c r="A277" s="60">
        <v>38</v>
      </c>
      <c r="B277" s="113" t="s">
        <v>306</v>
      </c>
      <c r="C277" s="83" t="s">
        <v>37</v>
      </c>
      <c r="D277" s="114" t="s">
        <v>180</v>
      </c>
      <c r="E277" s="108">
        <v>475</v>
      </c>
      <c r="F277" s="115" t="s">
        <v>180</v>
      </c>
      <c r="G277" s="101">
        <v>475</v>
      </c>
      <c r="H277" s="110">
        <v>1</v>
      </c>
      <c r="I277" s="110">
        <v>1</v>
      </c>
      <c r="J277" s="91" t="str">
        <f t="shared" si="10"/>
        <v>SME038</v>
      </c>
      <c r="K277" s="92"/>
    </row>
    <row r="278" customHeight="1" spans="1:11">
      <c r="A278" s="60">
        <v>39</v>
      </c>
      <c r="B278" s="113" t="s">
        <v>307</v>
      </c>
      <c r="C278" s="83" t="s">
        <v>37</v>
      </c>
      <c r="D278" s="114" t="s">
        <v>180</v>
      </c>
      <c r="E278" s="108">
        <v>475</v>
      </c>
      <c r="F278" s="115" t="s">
        <v>180</v>
      </c>
      <c r="G278" s="101">
        <v>475</v>
      </c>
      <c r="H278" s="110">
        <v>1</v>
      </c>
      <c r="I278" s="110">
        <v>1</v>
      </c>
      <c r="J278" s="91" t="str">
        <f t="shared" si="10"/>
        <v>SME039</v>
      </c>
      <c r="K278" s="92"/>
    </row>
    <row r="279" customHeight="1" spans="1:11">
      <c r="A279" s="60">
        <v>40</v>
      </c>
      <c r="B279" s="113" t="s">
        <v>308</v>
      </c>
      <c r="C279" s="83" t="s">
        <v>37</v>
      </c>
      <c r="D279" s="114" t="s">
        <v>180</v>
      </c>
      <c r="E279" s="108">
        <v>475</v>
      </c>
      <c r="F279" s="115" t="s">
        <v>180</v>
      </c>
      <c r="G279" s="101">
        <v>475</v>
      </c>
      <c r="H279" s="110">
        <v>1</v>
      </c>
      <c r="I279" s="110">
        <v>1</v>
      </c>
      <c r="J279" s="91" t="str">
        <f t="shared" si="10"/>
        <v>SME040</v>
      </c>
      <c r="K279" s="92"/>
    </row>
    <row r="280" customHeight="1" spans="1:11">
      <c r="A280" s="60">
        <v>41</v>
      </c>
      <c r="B280" s="113" t="s">
        <v>309</v>
      </c>
      <c r="C280" s="83" t="s">
        <v>37</v>
      </c>
      <c r="D280" s="63" t="s">
        <v>180</v>
      </c>
      <c r="E280" s="108">
        <v>475</v>
      </c>
      <c r="F280" s="109" t="s">
        <v>180</v>
      </c>
      <c r="G280" s="101">
        <v>475</v>
      </c>
      <c r="H280" s="110">
        <v>1</v>
      </c>
      <c r="I280" s="110">
        <v>1</v>
      </c>
      <c r="J280" s="91" t="str">
        <f t="shared" si="10"/>
        <v>SME041</v>
      </c>
      <c r="K280" s="92"/>
    </row>
    <row r="281" customHeight="1" spans="1:11">
      <c r="A281" s="60">
        <v>58</v>
      </c>
      <c r="B281" s="113" t="s">
        <v>310</v>
      </c>
      <c r="C281" s="83" t="s">
        <v>37</v>
      </c>
      <c r="D281" s="63" t="s">
        <v>180</v>
      </c>
      <c r="E281" s="108">
        <v>475.34</v>
      </c>
      <c r="F281" s="109" t="s">
        <v>180</v>
      </c>
      <c r="G281" s="101">
        <v>475.34</v>
      </c>
      <c r="H281" s="110">
        <v>1</v>
      </c>
      <c r="I281" s="110">
        <v>1</v>
      </c>
      <c r="J281" s="91" t="str">
        <f t="shared" ref="J281:J344" si="11">CONCATENATE(LEFT(C281,1),MID(C281,SEARCH("_",C281)+1,2),TEXT(A281,"000"))</f>
        <v>SME058</v>
      </c>
      <c r="K281" s="92"/>
    </row>
    <row r="282" customHeight="1" spans="1:11">
      <c r="A282" s="60">
        <v>59</v>
      </c>
      <c r="B282" t="s">
        <v>311</v>
      </c>
      <c r="C282" s="83" t="s">
        <v>37</v>
      </c>
      <c r="D282" s="63" t="s">
        <v>180</v>
      </c>
      <c r="E282" s="108">
        <v>475.34</v>
      </c>
      <c r="F282" s="109" t="s">
        <v>180</v>
      </c>
      <c r="G282" s="101">
        <v>475.34</v>
      </c>
      <c r="H282" s="110">
        <v>1</v>
      </c>
      <c r="I282" s="110">
        <v>1</v>
      </c>
      <c r="J282" s="91" t="str">
        <f t="shared" si="11"/>
        <v>SME059</v>
      </c>
      <c r="K282" s="92"/>
    </row>
    <row r="283" customHeight="1" spans="1:11">
      <c r="A283" s="60">
        <v>60</v>
      </c>
      <c r="B283" t="s">
        <v>312</v>
      </c>
      <c r="C283" s="83" t="s">
        <v>37</v>
      </c>
      <c r="D283" s="63" t="s">
        <v>180</v>
      </c>
      <c r="E283" s="108">
        <v>475.34</v>
      </c>
      <c r="F283" s="109" t="s">
        <v>180</v>
      </c>
      <c r="G283" s="101">
        <v>475.34</v>
      </c>
      <c r="H283" s="110">
        <v>1</v>
      </c>
      <c r="I283" s="110">
        <v>1</v>
      </c>
      <c r="J283" s="91" t="str">
        <f t="shared" si="11"/>
        <v>SME060</v>
      </c>
      <c r="K283" s="92"/>
    </row>
    <row r="284" customHeight="1" spans="1:11">
      <c r="A284" s="60">
        <v>61</v>
      </c>
      <c r="B284" t="s">
        <v>313</v>
      </c>
      <c r="C284" s="83" t="s">
        <v>37</v>
      </c>
      <c r="D284" s="63" t="s">
        <v>180</v>
      </c>
      <c r="E284" s="108">
        <v>475.34</v>
      </c>
      <c r="F284" s="109" t="s">
        <v>180</v>
      </c>
      <c r="G284" s="101">
        <v>475.34</v>
      </c>
      <c r="H284" s="110">
        <v>1</v>
      </c>
      <c r="I284" s="110">
        <v>1</v>
      </c>
      <c r="J284" s="91" t="str">
        <f t="shared" si="11"/>
        <v>SME061</v>
      </c>
      <c r="K284" s="92"/>
    </row>
    <row r="285" customHeight="1" spans="1:11">
      <c r="A285" s="60">
        <v>62</v>
      </c>
      <c r="B285" t="s">
        <v>314</v>
      </c>
      <c r="C285" s="83" t="s">
        <v>37</v>
      </c>
      <c r="D285" s="63" t="s">
        <v>180</v>
      </c>
      <c r="E285" s="108">
        <v>475.34</v>
      </c>
      <c r="F285" s="109" t="s">
        <v>180</v>
      </c>
      <c r="G285" s="101">
        <v>475.34</v>
      </c>
      <c r="H285" s="110">
        <v>1</v>
      </c>
      <c r="I285" s="110">
        <v>1</v>
      </c>
      <c r="J285" s="91" t="str">
        <f t="shared" si="11"/>
        <v>SME062</v>
      </c>
      <c r="K285" s="92"/>
    </row>
    <row r="286" customHeight="1" spans="1:11">
      <c r="A286" s="60">
        <v>63</v>
      </c>
      <c r="B286" t="s">
        <v>315</v>
      </c>
      <c r="C286" s="83" t="s">
        <v>37</v>
      </c>
      <c r="D286" s="63" t="s">
        <v>180</v>
      </c>
      <c r="E286" s="108">
        <v>475.34</v>
      </c>
      <c r="F286" s="109" t="s">
        <v>180</v>
      </c>
      <c r="G286" s="101">
        <v>475.34</v>
      </c>
      <c r="H286" s="110">
        <v>1</v>
      </c>
      <c r="I286" s="110">
        <v>1</v>
      </c>
      <c r="J286" s="91" t="str">
        <f t="shared" si="11"/>
        <v>SME063</v>
      </c>
      <c r="K286" s="92"/>
    </row>
    <row r="287" customHeight="1" spans="1:11">
      <c r="A287" s="60">
        <v>64</v>
      </c>
      <c r="B287" t="s">
        <v>316</v>
      </c>
      <c r="C287" s="83" t="s">
        <v>37</v>
      </c>
      <c r="D287" s="63" t="s">
        <v>180</v>
      </c>
      <c r="E287" s="108">
        <v>475.34</v>
      </c>
      <c r="F287" s="109" t="s">
        <v>180</v>
      </c>
      <c r="G287" s="101">
        <v>475.34</v>
      </c>
      <c r="H287" s="110">
        <v>1</v>
      </c>
      <c r="I287" s="110">
        <v>1</v>
      </c>
      <c r="J287" s="91" t="str">
        <f t="shared" si="11"/>
        <v>SME064</v>
      </c>
      <c r="K287" s="92"/>
    </row>
    <row r="288" customHeight="1" spans="1:11">
      <c r="A288" s="60">
        <v>65</v>
      </c>
      <c r="B288" t="s">
        <v>317</v>
      </c>
      <c r="C288" s="83" t="s">
        <v>37</v>
      </c>
      <c r="D288" s="63" t="s">
        <v>180</v>
      </c>
      <c r="E288" s="108">
        <v>475.34</v>
      </c>
      <c r="F288" s="109" t="s">
        <v>180</v>
      </c>
      <c r="G288" s="101">
        <v>475.34</v>
      </c>
      <c r="H288" s="110">
        <v>1</v>
      </c>
      <c r="I288" s="110">
        <v>1</v>
      </c>
      <c r="J288" s="91" t="str">
        <f t="shared" si="11"/>
        <v>SME065</v>
      </c>
      <c r="K288" s="92"/>
    </row>
    <row r="289" customHeight="1" spans="1:11">
      <c r="A289" s="60">
        <v>128</v>
      </c>
      <c r="B289" s="102" t="s">
        <v>318</v>
      </c>
      <c r="C289" s="83" t="s">
        <v>37</v>
      </c>
      <c r="D289" s="63" t="s">
        <v>244</v>
      </c>
      <c r="E289" s="108"/>
      <c r="F289" s="109" t="s">
        <v>245</v>
      </c>
      <c r="G289" s="101"/>
      <c r="H289" s="110">
        <v>1</v>
      </c>
      <c r="I289" s="110">
        <v>100</v>
      </c>
      <c r="J289" s="91" t="str">
        <f t="shared" si="11"/>
        <v>SME128</v>
      </c>
      <c r="K289" s="92"/>
    </row>
    <row r="290" customHeight="1" spans="1:11">
      <c r="A290" s="60">
        <v>128</v>
      </c>
      <c r="B290" s="116" t="s">
        <v>319</v>
      </c>
      <c r="C290" s="83" t="s">
        <v>37</v>
      </c>
      <c r="D290" s="63" t="s">
        <v>244</v>
      </c>
      <c r="E290" s="108"/>
      <c r="F290" s="109" t="s">
        <v>245</v>
      </c>
      <c r="G290" s="101"/>
      <c r="H290" s="110">
        <v>1</v>
      </c>
      <c r="I290" s="110">
        <v>100</v>
      </c>
      <c r="J290" s="91" t="str">
        <f t="shared" si="11"/>
        <v>SME128</v>
      </c>
      <c r="K290" s="92"/>
    </row>
    <row r="291" customHeight="1" spans="1:11">
      <c r="A291" s="60">
        <v>128</v>
      </c>
      <c r="B291" s="116" t="s">
        <v>320</v>
      </c>
      <c r="C291" s="83" t="s">
        <v>37</v>
      </c>
      <c r="D291" s="63" t="s">
        <v>244</v>
      </c>
      <c r="E291" s="64"/>
      <c r="F291" s="112" t="s">
        <v>245</v>
      </c>
      <c r="G291" s="101"/>
      <c r="H291" s="107">
        <v>1</v>
      </c>
      <c r="I291" s="67">
        <v>100</v>
      </c>
      <c r="J291" s="91" t="str">
        <f t="shared" si="11"/>
        <v>SME128</v>
      </c>
      <c r="K291" s="92"/>
    </row>
    <row r="292" customHeight="1" spans="1:11">
      <c r="A292" s="60">
        <v>128</v>
      </c>
      <c r="B292" s="116" t="s">
        <v>321</v>
      </c>
      <c r="C292" s="83" t="s">
        <v>37</v>
      </c>
      <c r="D292" s="63" t="s">
        <v>244</v>
      </c>
      <c r="E292" s="64"/>
      <c r="F292" s="112" t="s">
        <v>245</v>
      </c>
      <c r="G292" s="101"/>
      <c r="H292" s="107">
        <v>1</v>
      </c>
      <c r="I292" s="103">
        <v>100</v>
      </c>
      <c r="J292" s="91" t="str">
        <f t="shared" si="11"/>
        <v>SME128</v>
      </c>
      <c r="K292" s="92"/>
    </row>
    <row r="293" customHeight="1" spans="1:11">
      <c r="A293" s="60">
        <v>128</v>
      </c>
      <c r="B293" s="116" t="s">
        <v>322</v>
      </c>
      <c r="C293" s="83" t="s">
        <v>37</v>
      </c>
      <c r="D293" s="63" t="s">
        <v>244</v>
      </c>
      <c r="E293" s="64"/>
      <c r="F293" s="112" t="s">
        <v>245</v>
      </c>
      <c r="G293" s="101"/>
      <c r="H293" s="107">
        <v>1</v>
      </c>
      <c r="I293" s="103">
        <v>100</v>
      </c>
      <c r="J293" s="91" t="str">
        <f t="shared" si="11"/>
        <v>SME128</v>
      </c>
      <c r="K293" s="92"/>
    </row>
    <row r="294" customHeight="1" spans="1:11">
      <c r="A294" s="60">
        <v>66</v>
      </c>
      <c r="B294" t="s">
        <v>323</v>
      </c>
      <c r="C294" s="83" t="s">
        <v>37</v>
      </c>
      <c r="D294" s="63" t="s">
        <v>180</v>
      </c>
      <c r="E294" s="64">
        <v>475.34</v>
      </c>
      <c r="F294" s="112" t="s">
        <v>180</v>
      </c>
      <c r="G294" s="101">
        <v>475.34</v>
      </c>
      <c r="H294" s="107">
        <v>1</v>
      </c>
      <c r="I294" s="103">
        <v>1</v>
      </c>
      <c r="J294" s="91" t="str">
        <f t="shared" si="11"/>
        <v>SME066</v>
      </c>
      <c r="K294" s="92"/>
    </row>
    <row r="295" customHeight="1" spans="1:11">
      <c r="A295" s="60">
        <v>67</v>
      </c>
      <c r="B295" s="117" t="s">
        <v>324</v>
      </c>
      <c r="C295" s="83" t="s">
        <v>37</v>
      </c>
      <c r="D295" s="63" t="s">
        <v>244</v>
      </c>
      <c r="E295" s="64">
        <v>9800</v>
      </c>
      <c r="F295" s="112" t="s">
        <v>245</v>
      </c>
      <c r="G295" s="101">
        <v>98</v>
      </c>
      <c r="H295" s="107">
        <v>100</v>
      </c>
      <c r="I295" s="103">
        <v>1</v>
      </c>
      <c r="J295" s="91" t="str">
        <f t="shared" si="11"/>
        <v>SME067</v>
      </c>
      <c r="K295" s="92"/>
    </row>
    <row r="296" customHeight="1" spans="1:11">
      <c r="A296" s="60">
        <v>68</v>
      </c>
      <c r="B296" t="s">
        <v>325</v>
      </c>
      <c r="C296" s="83" t="s">
        <v>37</v>
      </c>
      <c r="D296" s="63" t="s">
        <v>244</v>
      </c>
      <c r="E296" s="64">
        <v>943.5</v>
      </c>
      <c r="F296" s="112" t="s">
        <v>245</v>
      </c>
      <c r="G296" s="101">
        <v>9.435</v>
      </c>
      <c r="H296" s="107">
        <v>100</v>
      </c>
      <c r="I296" s="103">
        <v>1</v>
      </c>
      <c r="J296" s="91" t="str">
        <f t="shared" si="11"/>
        <v>SME068</v>
      </c>
      <c r="K296" s="92"/>
    </row>
    <row r="297" customHeight="1" spans="1:11">
      <c r="A297" s="60">
        <v>69</v>
      </c>
      <c r="B297" t="s">
        <v>326</v>
      </c>
      <c r="C297" s="83" t="s">
        <v>37</v>
      </c>
      <c r="D297" s="63" t="s">
        <v>244</v>
      </c>
      <c r="E297" s="64">
        <v>943.5</v>
      </c>
      <c r="F297" s="112" t="s">
        <v>245</v>
      </c>
      <c r="G297" s="101">
        <v>9.435</v>
      </c>
      <c r="H297" s="107">
        <v>100</v>
      </c>
      <c r="I297" s="103">
        <v>1</v>
      </c>
      <c r="J297" s="91" t="str">
        <f t="shared" si="11"/>
        <v>SME069</v>
      </c>
      <c r="K297" s="92"/>
    </row>
    <row r="298" customHeight="1" spans="1:11">
      <c r="A298" s="60">
        <v>70</v>
      </c>
      <c r="B298" s="22" t="s">
        <v>327</v>
      </c>
      <c r="C298" s="118" t="s">
        <v>37</v>
      </c>
      <c r="D298" s="63" t="s">
        <v>244</v>
      </c>
      <c r="E298" s="64">
        <v>1223</v>
      </c>
      <c r="F298" s="112" t="s">
        <v>245</v>
      </c>
      <c r="G298" s="101">
        <v>12.23</v>
      </c>
      <c r="H298" s="107">
        <v>100</v>
      </c>
      <c r="I298" s="67">
        <v>1</v>
      </c>
      <c r="J298" s="91" t="str">
        <f t="shared" si="11"/>
        <v>SME070</v>
      </c>
      <c r="K298" s="92"/>
    </row>
    <row r="299" customHeight="1" spans="1:11">
      <c r="A299" s="119">
        <v>71</v>
      </c>
      <c r="B299" s="22" t="s">
        <v>328</v>
      </c>
      <c r="C299" s="120" t="s">
        <v>37</v>
      </c>
      <c r="D299" s="121" t="s">
        <v>247</v>
      </c>
      <c r="E299" s="122">
        <v>16471.25</v>
      </c>
      <c r="F299" s="112" t="s">
        <v>247</v>
      </c>
      <c r="G299" s="123">
        <v>16471.25</v>
      </c>
      <c r="H299" s="107">
        <v>1</v>
      </c>
      <c r="I299" s="103">
        <v>1</v>
      </c>
      <c r="J299" s="91" t="str">
        <f t="shared" si="11"/>
        <v>SME071</v>
      </c>
      <c r="K299" s="92"/>
    </row>
    <row r="300" customHeight="1" spans="1:11">
      <c r="A300" s="119">
        <v>72</v>
      </c>
      <c r="B300" s="22" t="s">
        <v>329</v>
      </c>
      <c r="C300" s="120" t="s">
        <v>37</v>
      </c>
      <c r="D300" s="121" t="s">
        <v>247</v>
      </c>
      <c r="E300" s="122">
        <v>32931.5</v>
      </c>
      <c r="F300" s="112" t="s">
        <v>247</v>
      </c>
      <c r="G300" s="123">
        <v>32931.5</v>
      </c>
      <c r="H300" s="107">
        <v>1</v>
      </c>
      <c r="I300" s="103">
        <v>1</v>
      </c>
      <c r="J300" s="91" t="str">
        <f t="shared" si="11"/>
        <v>SME072</v>
      </c>
      <c r="K300" s="92"/>
    </row>
    <row r="301" customHeight="1" spans="1:11">
      <c r="A301" s="119">
        <v>73</v>
      </c>
      <c r="B301" s="22" t="s">
        <v>330</v>
      </c>
      <c r="C301" s="120" t="s">
        <v>37</v>
      </c>
      <c r="D301" s="121" t="s">
        <v>247</v>
      </c>
      <c r="E301" s="122">
        <v>16209.5</v>
      </c>
      <c r="F301" s="112" t="s">
        <v>247</v>
      </c>
      <c r="G301" s="123">
        <v>16209.5</v>
      </c>
      <c r="H301" s="107">
        <v>1</v>
      </c>
      <c r="I301" s="103">
        <v>1</v>
      </c>
      <c r="J301" s="91" t="str">
        <f t="shared" si="11"/>
        <v>SME073</v>
      </c>
      <c r="K301" s="92"/>
    </row>
    <row r="302" customHeight="1" spans="1:11">
      <c r="A302" s="119">
        <v>74</v>
      </c>
      <c r="B302" s="22" t="s">
        <v>331</v>
      </c>
      <c r="C302" s="120" t="s">
        <v>37</v>
      </c>
      <c r="D302" s="121" t="s">
        <v>247</v>
      </c>
      <c r="E302" s="122">
        <v>32417</v>
      </c>
      <c r="F302" s="112" t="s">
        <v>247</v>
      </c>
      <c r="G302" s="123">
        <v>32417</v>
      </c>
      <c r="H302" s="107">
        <v>1</v>
      </c>
      <c r="I302" s="103">
        <v>1</v>
      </c>
      <c r="J302" s="91" t="str">
        <f t="shared" si="11"/>
        <v>SME074</v>
      </c>
      <c r="K302" s="92"/>
    </row>
    <row r="303" customHeight="1" spans="1:11">
      <c r="A303" s="119">
        <v>75</v>
      </c>
      <c r="B303" s="22" t="s">
        <v>332</v>
      </c>
      <c r="C303" s="120" t="s">
        <v>37</v>
      </c>
      <c r="D303" s="121" t="s">
        <v>247</v>
      </c>
      <c r="E303" s="122">
        <v>50250</v>
      </c>
      <c r="F303" s="112" t="s">
        <v>247</v>
      </c>
      <c r="G303" s="123">
        <v>50250</v>
      </c>
      <c r="H303" s="107">
        <v>1</v>
      </c>
      <c r="I303" s="103">
        <v>1</v>
      </c>
      <c r="J303" s="91" t="str">
        <f t="shared" si="11"/>
        <v>SME075</v>
      </c>
      <c r="K303" s="92"/>
    </row>
    <row r="304" customHeight="1" spans="1:11">
      <c r="A304" s="119">
        <v>76</v>
      </c>
      <c r="B304" s="72" t="s">
        <v>333</v>
      </c>
      <c r="C304" s="120" t="s">
        <v>37</v>
      </c>
      <c r="D304" s="121" t="s">
        <v>247</v>
      </c>
      <c r="E304" s="122">
        <v>25131.5</v>
      </c>
      <c r="F304" s="112" t="s">
        <v>247</v>
      </c>
      <c r="G304" s="123">
        <v>25131.5</v>
      </c>
      <c r="H304" s="107">
        <v>1</v>
      </c>
      <c r="I304" s="103">
        <v>1</v>
      </c>
      <c r="J304" s="91" t="str">
        <f t="shared" si="11"/>
        <v>SME076</v>
      </c>
      <c r="K304" s="92"/>
    </row>
    <row r="305" customHeight="1" spans="1:11">
      <c r="A305" s="119">
        <v>77</v>
      </c>
      <c r="B305" s="22" t="s">
        <v>334</v>
      </c>
      <c r="C305" s="120" t="s">
        <v>37</v>
      </c>
      <c r="D305" s="121" t="s">
        <v>258</v>
      </c>
      <c r="E305" s="122">
        <v>3700</v>
      </c>
      <c r="F305" s="112" t="s">
        <v>261</v>
      </c>
      <c r="G305" s="123">
        <v>26.4285714285714</v>
      </c>
      <c r="H305" s="107">
        <v>140</v>
      </c>
      <c r="I305" s="103">
        <v>1</v>
      </c>
      <c r="J305" s="91" t="str">
        <f t="shared" si="11"/>
        <v>SME077</v>
      </c>
      <c r="K305" s="92"/>
    </row>
    <row r="306" customHeight="1" spans="1:11">
      <c r="A306" s="119">
        <v>78</v>
      </c>
      <c r="B306" s="22" t="s">
        <v>335</v>
      </c>
      <c r="C306" s="120" t="s">
        <v>37</v>
      </c>
      <c r="D306" s="121" t="s">
        <v>244</v>
      </c>
      <c r="E306" s="122">
        <v>92</v>
      </c>
      <c r="F306" s="112" t="s">
        <v>244</v>
      </c>
      <c r="G306" s="123">
        <v>92</v>
      </c>
      <c r="H306" s="107">
        <v>1</v>
      </c>
      <c r="I306" s="103">
        <v>1</v>
      </c>
      <c r="J306" s="91" t="str">
        <f t="shared" si="11"/>
        <v>SME078</v>
      </c>
      <c r="K306" s="92"/>
    </row>
    <row r="307" customHeight="1" spans="1:11">
      <c r="A307" s="119">
        <v>79</v>
      </c>
      <c r="B307" s="22" t="s">
        <v>336</v>
      </c>
      <c r="C307" s="120" t="s">
        <v>37</v>
      </c>
      <c r="D307" s="121" t="s">
        <v>244</v>
      </c>
      <c r="E307" s="122">
        <v>92</v>
      </c>
      <c r="F307" s="112" t="s">
        <v>244</v>
      </c>
      <c r="G307" s="123">
        <v>92</v>
      </c>
      <c r="H307" s="107">
        <v>1</v>
      </c>
      <c r="I307" s="103">
        <v>1</v>
      </c>
      <c r="J307" s="91" t="str">
        <f t="shared" si="11"/>
        <v>SME079</v>
      </c>
      <c r="K307" s="92"/>
    </row>
    <row r="308" customHeight="1" spans="1:11">
      <c r="A308" s="119">
        <v>80</v>
      </c>
      <c r="B308" s="22" t="s">
        <v>337</v>
      </c>
      <c r="C308" s="120" t="s">
        <v>37</v>
      </c>
      <c r="D308" s="121" t="s">
        <v>244</v>
      </c>
      <c r="E308" s="122">
        <v>92</v>
      </c>
      <c r="F308" s="112" t="s">
        <v>244</v>
      </c>
      <c r="G308" s="123">
        <v>92</v>
      </c>
      <c r="H308" s="107">
        <v>1</v>
      </c>
      <c r="I308" s="103">
        <v>1</v>
      </c>
      <c r="J308" s="91" t="str">
        <f t="shared" si="11"/>
        <v>SME080</v>
      </c>
      <c r="K308" s="92"/>
    </row>
    <row r="309" customHeight="1" spans="1:11">
      <c r="A309" s="119">
        <v>81</v>
      </c>
      <c r="B309" s="22" t="s">
        <v>338</v>
      </c>
      <c r="C309" s="120" t="s">
        <v>37</v>
      </c>
      <c r="D309" s="121" t="s">
        <v>261</v>
      </c>
      <c r="E309" s="122">
        <v>8591.8</v>
      </c>
      <c r="F309" s="112" t="s">
        <v>244</v>
      </c>
      <c r="G309" s="123">
        <v>0.357991666666667</v>
      </c>
      <c r="H309" s="107">
        <v>200</v>
      </c>
      <c r="I309" s="103">
        <v>120</v>
      </c>
      <c r="J309" s="91" t="str">
        <f t="shared" si="11"/>
        <v>SME081</v>
      </c>
      <c r="K309" s="92"/>
    </row>
    <row r="310" customHeight="1" spans="1:11">
      <c r="A310" s="119">
        <v>82</v>
      </c>
      <c r="B310" s="72" t="s">
        <v>339</v>
      </c>
      <c r="C310" s="120" t="s">
        <v>37</v>
      </c>
      <c r="D310" s="121" t="s">
        <v>244</v>
      </c>
      <c r="E310" s="122">
        <v>10740.702</v>
      </c>
      <c r="F310" s="112" t="s">
        <v>244</v>
      </c>
      <c r="G310" s="123">
        <v>10740.702</v>
      </c>
      <c r="H310" s="107">
        <v>1</v>
      </c>
      <c r="I310" s="103">
        <v>1</v>
      </c>
      <c r="J310" s="91" t="str">
        <f t="shared" si="11"/>
        <v>SME082</v>
      </c>
      <c r="K310" s="92"/>
    </row>
    <row r="311" customHeight="1" spans="1:11">
      <c r="A311" s="119">
        <v>83</v>
      </c>
      <c r="B311" s="22" t="s">
        <v>39</v>
      </c>
      <c r="C311" s="120" t="s">
        <v>37</v>
      </c>
      <c r="D311" s="121" t="s">
        <v>244</v>
      </c>
      <c r="E311" s="122">
        <v>28000</v>
      </c>
      <c r="F311" s="112" t="s">
        <v>261</v>
      </c>
      <c r="G311" s="123">
        <v>1.4</v>
      </c>
      <c r="H311" s="107">
        <v>200</v>
      </c>
      <c r="I311" s="103">
        <v>100</v>
      </c>
      <c r="J311" s="91" t="str">
        <f t="shared" si="11"/>
        <v>SME083</v>
      </c>
      <c r="K311" s="92"/>
    </row>
    <row r="312" customHeight="1" spans="1:11">
      <c r="A312" s="119">
        <v>84</v>
      </c>
      <c r="B312" s="22" t="s">
        <v>40</v>
      </c>
      <c r="C312" s="120" t="s">
        <v>37</v>
      </c>
      <c r="D312" s="121" t="s">
        <v>244</v>
      </c>
      <c r="E312" s="122">
        <v>20000</v>
      </c>
      <c r="F312" s="112" t="s">
        <v>261</v>
      </c>
      <c r="G312" s="123">
        <v>1</v>
      </c>
      <c r="H312" s="107">
        <v>200</v>
      </c>
      <c r="I312" s="103">
        <v>100</v>
      </c>
      <c r="J312" s="91" t="str">
        <f t="shared" si="11"/>
        <v>SME084</v>
      </c>
      <c r="K312" s="92"/>
    </row>
    <row r="313" customHeight="1" spans="1:11">
      <c r="A313" s="119">
        <v>128</v>
      </c>
      <c r="B313" s="124" t="s">
        <v>340</v>
      </c>
      <c r="C313" s="120" t="s">
        <v>37</v>
      </c>
      <c r="D313" s="121" t="s">
        <v>244</v>
      </c>
      <c r="E313" s="122"/>
      <c r="F313" s="112" t="s">
        <v>245</v>
      </c>
      <c r="G313" s="123"/>
      <c r="H313" s="107">
        <v>1</v>
      </c>
      <c r="I313" s="103">
        <v>100</v>
      </c>
      <c r="J313" s="91" t="str">
        <f t="shared" si="11"/>
        <v>SME128</v>
      </c>
      <c r="K313" s="92"/>
    </row>
    <row r="314" customHeight="1" spans="1:11">
      <c r="A314" s="119">
        <v>128</v>
      </c>
      <c r="B314" s="124" t="s">
        <v>341</v>
      </c>
      <c r="C314" s="120" t="s">
        <v>37</v>
      </c>
      <c r="D314" s="121" t="s">
        <v>244</v>
      </c>
      <c r="E314" s="122"/>
      <c r="F314" s="112" t="s">
        <v>245</v>
      </c>
      <c r="G314" s="123"/>
      <c r="H314" s="107">
        <v>1</v>
      </c>
      <c r="I314" s="103">
        <v>100</v>
      </c>
      <c r="J314" s="91" t="str">
        <f t="shared" si="11"/>
        <v>SME128</v>
      </c>
      <c r="K314" s="92"/>
    </row>
    <row r="315" customHeight="1" spans="1:11">
      <c r="A315" s="119">
        <v>128</v>
      </c>
      <c r="B315" s="124" t="s">
        <v>342</v>
      </c>
      <c r="C315" s="120" t="s">
        <v>37</v>
      </c>
      <c r="D315" s="121" t="s">
        <v>244</v>
      </c>
      <c r="E315" s="122"/>
      <c r="F315" s="112" t="s">
        <v>245</v>
      </c>
      <c r="G315" s="123"/>
      <c r="H315" s="107">
        <v>1</v>
      </c>
      <c r="I315" s="103">
        <v>100</v>
      </c>
      <c r="J315" s="91" t="str">
        <f t="shared" si="11"/>
        <v>SME128</v>
      </c>
      <c r="K315" s="92"/>
    </row>
    <row r="316" customHeight="1" spans="1:11">
      <c r="A316" s="119">
        <v>128</v>
      </c>
      <c r="B316" s="124" t="s">
        <v>343</v>
      </c>
      <c r="C316" s="120" t="s">
        <v>37</v>
      </c>
      <c r="D316" s="121" t="s">
        <v>244</v>
      </c>
      <c r="E316" s="122"/>
      <c r="F316" s="112" t="s">
        <v>245</v>
      </c>
      <c r="G316" s="123"/>
      <c r="H316" s="107">
        <v>1</v>
      </c>
      <c r="I316" s="103">
        <v>100</v>
      </c>
      <c r="J316" s="91" t="str">
        <f t="shared" si="11"/>
        <v>SME128</v>
      </c>
      <c r="K316" s="92"/>
    </row>
    <row r="317" customHeight="1" spans="1:11">
      <c r="A317" s="119">
        <v>85</v>
      </c>
      <c r="B317" s="111" t="s">
        <v>344</v>
      </c>
      <c r="C317" s="120" t="s">
        <v>37</v>
      </c>
      <c r="D317" s="121" t="s">
        <v>244</v>
      </c>
      <c r="E317" s="122">
        <v>7000</v>
      </c>
      <c r="F317" s="112" t="s">
        <v>345</v>
      </c>
      <c r="G317" s="123">
        <v>7000</v>
      </c>
      <c r="H317" s="107">
        <v>1</v>
      </c>
      <c r="I317" s="103">
        <v>1</v>
      </c>
      <c r="J317" s="91" t="str">
        <f t="shared" si="11"/>
        <v>SME085</v>
      </c>
      <c r="K317" s="92"/>
    </row>
    <row r="318" customHeight="1" spans="1:11">
      <c r="A318" s="119">
        <v>128</v>
      </c>
      <c r="B318" s="124" t="s">
        <v>346</v>
      </c>
      <c r="C318" s="120" t="s">
        <v>37</v>
      </c>
      <c r="D318" s="121" t="s">
        <v>244</v>
      </c>
      <c r="E318" s="122"/>
      <c r="F318" s="112" t="s">
        <v>245</v>
      </c>
      <c r="G318" s="123"/>
      <c r="H318" s="107">
        <v>1</v>
      </c>
      <c r="I318" s="103">
        <v>100</v>
      </c>
      <c r="J318" s="91" t="str">
        <f t="shared" si="11"/>
        <v>SME128</v>
      </c>
      <c r="K318" s="92"/>
    </row>
    <row r="319" customHeight="1" spans="1:11">
      <c r="A319" s="119">
        <v>128</v>
      </c>
      <c r="B319" s="124" t="s">
        <v>347</v>
      </c>
      <c r="C319" s="120" t="s">
        <v>37</v>
      </c>
      <c r="D319" s="121" t="s">
        <v>244</v>
      </c>
      <c r="E319" s="122"/>
      <c r="F319" s="112" t="s">
        <v>245</v>
      </c>
      <c r="G319" s="123"/>
      <c r="H319" s="107">
        <v>1</v>
      </c>
      <c r="I319" s="103">
        <v>100</v>
      </c>
      <c r="J319" s="91" t="str">
        <f t="shared" si="11"/>
        <v>SME128</v>
      </c>
      <c r="K319" s="92"/>
    </row>
    <row r="320" customHeight="1" spans="1:11">
      <c r="A320" s="119">
        <v>128</v>
      </c>
      <c r="B320" s="124" t="s">
        <v>348</v>
      </c>
      <c r="C320" s="120" t="s">
        <v>37</v>
      </c>
      <c r="D320" s="121" t="s">
        <v>244</v>
      </c>
      <c r="E320" s="122"/>
      <c r="F320" s="112" t="s">
        <v>245</v>
      </c>
      <c r="G320" s="123"/>
      <c r="H320" s="107">
        <v>1</v>
      </c>
      <c r="I320" s="103">
        <v>100</v>
      </c>
      <c r="J320" s="91" t="str">
        <f t="shared" si="11"/>
        <v>SME128</v>
      </c>
      <c r="K320" s="92"/>
    </row>
    <row r="321" customHeight="1" spans="1:11">
      <c r="A321" s="119">
        <v>128</v>
      </c>
      <c r="B321" s="124" t="s">
        <v>349</v>
      </c>
      <c r="C321" s="120" t="s">
        <v>37</v>
      </c>
      <c r="D321" s="121" t="s">
        <v>244</v>
      </c>
      <c r="E321" s="122"/>
      <c r="F321" s="112" t="s">
        <v>245</v>
      </c>
      <c r="G321" s="123"/>
      <c r="H321" s="107">
        <v>1</v>
      </c>
      <c r="I321" s="103">
        <v>100</v>
      </c>
      <c r="J321" s="91" t="str">
        <f t="shared" si="11"/>
        <v>SME128</v>
      </c>
      <c r="K321" s="92"/>
    </row>
    <row r="322" customHeight="1" spans="1:11">
      <c r="A322" s="119">
        <v>128</v>
      </c>
      <c r="B322" s="124" t="s">
        <v>350</v>
      </c>
      <c r="C322" s="120" t="s">
        <v>37</v>
      </c>
      <c r="D322" s="121" t="s">
        <v>244</v>
      </c>
      <c r="E322" s="122"/>
      <c r="F322" s="112" t="s">
        <v>245</v>
      </c>
      <c r="G322" s="123"/>
      <c r="H322" s="107">
        <v>1</v>
      </c>
      <c r="I322" s="103">
        <v>100</v>
      </c>
      <c r="J322" s="91" t="str">
        <f t="shared" si="11"/>
        <v>SME128</v>
      </c>
      <c r="K322" s="92"/>
    </row>
    <row r="323" customHeight="1" spans="1:11">
      <c r="A323" s="119">
        <v>128</v>
      </c>
      <c r="B323" s="124" t="s">
        <v>351</v>
      </c>
      <c r="C323" s="120" t="s">
        <v>37</v>
      </c>
      <c r="D323" s="121" t="s">
        <v>244</v>
      </c>
      <c r="E323" s="122"/>
      <c r="F323" s="112" t="s">
        <v>245</v>
      </c>
      <c r="G323" s="123"/>
      <c r="H323" s="107">
        <v>1</v>
      </c>
      <c r="I323" s="103">
        <v>100</v>
      </c>
      <c r="J323" s="91" t="str">
        <f t="shared" si="11"/>
        <v>SME128</v>
      </c>
      <c r="K323" s="92"/>
    </row>
    <row r="324" customHeight="1" spans="1:11">
      <c r="A324" s="119">
        <v>128</v>
      </c>
      <c r="B324" s="124" t="s">
        <v>352</v>
      </c>
      <c r="C324" s="120" t="s">
        <v>37</v>
      </c>
      <c r="D324" s="121" t="s">
        <v>244</v>
      </c>
      <c r="E324" s="122"/>
      <c r="F324" s="112" t="s">
        <v>245</v>
      </c>
      <c r="G324" s="123"/>
      <c r="H324" s="107">
        <v>1</v>
      </c>
      <c r="I324" s="103">
        <v>100</v>
      </c>
      <c r="J324" s="91" t="str">
        <f t="shared" si="11"/>
        <v>SME128</v>
      </c>
      <c r="K324" s="92"/>
    </row>
    <row r="325" customHeight="1" spans="1:11">
      <c r="A325" s="119">
        <v>86</v>
      </c>
      <c r="B325" s="111" t="s">
        <v>353</v>
      </c>
      <c r="C325" s="120" t="s">
        <v>37</v>
      </c>
      <c r="D325" s="121" t="s">
        <v>258</v>
      </c>
      <c r="E325" s="122">
        <v>12000</v>
      </c>
      <c r="F325" s="112" t="s">
        <v>345</v>
      </c>
      <c r="G325" s="123">
        <v>12000</v>
      </c>
      <c r="H325" s="107">
        <v>1</v>
      </c>
      <c r="I325" s="103">
        <v>1</v>
      </c>
      <c r="J325" s="91" t="str">
        <f t="shared" si="11"/>
        <v>SME086</v>
      </c>
      <c r="K325" s="92"/>
    </row>
    <row r="326" customHeight="1" spans="1:11">
      <c r="A326" s="119">
        <v>87</v>
      </c>
      <c r="B326" s="111" t="s">
        <v>354</v>
      </c>
      <c r="C326" s="120" t="s">
        <v>37</v>
      </c>
      <c r="D326" s="121" t="s">
        <v>115</v>
      </c>
      <c r="E326" s="122">
        <v>7266.66666666667</v>
      </c>
      <c r="F326" s="112" t="s">
        <v>345</v>
      </c>
      <c r="G326" s="123">
        <v>7266.66666666667</v>
      </c>
      <c r="H326" s="107">
        <v>1</v>
      </c>
      <c r="I326" s="103">
        <v>1</v>
      </c>
      <c r="J326" s="91" t="str">
        <f t="shared" si="11"/>
        <v>SME087</v>
      </c>
      <c r="K326" s="92"/>
    </row>
    <row r="327" customHeight="1" spans="1:11">
      <c r="A327" s="119">
        <v>88</v>
      </c>
      <c r="B327" s="111" t="s">
        <v>355</v>
      </c>
      <c r="C327" s="120" t="s">
        <v>37</v>
      </c>
      <c r="D327" s="121" t="s">
        <v>115</v>
      </c>
      <c r="E327" s="122">
        <v>7266.66666666667</v>
      </c>
      <c r="F327" s="112" t="s">
        <v>345</v>
      </c>
      <c r="G327" s="123">
        <v>7266.66666666667</v>
      </c>
      <c r="H327" s="107">
        <v>1</v>
      </c>
      <c r="I327" s="103">
        <v>1</v>
      </c>
      <c r="J327" s="91" t="str">
        <f t="shared" si="11"/>
        <v>SME088</v>
      </c>
      <c r="K327" s="92"/>
    </row>
    <row r="328" customHeight="1" spans="1:11">
      <c r="A328" s="119">
        <v>89</v>
      </c>
      <c r="B328" s="111" t="s">
        <v>356</v>
      </c>
      <c r="C328" s="120" t="s">
        <v>37</v>
      </c>
      <c r="D328" s="121" t="s">
        <v>115</v>
      </c>
      <c r="E328" s="122">
        <v>7266.665</v>
      </c>
      <c r="F328" s="112" t="s">
        <v>345</v>
      </c>
      <c r="G328" s="123">
        <v>7266.665</v>
      </c>
      <c r="H328" s="107">
        <v>1</v>
      </c>
      <c r="I328" s="103">
        <v>1</v>
      </c>
      <c r="J328" s="91" t="str">
        <f t="shared" si="11"/>
        <v>SME089</v>
      </c>
      <c r="K328" s="92"/>
    </row>
    <row r="329" customHeight="1" spans="1:11">
      <c r="A329" s="119">
        <v>90</v>
      </c>
      <c r="B329" s="111" t="s">
        <v>357</v>
      </c>
      <c r="C329" s="120" t="s">
        <v>37</v>
      </c>
      <c r="D329" s="121" t="s">
        <v>258</v>
      </c>
      <c r="E329" s="122">
        <v>5000</v>
      </c>
      <c r="F329" s="112" t="s">
        <v>345</v>
      </c>
      <c r="G329" s="123">
        <v>5000</v>
      </c>
      <c r="H329" s="107">
        <v>1</v>
      </c>
      <c r="I329" s="103">
        <v>1</v>
      </c>
      <c r="J329" s="91" t="str">
        <f t="shared" si="11"/>
        <v>SME090</v>
      </c>
      <c r="K329" s="92"/>
    </row>
    <row r="330" customHeight="1" spans="1:11">
      <c r="A330" s="119">
        <v>128</v>
      </c>
      <c r="B330" s="124" t="s">
        <v>358</v>
      </c>
      <c r="C330" s="120" t="s">
        <v>37</v>
      </c>
      <c r="D330" s="121" t="s">
        <v>244</v>
      </c>
      <c r="E330" s="122"/>
      <c r="F330" s="112" t="s">
        <v>245</v>
      </c>
      <c r="G330" s="123"/>
      <c r="H330" s="107">
        <v>1</v>
      </c>
      <c r="I330" s="103">
        <v>100</v>
      </c>
      <c r="J330" s="91" t="str">
        <f t="shared" si="11"/>
        <v>SME128</v>
      </c>
      <c r="K330" s="92"/>
    </row>
    <row r="331" customHeight="1" spans="1:11">
      <c r="A331" s="119">
        <v>128</v>
      </c>
      <c r="B331" s="124" t="s">
        <v>359</v>
      </c>
      <c r="C331" s="120" t="s">
        <v>37</v>
      </c>
      <c r="D331" s="121" t="s">
        <v>244</v>
      </c>
      <c r="E331" s="122"/>
      <c r="F331" s="112" t="s">
        <v>245</v>
      </c>
      <c r="G331" s="123"/>
      <c r="H331" s="107">
        <v>1</v>
      </c>
      <c r="I331" s="103">
        <v>100</v>
      </c>
      <c r="J331" s="91" t="str">
        <f t="shared" si="11"/>
        <v>SME128</v>
      </c>
      <c r="K331" s="92"/>
    </row>
    <row r="332" customHeight="1" spans="1:11">
      <c r="A332" s="119">
        <v>128</v>
      </c>
      <c r="B332" s="124" t="s">
        <v>360</v>
      </c>
      <c r="C332" s="120" t="s">
        <v>37</v>
      </c>
      <c r="D332" s="121" t="s">
        <v>244</v>
      </c>
      <c r="E332" s="122"/>
      <c r="F332" s="112" t="s">
        <v>245</v>
      </c>
      <c r="G332" s="123"/>
      <c r="H332" s="107">
        <v>1</v>
      </c>
      <c r="I332" s="103">
        <v>100</v>
      </c>
      <c r="J332" s="91" t="str">
        <f t="shared" si="11"/>
        <v>SME128</v>
      </c>
      <c r="K332" s="92"/>
    </row>
    <row r="333" customHeight="1" spans="1:11">
      <c r="A333" s="119">
        <v>128</v>
      </c>
      <c r="B333" s="124" t="s">
        <v>361</v>
      </c>
      <c r="C333" s="120" t="s">
        <v>37</v>
      </c>
      <c r="D333" s="121" t="s">
        <v>244</v>
      </c>
      <c r="E333" s="122"/>
      <c r="F333" s="112" t="s">
        <v>245</v>
      </c>
      <c r="G333" s="123"/>
      <c r="H333" s="107">
        <v>1</v>
      </c>
      <c r="I333" s="103">
        <v>100</v>
      </c>
      <c r="J333" s="91" t="str">
        <f t="shared" si="11"/>
        <v>SME128</v>
      </c>
      <c r="K333" s="92"/>
    </row>
    <row r="334" customHeight="1" spans="1:11">
      <c r="A334" s="119">
        <v>128</v>
      </c>
      <c r="B334" s="124" t="s">
        <v>362</v>
      </c>
      <c r="C334" s="120" t="s">
        <v>37</v>
      </c>
      <c r="D334" s="121" t="s">
        <v>244</v>
      </c>
      <c r="E334" s="122"/>
      <c r="F334" s="112" t="s">
        <v>245</v>
      </c>
      <c r="G334" s="123"/>
      <c r="H334" s="107">
        <v>1</v>
      </c>
      <c r="I334" s="103">
        <v>100</v>
      </c>
      <c r="J334" s="91" t="str">
        <f t="shared" si="11"/>
        <v>SME128</v>
      </c>
      <c r="K334" s="92"/>
    </row>
    <row r="335" customHeight="1" spans="1:11">
      <c r="A335" s="119">
        <v>128</v>
      </c>
      <c r="B335" s="124" t="s">
        <v>363</v>
      </c>
      <c r="C335" s="120" t="s">
        <v>37</v>
      </c>
      <c r="D335" s="121" t="s">
        <v>244</v>
      </c>
      <c r="E335" s="122"/>
      <c r="F335" s="112" t="s">
        <v>245</v>
      </c>
      <c r="G335" s="123"/>
      <c r="H335" s="107">
        <v>1</v>
      </c>
      <c r="I335" s="103">
        <v>100</v>
      </c>
      <c r="J335" s="91" t="str">
        <f t="shared" si="11"/>
        <v>SME128</v>
      </c>
      <c r="K335" s="92"/>
    </row>
    <row r="336" customHeight="1" spans="1:11">
      <c r="A336" s="119">
        <v>128</v>
      </c>
      <c r="B336" s="124" t="s">
        <v>364</v>
      </c>
      <c r="C336" s="120" t="s">
        <v>37</v>
      </c>
      <c r="D336" s="121" t="s">
        <v>244</v>
      </c>
      <c r="E336" s="122"/>
      <c r="F336" s="112" t="s">
        <v>245</v>
      </c>
      <c r="G336" s="123"/>
      <c r="H336" s="107">
        <v>1</v>
      </c>
      <c r="I336" s="103">
        <v>100</v>
      </c>
      <c r="J336" s="91" t="str">
        <f t="shared" si="11"/>
        <v>SME128</v>
      </c>
      <c r="K336" s="92"/>
    </row>
    <row r="337" customHeight="1" spans="1:11">
      <c r="A337" s="119">
        <v>128</v>
      </c>
      <c r="B337" s="124" t="s">
        <v>365</v>
      </c>
      <c r="C337" s="120" t="s">
        <v>37</v>
      </c>
      <c r="D337" s="121" t="s">
        <v>244</v>
      </c>
      <c r="E337" s="122"/>
      <c r="F337" s="112" t="s">
        <v>245</v>
      </c>
      <c r="G337" s="123"/>
      <c r="H337" s="107">
        <v>1</v>
      </c>
      <c r="I337" s="103">
        <v>100</v>
      </c>
      <c r="J337" s="91" t="str">
        <f t="shared" si="11"/>
        <v>SME128</v>
      </c>
      <c r="K337" s="92"/>
    </row>
    <row r="338" customHeight="1" spans="1:11">
      <c r="A338" s="119">
        <v>128</v>
      </c>
      <c r="B338" s="124" t="s">
        <v>366</v>
      </c>
      <c r="C338" s="120" t="s">
        <v>37</v>
      </c>
      <c r="D338" s="121" t="s">
        <v>244</v>
      </c>
      <c r="E338" s="122"/>
      <c r="F338" s="112" t="s">
        <v>245</v>
      </c>
      <c r="G338" s="123"/>
      <c r="H338" s="107">
        <v>1</v>
      </c>
      <c r="I338" s="103">
        <v>100</v>
      </c>
      <c r="J338" s="91" t="str">
        <f t="shared" si="11"/>
        <v>SME128</v>
      </c>
      <c r="K338" s="92"/>
    </row>
    <row r="339" customHeight="1" spans="1:11">
      <c r="A339" s="119">
        <v>128</v>
      </c>
      <c r="B339" s="124" t="s">
        <v>367</v>
      </c>
      <c r="C339" s="120" t="s">
        <v>37</v>
      </c>
      <c r="D339" s="121" t="s">
        <v>244</v>
      </c>
      <c r="E339" s="122"/>
      <c r="F339" s="112" t="s">
        <v>245</v>
      </c>
      <c r="G339" s="123"/>
      <c r="H339" s="107">
        <v>1</v>
      </c>
      <c r="I339" s="103">
        <v>100</v>
      </c>
      <c r="J339" s="91" t="str">
        <f t="shared" si="11"/>
        <v>SME128</v>
      </c>
      <c r="K339" s="92"/>
    </row>
    <row r="340" customHeight="1" spans="1:11">
      <c r="A340" s="119">
        <v>128</v>
      </c>
      <c r="B340" s="124" t="s">
        <v>368</v>
      </c>
      <c r="C340" s="120" t="s">
        <v>37</v>
      </c>
      <c r="D340" s="121" t="s">
        <v>244</v>
      </c>
      <c r="E340" s="122"/>
      <c r="F340" s="112" t="s">
        <v>245</v>
      </c>
      <c r="G340" s="123"/>
      <c r="H340" s="107">
        <v>1</v>
      </c>
      <c r="I340" s="103">
        <v>100</v>
      </c>
      <c r="J340" s="91" t="str">
        <f t="shared" si="11"/>
        <v>SME128</v>
      </c>
      <c r="K340" s="92"/>
    </row>
    <row r="341" customHeight="1" spans="1:11">
      <c r="A341" s="119">
        <v>128</v>
      </c>
      <c r="B341" s="124" t="s">
        <v>369</v>
      </c>
      <c r="C341" s="120" t="s">
        <v>37</v>
      </c>
      <c r="D341" s="121" t="s">
        <v>244</v>
      </c>
      <c r="E341" s="122"/>
      <c r="F341" s="112" t="s">
        <v>245</v>
      </c>
      <c r="G341" s="123"/>
      <c r="H341" s="107">
        <v>1</v>
      </c>
      <c r="I341" s="103">
        <v>100</v>
      </c>
      <c r="J341" s="91" t="str">
        <f t="shared" si="11"/>
        <v>SME128</v>
      </c>
      <c r="K341" s="92"/>
    </row>
    <row r="342" customHeight="1" spans="1:11">
      <c r="A342" s="119">
        <v>128</v>
      </c>
      <c r="B342" s="124" t="s">
        <v>370</v>
      </c>
      <c r="C342" s="120" t="s">
        <v>37</v>
      </c>
      <c r="D342" s="121" t="s">
        <v>244</v>
      </c>
      <c r="E342" s="64"/>
      <c r="F342" s="112" t="s">
        <v>245</v>
      </c>
      <c r="G342" s="101"/>
      <c r="H342" s="107">
        <v>1</v>
      </c>
      <c r="I342" s="67">
        <v>100</v>
      </c>
      <c r="J342" s="91" t="str">
        <f t="shared" si="11"/>
        <v>SME128</v>
      </c>
      <c r="K342" s="92"/>
    </row>
    <row r="343" customHeight="1" spans="1:11">
      <c r="A343" s="119">
        <v>128</v>
      </c>
      <c r="B343" s="124" t="s">
        <v>371</v>
      </c>
      <c r="C343" s="120" t="s">
        <v>37</v>
      </c>
      <c r="D343" s="121" t="s">
        <v>244</v>
      </c>
      <c r="E343" s="122"/>
      <c r="F343" s="112" t="s">
        <v>245</v>
      </c>
      <c r="G343" s="123"/>
      <c r="H343" s="107">
        <v>1</v>
      </c>
      <c r="I343" s="67">
        <v>100</v>
      </c>
      <c r="J343" s="91" t="str">
        <f t="shared" si="11"/>
        <v>SME128</v>
      </c>
      <c r="K343" s="92"/>
    </row>
    <row r="344" customHeight="1" spans="1:11">
      <c r="A344" s="119">
        <v>128</v>
      </c>
      <c r="B344" s="124" t="s">
        <v>372</v>
      </c>
      <c r="C344" s="120" t="s">
        <v>37</v>
      </c>
      <c r="D344" s="121" t="s">
        <v>244</v>
      </c>
      <c r="E344" s="122"/>
      <c r="F344" s="112" t="s">
        <v>245</v>
      </c>
      <c r="G344" s="123"/>
      <c r="H344" s="107">
        <v>1</v>
      </c>
      <c r="I344" s="67">
        <v>100</v>
      </c>
      <c r="J344" s="91" t="str">
        <f t="shared" si="11"/>
        <v>SME128</v>
      </c>
      <c r="K344" s="92"/>
    </row>
    <row r="345" customHeight="1" spans="1:11">
      <c r="A345" s="119">
        <v>128</v>
      </c>
      <c r="B345" s="124" t="s">
        <v>373</v>
      </c>
      <c r="C345" s="120" t="s">
        <v>37</v>
      </c>
      <c r="D345" s="121" t="s">
        <v>244</v>
      </c>
      <c r="E345" s="122"/>
      <c r="F345" s="112" t="s">
        <v>245</v>
      </c>
      <c r="G345" s="123"/>
      <c r="H345" s="107">
        <v>1</v>
      </c>
      <c r="I345" s="67">
        <v>100</v>
      </c>
      <c r="J345" s="91" t="str">
        <f t="shared" ref="J345:J408" si="12">CONCATENATE(LEFT(C345,1),MID(C345,SEARCH("_",C345)+1,2),TEXT(A345,"000"))</f>
        <v>SME128</v>
      </c>
      <c r="K345" s="92"/>
    </row>
    <row r="346" customHeight="1" spans="1:11">
      <c r="A346" s="119">
        <v>128</v>
      </c>
      <c r="B346" s="124" t="s">
        <v>374</v>
      </c>
      <c r="C346" s="120" t="s">
        <v>37</v>
      </c>
      <c r="D346" s="121" t="s">
        <v>244</v>
      </c>
      <c r="E346" s="122"/>
      <c r="F346" s="112" t="s">
        <v>245</v>
      </c>
      <c r="G346" s="123"/>
      <c r="H346" s="107">
        <v>1</v>
      </c>
      <c r="I346" s="67">
        <v>100</v>
      </c>
      <c r="J346" s="91" t="str">
        <f t="shared" si="12"/>
        <v>SME128</v>
      </c>
      <c r="K346" s="92"/>
    </row>
    <row r="347" customHeight="1" spans="1:11">
      <c r="A347" s="119">
        <v>128</v>
      </c>
      <c r="B347" s="124" t="s">
        <v>375</v>
      </c>
      <c r="C347" s="120" t="s">
        <v>37</v>
      </c>
      <c r="D347" s="121" t="s">
        <v>244</v>
      </c>
      <c r="E347" s="122"/>
      <c r="F347" s="112" t="s">
        <v>245</v>
      </c>
      <c r="G347" s="123"/>
      <c r="H347" s="107">
        <v>1</v>
      </c>
      <c r="I347" s="67">
        <v>100</v>
      </c>
      <c r="J347" s="91" t="str">
        <f t="shared" si="12"/>
        <v>SME128</v>
      </c>
      <c r="K347" s="92"/>
    </row>
    <row r="348" customHeight="1" spans="1:11">
      <c r="A348" s="119">
        <v>128</v>
      </c>
      <c r="B348" s="124" t="s">
        <v>376</v>
      </c>
      <c r="C348" s="120" t="s">
        <v>37</v>
      </c>
      <c r="D348" s="121" t="s">
        <v>244</v>
      </c>
      <c r="E348" s="122"/>
      <c r="F348" s="112" t="s">
        <v>245</v>
      </c>
      <c r="G348" s="123"/>
      <c r="H348" s="107">
        <v>1</v>
      </c>
      <c r="I348" s="67">
        <v>100</v>
      </c>
      <c r="J348" s="91" t="str">
        <f t="shared" si="12"/>
        <v>SME128</v>
      </c>
      <c r="K348" s="92"/>
    </row>
    <row r="349" customHeight="1" spans="1:11">
      <c r="A349" s="119">
        <v>91</v>
      </c>
      <c r="B349" s="111" t="s">
        <v>377</v>
      </c>
      <c r="C349" s="120" t="s">
        <v>37</v>
      </c>
      <c r="D349" s="121" t="s">
        <v>244</v>
      </c>
      <c r="E349" s="122">
        <v>7183</v>
      </c>
      <c r="F349" s="112" t="s">
        <v>261</v>
      </c>
      <c r="G349" s="123">
        <v>0.478866666666667</v>
      </c>
      <c r="H349" s="107">
        <v>150</v>
      </c>
      <c r="I349" s="67">
        <v>100</v>
      </c>
      <c r="J349" s="91" t="str">
        <f t="shared" si="12"/>
        <v>SME091</v>
      </c>
      <c r="K349" s="92"/>
    </row>
    <row r="350" customHeight="1" spans="1:11">
      <c r="A350" s="119">
        <v>92</v>
      </c>
      <c r="B350" s="111" t="s">
        <v>378</v>
      </c>
      <c r="C350" s="120" t="s">
        <v>37</v>
      </c>
      <c r="D350" s="121" t="s">
        <v>244</v>
      </c>
      <c r="E350" s="122">
        <v>10597</v>
      </c>
      <c r="F350" s="112" t="s">
        <v>261</v>
      </c>
      <c r="G350" s="123">
        <v>0.706466666666667</v>
      </c>
      <c r="H350" s="107">
        <v>150</v>
      </c>
      <c r="I350" s="67">
        <v>100</v>
      </c>
      <c r="J350" s="91" t="str">
        <f t="shared" si="12"/>
        <v>SME092</v>
      </c>
      <c r="K350" s="92"/>
    </row>
    <row r="351" customHeight="1" spans="1:11">
      <c r="A351" s="119">
        <v>128</v>
      </c>
      <c r="B351" s="124" t="s">
        <v>379</v>
      </c>
      <c r="C351" s="120" t="s">
        <v>37</v>
      </c>
      <c r="D351" s="121" t="s">
        <v>244</v>
      </c>
      <c r="E351" s="122"/>
      <c r="F351" s="112" t="s">
        <v>245</v>
      </c>
      <c r="G351" s="123"/>
      <c r="H351" s="107">
        <v>1</v>
      </c>
      <c r="I351" s="67">
        <v>100</v>
      </c>
      <c r="J351" s="91" t="str">
        <f t="shared" si="12"/>
        <v>SME128</v>
      </c>
      <c r="K351" s="92"/>
    </row>
    <row r="352" customHeight="1" spans="1:11">
      <c r="A352" s="119">
        <v>128</v>
      </c>
      <c r="B352" s="124" t="s">
        <v>380</v>
      </c>
      <c r="C352" s="120" t="s">
        <v>37</v>
      </c>
      <c r="D352" s="121" t="s">
        <v>244</v>
      </c>
      <c r="E352" s="122"/>
      <c r="F352" s="112" t="s">
        <v>245</v>
      </c>
      <c r="G352" s="123"/>
      <c r="H352" s="107">
        <v>1</v>
      </c>
      <c r="I352" s="67">
        <v>100</v>
      </c>
      <c r="J352" s="91" t="str">
        <f t="shared" si="12"/>
        <v>SME128</v>
      </c>
      <c r="K352" s="92"/>
    </row>
    <row r="353" customHeight="1" spans="1:11">
      <c r="A353" s="119">
        <v>93</v>
      </c>
      <c r="B353" s="111" t="s">
        <v>381</v>
      </c>
      <c r="C353" s="120" t="s">
        <v>37</v>
      </c>
      <c r="D353" s="121" t="s">
        <v>115</v>
      </c>
      <c r="E353" s="122">
        <v>2866.66666666667</v>
      </c>
      <c r="F353" s="112" t="s">
        <v>115</v>
      </c>
      <c r="G353" s="123">
        <v>2866.66666666667</v>
      </c>
      <c r="H353" s="107">
        <v>1</v>
      </c>
      <c r="I353" s="67">
        <v>1</v>
      </c>
      <c r="J353" s="91" t="str">
        <f t="shared" si="12"/>
        <v>SME093</v>
      </c>
      <c r="K353" s="92"/>
    </row>
    <row r="354" customHeight="1" spans="1:11">
      <c r="A354" s="119">
        <v>94</v>
      </c>
      <c r="B354" s="111" t="s">
        <v>382</v>
      </c>
      <c r="C354" s="120" t="s">
        <v>37</v>
      </c>
      <c r="D354" s="121" t="s">
        <v>115</v>
      </c>
      <c r="E354" s="122">
        <v>2866.66666666667</v>
      </c>
      <c r="F354" s="112" t="s">
        <v>115</v>
      </c>
      <c r="G354" s="123">
        <v>2866.66666666667</v>
      </c>
      <c r="H354" s="107">
        <v>1</v>
      </c>
      <c r="I354" s="67">
        <v>1</v>
      </c>
      <c r="J354" s="91" t="str">
        <f t="shared" si="12"/>
        <v>SME094</v>
      </c>
      <c r="K354" s="92"/>
    </row>
    <row r="355" customHeight="1" spans="1:11">
      <c r="A355" s="119">
        <v>128</v>
      </c>
      <c r="B355" s="124" t="s">
        <v>383</v>
      </c>
      <c r="C355" s="120" t="s">
        <v>37</v>
      </c>
      <c r="D355" s="121" t="s">
        <v>244</v>
      </c>
      <c r="E355" s="122"/>
      <c r="F355" s="112" t="s">
        <v>245</v>
      </c>
      <c r="G355" s="123"/>
      <c r="H355" s="107">
        <v>1</v>
      </c>
      <c r="I355" s="67">
        <v>100</v>
      </c>
      <c r="J355" s="91" t="str">
        <f t="shared" si="12"/>
        <v>SME128</v>
      </c>
      <c r="K355" s="92"/>
    </row>
    <row r="356" customHeight="1" spans="1:11">
      <c r="A356" s="119">
        <v>128</v>
      </c>
      <c r="B356" s="124" t="s">
        <v>384</v>
      </c>
      <c r="C356" s="120" t="s">
        <v>37</v>
      </c>
      <c r="D356" s="121" t="s">
        <v>244</v>
      </c>
      <c r="E356" s="122"/>
      <c r="F356" s="112" t="s">
        <v>245</v>
      </c>
      <c r="G356" s="123"/>
      <c r="H356" s="107">
        <v>1</v>
      </c>
      <c r="I356" s="67">
        <v>100</v>
      </c>
      <c r="J356" s="91" t="str">
        <f t="shared" si="12"/>
        <v>SME128</v>
      </c>
      <c r="K356" s="92"/>
    </row>
    <row r="357" customHeight="1" spans="1:11">
      <c r="A357" s="119">
        <v>128</v>
      </c>
      <c r="B357" s="124" t="s">
        <v>384</v>
      </c>
      <c r="C357" s="120" t="s">
        <v>37</v>
      </c>
      <c r="D357" s="121" t="s">
        <v>244</v>
      </c>
      <c r="E357" s="122"/>
      <c r="F357" s="112" t="s">
        <v>245</v>
      </c>
      <c r="G357" s="123"/>
      <c r="H357" s="107">
        <v>1</v>
      </c>
      <c r="I357" s="67">
        <v>100</v>
      </c>
      <c r="J357" s="91" t="str">
        <f t="shared" si="12"/>
        <v>SME128</v>
      </c>
      <c r="K357" s="92"/>
    </row>
    <row r="358" customHeight="1" spans="1:11">
      <c r="A358" s="119">
        <v>128</v>
      </c>
      <c r="B358" s="124" t="s">
        <v>385</v>
      </c>
      <c r="C358" s="120" t="s">
        <v>37</v>
      </c>
      <c r="D358" s="121" t="s">
        <v>244</v>
      </c>
      <c r="E358" s="122"/>
      <c r="F358" s="112" t="s">
        <v>245</v>
      </c>
      <c r="G358" s="123"/>
      <c r="H358" s="107">
        <v>1</v>
      </c>
      <c r="I358" s="67">
        <v>100</v>
      </c>
      <c r="J358" s="91" t="str">
        <f t="shared" si="12"/>
        <v>SME128</v>
      </c>
      <c r="K358" s="92"/>
    </row>
    <row r="359" customHeight="1" spans="1:11">
      <c r="A359" s="119">
        <v>95</v>
      </c>
      <c r="B359" s="111" t="s">
        <v>386</v>
      </c>
      <c r="C359" s="120" t="s">
        <v>37</v>
      </c>
      <c r="D359" s="121" t="s">
        <v>261</v>
      </c>
      <c r="E359" s="122"/>
      <c r="F359" s="112" t="s">
        <v>261</v>
      </c>
      <c r="G359" s="123">
        <v>0</v>
      </c>
      <c r="H359" s="107">
        <v>100</v>
      </c>
      <c r="I359" s="67">
        <v>100</v>
      </c>
      <c r="J359" s="91" t="str">
        <f t="shared" si="12"/>
        <v>SME095</v>
      </c>
      <c r="K359" s="92"/>
    </row>
    <row r="360" customHeight="1" spans="1:11">
      <c r="A360" s="119">
        <v>96</v>
      </c>
      <c r="B360" s="111" t="s">
        <v>387</v>
      </c>
      <c r="C360" s="120" t="s">
        <v>37</v>
      </c>
      <c r="D360" s="121" t="s">
        <v>247</v>
      </c>
      <c r="E360" s="122">
        <v>8000</v>
      </c>
      <c r="F360" s="112" t="s">
        <v>261</v>
      </c>
      <c r="G360" s="123">
        <v>0.533333333333333</v>
      </c>
      <c r="H360" s="107">
        <v>150</v>
      </c>
      <c r="I360" s="67">
        <v>100</v>
      </c>
      <c r="J360" s="91" t="str">
        <f t="shared" si="12"/>
        <v>SME096</v>
      </c>
      <c r="K360" s="92"/>
    </row>
    <row r="361" customHeight="1" spans="1:11">
      <c r="A361" s="119">
        <v>97</v>
      </c>
      <c r="B361" s="111" t="s">
        <v>388</v>
      </c>
      <c r="C361" s="120" t="s">
        <v>37</v>
      </c>
      <c r="D361" s="121" t="s">
        <v>247</v>
      </c>
      <c r="E361" s="122">
        <v>10000</v>
      </c>
      <c r="F361" s="112" t="s">
        <v>261</v>
      </c>
      <c r="G361" s="123" t="s">
        <v>124</v>
      </c>
      <c r="H361" s="107">
        <v>150</v>
      </c>
      <c r="I361" s="67">
        <v>100</v>
      </c>
      <c r="J361" s="91" t="str">
        <f t="shared" si="12"/>
        <v>SME097</v>
      </c>
      <c r="K361" s="92"/>
    </row>
    <row r="362" customHeight="1" spans="1:11">
      <c r="A362" s="119">
        <v>98</v>
      </c>
      <c r="B362" s="111" t="s">
        <v>389</v>
      </c>
      <c r="C362" s="120" t="s">
        <v>37</v>
      </c>
      <c r="D362" s="121" t="s">
        <v>247</v>
      </c>
      <c r="E362" s="122">
        <v>10000</v>
      </c>
      <c r="F362" s="112" t="s">
        <v>261</v>
      </c>
      <c r="G362" s="123">
        <v>0.666666666666667</v>
      </c>
      <c r="H362" s="107">
        <v>150</v>
      </c>
      <c r="I362" s="67">
        <v>100</v>
      </c>
      <c r="J362" s="91" t="str">
        <f t="shared" si="12"/>
        <v>SME098</v>
      </c>
      <c r="K362" s="92"/>
    </row>
    <row r="363" customHeight="1" spans="1:11">
      <c r="A363" s="119">
        <v>128</v>
      </c>
      <c r="B363" s="124" t="s">
        <v>390</v>
      </c>
      <c r="C363" s="120" t="s">
        <v>37</v>
      </c>
      <c r="D363" s="121" t="s">
        <v>244</v>
      </c>
      <c r="E363" s="122"/>
      <c r="F363" s="112" t="s">
        <v>245</v>
      </c>
      <c r="G363" s="123"/>
      <c r="H363" s="107">
        <v>1</v>
      </c>
      <c r="I363" s="67">
        <v>100</v>
      </c>
      <c r="J363" s="91" t="str">
        <f t="shared" si="12"/>
        <v>SME128</v>
      </c>
      <c r="K363" s="92"/>
    </row>
    <row r="364" customHeight="1" spans="1:11">
      <c r="A364" s="119">
        <v>99</v>
      </c>
      <c r="B364" s="111" t="s">
        <v>391</v>
      </c>
      <c r="C364" s="120" t="s">
        <v>37</v>
      </c>
      <c r="D364" s="121" t="s">
        <v>261</v>
      </c>
      <c r="E364" s="122"/>
      <c r="F364" s="112" t="s">
        <v>261</v>
      </c>
      <c r="G364" s="123">
        <v>0</v>
      </c>
      <c r="H364" s="107">
        <v>100</v>
      </c>
      <c r="I364" s="67">
        <v>100</v>
      </c>
      <c r="J364" s="91" t="str">
        <f t="shared" si="12"/>
        <v>SME099</v>
      </c>
      <c r="K364" s="92"/>
    </row>
    <row r="365" customHeight="1" spans="1:11">
      <c r="A365" s="119">
        <v>128</v>
      </c>
      <c r="B365" s="124" t="s">
        <v>392</v>
      </c>
      <c r="C365" s="120" t="s">
        <v>37</v>
      </c>
      <c r="D365" s="121" t="s">
        <v>244</v>
      </c>
      <c r="E365" s="122"/>
      <c r="F365" s="112" t="s">
        <v>245</v>
      </c>
      <c r="G365" s="123"/>
      <c r="H365" s="107">
        <v>1</v>
      </c>
      <c r="I365" s="67">
        <v>100</v>
      </c>
      <c r="J365" s="91" t="str">
        <f t="shared" si="12"/>
        <v>SME128</v>
      </c>
      <c r="K365" s="92"/>
    </row>
    <row r="366" customHeight="1" spans="1:11">
      <c r="A366" s="119">
        <v>100</v>
      </c>
      <c r="B366" s="111" t="s">
        <v>393</v>
      </c>
      <c r="C366" s="120" t="s">
        <v>37</v>
      </c>
      <c r="D366" s="121" t="s">
        <v>212</v>
      </c>
      <c r="E366" s="122">
        <v>636792</v>
      </c>
      <c r="F366" s="112" t="s">
        <v>115</v>
      </c>
      <c r="G366" s="123">
        <v>53066</v>
      </c>
      <c r="H366" s="107">
        <v>12</v>
      </c>
      <c r="I366" s="67">
        <v>1</v>
      </c>
      <c r="J366" s="91" t="str">
        <f t="shared" si="12"/>
        <v>SME100</v>
      </c>
      <c r="K366" s="92"/>
    </row>
    <row r="367" customHeight="1" spans="1:11">
      <c r="A367" s="119">
        <v>128</v>
      </c>
      <c r="B367" s="124" t="s">
        <v>394</v>
      </c>
      <c r="C367" s="120" t="s">
        <v>37</v>
      </c>
      <c r="D367" s="121" t="s">
        <v>244</v>
      </c>
      <c r="E367" s="122"/>
      <c r="F367" s="112" t="s">
        <v>245</v>
      </c>
      <c r="G367" s="123"/>
      <c r="H367" s="107">
        <v>1</v>
      </c>
      <c r="I367" s="67">
        <v>100</v>
      </c>
      <c r="J367" s="91" t="str">
        <f t="shared" si="12"/>
        <v>SME128</v>
      </c>
      <c r="K367" s="92"/>
    </row>
    <row r="368" customHeight="1" spans="1:11">
      <c r="A368" s="119">
        <v>128</v>
      </c>
      <c r="B368" s="124" t="s">
        <v>395</v>
      </c>
      <c r="C368" s="120" t="s">
        <v>37</v>
      </c>
      <c r="D368" s="121" t="s">
        <v>244</v>
      </c>
      <c r="E368" s="122"/>
      <c r="F368" s="112" t="s">
        <v>245</v>
      </c>
      <c r="G368" s="123"/>
      <c r="H368" s="107">
        <v>1</v>
      </c>
      <c r="I368" s="67">
        <v>100</v>
      </c>
      <c r="J368" s="91" t="str">
        <f t="shared" si="12"/>
        <v>SME128</v>
      </c>
      <c r="K368" s="92"/>
    </row>
    <row r="369" customHeight="1" spans="1:11">
      <c r="A369" s="119">
        <v>128</v>
      </c>
      <c r="B369" s="124" t="s">
        <v>396</v>
      </c>
      <c r="C369" s="120" t="s">
        <v>37</v>
      </c>
      <c r="D369" s="121" t="s">
        <v>244</v>
      </c>
      <c r="E369" s="122"/>
      <c r="F369" s="112" t="s">
        <v>245</v>
      </c>
      <c r="G369" s="123"/>
      <c r="H369" s="107">
        <v>1</v>
      </c>
      <c r="I369" s="67">
        <v>100</v>
      </c>
      <c r="J369" s="91" t="str">
        <f t="shared" si="12"/>
        <v>SME128</v>
      </c>
      <c r="K369" s="92"/>
    </row>
    <row r="370" customHeight="1" spans="1:11">
      <c r="A370" s="119">
        <v>128</v>
      </c>
      <c r="B370" s="124" t="s">
        <v>397</v>
      </c>
      <c r="C370" s="120" t="s">
        <v>37</v>
      </c>
      <c r="D370" s="121" t="s">
        <v>244</v>
      </c>
      <c r="E370" s="122"/>
      <c r="F370" s="112" t="s">
        <v>245</v>
      </c>
      <c r="G370" s="123"/>
      <c r="H370" s="107">
        <v>1</v>
      </c>
      <c r="I370" s="67">
        <v>100</v>
      </c>
      <c r="J370" s="91" t="str">
        <f t="shared" si="12"/>
        <v>SME128</v>
      </c>
      <c r="K370" s="92"/>
    </row>
    <row r="371" customHeight="1" spans="1:11">
      <c r="A371" s="119">
        <v>128</v>
      </c>
      <c r="B371" s="124" t="s">
        <v>398</v>
      </c>
      <c r="C371" s="120" t="s">
        <v>37</v>
      </c>
      <c r="D371" s="121" t="s">
        <v>244</v>
      </c>
      <c r="E371" s="122"/>
      <c r="F371" s="112" t="s">
        <v>245</v>
      </c>
      <c r="G371" s="123"/>
      <c r="H371" s="107">
        <v>1</v>
      </c>
      <c r="I371" s="67">
        <v>100</v>
      </c>
      <c r="J371" s="91" t="str">
        <f t="shared" si="12"/>
        <v>SME128</v>
      </c>
      <c r="K371" s="92"/>
    </row>
    <row r="372" customHeight="1" spans="1:11">
      <c r="A372" s="119">
        <v>128</v>
      </c>
      <c r="B372" s="124" t="s">
        <v>399</v>
      </c>
      <c r="C372" s="120" t="s">
        <v>37</v>
      </c>
      <c r="D372" s="121" t="s">
        <v>244</v>
      </c>
      <c r="E372" s="122"/>
      <c r="F372" s="112" t="s">
        <v>245</v>
      </c>
      <c r="G372" s="123"/>
      <c r="H372" s="107">
        <v>1</v>
      </c>
      <c r="I372" s="67">
        <v>100</v>
      </c>
      <c r="J372" s="91" t="str">
        <f t="shared" si="12"/>
        <v>SME128</v>
      </c>
      <c r="K372" s="92"/>
    </row>
    <row r="373" customHeight="1" spans="1:11">
      <c r="A373" s="119">
        <v>128</v>
      </c>
      <c r="B373" s="124" t="s">
        <v>400</v>
      </c>
      <c r="C373" s="120" t="s">
        <v>37</v>
      </c>
      <c r="D373" s="121" t="s">
        <v>244</v>
      </c>
      <c r="E373" s="122"/>
      <c r="F373" s="112" t="s">
        <v>245</v>
      </c>
      <c r="G373" s="123"/>
      <c r="H373" s="107">
        <v>1</v>
      </c>
      <c r="I373" s="67">
        <v>100</v>
      </c>
      <c r="J373" s="91" t="str">
        <f t="shared" si="12"/>
        <v>SME128</v>
      </c>
      <c r="K373" s="92"/>
    </row>
    <row r="374" customHeight="1" spans="1:11">
      <c r="A374" s="119">
        <v>128</v>
      </c>
      <c r="B374" s="124" t="s">
        <v>401</v>
      </c>
      <c r="C374" s="120" t="s">
        <v>37</v>
      </c>
      <c r="D374" s="121" t="s">
        <v>244</v>
      </c>
      <c r="E374" s="122"/>
      <c r="F374" s="112" t="s">
        <v>245</v>
      </c>
      <c r="G374" s="123"/>
      <c r="H374" s="107">
        <v>1</v>
      </c>
      <c r="I374" s="67">
        <v>100</v>
      </c>
      <c r="J374" s="91" t="str">
        <f t="shared" si="12"/>
        <v>SME128</v>
      </c>
      <c r="K374" s="92"/>
    </row>
    <row r="375" customHeight="1" spans="1:11">
      <c r="A375" s="119">
        <v>128</v>
      </c>
      <c r="B375" s="124" t="s">
        <v>402</v>
      </c>
      <c r="C375" s="120" t="s">
        <v>37</v>
      </c>
      <c r="D375" s="121" t="s">
        <v>244</v>
      </c>
      <c r="E375" s="122"/>
      <c r="F375" s="112" t="s">
        <v>245</v>
      </c>
      <c r="G375" s="123"/>
      <c r="H375" s="107">
        <v>1</v>
      </c>
      <c r="I375" s="67">
        <v>100</v>
      </c>
      <c r="J375" s="91" t="str">
        <f t="shared" si="12"/>
        <v>SME128</v>
      </c>
      <c r="K375" s="92"/>
    </row>
    <row r="376" customHeight="1" spans="1:11">
      <c r="A376" s="119">
        <v>128</v>
      </c>
      <c r="B376" s="124" t="s">
        <v>403</v>
      </c>
      <c r="C376" s="120" t="s">
        <v>37</v>
      </c>
      <c r="D376" s="121" t="s">
        <v>244</v>
      </c>
      <c r="E376" s="122"/>
      <c r="F376" s="112" t="s">
        <v>245</v>
      </c>
      <c r="G376" s="123"/>
      <c r="H376" s="107">
        <v>1</v>
      </c>
      <c r="I376" s="67">
        <v>100</v>
      </c>
      <c r="J376" s="91" t="str">
        <f t="shared" si="12"/>
        <v>SME128</v>
      </c>
      <c r="K376" s="92"/>
    </row>
    <row r="377" customHeight="1" spans="1:11">
      <c r="A377" s="119">
        <v>128</v>
      </c>
      <c r="B377" s="124" t="s">
        <v>404</v>
      </c>
      <c r="C377" s="120" t="s">
        <v>37</v>
      </c>
      <c r="D377" s="121" t="s">
        <v>244</v>
      </c>
      <c r="E377" s="122"/>
      <c r="F377" s="112" t="s">
        <v>245</v>
      </c>
      <c r="G377" s="123"/>
      <c r="H377" s="107">
        <v>1</v>
      </c>
      <c r="I377" s="67">
        <v>100</v>
      </c>
      <c r="J377" s="91" t="str">
        <f t="shared" si="12"/>
        <v>SME128</v>
      </c>
      <c r="K377" s="92"/>
    </row>
    <row r="378" customHeight="1" spans="1:11">
      <c r="A378" s="119">
        <v>128</v>
      </c>
      <c r="B378" s="124" t="s">
        <v>405</v>
      </c>
      <c r="C378" s="120" t="s">
        <v>37</v>
      </c>
      <c r="D378" s="121" t="s">
        <v>244</v>
      </c>
      <c r="E378" s="122"/>
      <c r="F378" s="112" t="s">
        <v>245</v>
      </c>
      <c r="G378" s="123"/>
      <c r="H378" s="107">
        <v>1</v>
      </c>
      <c r="I378" s="67">
        <v>100</v>
      </c>
      <c r="J378" s="91" t="str">
        <f t="shared" si="12"/>
        <v>SME128</v>
      </c>
      <c r="K378" s="92"/>
    </row>
    <row r="379" customHeight="1" spans="1:11">
      <c r="A379" s="119">
        <v>128</v>
      </c>
      <c r="B379" s="124" t="s">
        <v>406</v>
      </c>
      <c r="C379" s="120" t="s">
        <v>37</v>
      </c>
      <c r="D379" s="121" t="s">
        <v>244</v>
      </c>
      <c r="E379" s="122"/>
      <c r="F379" s="112" t="s">
        <v>245</v>
      </c>
      <c r="G379" s="123"/>
      <c r="H379" s="107">
        <v>1</v>
      </c>
      <c r="I379" s="67">
        <v>100</v>
      </c>
      <c r="J379" s="91" t="str">
        <f t="shared" si="12"/>
        <v>SME128</v>
      </c>
      <c r="K379" s="92"/>
    </row>
    <row r="380" customHeight="1" spans="1:11">
      <c r="A380" s="119">
        <v>128</v>
      </c>
      <c r="B380" s="124" t="s">
        <v>407</v>
      </c>
      <c r="C380" s="120" t="s">
        <v>37</v>
      </c>
      <c r="D380" s="121" t="s">
        <v>244</v>
      </c>
      <c r="E380" s="122"/>
      <c r="F380" s="112" t="s">
        <v>245</v>
      </c>
      <c r="G380" s="123"/>
      <c r="H380" s="107">
        <v>1</v>
      </c>
      <c r="I380" s="67">
        <v>100</v>
      </c>
      <c r="J380" s="91" t="str">
        <f t="shared" si="12"/>
        <v>SME128</v>
      </c>
      <c r="K380" s="92"/>
    </row>
    <row r="381" customHeight="1" spans="1:11">
      <c r="A381" s="119">
        <v>128</v>
      </c>
      <c r="B381" s="124" t="s">
        <v>408</v>
      </c>
      <c r="C381" s="120" t="s">
        <v>37</v>
      </c>
      <c r="D381" s="121" t="s">
        <v>244</v>
      </c>
      <c r="E381" s="122"/>
      <c r="F381" s="112" t="s">
        <v>245</v>
      </c>
      <c r="G381" s="123"/>
      <c r="H381" s="107">
        <v>1</v>
      </c>
      <c r="I381" s="67">
        <v>100</v>
      </c>
      <c r="J381" s="91" t="str">
        <f t="shared" si="12"/>
        <v>SME128</v>
      </c>
      <c r="K381" s="92"/>
    </row>
    <row r="382" customHeight="1" spans="1:11">
      <c r="A382" s="119">
        <v>128</v>
      </c>
      <c r="B382" s="124" t="s">
        <v>409</v>
      </c>
      <c r="C382" s="120" t="s">
        <v>37</v>
      </c>
      <c r="D382" s="121" t="s">
        <v>244</v>
      </c>
      <c r="E382" s="122"/>
      <c r="F382" s="112" t="s">
        <v>245</v>
      </c>
      <c r="G382" s="123"/>
      <c r="H382" s="107">
        <v>1</v>
      </c>
      <c r="I382" s="67">
        <v>100</v>
      </c>
      <c r="J382" s="91" t="str">
        <f t="shared" si="12"/>
        <v>SME128</v>
      </c>
      <c r="K382" s="92"/>
    </row>
    <row r="383" customHeight="1" spans="1:11">
      <c r="A383" s="119">
        <v>128</v>
      </c>
      <c r="B383" s="124" t="s">
        <v>410</v>
      </c>
      <c r="C383" s="120" t="s">
        <v>37</v>
      </c>
      <c r="D383" s="121" t="s">
        <v>244</v>
      </c>
      <c r="E383" s="122"/>
      <c r="F383" s="112" t="s">
        <v>245</v>
      </c>
      <c r="G383" s="123"/>
      <c r="H383" s="107">
        <v>1</v>
      </c>
      <c r="I383" s="67">
        <v>100</v>
      </c>
      <c r="J383" s="91" t="str">
        <f t="shared" si="12"/>
        <v>SME128</v>
      </c>
      <c r="K383" s="92"/>
    </row>
    <row r="384" customHeight="1" spans="1:11">
      <c r="A384" s="119">
        <v>128</v>
      </c>
      <c r="B384" s="124" t="s">
        <v>411</v>
      </c>
      <c r="C384" s="120" t="s">
        <v>37</v>
      </c>
      <c r="D384" s="121" t="s">
        <v>244</v>
      </c>
      <c r="E384" s="122"/>
      <c r="F384" s="112" t="s">
        <v>245</v>
      </c>
      <c r="G384" s="123"/>
      <c r="H384" s="107">
        <v>1</v>
      </c>
      <c r="I384" s="67">
        <v>100</v>
      </c>
      <c r="J384" s="91" t="str">
        <f t="shared" si="12"/>
        <v>SME128</v>
      </c>
      <c r="K384" s="92"/>
    </row>
    <row r="385" customHeight="1" spans="1:11">
      <c r="A385" s="119">
        <v>101</v>
      </c>
      <c r="B385" s="111" t="s">
        <v>412</v>
      </c>
      <c r="C385" s="120" t="s">
        <v>37</v>
      </c>
      <c r="D385" s="121" t="s">
        <v>245</v>
      </c>
      <c r="E385" s="122">
        <v>28.18</v>
      </c>
      <c r="F385" s="112" t="s">
        <v>245</v>
      </c>
      <c r="G385" s="123" t="s">
        <v>124</v>
      </c>
      <c r="H385" s="107">
        <v>1</v>
      </c>
      <c r="I385" s="67">
        <v>1</v>
      </c>
      <c r="J385" s="91" t="str">
        <f t="shared" si="12"/>
        <v>SME101</v>
      </c>
      <c r="K385" s="92"/>
    </row>
    <row r="386" customHeight="1" spans="1:11">
      <c r="A386" s="119">
        <v>102</v>
      </c>
      <c r="B386" s="111" t="s">
        <v>413</v>
      </c>
      <c r="C386" s="120" t="s">
        <v>37</v>
      </c>
      <c r="D386" s="121" t="s">
        <v>245</v>
      </c>
      <c r="E386" s="122">
        <v>2700</v>
      </c>
      <c r="F386" s="112" t="s">
        <v>245</v>
      </c>
      <c r="G386" s="123">
        <v>27</v>
      </c>
      <c r="H386" s="107">
        <v>100</v>
      </c>
      <c r="I386" s="67">
        <v>1</v>
      </c>
      <c r="J386" s="91" t="str">
        <f t="shared" si="12"/>
        <v>SME102</v>
      </c>
      <c r="K386" s="92"/>
    </row>
    <row r="387" customHeight="1" spans="1:11">
      <c r="A387" s="119">
        <v>103</v>
      </c>
      <c r="B387" s="111" t="s">
        <v>414</v>
      </c>
      <c r="C387" s="120" t="s">
        <v>37</v>
      </c>
      <c r="D387" s="121" t="s">
        <v>245</v>
      </c>
      <c r="E387" s="122">
        <v>18.53</v>
      </c>
      <c r="F387" s="112" t="s">
        <v>245</v>
      </c>
      <c r="G387" s="123">
        <v>18.53</v>
      </c>
      <c r="H387" s="107">
        <v>1</v>
      </c>
      <c r="I387" s="67">
        <v>1</v>
      </c>
      <c r="J387" s="91" t="str">
        <f t="shared" si="12"/>
        <v>SME103</v>
      </c>
      <c r="K387" s="92"/>
    </row>
    <row r="388" customHeight="1" spans="1:11">
      <c r="A388" s="119">
        <v>128</v>
      </c>
      <c r="B388" s="124" t="s">
        <v>415</v>
      </c>
      <c r="C388" s="120" t="s">
        <v>37</v>
      </c>
      <c r="D388" s="121" t="s">
        <v>244</v>
      </c>
      <c r="E388" s="122"/>
      <c r="F388" s="112" t="s">
        <v>245</v>
      </c>
      <c r="G388" s="123"/>
      <c r="H388" s="107">
        <v>1</v>
      </c>
      <c r="I388" s="67">
        <v>100</v>
      </c>
      <c r="J388" s="91" t="str">
        <f t="shared" si="12"/>
        <v>SME128</v>
      </c>
      <c r="K388" s="92"/>
    </row>
    <row r="389" customHeight="1" spans="1:11">
      <c r="A389" s="119">
        <v>104</v>
      </c>
      <c r="B389" s="111" t="s">
        <v>416</v>
      </c>
      <c r="C389" s="120" t="s">
        <v>37</v>
      </c>
      <c r="D389" s="121" t="s">
        <v>244</v>
      </c>
      <c r="E389" s="122">
        <v>1800</v>
      </c>
      <c r="F389" s="112" t="s">
        <v>245</v>
      </c>
      <c r="G389" s="123">
        <v>18</v>
      </c>
      <c r="H389" s="107">
        <v>100</v>
      </c>
      <c r="I389" s="67">
        <v>1</v>
      </c>
      <c r="J389" s="91" t="str">
        <f t="shared" si="12"/>
        <v>SME104</v>
      </c>
      <c r="K389" s="92"/>
    </row>
    <row r="390" customHeight="1" spans="1:11">
      <c r="A390" s="119">
        <v>105</v>
      </c>
      <c r="B390" s="111" t="s">
        <v>417</v>
      </c>
      <c r="C390" s="120" t="s">
        <v>37</v>
      </c>
      <c r="D390" s="121" t="s">
        <v>244</v>
      </c>
      <c r="E390" s="122">
        <v>1057</v>
      </c>
      <c r="F390" s="112" t="s">
        <v>244</v>
      </c>
      <c r="G390" s="123">
        <v>1057</v>
      </c>
      <c r="H390" s="107">
        <v>1</v>
      </c>
      <c r="I390" s="67">
        <v>1</v>
      </c>
      <c r="J390" s="91" t="str">
        <f t="shared" si="12"/>
        <v>SME105</v>
      </c>
      <c r="K390" s="92"/>
    </row>
    <row r="391" customHeight="1" spans="1:11">
      <c r="A391" s="119">
        <v>106</v>
      </c>
      <c r="B391" s="111" t="s">
        <v>418</v>
      </c>
      <c r="C391" s="120" t="s">
        <v>37</v>
      </c>
      <c r="D391" s="121" t="s">
        <v>245</v>
      </c>
      <c r="E391" s="122">
        <v>18.53</v>
      </c>
      <c r="F391" s="112" t="s">
        <v>245</v>
      </c>
      <c r="G391" s="123">
        <v>18.53</v>
      </c>
      <c r="H391" s="107">
        <v>1</v>
      </c>
      <c r="I391" s="67">
        <v>1</v>
      </c>
      <c r="J391" s="91" t="str">
        <f t="shared" si="12"/>
        <v>SME106</v>
      </c>
      <c r="K391" s="92"/>
    </row>
    <row r="392" customHeight="1" spans="1:11">
      <c r="A392" s="119">
        <v>107</v>
      </c>
      <c r="B392" s="111" t="s">
        <v>419</v>
      </c>
      <c r="C392" s="120" t="s">
        <v>37</v>
      </c>
      <c r="D392" s="121" t="s">
        <v>245</v>
      </c>
      <c r="E392" s="122">
        <v>22.8</v>
      </c>
      <c r="F392" s="112" t="s">
        <v>245</v>
      </c>
      <c r="G392" s="123">
        <v>22.8</v>
      </c>
      <c r="H392" s="107">
        <v>1</v>
      </c>
      <c r="I392" s="67">
        <v>1</v>
      </c>
      <c r="J392" s="91" t="str">
        <f t="shared" si="12"/>
        <v>SME107</v>
      </c>
      <c r="K392" s="92"/>
    </row>
    <row r="393" customHeight="1" spans="1:11">
      <c r="A393" s="119">
        <v>108</v>
      </c>
      <c r="B393" s="111" t="s">
        <v>420</v>
      </c>
      <c r="C393" s="120" t="s">
        <v>37</v>
      </c>
      <c r="D393" s="121" t="s">
        <v>245</v>
      </c>
      <c r="E393" s="122">
        <v>22.8</v>
      </c>
      <c r="F393" s="112" t="s">
        <v>245</v>
      </c>
      <c r="G393" s="123">
        <v>22.8</v>
      </c>
      <c r="H393" s="107">
        <v>1</v>
      </c>
      <c r="I393" s="67">
        <v>1</v>
      </c>
      <c r="J393" s="91" t="str">
        <f t="shared" si="12"/>
        <v>SME108</v>
      </c>
      <c r="K393" s="92"/>
    </row>
    <row r="394" customHeight="1" spans="1:11">
      <c r="A394" s="119">
        <v>109</v>
      </c>
      <c r="B394" s="111" t="s">
        <v>421</v>
      </c>
      <c r="C394" s="120" t="s">
        <v>37</v>
      </c>
      <c r="D394" s="121" t="s">
        <v>245</v>
      </c>
      <c r="E394" s="122">
        <v>14.73</v>
      </c>
      <c r="F394" s="112" t="s">
        <v>245</v>
      </c>
      <c r="G394" s="123">
        <v>14.73</v>
      </c>
      <c r="H394" s="107">
        <v>1</v>
      </c>
      <c r="I394" s="67">
        <v>1</v>
      </c>
      <c r="J394" s="91" t="str">
        <f t="shared" si="12"/>
        <v>SME109</v>
      </c>
      <c r="K394" s="92"/>
    </row>
    <row r="395" customHeight="1" spans="1:11">
      <c r="A395" s="119">
        <v>110</v>
      </c>
      <c r="B395" s="111" t="s">
        <v>422</v>
      </c>
      <c r="C395" s="120" t="s">
        <v>37</v>
      </c>
      <c r="D395" s="121" t="s">
        <v>245</v>
      </c>
      <c r="E395" s="122">
        <v>14.73</v>
      </c>
      <c r="F395" s="112" t="s">
        <v>245</v>
      </c>
      <c r="G395" s="123">
        <v>14.73</v>
      </c>
      <c r="H395" s="107">
        <v>1</v>
      </c>
      <c r="I395" s="67">
        <v>1</v>
      </c>
      <c r="J395" s="91" t="str">
        <f t="shared" si="12"/>
        <v>SME110</v>
      </c>
      <c r="K395" s="92"/>
    </row>
    <row r="396" customHeight="1" spans="1:11">
      <c r="A396" s="119">
        <v>128</v>
      </c>
      <c r="B396" s="124" t="s">
        <v>423</v>
      </c>
      <c r="C396" s="120" t="s">
        <v>37</v>
      </c>
      <c r="D396" s="121" t="s">
        <v>244</v>
      </c>
      <c r="E396" s="122"/>
      <c r="F396" s="112" t="s">
        <v>245</v>
      </c>
      <c r="G396" s="123"/>
      <c r="H396" s="107">
        <v>1</v>
      </c>
      <c r="I396" s="67">
        <v>100</v>
      </c>
      <c r="J396" s="91" t="str">
        <f t="shared" si="12"/>
        <v>SME128</v>
      </c>
      <c r="K396" s="92"/>
    </row>
    <row r="397" customHeight="1" spans="1:11">
      <c r="A397" s="119">
        <v>128</v>
      </c>
      <c r="B397" s="124" t="s">
        <v>424</v>
      </c>
      <c r="C397" s="120" t="s">
        <v>37</v>
      </c>
      <c r="D397" s="121" t="s">
        <v>244</v>
      </c>
      <c r="E397" s="122"/>
      <c r="F397" s="112" t="s">
        <v>245</v>
      </c>
      <c r="G397" s="123"/>
      <c r="H397" s="107">
        <v>1</v>
      </c>
      <c r="I397" s="67">
        <v>100</v>
      </c>
      <c r="J397" s="91" t="str">
        <f t="shared" si="12"/>
        <v>SME128</v>
      </c>
      <c r="K397" s="92"/>
    </row>
    <row r="398" customHeight="1" spans="1:11">
      <c r="A398" s="119">
        <v>128</v>
      </c>
      <c r="B398" s="124" t="s">
        <v>425</v>
      </c>
      <c r="C398" s="120" t="s">
        <v>37</v>
      </c>
      <c r="D398" s="121" t="s">
        <v>244</v>
      </c>
      <c r="E398" s="122"/>
      <c r="F398" s="112" t="s">
        <v>245</v>
      </c>
      <c r="G398" s="123"/>
      <c r="H398" s="107">
        <v>1</v>
      </c>
      <c r="I398" s="67">
        <v>100</v>
      </c>
      <c r="J398" s="91" t="str">
        <f t="shared" si="12"/>
        <v>SME128</v>
      </c>
      <c r="K398" s="92"/>
    </row>
    <row r="399" customHeight="1" spans="1:11">
      <c r="A399" s="119">
        <v>128</v>
      </c>
      <c r="B399" s="124" t="s">
        <v>426</v>
      </c>
      <c r="C399" s="120" t="s">
        <v>37</v>
      </c>
      <c r="D399" s="121" t="s">
        <v>244</v>
      </c>
      <c r="E399" s="122"/>
      <c r="F399" s="112" t="s">
        <v>245</v>
      </c>
      <c r="G399" s="123"/>
      <c r="H399" s="107">
        <v>1</v>
      </c>
      <c r="I399" s="67">
        <v>100</v>
      </c>
      <c r="J399" s="91" t="str">
        <f t="shared" si="12"/>
        <v>SME128</v>
      </c>
      <c r="K399" s="92"/>
    </row>
    <row r="400" customHeight="1" spans="1:11">
      <c r="A400" s="119">
        <v>128</v>
      </c>
      <c r="B400" s="124" t="s">
        <v>427</v>
      </c>
      <c r="C400" s="120" t="s">
        <v>37</v>
      </c>
      <c r="D400" s="121" t="s">
        <v>244</v>
      </c>
      <c r="E400" s="122"/>
      <c r="F400" s="112" t="s">
        <v>245</v>
      </c>
      <c r="G400" s="123"/>
      <c r="H400" s="107">
        <v>1</v>
      </c>
      <c r="I400" s="67">
        <v>100</v>
      </c>
      <c r="J400" s="91" t="str">
        <f t="shared" si="12"/>
        <v>SME128</v>
      </c>
      <c r="K400" s="92"/>
    </row>
    <row r="401" customHeight="1" spans="1:11">
      <c r="A401" s="119">
        <v>128</v>
      </c>
      <c r="B401" s="124" t="s">
        <v>428</v>
      </c>
      <c r="C401" s="120" t="s">
        <v>37</v>
      </c>
      <c r="D401" s="121" t="s">
        <v>244</v>
      </c>
      <c r="E401" s="122"/>
      <c r="F401" s="112" t="s">
        <v>245</v>
      </c>
      <c r="G401" s="123"/>
      <c r="H401" s="107">
        <v>1</v>
      </c>
      <c r="I401" s="67">
        <v>100</v>
      </c>
      <c r="J401" s="91" t="str">
        <f t="shared" si="12"/>
        <v>SME128</v>
      </c>
      <c r="K401" s="92"/>
    </row>
    <row r="402" customHeight="1" spans="1:11">
      <c r="A402" s="119">
        <v>128</v>
      </c>
      <c r="B402" s="124" t="s">
        <v>429</v>
      </c>
      <c r="C402" s="120" t="s">
        <v>37</v>
      </c>
      <c r="D402" s="121" t="s">
        <v>244</v>
      </c>
      <c r="E402" s="122"/>
      <c r="F402" s="112" t="s">
        <v>245</v>
      </c>
      <c r="G402" s="123"/>
      <c r="H402" s="107">
        <v>1</v>
      </c>
      <c r="I402" s="67">
        <v>100</v>
      </c>
      <c r="J402" s="91" t="str">
        <f t="shared" si="12"/>
        <v>SME128</v>
      </c>
      <c r="K402" s="92"/>
    </row>
    <row r="403" customHeight="1" spans="1:11">
      <c r="A403" s="119">
        <v>128</v>
      </c>
      <c r="B403" s="124" t="s">
        <v>430</v>
      </c>
      <c r="C403" s="120" t="s">
        <v>37</v>
      </c>
      <c r="D403" s="121" t="s">
        <v>244</v>
      </c>
      <c r="E403" s="122"/>
      <c r="F403" s="112" t="s">
        <v>245</v>
      </c>
      <c r="G403" s="123"/>
      <c r="H403" s="107">
        <v>1</v>
      </c>
      <c r="I403" s="67">
        <v>100</v>
      </c>
      <c r="J403" s="91" t="str">
        <f t="shared" si="12"/>
        <v>SME128</v>
      </c>
      <c r="K403" s="92"/>
    </row>
    <row r="404" customHeight="1" spans="1:11">
      <c r="A404" s="119">
        <v>128</v>
      </c>
      <c r="B404" s="124" t="s">
        <v>431</v>
      </c>
      <c r="C404" s="120" t="s">
        <v>37</v>
      </c>
      <c r="D404" s="121" t="s">
        <v>244</v>
      </c>
      <c r="E404" s="122"/>
      <c r="F404" s="112" t="s">
        <v>245</v>
      </c>
      <c r="G404" s="123"/>
      <c r="H404" s="107">
        <v>1</v>
      </c>
      <c r="I404" s="67">
        <v>100</v>
      </c>
      <c r="J404" s="91" t="str">
        <f t="shared" si="12"/>
        <v>SME128</v>
      </c>
      <c r="K404" s="92"/>
    </row>
    <row r="405" customHeight="1" spans="1:11">
      <c r="A405" s="119">
        <v>128</v>
      </c>
      <c r="B405" s="124" t="s">
        <v>432</v>
      </c>
      <c r="C405" s="120" t="s">
        <v>37</v>
      </c>
      <c r="D405" s="121" t="s">
        <v>244</v>
      </c>
      <c r="E405" s="122"/>
      <c r="F405" s="112" t="s">
        <v>245</v>
      </c>
      <c r="G405" s="123"/>
      <c r="H405" s="107">
        <v>1</v>
      </c>
      <c r="I405" s="67">
        <v>100</v>
      </c>
      <c r="J405" s="91" t="str">
        <f t="shared" si="12"/>
        <v>SME128</v>
      </c>
      <c r="K405" s="92"/>
    </row>
    <row r="406" customHeight="1" spans="1:11">
      <c r="A406" s="119">
        <v>128</v>
      </c>
      <c r="B406" s="124" t="s">
        <v>433</v>
      </c>
      <c r="C406" s="120" t="s">
        <v>37</v>
      </c>
      <c r="D406" s="121" t="s">
        <v>244</v>
      </c>
      <c r="E406" s="122"/>
      <c r="F406" s="112" t="s">
        <v>245</v>
      </c>
      <c r="G406" s="123"/>
      <c r="H406" s="107">
        <v>1</v>
      </c>
      <c r="I406" s="67">
        <v>100</v>
      </c>
      <c r="J406" s="91" t="str">
        <f t="shared" si="12"/>
        <v>SME128</v>
      </c>
      <c r="K406" s="92"/>
    </row>
    <row r="407" customHeight="1" spans="1:11">
      <c r="A407" s="119">
        <v>128</v>
      </c>
      <c r="B407" s="124" t="s">
        <v>434</v>
      </c>
      <c r="C407" s="120" t="s">
        <v>37</v>
      </c>
      <c r="D407" s="121" t="s">
        <v>244</v>
      </c>
      <c r="E407" s="122"/>
      <c r="F407" s="112" t="s">
        <v>245</v>
      </c>
      <c r="G407" s="123"/>
      <c r="H407" s="107">
        <v>1</v>
      </c>
      <c r="I407" s="67">
        <v>100</v>
      </c>
      <c r="J407" s="91" t="str">
        <f t="shared" si="12"/>
        <v>SME128</v>
      </c>
      <c r="K407" s="92"/>
    </row>
    <row r="408" customHeight="1" spans="1:11">
      <c r="A408" s="119">
        <v>128</v>
      </c>
      <c r="B408" s="124" t="s">
        <v>435</v>
      </c>
      <c r="C408" s="120" t="s">
        <v>37</v>
      </c>
      <c r="D408" s="121" t="s">
        <v>244</v>
      </c>
      <c r="E408" s="122"/>
      <c r="F408" s="112" t="s">
        <v>245</v>
      </c>
      <c r="G408" s="123"/>
      <c r="H408" s="107">
        <v>1</v>
      </c>
      <c r="I408" s="67">
        <v>100</v>
      </c>
      <c r="J408" s="91" t="str">
        <f t="shared" si="12"/>
        <v>SME128</v>
      </c>
      <c r="K408" s="92"/>
    </row>
    <row r="409" customHeight="1" spans="1:11">
      <c r="A409" s="119">
        <v>111</v>
      </c>
      <c r="B409" s="111" t="s">
        <v>436</v>
      </c>
      <c r="C409" s="120" t="s">
        <v>37</v>
      </c>
      <c r="D409" s="121" t="s">
        <v>244</v>
      </c>
      <c r="E409" s="122">
        <v>820</v>
      </c>
      <c r="F409" s="112" t="s">
        <v>244</v>
      </c>
      <c r="G409" s="123">
        <v>820</v>
      </c>
      <c r="H409" s="107">
        <v>1</v>
      </c>
      <c r="I409" s="67">
        <v>1</v>
      </c>
      <c r="J409" s="91" t="str">
        <f t="shared" ref="J409:J430" si="13">CONCATENATE(LEFT(C409,1),MID(C409,SEARCH("_",C409)+1,2),TEXT(A409,"000"))</f>
        <v>SME111</v>
      </c>
      <c r="K409" s="92"/>
    </row>
    <row r="410" customHeight="1" spans="1:11">
      <c r="A410" s="119">
        <v>112</v>
      </c>
      <c r="B410" s="111" t="s">
        <v>437</v>
      </c>
      <c r="C410" s="120" t="s">
        <v>37</v>
      </c>
      <c r="D410" s="121" t="s">
        <v>244</v>
      </c>
      <c r="E410" s="122">
        <v>1170</v>
      </c>
      <c r="F410" s="112" t="s">
        <v>244</v>
      </c>
      <c r="G410" s="123">
        <v>1170</v>
      </c>
      <c r="H410" s="107">
        <v>1</v>
      </c>
      <c r="I410" s="67">
        <v>1</v>
      </c>
      <c r="J410" s="91" t="str">
        <f t="shared" si="13"/>
        <v>SME112</v>
      </c>
      <c r="K410" s="92"/>
    </row>
    <row r="411" customHeight="1" spans="1:11">
      <c r="A411" s="119">
        <v>113</v>
      </c>
      <c r="B411" s="111" t="s">
        <v>438</v>
      </c>
      <c r="C411" s="120" t="s">
        <v>37</v>
      </c>
      <c r="D411" s="121" t="s">
        <v>244</v>
      </c>
      <c r="E411" s="122">
        <v>8000</v>
      </c>
      <c r="F411" s="112" t="s">
        <v>261</v>
      </c>
      <c r="G411" s="123">
        <v>0.8</v>
      </c>
      <c r="H411" s="107">
        <v>100</v>
      </c>
      <c r="I411" s="67">
        <v>100</v>
      </c>
      <c r="J411" s="91" t="str">
        <f t="shared" si="13"/>
        <v>SME113</v>
      </c>
      <c r="K411" s="92"/>
    </row>
    <row r="412" customHeight="1" spans="1:11">
      <c r="A412" s="119">
        <v>114</v>
      </c>
      <c r="B412" s="111" t="s">
        <v>439</v>
      </c>
      <c r="C412" s="120" t="s">
        <v>37</v>
      </c>
      <c r="D412" s="121" t="s">
        <v>244</v>
      </c>
      <c r="E412" s="122">
        <v>11000</v>
      </c>
      <c r="F412" s="112" t="s">
        <v>261</v>
      </c>
      <c r="G412" s="123">
        <v>0.785714285714286</v>
      </c>
      <c r="H412" s="107">
        <v>140</v>
      </c>
      <c r="I412" s="67">
        <v>100</v>
      </c>
      <c r="J412" s="91" t="str">
        <f t="shared" si="13"/>
        <v>SME114</v>
      </c>
      <c r="K412" s="92"/>
    </row>
    <row r="413" customHeight="1" spans="1:11">
      <c r="A413" s="119">
        <v>115</v>
      </c>
      <c r="B413" s="111" t="s">
        <v>440</v>
      </c>
      <c r="C413" s="120" t="s">
        <v>37</v>
      </c>
      <c r="D413" s="121" t="s">
        <v>244</v>
      </c>
      <c r="E413" s="122">
        <v>10858</v>
      </c>
      <c r="F413" s="112" t="s">
        <v>261</v>
      </c>
      <c r="G413" s="123">
        <v>0.775571428571429</v>
      </c>
      <c r="H413" s="107">
        <v>140</v>
      </c>
      <c r="I413" s="67">
        <v>100</v>
      </c>
      <c r="J413" s="91" t="str">
        <f t="shared" si="13"/>
        <v>SME115</v>
      </c>
      <c r="K413" s="92"/>
    </row>
    <row r="414" customHeight="1" spans="1:11">
      <c r="A414" s="119">
        <v>116</v>
      </c>
      <c r="B414" s="111" t="s">
        <v>441</v>
      </c>
      <c r="C414" s="120" t="s">
        <v>37</v>
      </c>
      <c r="D414" s="121" t="s">
        <v>244</v>
      </c>
      <c r="E414" s="122">
        <v>13999.16</v>
      </c>
      <c r="F414" s="112" t="s">
        <v>244</v>
      </c>
      <c r="G414" s="123">
        <v>13999.16</v>
      </c>
      <c r="H414" s="107">
        <v>1</v>
      </c>
      <c r="I414" s="67">
        <v>1</v>
      </c>
      <c r="J414" s="91" t="str">
        <f t="shared" si="13"/>
        <v>SME116</v>
      </c>
      <c r="K414" s="92"/>
    </row>
    <row r="415" customHeight="1" spans="1:11">
      <c r="A415" s="119">
        <v>117</v>
      </c>
      <c r="B415" s="111" t="s">
        <v>442</v>
      </c>
      <c r="C415" s="120" t="s">
        <v>37</v>
      </c>
      <c r="D415" s="121" t="s">
        <v>247</v>
      </c>
      <c r="E415" s="122"/>
      <c r="F415" s="112" t="s">
        <v>245</v>
      </c>
      <c r="G415" s="123">
        <v>0</v>
      </c>
      <c r="H415" s="107">
        <v>1</v>
      </c>
      <c r="I415" s="67">
        <v>1</v>
      </c>
      <c r="J415" s="91" t="str">
        <f t="shared" si="13"/>
        <v>SME117</v>
      </c>
      <c r="K415" s="92"/>
    </row>
    <row r="416" customHeight="1" spans="1:11">
      <c r="A416" s="119">
        <v>128</v>
      </c>
      <c r="B416" s="124" t="s">
        <v>443</v>
      </c>
      <c r="C416" s="120" t="s">
        <v>37</v>
      </c>
      <c r="D416" s="121" t="s">
        <v>244</v>
      </c>
      <c r="E416" s="122"/>
      <c r="F416" s="112" t="s">
        <v>245</v>
      </c>
      <c r="G416" s="123"/>
      <c r="H416" s="107">
        <v>1</v>
      </c>
      <c r="I416" s="67">
        <v>100</v>
      </c>
      <c r="J416" s="91" t="str">
        <f t="shared" si="13"/>
        <v>SME128</v>
      </c>
      <c r="K416" s="92"/>
    </row>
    <row r="417" customHeight="1" spans="1:11">
      <c r="A417" s="119">
        <v>128</v>
      </c>
      <c r="B417" s="124" t="s">
        <v>444</v>
      </c>
      <c r="C417" s="120" t="s">
        <v>37</v>
      </c>
      <c r="D417" s="121" t="s">
        <v>244</v>
      </c>
      <c r="E417" s="122"/>
      <c r="F417" s="112" t="s">
        <v>245</v>
      </c>
      <c r="G417" s="123"/>
      <c r="H417" s="107">
        <v>1</v>
      </c>
      <c r="I417" s="67">
        <v>100</v>
      </c>
      <c r="J417" s="91" t="str">
        <f t="shared" si="13"/>
        <v>SME128</v>
      </c>
      <c r="K417" s="92"/>
    </row>
    <row r="418" customHeight="1" spans="1:11">
      <c r="A418" s="119">
        <v>128</v>
      </c>
      <c r="B418" s="124" t="s">
        <v>445</v>
      </c>
      <c r="C418" s="120" t="s">
        <v>37</v>
      </c>
      <c r="D418" s="121" t="s">
        <v>244</v>
      </c>
      <c r="E418" s="122"/>
      <c r="F418" s="112" t="s">
        <v>245</v>
      </c>
      <c r="G418" s="123"/>
      <c r="H418" s="107">
        <v>1</v>
      </c>
      <c r="I418" s="67">
        <v>100</v>
      </c>
      <c r="J418" s="91" t="str">
        <f t="shared" si="13"/>
        <v>SME128</v>
      </c>
      <c r="K418" s="92"/>
    </row>
    <row r="419" customHeight="1" spans="1:11">
      <c r="A419" s="119">
        <v>118</v>
      </c>
      <c r="B419" s="111" t="s">
        <v>446</v>
      </c>
      <c r="C419" s="120" t="s">
        <v>37</v>
      </c>
      <c r="D419" s="121" t="s">
        <v>261</v>
      </c>
      <c r="E419" s="122"/>
      <c r="F419" s="112" t="s">
        <v>261</v>
      </c>
      <c r="G419" s="123">
        <v>0</v>
      </c>
      <c r="H419" s="107">
        <v>100</v>
      </c>
      <c r="I419" s="67">
        <v>100</v>
      </c>
      <c r="J419" s="91" t="str">
        <f t="shared" si="13"/>
        <v>SME118</v>
      </c>
      <c r="K419" s="92"/>
    </row>
    <row r="420" customHeight="1" spans="1:11">
      <c r="A420" s="119">
        <v>119</v>
      </c>
      <c r="B420" s="111" t="s">
        <v>447</v>
      </c>
      <c r="C420" s="120" t="s">
        <v>37</v>
      </c>
      <c r="D420" s="121" t="s">
        <v>261</v>
      </c>
      <c r="E420" s="122"/>
      <c r="F420" s="112" t="s">
        <v>261</v>
      </c>
      <c r="G420" s="123" t="s">
        <v>124</v>
      </c>
      <c r="H420" s="107">
        <v>100</v>
      </c>
      <c r="I420" s="67">
        <v>100</v>
      </c>
      <c r="J420" s="91" t="str">
        <f t="shared" si="13"/>
        <v>SME119</v>
      </c>
      <c r="K420" s="92"/>
    </row>
    <row r="421" customHeight="1" spans="1:11">
      <c r="A421" s="119">
        <v>120</v>
      </c>
      <c r="B421" s="111" t="s">
        <v>448</v>
      </c>
      <c r="C421" s="120" t="s">
        <v>37</v>
      </c>
      <c r="D421" s="121" t="s">
        <v>449</v>
      </c>
      <c r="E421" s="122"/>
      <c r="F421" s="112" t="s">
        <v>449</v>
      </c>
      <c r="G421" s="123" t="s">
        <v>124</v>
      </c>
      <c r="H421" s="107">
        <v>1</v>
      </c>
      <c r="I421" s="67">
        <v>1</v>
      </c>
      <c r="J421" s="91" t="str">
        <f t="shared" si="13"/>
        <v>SME120</v>
      </c>
      <c r="K421" s="92"/>
    </row>
    <row r="422" customHeight="1" spans="1:11">
      <c r="A422" s="119">
        <v>121</v>
      </c>
      <c r="B422" s="111" t="s">
        <v>450</v>
      </c>
      <c r="C422" s="120" t="s">
        <v>37</v>
      </c>
      <c r="D422" s="121" t="s">
        <v>222</v>
      </c>
      <c r="E422" s="122">
        <v>4776.66666666667</v>
      </c>
      <c r="F422" s="112" t="s">
        <v>115</v>
      </c>
      <c r="G422" s="123" t="s">
        <v>124</v>
      </c>
      <c r="H422" s="107">
        <v>1</v>
      </c>
      <c r="I422" s="67">
        <v>1</v>
      </c>
      <c r="J422" s="91" t="str">
        <f t="shared" si="13"/>
        <v>SME121</v>
      </c>
      <c r="K422" s="92"/>
    </row>
    <row r="423" customHeight="1" spans="1:11">
      <c r="A423" s="119">
        <v>122</v>
      </c>
      <c r="B423" s="111" t="s">
        <v>451</v>
      </c>
      <c r="C423" s="120" t="s">
        <v>37</v>
      </c>
      <c r="D423" s="121" t="s">
        <v>244</v>
      </c>
      <c r="E423" s="122">
        <v>1035.3</v>
      </c>
      <c r="F423" s="112" t="s">
        <v>244</v>
      </c>
      <c r="G423" s="123" t="s">
        <v>124</v>
      </c>
      <c r="H423" s="107">
        <v>1</v>
      </c>
      <c r="I423" s="67">
        <v>1</v>
      </c>
      <c r="J423" s="91" t="str">
        <f t="shared" si="13"/>
        <v>SME122</v>
      </c>
      <c r="K423" s="92"/>
    </row>
    <row r="424" customHeight="1" spans="1:11">
      <c r="A424" s="119">
        <v>128</v>
      </c>
      <c r="B424" s="124" t="s">
        <v>452</v>
      </c>
      <c r="C424" s="120" t="s">
        <v>37</v>
      </c>
      <c r="D424" s="121" t="s">
        <v>244</v>
      </c>
      <c r="E424" s="122"/>
      <c r="F424" s="112" t="s">
        <v>245</v>
      </c>
      <c r="G424" s="123"/>
      <c r="H424" s="107">
        <v>1</v>
      </c>
      <c r="I424" s="67">
        <v>100</v>
      </c>
      <c r="J424" s="91" t="str">
        <f t="shared" si="13"/>
        <v>SME128</v>
      </c>
      <c r="K424" s="92"/>
    </row>
    <row r="425" customHeight="1" spans="1:11">
      <c r="A425" s="119">
        <v>123</v>
      </c>
      <c r="B425" s="111" t="s">
        <v>453</v>
      </c>
      <c r="C425" s="120" t="s">
        <v>37</v>
      </c>
      <c r="D425" s="121" t="s">
        <v>258</v>
      </c>
      <c r="E425" s="122">
        <v>700</v>
      </c>
      <c r="F425" s="112" t="s">
        <v>245</v>
      </c>
      <c r="G425" s="123">
        <v>7</v>
      </c>
      <c r="H425" s="107">
        <v>100</v>
      </c>
      <c r="I425" s="67">
        <v>1</v>
      </c>
      <c r="J425" s="91" t="str">
        <f t="shared" si="13"/>
        <v>SME123</v>
      </c>
      <c r="K425" s="92"/>
    </row>
    <row r="426" customHeight="1" spans="1:11">
      <c r="A426" s="119">
        <v>124</v>
      </c>
      <c r="B426" s="111" t="s">
        <v>454</v>
      </c>
      <c r="C426" s="120" t="s">
        <v>37</v>
      </c>
      <c r="D426" s="121" t="s">
        <v>258</v>
      </c>
      <c r="E426" s="122">
        <v>1100</v>
      </c>
      <c r="F426" s="112" t="s">
        <v>245</v>
      </c>
      <c r="G426" s="123">
        <v>11</v>
      </c>
      <c r="H426" s="107">
        <v>100</v>
      </c>
      <c r="I426" s="67">
        <v>1</v>
      </c>
      <c r="J426" s="91" t="str">
        <f t="shared" si="13"/>
        <v>SME124</v>
      </c>
      <c r="K426" s="92"/>
    </row>
    <row r="427" customHeight="1" spans="1:11">
      <c r="A427" s="119">
        <v>125</v>
      </c>
      <c r="B427" s="111" t="s">
        <v>455</v>
      </c>
      <c r="C427" s="120" t="s">
        <v>37</v>
      </c>
      <c r="D427" s="121" t="s">
        <v>245</v>
      </c>
      <c r="E427" s="122">
        <v>1000</v>
      </c>
      <c r="F427" s="112" t="s">
        <v>245</v>
      </c>
      <c r="G427" s="123">
        <v>1000</v>
      </c>
      <c r="H427" s="107">
        <v>1</v>
      </c>
      <c r="I427" s="67">
        <v>1</v>
      </c>
      <c r="J427" s="91" t="str">
        <f t="shared" si="13"/>
        <v>SME125</v>
      </c>
      <c r="K427" s="92"/>
    </row>
    <row r="428" customHeight="1" spans="1:11">
      <c r="A428" s="119">
        <v>126</v>
      </c>
      <c r="B428" s="111" t="s">
        <v>456</v>
      </c>
      <c r="C428" s="120" t="s">
        <v>37</v>
      </c>
      <c r="D428" s="121" t="s">
        <v>244</v>
      </c>
      <c r="E428" s="122">
        <v>700</v>
      </c>
      <c r="F428" s="112" t="s">
        <v>245</v>
      </c>
      <c r="G428" s="123">
        <v>7</v>
      </c>
      <c r="H428" s="107">
        <v>100</v>
      </c>
      <c r="I428" s="67">
        <v>1</v>
      </c>
      <c r="J428" s="91" t="str">
        <f t="shared" si="13"/>
        <v>SME126</v>
      </c>
      <c r="K428" s="92"/>
    </row>
    <row r="429" customHeight="1" spans="1:11">
      <c r="A429" s="119">
        <v>127</v>
      </c>
      <c r="B429" s="111" t="s">
        <v>457</v>
      </c>
      <c r="C429" s="120" t="s">
        <v>37</v>
      </c>
      <c r="D429" s="121" t="s">
        <v>244</v>
      </c>
      <c r="E429" s="122">
        <v>84</v>
      </c>
      <c r="F429" s="112" t="s">
        <v>245</v>
      </c>
      <c r="G429" s="123">
        <v>84</v>
      </c>
      <c r="H429" s="107">
        <v>1</v>
      </c>
      <c r="I429" s="67">
        <v>1</v>
      </c>
      <c r="J429" s="91" t="str">
        <f t="shared" si="13"/>
        <v>SME127</v>
      </c>
      <c r="K429" s="92"/>
    </row>
    <row r="430" customHeight="1" spans="1:11">
      <c r="A430" s="119">
        <v>128</v>
      </c>
      <c r="B430" s="111" t="s">
        <v>458</v>
      </c>
      <c r="C430" s="120" t="s">
        <v>37</v>
      </c>
      <c r="D430" s="121" t="s">
        <v>244</v>
      </c>
      <c r="E430" s="122">
        <v>10780</v>
      </c>
      <c r="F430" s="112" t="s">
        <v>261</v>
      </c>
      <c r="G430" s="123">
        <v>0.77</v>
      </c>
      <c r="H430" s="107">
        <v>140</v>
      </c>
      <c r="I430" s="67">
        <v>100</v>
      </c>
      <c r="J430" s="91" t="str">
        <f t="shared" si="13"/>
        <v>SME128</v>
      </c>
      <c r="K430" s="92"/>
    </row>
    <row r="431" customHeight="1" spans="2:9">
      <c r="B431"/>
      <c r="C431"/>
      <c r="D431"/>
      <c r="E431"/>
      <c r="F431" s="74"/>
      <c r="H431"/>
      <c r="I431"/>
    </row>
    <row r="432" customHeight="1" spans="2:9">
      <c r="B432"/>
      <c r="C432"/>
      <c r="D432"/>
      <c r="E432"/>
      <c r="F432" s="74"/>
      <c r="H432"/>
      <c r="I432"/>
    </row>
    <row r="433" customFormat="1" customHeight="1" spans="6:6">
      <c r="F433" s="74"/>
    </row>
    <row r="434" customFormat="1" customHeight="1" spans="6:6">
      <c r="F434" s="74"/>
    </row>
    <row r="435" customFormat="1" customHeight="1" spans="6:6">
      <c r="F435" s="74"/>
    </row>
    <row r="436" customFormat="1" customHeight="1" spans="6:6">
      <c r="F436" s="74"/>
    </row>
    <row r="437" customFormat="1" customHeight="1" spans="6:6">
      <c r="F437" s="74"/>
    </row>
    <row r="438" customFormat="1" customHeight="1" spans="6:6">
      <c r="F438" s="74"/>
    </row>
    <row r="439" customFormat="1" customHeight="1" spans="6:6">
      <c r="F439" s="74"/>
    </row>
    <row r="440" customFormat="1" customHeight="1" spans="6:6">
      <c r="F440" s="74"/>
    </row>
    <row r="441" customFormat="1" customHeight="1" spans="6:6">
      <c r="F441" s="74"/>
    </row>
    <row r="442" customFormat="1" customHeight="1" spans="6:6">
      <c r="F442" s="74"/>
    </row>
    <row r="443" customFormat="1" customHeight="1" spans="6:6">
      <c r="F443" s="74"/>
    </row>
    <row r="444" customFormat="1" customHeight="1" spans="6:6">
      <c r="F444" s="74"/>
    </row>
    <row r="445" customFormat="1" customHeight="1" spans="6:6">
      <c r="F445" s="74"/>
    </row>
    <row r="446" customFormat="1" customHeight="1" spans="6:6">
      <c r="F446" s="74"/>
    </row>
    <row r="447" customFormat="1" customHeight="1" spans="6:6">
      <c r="F447" s="74"/>
    </row>
    <row r="448" customFormat="1" customHeight="1" spans="6:6">
      <c r="F448" s="74"/>
    </row>
    <row r="449" customHeight="1" spans="2:9">
      <c r="B449"/>
      <c r="C449"/>
      <c r="D449"/>
      <c r="E449"/>
      <c r="F449" s="74"/>
      <c r="H449"/>
      <c r="I449"/>
    </row>
    <row r="450" customHeight="1" spans="2:9">
      <c r="B450"/>
      <c r="C450"/>
      <c r="D450"/>
      <c r="E450"/>
      <c r="F450" s="74"/>
      <c r="H450"/>
      <c r="I450"/>
    </row>
    <row r="451" customHeight="1" spans="2:9">
      <c r="B451"/>
      <c r="C451"/>
      <c r="D451"/>
      <c r="E451"/>
      <c r="F451" s="74"/>
      <c r="H451"/>
      <c r="I451"/>
    </row>
    <row r="452" customHeight="1" spans="2:9">
      <c r="B452"/>
      <c r="C452"/>
      <c r="D452"/>
      <c r="E452"/>
      <c r="F452" s="74"/>
      <c r="H452"/>
      <c r="I452"/>
    </row>
    <row r="453" customHeight="1" spans="2:9">
      <c r="B453"/>
      <c r="C453"/>
      <c r="D453"/>
      <c r="E453"/>
      <c r="F453" s="74"/>
      <c r="H453"/>
      <c r="I453"/>
    </row>
    <row r="454" customHeight="1" spans="2:9">
      <c r="B454"/>
      <c r="C454"/>
      <c r="D454"/>
      <c r="E454"/>
      <c r="F454" s="74"/>
      <c r="H454"/>
      <c r="I454"/>
    </row>
    <row r="455" customHeight="1" spans="2:9">
      <c r="B455"/>
      <c r="C455"/>
      <c r="D455"/>
      <c r="E455"/>
      <c r="F455" s="74"/>
      <c r="H455"/>
      <c r="I455"/>
    </row>
    <row r="456" customHeight="1" spans="2:9">
      <c r="B456"/>
      <c r="C456"/>
      <c r="D456"/>
      <c r="E456"/>
      <c r="F456" s="74"/>
      <c r="H456"/>
      <c r="I456"/>
    </row>
    <row r="457" customHeight="1" spans="2:9">
      <c r="B457"/>
      <c r="C457"/>
      <c r="D457"/>
      <c r="E457"/>
      <c r="F457" s="74"/>
      <c r="H457"/>
      <c r="I457"/>
    </row>
    <row r="458" customHeight="1" spans="2:9">
      <c r="B458"/>
      <c r="C458"/>
      <c r="D458"/>
      <c r="E458"/>
      <c r="F458" s="74"/>
      <c r="H458"/>
      <c r="I458"/>
    </row>
    <row r="459" customHeight="1" spans="2:9">
      <c r="B459"/>
      <c r="C459"/>
      <c r="D459"/>
      <c r="E459"/>
      <c r="F459" s="74"/>
      <c r="H459"/>
      <c r="I459"/>
    </row>
    <row r="460" customHeight="1" spans="2:9">
      <c r="B460"/>
      <c r="C460"/>
      <c r="D460"/>
      <c r="E460"/>
      <c r="F460" s="74"/>
      <c r="H460"/>
      <c r="I460"/>
    </row>
    <row r="461" customHeight="1" spans="2:9">
      <c r="B461"/>
      <c r="C461"/>
      <c r="D461"/>
      <c r="E461"/>
      <c r="F461" s="74"/>
      <c r="H461"/>
      <c r="I461"/>
    </row>
    <row r="462" customHeight="1" spans="2:9">
      <c r="B462"/>
      <c r="C462"/>
      <c r="D462"/>
      <c r="E462"/>
      <c r="F462" s="74"/>
      <c r="H462"/>
      <c r="I462"/>
    </row>
    <row r="463" customHeight="1" spans="3:9">
      <c r="C463"/>
      <c r="D463"/>
      <c r="E463"/>
      <c r="F463" s="74"/>
      <c r="H463"/>
      <c r="I463"/>
    </row>
    <row r="464" customHeight="1" spans="2:9">
      <c r="B464"/>
      <c r="C464"/>
      <c r="D464"/>
      <c r="E464"/>
      <c r="F464" s="74"/>
      <c r="H464"/>
      <c r="I464"/>
    </row>
    <row r="465" customFormat="1" customHeight="1" spans="6:6">
      <c r="F465" s="74"/>
    </row>
    <row r="466" customFormat="1" customHeight="1" spans="6:6">
      <c r="F466" s="74"/>
    </row>
    <row r="467" customFormat="1" customHeight="1" spans="6:6">
      <c r="F467" s="74"/>
    </row>
    <row r="468" customFormat="1" customHeight="1" spans="6:6">
      <c r="F468" s="74"/>
    </row>
    <row r="469" customFormat="1" customHeight="1" spans="6:6">
      <c r="F469" s="74"/>
    </row>
    <row r="470" customFormat="1" customHeight="1" spans="6:6">
      <c r="F470" s="74"/>
    </row>
    <row r="471" customFormat="1" customHeight="1" spans="6:6">
      <c r="F471" s="74"/>
    </row>
    <row r="472" customFormat="1" customHeight="1" spans="6:6">
      <c r="F472" s="74"/>
    </row>
    <row r="473" customFormat="1" customHeight="1" spans="6:6">
      <c r="F473" s="74"/>
    </row>
    <row r="474" customFormat="1" customHeight="1" spans="6:6">
      <c r="F474" s="74"/>
    </row>
    <row r="475" customFormat="1" customHeight="1" spans="6:6">
      <c r="F475" s="74"/>
    </row>
    <row r="476" customFormat="1" customHeight="1" spans="6:6">
      <c r="F476" s="74"/>
    </row>
    <row r="477" customFormat="1" customHeight="1" spans="6:6">
      <c r="F477" s="74"/>
    </row>
    <row r="478" customFormat="1" customHeight="1" spans="6:6">
      <c r="F478" s="74"/>
    </row>
    <row r="479" customFormat="1" customHeight="1" spans="6:6">
      <c r="F479" s="74"/>
    </row>
    <row r="480" customFormat="1" customHeight="1" spans="6:6">
      <c r="F480" s="74"/>
    </row>
    <row r="481" customFormat="1" customHeight="1" spans="6:6">
      <c r="F481" s="74"/>
    </row>
    <row r="482" customFormat="1" customHeight="1" spans="6:6">
      <c r="F482" s="74"/>
    </row>
    <row r="483" customFormat="1" customHeight="1" spans="6:6">
      <c r="F483" s="74"/>
    </row>
    <row r="484" customFormat="1" customHeight="1" spans="6:6">
      <c r="F484" s="74"/>
    </row>
    <row r="485" customFormat="1" customHeight="1" spans="6:6">
      <c r="F485" s="74"/>
    </row>
    <row r="486" customFormat="1" customHeight="1" spans="6:6">
      <c r="F486" s="74"/>
    </row>
    <row r="487" customFormat="1" customHeight="1" spans="6:6">
      <c r="F487" s="74"/>
    </row>
    <row r="488" customFormat="1" customHeight="1" spans="6:6">
      <c r="F488" s="74"/>
    </row>
    <row r="489" customFormat="1" customHeight="1" spans="6:6">
      <c r="F489" s="74"/>
    </row>
    <row r="490" customFormat="1" customHeight="1" spans="6:6">
      <c r="F490" s="74"/>
    </row>
    <row r="491" customFormat="1" customHeight="1" spans="6:6">
      <c r="F491" s="74"/>
    </row>
    <row r="492" customFormat="1" customHeight="1" spans="6:6">
      <c r="F492" s="74"/>
    </row>
    <row r="493" customFormat="1" customHeight="1" spans="6:6">
      <c r="F493" s="74"/>
    </row>
    <row r="494" customFormat="1" customHeight="1" spans="6:6">
      <c r="F494" s="74"/>
    </row>
    <row r="495" customFormat="1" customHeight="1" spans="6:6">
      <c r="F495" s="74"/>
    </row>
    <row r="496" customFormat="1" customHeight="1" spans="6:6">
      <c r="F496" s="74"/>
    </row>
    <row r="497" customFormat="1" customHeight="1" spans="6:6">
      <c r="F497" s="74"/>
    </row>
    <row r="498" customFormat="1" customHeight="1" spans="6:6">
      <c r="F498" s="74"/>
    </row>
    <row r="499" customFormat="1" customHeight="1" spans="6:6">
      <c r="F499" s="74"/>
    </row>
    <row r="500" customFormat="1" customHeight="1" spans="6:6">
      <c r="F500" s="74"/>
    </row>
    <row r="501" customFormat="1" customHeight="1" spans="6:6">
      <c r="F501" s="74"/>
    </row>
    <row r="502" customFormat="1" customHeight="1" spans="6:6">
      <c r="F502" s="74"/>
    </row>
    <row r="503" customFormat="1" customHeight="1" spans="6:6">
      <c r="F503" s="74"/>
    </row>
    <row r="504" customFormat="1" customHeight="1" spans="6:6">
      <c r="F504" s="74"/>
    </row>
    <row r="505" customFormat="1" customHeight="1" spans="6:6">
      <c r="F505" s="74"/>
    </row>
    <row r="506" customFormat="1" customHeight="1" spans="6:6">
      <c r="F506" s="74"/>
    </row>
    <row r="507" customFormat="1" customHeight="1" spans="6:6">
      <c r="F507" s="74"/>
    </row>
    <row r="508" customFormat="1" customHeight="1" spans="6:6">
      <c r="F508" s="74"/>
    </row>
    <row r="509" customFormat="1" customHeight="1" spans="6:6">
      <c r="F509" s="74"/>
    </row>
    <row r="510" customFormat="1" customHeight="1" spans="6:6">
      <c r="F510" s="74"/>
    </row>
    <row r="511" customFormat="1" customHeight="1" spans="6:6">
      <c r="F511" s="74"/>
    </row>
    <row r="512" customFormat="1" customHeight="1" spans="6:6">
      <c r="F512" s="74"/>
    </row>
    <row r="513" customFormat="1" customHeight="1" spans="6:6">
      <c r="F513" s="74"/>
    </row>
    <row r="514" customFormat="1" customHeight="1" spans="6:6">
      <c r="F514" s="74"/>
    </row>
    <row r="515" customFormat="1" customHeight="1" spans="6:6">
      <c r="F515" s="74"/>
    </row>
    <row r="516" customFormat="1" customHeight="1" spans="6:6">
      <c r="F516" s="74"/>
    </row>
    <row r="517" customFormat="1" customHeight="1" spans="6:6">
      <c r="F517" s="74"/>
    </row>
    <row r="518" customFormat="1" customHeight="1" spans="6:6">
      <c r="F518" s="74"/>
    </row>
    <row r="519" customFormat="1" customHeight="1" spans="6:6">
      <c r="F519" s="74"/>
    </row>
    <row r="520" customFormat="1" customHeight="1" spans="6:6">
      <c r="F520" s="74"/>
    </row>
    <row r="521" customFormat="1" customHeight="1" spans="6:6">
      <c r="F521" s="74"/>
    </row>
    <row r="522" customFormat="1" customHeight="1" spans="6:6">
      <c r="F522" s="74"/>
    </row>
    <row r="523" customFormat="1" customHeight="1" spans="6:6">
      <c r="F523" s="74"/>
    </row>
    <row r="524" customFormat="1" customHeight="1" spans="6:6">
      <c r="F524" s="74"/>
    </row>
    <row r="525" customFormat="1" customHeight="1" spans="6:6">
      <c r="F525" s="74"/>
    </row>
    <row r="526" customFormat="1" customHeight="1" spans="6:6">
      <c r="F526" s="74"/>
    </row>
    <row r="527" customFormat="1" customHeight="1" spans="6:6">
      <c r="F527" s="74"/>
    </row>
    <row r="528" customFormat="1" customHeight="1" spans="6:6">
      <c r="F528" s="74"/>
    </row>
    <row r="529" customFormat="1" customHeight="1" spans="6:6">
      <c r="F529" s="74"/>
    </row>
    <row r="530" customFormat="1" customHeight="1" spans="6:6">
      <c r="F530" s="74"/>
    </row>
    <row r="531" customFormat="1" customHeight="1" spans="6:6">
      <c r="F531" s="74"/>
    </row>
    <row r="532" customFormat="1" customHeight="1" spans="6:6">
      <c r="F532" s="74"/>
    </row>
    <row r="533" customFormat="1" customHeight="1" spans="6:6">
      <c r="F533" s="74"/>
    </row>
    <row r="534" customFormat="1" customHeight="1" spans="6:6">
      <c r="F534" s="74"/>
    </row>
    <row r="535" customFormat="1" customHeight="1" spans="6:6">
      <c r="F535" s="74"/>
    </row>
    <row r="536" customFormat="1" customHeight="1" spans="6:6">
      <c r="F536" s="74"/>
    </row>
    <row r="537" customFormat="1" customHeight="1" spans="6:6">
      <c r="F537" s="74"/>
    </row>
    <row r="538" customFormat="1" customHeight="1" spans="6:6">
      <c r="F538" s="74"/>
    </row>
    <row r="539" customFormat="1" customHeight="1" spans="6:6">
      <c r="F539" s="74"/>
    </row>
    <row r="540" customFormat="1" customHeight="1" spans="6:6">
      <c r="F540" s="74"/>
    </row>
    <row r="541" customFormat="1" customHeight="1" spans="6:6">
      <c r="F541" s="74"/>
    </row>
    <row r="542" customFormat="1" customHeight="1" spans="6:6">
      <c r="F542" s="74"/>
    </row>
    <row r="543" customFormat="1" customHeight="1" spans="6:6">
      <c r="F543" s="74"/>
    </row>
    <row r="544" customFormat="1" customHeight="1" spans="6:6">
      <c r="F544" s="74"/>
    </row>
    <row r="545" customFormat="1" customHeight="1" spans="6:6">
      <c r="F545" s="74"/>
    </row>
    <row r="546" customFormat="1" customHeight="1" spans="6:6">
      <c r="F546" s="74"/>
    </row>
    <row r="547" customFormat="1" customHeight="1" spans="6:6">
      <c r="F547" s="74"/>
    </row>
    <row r="548" customFormat="1" customHeight="1" spans="6:6">
      <c r="F548" s="74"/>
    </row>
    <row r="549" customFormat="1" customHeight="1" spans="6:6">
      <c r="F549" s="74"/>
    </row>
    <row r="550" customFormat="1" customHeight="1" spans="6:6">
      <c r="F550" s="74"/>
    </row>
    <row r="551" customFormat="1" customHeight="1" spans="6:6">
      <c r="F551" s="74"/>
    </row>
    <row r="552" customFormat="1" customHeight="1" spans="6:6">
      <c r="F552" s="74"/>
    </row>
    <row r="553" customFormat="1" customHeight="1" spans="6:6">
      <c r="F553" s="74"/>
    </row>
    <row r="554" customFormat="1" customHeight="1" spans="6:6">
      <c r="F554" s="74"/>
    </row>
    <row r="555" customFormat="1" customHeight="1" spans="6:6">
      <c r="F555" s="74"/>
    </row>
    <row r="556" customFormat="1" customHeight="1" spans="6:6">
      <c r="F556" s="74"/>
    </row>
    <row r="557" customFormat="1" customHeight="1" spans="6:6">
      <c r="F557" s="74"/>
    </row>
    <row r="558" customFormat="1" customHeight="1" spans="6:6">
      <c r="F558" s="74"/>
    </row>
    <row r="559" customFormat="1" customHeight="1" spans="6:6">
      <c r="F559" s="74"/>
    </row>
    <row r="560" customFormat="1" customHeight="1" spans="6:6">
      <c r="F560" s="74"/>
    </row>
    <row r="561" customFormat="1" customHeight="1" spans="6:6">
      <c r="F561" s="74"/>
    </row>
    <row r="562" customFormat="1" customHeight="1" spans="6:6">
      <c r="F562" s="74"/>
    </row>
    <row r="563" customFormat="1" customHeight="1" spans="6:6">
      <c r="F563" s="74"/>
    </row>
    <row r="564" customFormat="1" customHeight="1" spans="6:6">
      <c r="F564" s="74"/>
    </row>
    <row r="565" customFormat="1" customHeight="1" spans="6:6">
      <c r="F565" s="74"/>
    </row>
    <row r="566" customFormat="1" ht="17.25" customHeight="1" spans="6:6">
      <c r="F566" s="74"/>
    </row>
    <row r="567" customFormat="1" customHeight="1" spans="6:6">
      <c r="F567" s="74"/>
    </row>
    <row r="568" customFormat="1" ht="27.75" customHeight="1" spans="6:6">
      <c r="F568" s="74"/>
    </row>
    <row r="569" customFormat="1" spans="6:6">
      <c r="F569" s="74"/>
    </row>
    <row r="570" customFormat="1" customHeight="1" spans="6:6">
      <c r="F570" s="74"/>
    </row>
    <row r="571" customFormat="1" customHeight="1" spans="6:6">
      <c r="F571" s="74"/>
    </row>
    <row r="572" customFormat="1" customHeight="1" spans="6:6">
      <c r="F572" s="74"/>
    </row>
    <row r="573" customFormat="1" customHeight="1" spans="6:6">
      <c r="F573" s="74"/>
    </row>
    <row r="574" customFormat="1" customHeight="1" spans="6:6">
      <c r="F574" s="74"/>
    </row>
    <row r="575" customFormat="1" customHeight="1" spans="6:6">
      <c r="F575" s="74"/>
    </row>
    <row r="576" customFormat="1" customHeight="1" spans="6:6">
      <c r="F576" s="74"/>
    </row>
    <row r="577" customFormat="1" customHeight="1" spans="6:6">
      <c r="F577" s="74"/>
    </row>
    <row r="578" customFormat="1" customHeight="1" spans="6:6">
      <c r="F578" s="74"/>
    </row>
    <row r="579" customFormat="1" customHeight="1" spans="6:6">
      <c r="F579" s="74"/>
    </row>
    <row r="580" customFormat="1" customHeight="1" spans="6:6">
      <c r="F580" s="74"/>
    </row>
    <row r="581" customFormat="1" customHeight="1" spans="6:6">
      <c r="F581" s="74"/>
    </row>
    <row r="582" customFormat="1" customHeight="1" spans="6:6">
      <c r="F582" s="74"/>
    </row>
    <row r="583" customFormat="1" customHeight="1" spans="6:6">
      <c r="F583" s="74"/>
    </row>
    <row r="584" customFormat="1" customHeight="1" spans="6:6">
      <c r="F584" s="74"/>
    </row>
    <row r="585" customFormat="1" customHeight="1" spans="6:6">
      <c r="F585" s="74"/>
    </row>
    <row r="586" customFormat="1" customHeight="1" spans="6:6">
      <c r="F586" s="74"/>
    </row>
    <row r="587" customFormat="1" customHeight="1" spans="6:6">
      <c r="F587" s="74"/>
    </row>
    <row r="588" customFormat="1" customHeight="1" spans="6:6">
      <c r="F588" s="74"/>
    </row>
    <row r="589" customFormat="1" customHeight="1" spans="6:6">
      <c r="F589" s="74"/>
    </row>
    <row r="590" customFormat="1" customHeight="1" spans="6:6">
      <c r="F590" s="74"/>
    </row>
    <row r="591" customFormat="1" customHeight="1" spans="6:6">
      <c r="F591" s="74"/>
    </row>
    <row r="592" customFormat="1" customHeight="1" spans="6:6">
      <c r="F592" s="74"/>
    </row>
    <row r="593" customFormat="1" customHeight="1" spans="6:6">
      <c r="F593" s="74"/>
    </row>
    <row r="594" customFormat="1" customHeight="1" spans="6:6">
      <c r="F594" s="74"/>
    </row>
    <row r="595" customFormat="1" customHeight="1" spans="6:6">
      <c r="F595" s="74"/>
    </row>
    <row r="596" customFormat="1" customHeight="1" spans="6:6">
      <c r="F596" s="74"/>
    </row>
    <row r="597" customFormat="1" customHeight="1" spans="6:6">
      <c r="F597" s="74"/>
    </row>
    <row r="598" customFormat="1" customHeight="1" spans="6:6">
      <c r="F598" s="74"/>
    </row>
    <row r="599" customFormat="1" customHeight="1" spans="6:6">
      <c r="F599" s="74"/>
    </row>
    <row r="600" customFormat="1" customHeight="1" spans="6:6">
      <c r="F600" s="74"/>
    </row>
    <row r="601" customFormat="1" customHeight="1" spans="6:6">
      <c r="F601" s="74"/>
    </row>
    <row r="602" customFormat="1" customHeight="1" spans="6:6">
      <c r="F602" s="74"/>
    </row>
    <row r="603" customFormat="1" customHeight="1" spans="6:6">
      <c r="F603" s="74"/>
    </row>
    <row r="604" customFormat="1" customHeight="1" spans="6:6">
      <c r="F604" s="74"/>
    </row>
    <row r="605" customFormat="1" customHeight="1" spans="6:6">
      <c r="F605" s="74"/>
    </row>
    <row r="606" customFormat="1" customHeight="1" spans="6:6">
      <c r="F606" s="74"/>
    </row>
    <row r="607" customFormat="1" customHeight="1" spans="6:6">
      <c r="F607" s="74"/>
    </row>
    <row r="608" customFormat="1" customHeight="1" spans="6:6">
      <c r="F608" s="74"/>
    </row>
    <row r="609" customHeight="1" spans="2:9">
      <c r="B609"/>
      <c r="C609"/>
      <c r="D609"/>
      <c r="E609"/>
      <c r="F609" s="74"/>
      <c r="H609"/>
      <c r="I609"/>
    </row>
    <row r="610" customHeight="1" spans="1:10">
      <c r="A610" s="25"/>
      <c r="B610" s="125" t="s">
        <v>126</v>
      </c>
      <c r="C610" s="25"/>
      <c r="D610" s="25"/>
      <c r="E610" s="25"/>
      <c r="F610" s="76"/>
      <c r="G610" s="25"/>
      <c r="H610" s="25"/>
      <c r="I610" s="25"/>
      <c r="J610" s="25"/>
    </row>
    <row r="611" customHeight="1" spans="2:9">
      <c r="B611"/>
      <c r="C611"/>
      <c r="D611"/>
      <c r="E611"/>
      <c r="F611" s="74"/>
      <c r="H611"/>
      <c r="I611"/>
    </row>
    <row r="612" ht="30.75" customHeight="1" spans="1:9">
      <c r="A612" s="126" t="s">
        <v>96</v>
      </c>
      <c r="B612" s="127">
        <f>SUBTOTAL(3,(B614:B638))</f>
        <v>25</v>
      </c>
      <c r="C612" s="128"/>
      <c r="D612" s="128"/>
      <c r="E612"/>
      <c r="F612" s="74"/>
      <c r="H612"/>
      <c r="I612"/>
    </row>
    <row r="613" customHeight="1" spans="1:11">
      <c r="A613" s="96" t="s">
        <v>79</v>
      </c>
      <c r="B613" s="129" t="s">
        <v>98</v>
      </c>
      <c r="C613" s="98" t="s">
        <v>99</v>
      </c>
      <c r="D613" s="99" t="s">
        <v>100</v>
      </c>
      <c r="E613" s="82" t="s">
        <v>101</v>
      </c>
      <c r="F613" s="58" t="s">
        <v>102</v>
      </c>
      <c r="G613" s="56" t="s">
        <v>103</v>
      </c>
      <c r="H613" s="59" t="s">
        <v>104</v>
      </c>
      <c r="I613" s="59" t="s">
        <v>105</v>
      </c>
      <c r="J613" s="89" t="s">
        <v>106</v>
      </c>
      <c r="K613" s="90" t="s">
        <v>107</v>
      </c>
    </row>
    <row r="614" ht="25.5" customHeight="1" spans="1:11">
      <c r="A614" s="60">
        <v>1</v>
      </c>
      <c r="B614" s="111" t="s">
        <v>30</v>
      </c>
      <c r="C614" s="83" t="s">
        <v>29</v>
      </c>
      <c r="D614" s="63" t="s">
        <v>459</v>
      </c>
      <c r="E614" s="64">
        <v>380</v>
      </c>
      <c r="F614" s="65" t="s">
        <v>459</v>
      </c>
      <c r="G614" s="66">
        <f>IF(BD!$E614="","",(E614/(H614*I614)))</f>
        <v>380</v>
      </c>
      <c r="H614" s="67">
        <v>1</v>
      </c>
      <c r="I614" s="67">
        <v>1</v>
      </c>
      <c r="J614" s="91" t="str">
        <f t="shared" ref="J614:J638" si="14">CONCATENATE(LEFT(C614,1),"_",TEXT(A614,"000"))</f>
        <v>C_001</v>
      </c>
      <c r="K614" s="92"/>
    </row>
    <row r="615" spans="1:11">
      <c r="A615" s="60">
        <f t="shared" ref="A615:A638" si="15">A614+1</f>
        <v>2</v>
      </c>
      <c r="B615" s="130" t="s">
        <v>460</v>
      </c>
      <c r="C615" s="83" t="s">
        <v>29</v>
      </c>
      <c r="D615" s="131" t="s">
        <v>459</v>
      </c>
      <c r="E615" s="132">
        <v>848.47</v>
      </c>
      <c r="F615" s="133" t="s">
        <v>459</v>
      </c>
      <c r="G615" s="66">
        <f>IF(BD!$E617="","",(E615/(H615*I615)))</f>
        <v>848.47</v>
      </c>
      <c r="H615" s="67">
        <v>1</v>
      </c>
      <c r="I615" s="67">
        <v>1</v>
      </c>
      <c r="J615" s="91" t="str">
        <f t="shared" si="14"/>
        <v>C_002</v>
      </c>
      <c r="K615" s="92"/>
    </row>
    <row r="616" customHeight="1" spans="1:11">
      <c r="A616" s="60">
        <f t="shared" si="15"/>
        <v>3</v>
      </c>
      <c r="B616" s="124" t="s">
        <v>461</v>
      </c>
      <c r="C616" s="83" t="s">
        <v>29</v>
      </c>
      <c r="D616" s="63" t="s">
        <v>462</v>
      </c>
      <c r="E616" s="64"/>
      <c r="F616" s="65" t="s">
        <v>462</v>
      </c>
      <c r="G616" s="66">
        <f>IF(BD!$E638="","",(E616/(H616*I616)))</f>
        <v>0</v>
      </c>
      <c r="H616" s="67">
        <v>1</v>
      </c>
      <c r="I616" s="67">
        <v>1</v>
      </c>
      <c r="J616" s="91" t="str">
        <f t="shared" si="14"/>
        <v>C_003</v>
      </c>
      <c r="K616" s="92"/>
    </row>
    <row r="617" customHeight="1" spans="1:11">
      <c r="A617" s="60">
        <f t="shared" si="15"/>
        <v>4</v>
      </c>
      <c r="B617" s="111" t="s">
        <v>463</v>
      </c>
      <c r="C617" s="83" t="s">
        <v>29</v>
      </c>
      <c r="D617" s="131" t="s">
        <v>459</v>
      </c>
      <c r="E617" s="64">
        <v>815</v>
      </c>
      <c r="F617" s="65" t="s">
        <v>459</v>
      </c>
      <c r="G617" s="66" t="str">
        <f>IF(BD!$E616="","",(E617/(H617*I617)))</f>
        <v/>
      </c>
      <c r="H617" s="67">
        <v>1</v>
      </c>
      <c r="I617" s="67">
        <v>1</v>
      </c>
      <c r="J617" s="91" t="str">
        <f t="shared" si="14"/>
        <v>C_004</v>
      </c>
      <c r="K617" s="92"/>
    </row>
    <row r="618" customHeight="1" spans="1:11">
      <c r="A618" s="60">
        <f t="shared" si="15"/>
        <v>5</v>
      </c>
      <c r="B618" s="111" t="s">
        <v>464</v>
      </c>
      <c r="C618" s="83" t="s">
        <v>29</v>
      </c>
      <c r="D618" s="131" t="s">
        <v>459</v>
      </c>
      <c r="E618" s="64">
        <v>623.666666666667</v>
      </c>
      <c r="F618" s="65" t="s">
        <v>459</v>
      </c>
      <c r="G618" s="66">
        <f>IF(BD!$E617="","",(E618/(H618*I618)))</f>
        <v>623.666666666667</v>
      </c>
      <c r="H618" s="67">
        <v>1</v>
      </c>
      <c r="I618" s="67">
        <v>1</v>
      </c>
      <c r="J618" s="91" t="str">
        <f t="shared" si="14"/>
        <v>C_005</v>
      </c>
      <c r="K618" s="92"/>
    </row>
    <row r="619" customHeight="1" spans="1:11">
      <c r="A619" s="60">
        <f t="shared" si="15"/>
        <v>6</v>
      </c>
      <c r="B619" s="111" t="s">
        <v>465</v>
      </c>
      <c r="C619" s="83" t="s">
        <v>29</v>
      </c>
      <c r="D619" s="63" t="s">
        <v>459</v>
      </c>
      <c r="E619" s="64">
        <v>698.53</v>
      </c>
      <c r="F619" s="65" t="s">
        <v>459</v>
      </c>
      <c r="G619" s="66">
        <f>IF(BD!$E618="","",(E619/(H619*I619)))</f>
        <v>698.53</v>
      </c>
      <c r="H619" s="67">
        <v>1</v>
      </c>
      <c r="I619" s="67">
        <v>1</v>
      </c>
      <c r="J619" s="91" t="str">
        <f t="shared" si="14"/>
        <v>C_006</v>
      </c>
      <c r="K619" s="92"/>
    </row>
    <row r="620" customHeight="1" spans="1:11">
      <c r="A620" s="60">
        <f t="shared" si="15"/>
        <v>7</v>
      </c>
      <c r="B620" s="111" t="s">
        <v>466</v>
      </c>
      <c r="C620" s="83" t="s">
        <v>29</v>
      </c>
      <c r="D620" s="63" t="s">
        <v>459</v>
      </c>
      <c r="E620" s="64">
        <v>390.666666666667</v>
      </c>
      <c r="F620" s="65" t="s">
        <v>459</v>
      </c>
      <c r="G620" s="66">
        <f>IF(BD!$E619="","",(E620/(H620*I620)))</f>
        <v>390.666666666667</v>
      </c>
      <c r="H620" s="67">
        <v>1</v>
      </c>
      <c r="I620" s="67">
        <v>1</v>
      </c>
      <c r="J620" s="91" t="str">
        <f t="shared" si="14"/>
        <v>C_007</v>
      </c>
      <c r="K620" s="92"/>
    </row>
    <row r="621" customHeight="1" spans="1:11">
      <c r="A621" s="60">
        <f t="shared" si="15"/>
        <v>8</v>
      </c>
      <c r="B621" s="111" t="s">
        <v>467</v>
      </c>
      <c r="C621" s="83" t="s">
        <v>29</v>
      </c>
      <c r="D621" s="63" t="s">
        <v>459</v>
      </c>
      <c r="E621" s="64">
        <v>477.19</v>
      </c>
      <c r="F621" s="133" t="s">
        <v>459</v>
      </c>
      <c r="G621" s="66">
        <f>IF(BD!$E620="","",(E621/(H621*I621)))</f>
        <v>477.19</v>
      </c>
      <c r="H621" s="67">
        <v>1</v>
      </c>
      <c r="I621" s="67">
        <v>1</v>
      </c>
      <c r="J621" s="91" t="str">
        <f t="shared" si="14"/>
        <v>C_008</v>
      </c>
      <c r="K621" s="92"/>
    </row>
    <row r="622" customHeight="1" spans="1:11">
      <c r="A622" s="60">
        <f t="shared" si="15"/>
        <v>9</v>
      </c>
      <c r="B622" s="111" t="s">
        <v>468</v>
      </c>
      <c r="C622" s="83" t="s">
        <v>29</v>
      </c>
      <c r="D622" s="63" t="s">
        <v>459</v>
      </c>
      <c r="E622" s="64">
        <v>998.41</v>
      </c>
      <c r="F622" s="65" t="s">
        <v>459</v>
      </c>
      <c r="G622" s="66">
        <f>IF(BD!$E621="","",(E622/(H622*I622)))</f>
        <v>998.41</v>
      </c>
      <c r="H622" s="67">
        <v>1</v>
      </c>
      <c r="I622" s="67">
        <v>1</v>
      </c>
      <c r="J622" s="91" t="str">
        <f t="shared" si="14"/>
        <v>C_009</v>
      </c>
      <c r="K622" s="92"/>
    </row>
    <row r="623" customHeight="1" spans="1:11">
      <c r="A623" s="60">
        <f t="shared" si="15"/>
        <v>10</v>
      </c>
      <c r="B623" s="111" t="s">
        <v>469</v>
      </c>
      <c r="C623" s="83" t="s">
        <v>29</v>
      </c>
      <c r="D623" s="63" t="s">
        <v>459</v>
      </c>
      <c r="E623" s="64">
        <v>898.45</v>
      </c>
      <c r="F623" s="65" t="s">
        <v>459</v>
      </c>
      <c r="G623" s="66">
        <f>IF(BD!$E622="","",(E623/(H623*I623)))</f>
        <v>898.45</v>
      </c>
      <c r="H623" s="67">
        <v>1</v>
      </c>
      <c r="I623" s="67">
        <v>1</v>
      </c>
      <c r="J623" s="91" t="str">
        <f t="shared" si="14"/>
        <v>C_010</v>
      </c>
      <c r="K623" s="92"/>
    </row>
    <row r="624" customHeight="1" spans="1:11">
      <c r="A624" s="60">
        <f t="shared" si="15"/>
        <v>11</v>
      </c>
      <c r="B624" s="111" t="s">
        <v>470</v>
      </c>
      <c r="C624" s="83" t="s">
        <v>29</v>
      </c>
      <c r="D624" s="134" t="s">
        <v>459</v>
      </c>
      <c r="E624" s="135">
        <v>1500</v>
      </c>
      <c r="F624" s="136" t="s">
        <v>459</v>
      </c>
      <c r="G624" s="66">
        <f>IF(BD!$E623="","",(E624/(H624*I624)))</f>
        <v>1500</v>
      </c>
      <c r="H624" s="137">
        <v>1</v>
      </c>
      <c r="I624" s="137">
        <v>1</v>
      </c>
      <c r="J624" s="92" t="str">
        <f t="shared" si="14"/>
        <v>C_011</v>
      </c>
      <c r="K624" s="92"/>
    </row>
    <row r="625" customHeight="1" spans="1:11">
      <c r="A625" s="60">
        <f t="shared" si="15"/>
        <v>12</v>
      </c>
      <c r="B625" s="72" t="s">
        <v>471</v>
      </c>
      <c r="C625" s="83" t="s">
        <v>29</v>
      </c>
      <c r="D625" s="63" t="s">
        <v>459</v>
      </c>
      <c r="E625" s="138">
        <v>53371.5</v>
      </c>
      <c r="F625" s="133" t="s">
        <v>459</v>
      </c>
      <c r="G625" s="66">
        <f>IF(BD!$E624="","",(E625/(H625*I625)))</f>
        <v>53371.5</v>
      </c>
      <c r="H625" s="67">
        <v>1</v>
      </c>
      <c r="I625" s="67">
        <v>1</v>
      </c>
      <c r="J625" s="91" t="str">
        <f t="shared" si="14"/>
        <v>C_012</v>
      </c>
      <c r="K625" s="92"/>
    </row>
    <row r="626" customHeight="1" spans="1:11">
      <c r="A626" s="60">
        <f t="shared" si="15"/>
        <v>13</v>
      </c>
      <c r="B626" s="111" t="s">
        <v>472</v>
      </c>
      <c r="C626" s="83" t="s">
        <v>29</v>
      </c>
      <c r="D626" s="63" t="s">
        <v>459</v>
      </c>
      <c r="E626" s="64">
        <v>897.26</v>
      </c>
      <c r="F626" s="65" t="s">
        <v>459</v>
      </c>
      <c r="G626" s="66">
        <f>IF(BD!$E625="","",(E626/(H626*I626)))</f>
        <v>897.26</v>
      </c>
      <c r="H626" s="67">
        <v>1</v>
      </c>
      <c r="I626" s="67">
        <v>1</v>
      </c>
      <c r="J626" s="91" t="str">
        <f t="shared" si="14"/>
        <v>C_013</v>
      </c>
      <c r="K626" s="92"/>
    </row>
    <row r="627" customHeight="1" spans="1:11">
      <c r="A627" s="60">
        <f t="shared" si="15"/>
        <v>14</v>
      </c>
      <c r="B627" s="111" t="s">
        <v>473</v>
      </c>
      <c r="C627" s="83" t="s">
        <v>29</v>
      </c>
      <c r="D627" s="139" t="s">
        <v>459</v>
      </c>
      <c r="E627" s="64">
        <v>1673.3335</v>
      </c>
      <c r="F627" s="65" t="s">
        <v>459</v>
      </c>
      <c r="G627" s="66">
        <f>IF(BD!$E626="","",(E627/(H627*I627)))</f>
        <v>1673.3335</v>
      </c>
      <c r="H627" s="67">
        <v>1</v>
      </c>
      <c r="I627" s="67">
        <v>1</v>
      </c>
      <c r="J627" s="91" t="str">
        <f t="shared" si="14"/>
        <v>C_014</v>
      </c>
      <c r="K627" s="92"/>
    </row>
    <row r="628" customHeight="1" spans="1:11">
      <c r="A628" s="60">
        <f t="shared" si="15"/>
        <v>15</v>
      </c>
      <c r="B628" s="130" t="s">
        <v>474</v>
      </c>
      <c r="C628" s="83" t="s">
        <v>29</v>
      </c>
      <c r="D628" s="131" t="s">
        <v>459</v>
      </c>
      <c r="E628" s="140">
        <v>250</v>
      </c>
      <c r="F628" s="133" t="s">
        <v>459</v>
      </c>
      <c r="G628" s="66">
        <f>IF(BD!$E627="","",(E628/(H628*I628)))</f>
        <v>250</v>
      </c>
      <c r="H628" s="67">
        <v>1</v>
      </c>
      <c r="I628" s="67">
        <v>1</v>
      </c>
      <c r="J628" s="91" t="str">
        <f t="shared" si="14"/>
        <v>C_015</v>
      </c>
      <c r="K628" s="92"/>
    </row>
    <row r="629" customHeight="1" spans="1:11">
      <c r="A629" s="60">
        <f t="shared" si="15"/>
        <v>16</v>
      </c>
      <c r="B629" s="130" t="s">
        <v>475</v>
      </c>
      <c r="C629" s="83" t="s">
        <v>29</v>
      </c>
      <c r="D629" s="131" t="s">
        <v>459</v>
      </c>
      <c r="E629" s="132">
        <v>898.45</v>
      </c>
      <c r="F629" s="133" t="s">
        <v>459</v>
      </c>
      <c r="G629" s="66">
        <f>IF(BD!$E628="","",(E629/(H629*I629)))</f>
        <v>898.45</v>
      </c>
      <c r="H629" s="67">
        <v>1</v>
      </c>
      <c r="I629" s="67">
        <v>1</v>
      </c>
      <c r="J629" s="91" t="str">
        <f t="shared" si="14"/>
        <v>C_016</v>
      </c>
      <c r="K629" s="92"/>
    </row>
    <row r="630" customHeight="1" spans="1:11">
      <c r="A630" s="60">
        <f t="shared" si="15"/>
        <v>17</v>
      </c>
      <c r="B630" s="141" t="s">
        <v>476</v>
      </c>
      <c r="C630" s="83" t="s">
        <v>29</v>
      </c>
      <c r="D630" s="142" t="s">
        <v>459</v>
      </c>
      <c r="E630" s="143">
        <v>898.45</v>
      </c>
      <c r="F630" s="133" t="s">
        <v>459</v>
      </c>
      <c r="G630" s="66">
        <f>IF(BD!$E629="","",(E630/(H630*I630)))</f>
        <v>898.45</v>
      </c>
      <c r="H630" s="67">
        <v>1</v>
      </c>
      <c r="I630" s="67">
        <v>1</v>
      </c>
      <c r="J630" s="91" t="str">
        <f t="shared" si="14"/>
        <v>C_017</v>
      </c>
      <c r="K630" s="92"/>
    </row>
    <row r="631" customHeight="1" spans="1:11">
      <c r="A631" s="60">
        <f t="shared" si="15"/>
        <v>18</v>
      </c>
      <c r="B631" s="141" t="s">
        <v>477</v>
      </c>
      <c r="C631" s="83" t="s">
        <v>29</v>
      </c>
      <c r="D631" s="142" t="s">
        <v>459</v>
      </c>
      <c r="E631" s="143">
        <v>549.78</v>
      </c>
      <c r="F631" s="133" t="s">
        <v>459</v>
      </c>
      <c r="G631" s="66">
        <f>IF(BD!$E630="","",(E631/(H631*I631)))</f>
        <v>549.78</v>
      </c>
      <c r="H631" s="67">
        <v>1</v>
      </c>
      <c r="I631" s="67">
        <v>1</v>
      </c>
      <c r="J631" s="91" t="str">
        <f t="shared" si="14"/>
        <v>C_018</v>
      </c>
      <c r="K631" s="92"/>
    </row>
    <row r="632" customHeight="1" spans="1:11">
      <c r="A632" s="60">
        <f t="shared" si="15"/>
        <v>19</v>
      </c>
      <c r="B632" s="141" t="s">
        <v>478</v>
      </c>
      <c r="C632" s="83" t="s">
        <v>29</v>
      </c>
      <c r="D632" s="142" t="s">
        <v>459</v>
      </c>
      <c r="E632" s="144">
        <v>357</v>
      </c>
      <c r="F632" s="133" t="s">
        <v>459</v>
      </c>
      <c r="G632" s="66">
        <f>IF(BD!$E631="","",(E632/(H632*I632)))</f>
        <v>357</v>
      </c>
      <c r="H632" s="67">
        <v>1</v>
      </c>
      <c r="I632" s="67">
        <v>1</v>
      </c>
      <c r="J632" s="91" t="str">
        <f t="shared" si="14"/>
        <v>C_019</v>
      </c>
      <c r="K632" s="92"/>
    </row>
    <row r="633" customHeight="1" spans="1:11">
      <c r="A633" s="60">
        <f t="shared" si="15"/>
        <v>20</v>
      </c>
      <c r="B633" s="141" t="s">
        <v>479</v>
      </c>
      <c r="C633" s="83" t="s">
        <v>29</v>
      </c>
      <c r="D633" s="142" t="s">
        <v>459</v>
      </c>
      <c r="E633" s="143">
        <v>998.41</v>
      </c>
      <c r="F633" s="133" t="s">
        <v>459</v>
      </c>
      <c r="G633" s="66">
        <f>IF(BD!$E632="","",(E633/(H633*I633)))</f>
        <v>998.41</v>
      </c>
      <c r="H633" s="67">
        <v>1</v>
      </c>
      <c r="I633" s="67">
        <v>1</v>
      </c>
      <c r="J633" s="91" t="str">
        <f t="shared" si="14"/>
        <v>C_020</v>
      </c>
      <c r="K633" s="92"/>
    </row>
    <row r="634" customHeight="1" spans="1:11">
      <c r="A634" s="60">
        <f t="shared" si="15"/>
        <v>21</v>
      </c>
      <c r="B634" s="141" t="s">
        <v>31</v>
      </c>
      <c r="C634" s="83" t="s">
        <v>29</v>
      </c>
      <c r="D634" s="145" t="s">
        <v>459</v>
      </c>
      <c r="E634" s="143">
        <v>898.45</v>
      </c>
      <c r="F634" s="146" t="s">
        <v>459</v>
      </c>
      <c r="G634" s="66">
        <f>IF(BD!$E633="","",(E634/(H634*I634)))</f>
        <v>898.45</v>
      </c>
      <c r="H634" s="67">
        <v>1</v>
      </c>
      <c r="I634" s="67">
        <v>1</v>
      </c>
      <c r="J634" s="91" t="str">
        <f t="shared" si="14"/>
        <v>C_021</v>
      </c>
      <c r="K634" s="92"/>
    </row>
    <row r="635" customHeight="1" spans="1:11">
      <c r="A635" s="60">
        <f t="shared" si="15"/>
        <v>22</v>
      </c>
      <c r="B635" s="141" t="s">
        <v>36</v>
      </c>
      <c r="C635" s="83" t="s">
        <v>29</v>
      </c>
      <c r="D635" s="147" t="s">
        <v>459</v>
      </c>
      <c r="E635" s="148">
        <v>1200</v>
      </c>
      <c r="F635" s="136" t="s">
        <v>459</v>
      </c>
      <c r="G635" s="66">
        <f>IF(BD!$E634="","",(E635/(H635*I635)))</f>
        <v>1200</v>
      </c>
      <c r="H635" s="137">
        <v>1</v>
      </c>
      <c r="I635" s="137">
        <v>1</v>
      </c>
      <c r="J635" s="92" t="str">
        <f t="shared" si="14"/>
        <v>C_022</v>
      </c>
      <c r="K635" s="92"/>
    </row>
    <row r="636" customHeight="1" spans="1:11">
      <c r="A636" s="60">
        <f t="shared" si="15"/>
        <v>23</v>
      </c>
      <c r="B636" s="149" t="s">
        <v>480</v>
      </c>
      <c r="C636" s="83" t="s">
        <v>29</v>
      </c>
      <c r="D636" s="145" t="s">
        <v>459</v>
      </c>
      <c r="E636" s="122">
        <v>1217</v>
      </c>
      <c r="F636" s="65" t="s">
        <v>459</v>
      </c>
      <c r="G636" s="66">
        <f>IF(BD!$E635="","",(E636/(H636*I636)))</f>
        <v>1217</v>
      </c>
      <c r="H636" s="67">
        <v>1</v>
      </c>
      <c r="I636" s="67">
        <v>1</v>
      </c>
      <c r="J636" s="91" t="str">
        <f t="shared" si="14"/>
        <v>C_023</v>
      </c>
      <c r="K636" s="92"/>
    </row>
    <row r="637" customHeight="1" spans="1:11">
      <c r="A637" s="60">
        <f t="shared" si="15"/>
        <v>24</v>
      </c>
      <c r="B637" s="111" t="s">
        <v>481</v>
      </c>
      <c r="C637" s="83" t="s">
        <v>29</v>
      </c>
      <c r="D637" s="63" t="s">
        <v>482</v>
      </c>
      <c r="E637" s="64">
        <v>0</v>
      </c>
      <c r="F637" s="65" t="s">
        <v>482</v>
      </c>
      <c r="G637" s="66">
        <f>IF(BD!$E637="","",(E637/(H637*I637)))</f>
        <v>0</v>
      </c>
      <c r="H637" s="67">
        <v>1</v>
      </c>
      <c r="I637" s="67">
        <v>1</v>
      </c>
      <c r="J637" s="91" t="str">
        <f t="shared" si="14"/>
        <v>C_024</v>
      </c>
      <c r="K637" s="92"/>
    </row>
    <row r="638" customHeight="1" spans="1:11">
      <c r="A638" s="60">
        <f t="shared" si="15"/>
        <v>25</v>
      </c>
      <c r="B638" s="130" t="s">
        <v>483</v>
      </c>
      <c r="C638" s="83" t="s">
        <v>29</v>
      </c>
      <c r="D638" s="139" t="s">
        <v>459</v>
      </c>
      <c r="E638" s="132">
        <v>759.22</v>
      </c>
      <c r="F638" s="133" t="s">
        <v>459</v>
      </c>
      <c r="G638" s="66">
        <f>IF(BD!$E636="","",(E638/(H638*I638)))</f>
        <v>759.22</v>
      </c>
      <c r="H638" s="67">
        <v>1</v>
      </c>
      <c r="I638" s="67">
        <v>1</v>
      </c>
      <c r="J638" s="91" t="str">
        <f t="shared" si="14"/>
        <v>C_025</v>
      </c>
      <c r="K638" s="92"/>
    </row>
    <row r="639" customHeight="1" spans="1:9">
      <c r="A639" s="40"/>
      <c r="B639" s="40"/>
      <c r="D639"/>
      <c r="E639"/>
      <c r="F639" s="74"/>
      <c r="H639"/>
      <c r="I639"/>
    </row>
    <row r="640" customHeight="1" spans="1:9">
      <c r="A640" s="40"/>
      <c r="B640" s="40"/>
      <c r="D640"/>
      <c r="E640"/>
      <c r="F640" s="74"/>
      <c r="H640"/>
      <c r="I640"/>
    </row>
    <row r="641" customHeight="1" spans="1:9">
      <c r="A641" s="40"/>
      <c r="B641" s="40"/>
      <c r="D641"/>
      <c r="E641"/>
      <c r="F641" s="74"/>
      <c r="H641"/>
      <c r="I641"/>
    </row>
    <row r="642" customHeight="1" spans="1:9">
      <c r="A642" s="40"/>
      <c r="B642" s="40"/>
      <c r="D642"/>
      <c r="E642"/>
      <c r="F642" s="74"/>
      <c r="H642"/>
      <c r="I642"/>
    </row>
    <row r="643" customHeight="1" spans="1:9">
      <c r="A643" s="40"/>
      <c r="B643" s="40"/>
      <c r="D643"/>
      <c r="E643"/>
      <c r="F643" s="74"/>
      <c r="H643"/>
      <c r="I643"/>
    </row>
    <row r="644" customHeight="1" spans="1:9">
      <c r="A644" s="40"/>
      <c r="B644" s="40"/>
      <c r="D644"/>
      <c r="E644"/>
      <c r="F644" s="74"/>
      <c r="H644"/>
      <c r="I644"/>
    </row>
    <row r="645" customHeight="1" spans="1:9">
      <c r="A645" s="40"/>
      <c r="B645" s="40"/>
      <c r="D645"/>
      <c r="E645"/>
      <c r="F645" s="74"/>
      <c r="H645"/>
      <c r="I645"/>
    </row>
    <row r="646" customHeight="1" spans="1:9">
      <c r="A646" s="40"/>
      <c r="B646" s="40"/>
      <c r="D646"/>
      <c r="E646"/>
      <c r="F646" s="74"/>
      <c r="H646"/>
      <c r="I646"/>
    </row>
    <row r="647" customHeight="1" spans="1:9">
      <c r="A647" s="40"/>
      <c r="B647" s="40"/>
      <c r="D647"/>
      <c r="E647"/>
      <c r="F647" s="74"/>
      <c r="H647"/>
      <c r="I647"/>
    </row>
    <row r="648" customHeight="1" spans="1:9">
      <c r="A648" s="40"/>
      <c r="B648" s="40"/>
      <c r="D648"/>
      <c r="E648"/>
      <c r="F648" s="74"/>
      <c r="H648"/>
      <c r="I648"/>
    </row>
    <row r="649" customHeight="1" spans="1:9">
      <c r="A649" s="40"/>
      <c r="B649" s="40"/>
      <c r="D649"/>
      <c r="E649"/>
      <c r="F649" s="74"/>
      <c r="H649"/>
      <c r="I649"/>
    </row>
    <row r="650" customHeight="1" spans="1:9">
      <c r="A650" s="40"/>
      <c r="B650" s="40"/>
      <c r="D650"/>
      <c r="E650"/>
      <c r="F650" s="74"/>
      <c r="H650"/>
      <c r="I650"/>
    </row>
    <row r="651" customHeight="1" spans="1:9">
      <c r="A651" s="40"/>
      <c r="B651" s="40"/>
      <c r="D651"/>
      <c r="E651"/>
      <c r="F651" s="74"/>
      <c r="H651"/>
      <c r="I651"/>
    </row>
    <row r="652" customHeight="1" spans="1:9">
      <c r="A652" s="40"/>
      <c r="B652" s="40"/>
      <c r="D652"/>
      <c r="E652"/>
      <c r="F652" s="74"/>
      <c r="H652"/>
      <c r="I652"/>
    </row>
    <row r="653" customHeight="1" spans="1:9">
      <c r="A653" s="40"/>
      <c r="B653" s="40"/>
      <c r="D653"/>
      <c r="E653"/>
      <c r="F653" s="74"/>
      <c r="H653"/>
      <c r="I653"/>
    </row>
    <row r="654" customHeight="1" spans="1:9">
      <c r="A654" s="40"/>
      <c r="B654" s="40"/>
      <c r="D654"/>
      <c r="E654"/>
      <c r="F654" s="74"/>
      <c r="H654"/>
      <c r="I654"/>
    </row>
    <row r="655" customHeight="1" spans="1:9">
      <c r="A655" s="40"/>
      <c r="B655" s="40"/>
      <c r="D655"/>
      <c r="E655"/>
      <c r="F655" s="74"/>
      <c r="H655"/>
      <c r="I655"/>
    </row>
    <row r="656" customHeight="1" spans="1:10">
      <c r="A656" s="25"/>
      <c r="B656" s="75" t="s">
        <v>126</v>
      </c>
      <c r="C656" s="25"/>
      <c r="D656" s="25"/>
      <c r="E656" s="25"/>
      <c r="F656" s="76"/>
      <c r="G656" s="25"/>
      <c r="H656" s="25"/>
      <c r="I656" s="25"/>
      <c r="J656" s="25"/>
    </row>
    <row r="657" customHeight="1" spans="1:9">
      <c r="A657" s="40"/>
      <c r="B657" s="40"/>
      <c r="D657"/>
      <c r="E657"/>
      <c r="F657" s="74"/>
      <c r="H657"/>
      <c r="I657"/>
    </row>
    <row r="658" ht="21.75" customHeight="1" spans="1:9">
      <c r="A658" s="150" t="s">
        <v>96</v>
      </c>
      <c r="B658" s="151">
        <f>SUBTOTAL(3,(B660:B1080))</f>
        <v>421</v>
      </c>
      <c r="C658" s="152"/>
      <c r="D658" s="153"/>
      <c r="E658"/>
      <c r="F658" s="74"/>
      <c r="H658"/>
      <c r="I658"/>
    </row>
    <row r="659" customHeight="1" spans="1:11">
      <c r="A659" s="53" t="s">
        <v>79</v>
      </c>
      <c r="B659" s="154" t="s">
        <v>98</v>
      </c>
      <c r="C659" s="80" t="s">
        <v>99</v>
      </c>
      <c r="D659" s="81" t="s">
        <v>100</v>
      </c>
      <c r="E659" s="82" t="s">
        <v>101</v>
      </c>
      <c r="F659" s="58" t="s">
        <v>102</v>
      </c>
      <c r="G659" s="56" t="s">
        <v>103</v>
      </c>
      <c r="H659" s="59" t="s">
        <v>104</v>
      </c>
      <c r="I659" s="158" t="s">
        <v>105</v>
      </c>
      <c r="J659" s="89" t="s">
        <v>106</v>
      </c>
      <c r="K659" s="90" t="s">
        <v>107</v>
      </c>
    </row>
    <row r="660" customHeight="1" spans="1:11">
      <c r="A660" s="60">
        <v>1</v>
      </c>
      <c r="B660" s="155" t="s">
        <v>484</v>
      </c>
      <c r="C660" s="83" t="s">
        <v>53</v>
      </c>
      <c r="D660" s="63" t="s">
        <v>115</v>
      </c>
      <c r="E660" s="64">
        <v>304.64</v>
      </c>
      <c r="F660" s="65" t="s">
        <v>115</v>
      </c>
      <c r="G660" s="66">
        <f>IF(Tabla9[[#This Row],[Precio
Unidad de Compra ( $)]]="","",(E660/(H660*I660)))</f>
        <v>304.64</v>
      </c>
      <c r="H660" s="67">
        <v>1</v>
      </c>
      <c r="I660" s="159">
        <v>1</v>
      </c>
      <c r="J660" s="91" t="str">
        <f t="shared" ref="J660:J723" si="16">IFERROR(CONCATENATE(LEFT(C660,1),"_",TEXT(A660,"000")),"")</f>
        <v>H_001</v>
      </c>
      <c r="K660" s="92"/>
    </row>
    <row r="661" customHeight="1" spans="1:11">
      <c r="A661" s="60">
        <f t="shared" ref="A661:A724" si="17">A660+1</f>
        <v>2</v>
      </c>
      <c r="B661" s="155" t="s">
        <v>485</v>
      </c>
      <c r="C661" s="83" t="s">
        <v>53</v>
      </c>
      <c r="D661" s="63" t="s">
        <v>115</v>
      </c>
      <c r="E661" s="156">
        <v>3356</v>
      </c>
      <c r="F661" s="157" t="s">
        <v>115</v>
      </c>
      <c r="G661" s="66">
        <f>IF(Tabla9[[#This Row],[Precio
Unidad de Compra ( $)]]="","",(E661/(H661*I661)))</f>
        <v>3356</v>
      </c>
      <c r="H661" s="67">
        <v>1</v>
      </c>
      <c r="I661" s="159">
        <v>1</v>
      </c>
      <c r="J661" s="91" t="str">
        <f t="shared" si="16"/>
        <v>H_002</v>
      </c>
      <c r="K661" s="92"/>
    </row>
    <row r="662" customHeight="1" spans="1:11">
      <c r="A662" s="60">
        <f t="shared" si="17"/>
        <v>3</v>
      </c>
      <c r="B662" s="155" t="s">
        <v>486</v>
      </c>
      <c r="C662" s="83" t="s">
        <v>53</v>
      </c>
      <c r="D662" s="63" t="s">
        <v>115</v>
      </c>
      <c r="E662" s="156">
        <v>304.64</v>
      </c>
      <c r="F662" s="157" t="s">
        <v>115</v>
      </c>
      <c r="G662" s="66">
        <f>IF(Tabla9[[#This Row],[Precio
Unidad de Compra ( $)]]="","",(E662/(H662*I662)))</f>
        <v>304.64</v>
      </c>
      <c r="H662" s="67">
        <v>1</v>
      </c>
      <c r="I662" s="159">
        <v>1</v>
      </c>
      <c r="J662" s="91" t="str">
        <f t="shared" si="16"/>
        <v>H_003</v>
      </c>
      <c r="K662" s="92"/>
    </row>
    <row r="663" customHeight="1" spans="1:11">
      <c r="A663" s="60">
        <f t="shared" si="17"/>
        <v>4</v>
      </c>
      <c r="B663" s="155" t="s">
        <v>487</v>
      </c>
      <c r="C663" s="83" t="s">
        <v>53</v>
      </c>
      <c r="D663" s="63" t="s">
        <v>115</v>
      </c>
      <c r="E663" s="64">
        <v>304.64</v>
      </c>
      <c r="F663" s="65" t="s">
        <v>115</v>
      </c>
      <c r="G663" s="66">
        <f>IF(Tabla9[[#This Row],[Precio
Unidad de Compra ( $)]]="","",(E663/(H663*I663)))</f>
        <v>304.64</v>
      </c>
      <c r="H663" s="67">
        <v>1</v>
      </c>
      <c r="I663" s="159">
        <v>1</v>
      </c>
      <c r="J663" s="91" t="str">
        <f t="shared" si="16"/>
        <v>H_004</v>
      </c>
      <c r="K663" s="92"/>
    </row>
    <row r="664" customHeight="1" spans="1:11">
      <c r="A664" s="60">
        <f t="shared" si="17"/>
        <v>5</v>
      </c>
      <c r="B664" s="155" t="s">
        <v>488</v>
      </c>
      <c r="C664" s="83" t="s">
        <v>53</v>
      </c>
      <c r="D664" s="63" t="s">
        <v>115</v>
      </c>
      <c r="E664" s="156">
        <v>304.64</v>
      </c>
      <c r="F664" s="157" t="s">
        <v>115</v>
      </c>
      <c r="G664" s="66">
        <f>IF(Tabla9[[#This Row],[Precio
Unidad de Compra ( $)]]="","",(E664/(H664*I664)))</f>
        <v>304.64</v>
      </c>
      <c r="H664" s="67">
        <v>1</v>
      </c>
      <c r="I664" s="159">
        <v>1</v>
      </c>
      <c r="J664" s="91" t="str">
        <f t="shared" si="16"/>
        <v>H_005</v>
      </c>
      <c r="K664" s="92"/>
    </row>
    <row r="665" customHeight="1" spans="1:11">
      <c r="A665" s="60">
        <f t="shared" si="17"/>
        <v>6</v>
      </c>
      <c r="B665" s="155" t="s">
        <v>489</v>
      </c>
      <c r="C665" s="83" t="s">
        <v>53</v>
      </c>
      <c r="D665" s="63" t="s">
        <v>115</v>
      </c>
      <c r="E665" s="64">
        <v>304.64</v>
      </c>
      <c r="F665" s="65" t="s">
        <v>115</v>
      </c>
      <c r="G665" s="66">
        <f>IF(Tabla9[[#This Row],[Precio
Unidad de Compra ( $)]]="","",(E665/(H665*I665)))</f>
        <v>304.64</v>
      </c>
      <c r="H665" s="67">
        <v>1</v>
      </c>
      <c r="I665" s="159">
        <v>1</v>
      </c>
      <c r="J665" s="91" t="str">
        <f t="shared" si="16"/>
        <v>H_006</v>
      </c>
      <c r="K665" s="92"/>
    </row>
    <row r="666" customHeight="1" spans="1:11">
      <c r="A666" s="60">
        <f t="shared" si="17"/>
        <v>7</v>
      </c>
      <c r="B666" s="155" t="s">
        <v>490</v>
      </c>
      <c r="C666" s="83" t="s">
        <v>53</v>
      </c>
      <c r="D666" s="63" t="s">
        <v>115</v>
      </c>
      <c r="E666" s="156">
        <v>304.64</v>
      </c>
      <c r="F666" s="157" t="s">
        <v>115</v>
      </c>
      <c r="G666" s="66">
        <f>IF(Tabla9[[#This Row],[Precio
Unidad de Compra ( $)]]="","",(E666/(H666*I666)))</f>
        <v>304.64</v>
      </c>
      <c r="H666" s="67">
        <v>1</v>
      </c>
      <c r="I666" s="159">
        <v>1</v>
      </c>
      <c r="J666" s="91" t="str">
        <f t="shared" si="16"/>
        <v>H_007</v>
      </c>
      <c r="K666" s="92"/>
    </row>
    <row r="667" customHeight="1" spans="1:11">
      <c r="A667" s="60">
        <f t="shared" si="17"/>
        <v>8</v>
      </c>
      <c r="B667" s="155" t="s">
        <v>491</v>
      </c>
      <c r="C667" s="83" t="s">
        <v>53</v>
      </c>
      <c r="D667" s="63" t="s">
        <v>115</v>
      </c>
      <c r="E667" s="64">
        <v>304.64</v>
      </c>
      <c r="F667" s="65" t="s">
        <v>115</v>
      </c>
      <c r="G667" s="66">
        <f>IF(Tabla9[[#This Row],[Precio
Unidad de Compra ( $)]]="","",(E667/(H667*I667)))</f>
        <v>304.64</v>
      </c>
      <c r="H667" s="67">
        <v>1</v>
      </c>
      <c r="I667" s="159">
        <v>1</v>
      </c>
      <c r="J667" s="91" t="str">
        <f t="shared" si="16"/>
        <v>H_008</v>
      </c>
      <c r="K667" s="92"/>
    </row>
    <row r="668" customHeight="1" spans="1:11">
      <c r="A668" s="60">
        <f t="shared" si="17"/>
        <v>9</v>
      </c>
      <c r="B668" s="61" t="s">
        <v>492</v>
      </c>
      <c r="C668" s="83" t="s">
        <v>53</v>
      </c>
      <c r="D668" s="63" t="s">
        <v>115</v>
      </c>
      <c r="E668" s="64">
        <v>304.64</v>
      </c>
      <c r="F668" s="65" t="s">
        <v>115</v>
      </c>
      <c r="G668" s="66">
        <f>IF(Tabla9[[#This Row],[Precio
Unidad de Compra ( $)]]="","",(E668/(H668*I668)))</f>
        <v>304.64</v>
      </c>
      <c r="H668" s="67">
        <v>1</v>
      </c>
      <c r="I668" s="159">
        <v>1</v>
      </c>
      <c r="J668" s="91" t="str">
        <f t="shared" si="16"/>
        <v>H_009</v>
      </c>
      <c r="K668" s="92"/>
    </row>
    <row r="669" customHeight="1" spans="1:11">
      <c r="A669" s="60">
        <f t="shared" si="17"/>
        <v>10</v>
      </c>
      <c r="B669" s="61" t="s">
        <v>493</v>
      </c>
      <c r="C669" s="83" t="s">
        <v>53</v>
      </c>
      <c r="D669" s="63" t="s">
        <v>115</v>
      </c>
      <c r="E669" s="156">
        <v>304.64</v>
      </c>
      <c r="F669" s="157" t="s">
        <v>115</v>
      </c>
      <c r="G669" s="66">
        <f>IF(Tabla9[[#This Row],[Precio
Unidad de Compra ( $)]]="","",(E669/(H669*I669)))</f>
        <v>304.64</v>
      </c>
      <c r="H669" s="67">
        <v>1</v>
      </c>
      <c r="I669" s="159">
        <v>1</v>
      </c>
      <c r="J669" s="91" t="str">
        <f t="shared" si="16"/>
        <v>H_010</v>
      </c>
      <c r="K669" s="92"/>
    </row>
    <row r="670" customHeight="1" spans="1:11">
      <c r="A670" s="60">
        <f t="shared" si="17"/>
        <v>11</v>
      </c>
      <c r="B670" s="61" t="s">
        <v>494</v>
      </c>
      <c r="C670" s="83" t="s">
        <v>53</v>
      </c>
      <c r="D670" s="63" t="s">
        <v>115</v>
      </c>
      <c r="E670" s="64">
        <v>2400</v>
      </c>
      <c r="F670" s="65" t="s">
        <v>115</v>
      </c>
      <c r="G670" s="66">
        <f>IF(Tabla9[[#This Row],[Precio
Unidad de Compra ( $)]]="","",(E670/(H670*I670)))</f>
        <v>2400</v>
      </c>
      <c r="H670" s="67">
        <v>1</v>
      </c>
      <c r="I670" s="159">
        <v>1</v>
      </c>
      <c r="J670" s="91" t="str">
        <f t="shared" si="16"/>
        <v>H_011</v>
      </c>
      <c r="K670" s="92"/>
    </row>
    <row r="671" customHeight="1" spans="1:11">
      <c r="A671" s="60">
        <f t="shared" si="17"/>
        <v>12</v>
      </c>
      <c r="B671" s="61" t="s">
        <v>495</v>
      </c>
      <c r="C671" s="83" t="s">
        <v>53</v>
      </c>
      <c r="D671" s="63" t="s">
        <v>115</v>
      </c>
      <c r="E671" s="64">
        <v>2400</v>
      </c>
      <c r="F671" s="65" t="s">
        <v>115</v>
      </c>
      <c r="G671" s="66">
        <f>IF(Tabla9[[#This Row],[Precio
Unidad de Compra ( $)]]="","",(E671/(H671*I671)))</f>
        <v>2400</v>
      </c>
      <c r="H671" s="67">
        <v>1</v>
      </c>
      <c r="I671" s="159">
        <v>1</v>
      </c>
      <c r="J671" s="91" t="str">
        <f t="shared" si="16"/>
        <v>H_012</v>
      </c>
      <c r="K671" s="92"/>
    </row>
    <row r="672" customHeight="1" spans="1:11">
      <c r="A672" s="60">
        <f t="shared" si="17"/>
        <v>13</v>
      </c>
      <c r="B672" s="61" t="s">
        <v>496</v>
      </c>
      <c r="C672" s="83" t="s">
        <v>53</v>
      </c>
      <c r="D672" s="63" t="s">
        <v>115</v>
      </c>
      <c r="E672" s="64">
        <v>2400</v>
      </c>
      <c r="F672" s="65" t="s">
        <v>115</v>
      </c>
      <c r="G672" s="66">
        <f>IF(Tabla9[[#This Row],[Precio
Unidad de Compra ( $)]]="","",(E672/(H672*I672)))</f>
        <v>2400</v>
      </c>
      <c r="H672" s="67">
        <v>1</v>
      </c>
      <c r="I672" s="159">
        <v>1</v>
      </c>
      <c r="J672" s="91" t="str">
        <f t="shared" si="16"/>
        <v>H_013</v>
      </c>
      <c r="K672" s="92"/>
    </row>
    <row r="673" customHeight="1" spans="1:11">
      <c r="A673" s="60">
        <f t="shared" si="17"/>
        <v>14</v>
      </c>
      <c r="B673" s="61" t="s">
        <v>497</v>
      </c>
      <c r="C673" s="83" t="s">
        <v>53</v>
      </c>
      <c r="D673" s="63" t="s">
        <v>115</v>
      </c>
      <c r="E673" s="64">
        <v>2400</v>
      </c>
      <c r="F673" s="65" t="s">
        <v>115</v>
      </c>
      <c r="G673" s="66">
        <f>IF(Tabla9[[#This Row],[Precio
Unidad de Compra ( $)]]="","",(E673/(H673*I673)))</f>
        <v>2400</v>
      </c>
      <c r="H673" s="67">
        <v>1</v>
      </c>
      <c r="I673" s="159">
        <v>1</v>
      </c>
      <c r="J673" s="91" t="str">
        <f t="shared" si="16"/>
        <v>H_014</v>
      </c>
      <c r="K673" s="92"/>
    </row>
    <row r="674" customHeight="1" spans="1:11">
      <c r="A674" s="60">
        <f t="shared" si="17"/>
        <v>15</v>
      </c>
      <c r="B674" s="61" t="s">
        <v>498</v>
      </c>
      <c r="C674" s="83" t="s">
        <v>53</v>
      </c>
      <c r="D674" s="63" t="s">
        <v>115</v>
      </c>
      <c r="E674" s="64">
        <v>2400</v>
      </c>
      <c r="F674" s="65" t="s">
        <v>115</v>
      </c>
      <c r="G674" s="66">
        <f>IF(Tabla9[[#This Row],[Precio
Unidad de Compra ( $)]]="","",(E674/(H674*I674)))</f>
        <v>2400</v>
      </c>
      <c r="H674" s="67">
        <v>1</v>
      </c>
      <c r="I674" s="159">
        <v>1</v>
      </c>
      <c r="J674" s="91" t="str">
        <f t="shared" si="16"/>
        <v>H_015</v>
      </c>
      <c r="K674" s="92"/>
    </row>
    <row r="675" customHeight="1" spans="1:11">
      <c r="A675" s="60">
        <f t="shared" si="17"/>
        <v>16</v>
      </c>
      <c r="B675" s="61" t="s">
        <v>499</v>
      </c>
      <c r="C675" s="83" t="s">
        <v>53</v>
      </c>
      <c r="D675" s="63" t="s">
        <v>115</v>
      </c>
      <c r="E675" s="64">
        <v>2400</v>
      </c>
      <c r="F675" s="65" t="s">
        <v>115</v>
      </c>
      <c r="G675" s="66">
        <f>IF(Tabla9[[#This Row],[Precio
Unidad de Compra ( $)]]="","",(E675/(H675*I675)))</f>
        <v>2400</v>
      </c>
      <c r="H675" s="67">
        <v>1</v>
      </c>
      <c r="I675" s="159">
        <v>1</v>
      </c>
      <c r="J675" s="91" t="str">
        <f t="shared" si="16"/>
        <v>H_016</v>
      </c>
      <c r="K675" s="92"/>
    </row>
    <row r="676" customHeight="1" spans="1:11">
      <c r="A676" s="60">
        <f t="shared" si="17"/>
        <v>17</v>
      </c>
      <c r="B676" s="61" t="s">
        <v>500</v>
      </c>
      <c r="C676" s="83" t="s">
        <v>53</v>
      </c>
      <c r="D676" s="63" t="s">
        <v>115</v>
      </c>
      <c r="E676" s="64">
        <v>304.64</v>
      </c>
      <c r="F676" s="157" t="s">
        <v>115</v>
      </c>
      <c r="G676" s="66">
        <f>IF(Tabla9[[#This Row],[Precio
Unidad de Compra ( $)]]="","",(E676/(H676*I676)))</f>
        <v>304.64</v>
      </c>
      <c r="H676" s="67">
        <v>1</v>
      </c>
      <c r="I676" s="159">
        <v>1</v>
      </c>
      <c r="J676" s="91" t="str">
        <f t="shared" si="16"/>
        <v>H_017</v>
      </c>
      <c r="K676" s="92"/>
    </row>
    <row r="677" customHeight="1" spans="1:11">
      <c r="A677" s="60">
        <f t="shared" si="17"/>
        <v>18</v>
      </c>
      <c r="B677" s="61" t="s">
        <v>501</v>
      </c>
      <c r="C677" s="83" t="s">
        <v>53</v>
      </c>
      <c r="D677" s="63" t="s">
        <v>115</v>
      </c>
      <c r="E677" s="64">
        <v>304.64</v>
      </c>
      <c r="F677" s="65" t="s">
        <v>115</v>
      </c>
      <c r="G677" s="66">
        <f>IF(Tabla9[[#This Row],[Precio
Unidad de Compra ( $)]]="","",(E677/(H677*I677)))</f>
        <v>304.64</v>
      </c>
      <c r="H677" s="67">
        <v>1</v>
      </c>
      <c r="I677" s="159">
        <v>1</v>
      </c>
      <c r="J677" s="91" t="str">
        <f t="shared" si="16"/>
        <v>H_018</v>
      </c>
      <c r="K677" s="92"/>
    </row>
    <row r="678" customHeight="1" spans="1:11">
      <c r="A678" s="60">
        <f t="shared" si="17"/>
        <v>19</v>
      </c>
      <c r="B678" s="61" t="s">
        <v>502</v>
      </c>
      <c r="C678" s="83" t="s">
        <v>53</v>
      </c>
      <c r="D678" s="63" t="s">
        <v>115</v>
      </c>
      <c r="E678" s="64">
        <v>304.64</v>
      </c>
      <c r="F678" s="65" t="s">
        <v>115</v>
      </c>
      <c r="G678" s="66">
        <f>IF(Tabla9[[#This Row],[Precio
Unidad de Compra ( $)]]="","",(E678/(H678*I678)))</f>
        <v>304.64</v>
      </c>
      <c r="H678" s="67">
        <v>1</v>
      </c>
      <c r="I678" s="159">
        <v>1</v>
      </c>
      <c r="J678" s="91" t="str">
        <f t="shared" si="16"/>
        <v>H_019</v>
      </c>
      <c r="K678" s="92"/>
    </row>
    <row r="679" customHeight="1" spans="1:11">
      <c r="A679" s="60">
        <f t="shared" si="17"/>
        <v>20</v>
      </c>
      <c r="B679" s="61" t="s">
        <v>503</v>
      </c>
      <c r="C679" s="83" t="s">
        <v>53</v>
      </c>
      <c r="D679" s="63" t="s">
        <v>115</v>
      </c>
      <c r="E679" s="64">
        <v>304.64</v>
      </c>
      <c r="F679" s="65" t="s">
        <v>115</v>
      </c>
      <c r="G679" s="66">
        <f>IF(Tabla9[[#This Row],[Precio
Unidad de Compra ( $)]]="","",(E679/(H679*I679)))</f>
        <v>304.64</v>
      </c>
      <c r="H679" s="67">
        <v>1</v>
      </c>
      <c r="I679" s="159">
        <v>1</v>
      </c>
      <c r="J679" s="91" t="str">
        <f t="shared" si="16"/>
        <v>H_020</v>
      </c>
      <c r="K679" s="92"/>
    </row>
    <row r="680" customHeight="1" spans="1:11">
      <c r="A680" s="60">
        <f t="shared" si="17"/>
        <v>21</v>
      </c>
      <c r="B680" s="61" t="s">
        <v>504</v>
      </c>
      <c r="C680" s="83" t="s">
        <v>53</v>
      </c>
      <c r="D680" s="63" t="s">
        <v>115</v>
      </c>
      <c r="E680" s="64">
        <v>304.64</v>
      </c>
      <c r="F680" s="65" t="s">
        <v>115</v>
      </c>
      <c r="G680" s="66">
        <f>IF(Tabla9[[#This Row],[Precio
Unidad de Compra ( $)]]="","",(E680/(H680*I680)))</f>
        <v>304.64</v>
      </c>
      <c r="H680" s="67">
        <v>1</v>
      </c>
      <c r="I680" s="159">
        <v>1</v>
      </c>
      <c r="J680" s="91" t="str">
        <f t="shared" si="16"/>
        <v>H_021</v>
      </c>
      <c r="K680" s="92"/>
    </row>
    <row r="681" customHeight="1" spans="1:11">
      <c r="A681" s="60">
        <f t="shared" si="17"/>
        <v>22</v>
      </c>
      <c r="B681" s="61" t="s">
        <v>505</v>
      </c>
      <c r="C681" s="83" t="s">
        <v>53</v>
      </c>
      <c r="D681" s="63" t="s">
        <v>115</v>
      </c>
      <c r="E681" s="156">
        <v>304.64</v>
      </c>
      <c r="F681" s="157" t="s">
        <v>115</v>
      </c>
      <c r="G681" s="66">
        <f>IF(Tabla9[[#This Row],[Precio
Unidad de Compra ( $)]]="","",(E681/(H681*I681)))</f>
        <v>304.64</v>
      </c>
      <c r="H681" s="67">
        <v>1</v>
      </c>
      <c r="I681" s="159">
        <v>1</v>
      </c>
      <c r="J681" s="91" t="str">
        <f t="shared" si="16"/>
        <v>H_022</v>
      </c>
      <c r="K681" s="92"/>
    </row>
    <row r="682" customHeight="1" spans="1:11">
      <c r="A682" s="60">
        <f t="shared" si="17"/>
        <v>23</v>
      </c>
      <c r="B682" s="61" t="s">
        <v>506</v>
      </c>
      <c r="C682" s="83" t="s">
        <v>53</v>
      </c>
      <c r="D682" s="63" t="s">
        <v>115</v>
      </c>
      <c r="E682" s="64">
        <v>304.64</v>
      </c>
      <c r="F682" s="65" t="s">
        <v>115</v>
      </c>
      <c r="G682" s="66">
        <f>IF(Tabla9[[#This Row],[Precio
Unidad de Compra ( $)]]="","",(E682/(H682*I682)))</f>
        <v>304.64</v>
      </c>
      <c r="H682" s="67">
        <v>1</v>
      </c>
      <c r="I682" s="159">
        <v>1</v>
      </c>
      <c r="J682" s="91" t="str">
        <f t="shared" si="16"/>
        <v>H_023</v>
      </c>
      <c r="K682" s="92"/>
    </row>
    <row r="683" customHeight="1" spans="1:11">
      <c r="A683" s="60">
        <f t="shared" si="17"/>
        <v>24</v>
      </c>
      <c r="B683" s="61" t="s">
        <v>507</v>
      </c>
      <c r="C683" s="83" t="s">
        <v>53</v>
      </c>
      <c r="D683" s="63" t="s">
        <v>115</v>
      </c>
      <c r="E683" s="64">
        <v>304.64</v>
      </c>
      <c r="F683" s="65" t="s">
        <v>115</v>
      </c>
      <c r="G683" s="66">
        <f>IF(Tabla9[[#This Row],[Precio
Unidad de Compra ( $)]]="","",(E683/(H683*I683)))</f>
        <v>304.64</v>
      </c>
      <c r="H683" s="67">
        <v>1</v>
      </c>
      <c r="I683" s="159">
        <v>1</v>
      </c>
      <c r="J683" s="91" t="str">
        <f t="shared" si="16"/>
        <v>H_024</v>
      </c>
      <c r="K683" s="92"/>
    </row>
    <row r="684" customHeight="1" spans="1:11">
      <c r="A684" s="60">
        <f t="shared" si="17"/>
        <v>25</v>
      </c>
      <c r="B684" s="61" t="s">
        <v>508</v>
      </c>
      <c r="C684" s="83" t="s">
        <v>53</v>
      </c>
      <c r="D684" s="63" t="s">
        <v>115</v>
      </c>
      <c r="E684" s="64">
        <v>304.64</v>
      </c>
      <c r="F684" s="65" t="s">
        <v>115</v>
      </c>
      <c r="G684" s="66">
        <f>IF(Tabla9[[#This Row],[Precio
Unidad de Compra ( $)]]="","",(E684/(H684*I684)))</f>
        <v>304.64</v>
      </c>
      <c r="H684" s="67">
        <v>1</v>
      </c>
      <c r="I684" s="159">
        <v>1</v>
      </c>
      <c r="J684" s="91" t="str">
        <f t="shared" si="16"/>
        <v>H_025</v>
      </c>
      <c r="K684" s="92"/>
    </row>
    <row r="685" customHeight="1" spans="1:11">
      <c r="A685" s="60">
        <f t="shared" si="17"/>
        <v>26</v>
      </c>
      <c r="B685" s="61" t="s">
        <v>509</v>
      </c>
      <c r="C685" s="83" t="s">
        <v>53</v>
      </c>
      <c r="D685" s="63" t="s">
        <v>115</v>
      </c>
      <c r="E685" s="64">
        <v>304.64</v>
      </c>
      <c r="F685" s="65" t="s">
        <v>115</v>
      </c>
      <c r="G685" s="66">
        <f>IF(Tabla9[[#This Row],[Precio
Unidad de Compra ( $)]]="","",(E685/(H685*I685)))</f>
        <v>304.64</v>
      </c>
      <c r="H685" s="67">
        <v>1</v>
      </c>
      <c r="I685" s="159">
        <v>1</v>
      </c>
      <c r="J685" s="91" t="str">
        <f t="shared" si="16"/>
        <v>H_026</v>
      </c>
      <c r="K685" s="92"/>
    </row>
    <row r="686" customHeight="1" spans="1:11">
      <c r="A686" s="60">
        <f t="shared" si="17"/>
        <v>27</v>
      </c>
      <c r="B686" s="61" t="s">
        <v>510</v>
      </c>
      <c r="C686" s="83" t="s">
        <v>53</v>
      </c>
      <c r="D686" s="63" t="s">
        <v>115</v>
      </c>
      <c r="E686" s="64">
        <v>304.64</v>
      </c>
      <c r="F686" s="65" t="s">
        <v>115</v>
      </c>
      <c r="G686" s="66">
        <f>IF(Tabla9[[#This Row],[Precio
Unidad de Compra ( $)]]="","",(E686/(H686*I686)))</f>
        <v>304.64</v>
      </c>
      <c r="H686" s="67">
        <v>1</v>
      </c>
      <c r="I686" s="159">
        <v>1</v>
      </c>
      <c r="J686" s="91" t="str">
        <f t="shared" si="16"/>
        <v>H_027</v>
      </c>
      <c r="K686" s="92"/>
    </row>
    <row r="687" customHeight="1" spans="1:11">
      <c r="A687" s="60">
        <f t="shared" si="17"/>
        <v>28</v>
      </c>
      <c r="B687" s="61" t="s">
        <v>511</v>
      </c>
      <c r="C687" s="83" t="s">
        <v>53</v>
      </c>
      <c r="D687" s="63" t="s">
        <v>115</v>
      </c>
      <c r="E687" s="64">
        <v>304.64</v>
      </c>
      <c r="F687" s="65" t="s">
        <v>115</v>
      </c>
      <c r="G687" s="66">
        <f>IF(Tabla9[[#This Row],[Precio
Unidad de Compra ( $)]]="","",(E687/(H687*I687)))</f>
        <v>304.64</v>
      </c>
      <c r="H687" s="67">
        <v>1</v>
      </c>
      <c r="I687" s="159">
        <v>1</v>
      </c>
      <c r="J687" s="91" t="str">
        <f t="shared" si="16"/>
        <v>H_028</v>
      </c>
      <c r="K687" s="92"/>
    </row>
    <row r="688" customHeight="1" spans="1:11">
      <c r="A688" s="60">
        <f t="shared" si="17"/>
        <v>29</v>
      </c>
      <c r="B688" s="61" t="s">
        <v>512</v>
      </c>
      <c r="C688" s="83" t="s">
        <v>53</v>
      </c>
      <c r="D688" s="63" t="s">
        <v>115</v>
      </c>
      <c r="E688" s="64">
        <v>304.64</v>
      </c>
      <c r="F688" s="65" t="s">
        <v>115</v>
      </c>
      <c r="G688" s="66">
        <f>IF(Tabla9[[#This Row],[Precio
Unidad de Compra ( $)]]="","",(E688/(H688*I688)))</f>
        <v>304.64</v>
      </c>
      <c r="H688" s="67">
        <v>1</v>
      </c>
      <c r="I688" s="159">
        <v>1</v>
      </c>
      <c r="J688" s="91" t="str">
        <f t="shared" si="16"/>
        <v>H_029</v>
      </c>
      <c r="K688" s="92"/>
    </row>
    <row r="689" customHeight="1" spans="1:11">
      <c r="A689" s="60">
        <f t="shared" si="17"/>
        <v>30</v>
      </c>
      <c r="B689" s="61" t="s">
        <v>513</v>
      </c>
      <c r="C689" s="83" t="s">
        <v>53</v>
      </c>
      <c r="D689" s="63" t="s">
        <v>115</v>
      </c>
      <c r="E689" s="64">
        <v>304.64</v>
      </c>
      <c r="F689" s="65" t="s">
        <v>115</v>
      </c>
      <c r="G689" s="66">
        <f>IF(Tabla9[[#This Row],[Precio
Unidad de Compra ( $)]]="","",(E689/(H689*I689)))</f>
        <v>304.64</v>
      </c>
      <c r="H689" s="67">
        <v>1</v>
      </c>
      <c r="I689" s="159">
        <v>1</v>
      </c>
      <c r="J689" s="91" t="str">
        <f t="shared" si="16"/>
        <v>H_030</v>
      </c>
      <c r="K689" s="92"/>
    </row>
    <row r="690" customHeight="1" spans="1:11">
      <c r="A690" s="60">
        <f t="shared" si="17"/>
        <v>31</v>
      </c>
      <c r="B690" s="61" t="s">
        <v>514</v>
      </c>
      <c r="C690" s="83" t="s">
        <v>53</v>
      </c>
      <c r="D690" s="63" t="s">
        <v>115</v>
      </c>
      <c r="E690" s="156">
        <v>304.64</v>
      </c>
      <c r="F690" s="157" t="s">
        <v>115</v>
      </c>
      <c r="G690" s="66">
        <f>IF(Tabla9[[#This Row],[Precio
Unidad de Compra ( $)]]="","",(E690/(H690*I690)))</f>
        <v>304.64</v>
      </c>
      <c r="H690" s="67">
        <v>1</v>
      </c>
      <c r="I690" s="159">
        <v>1</v>
      </c>
      <c r="J690" s="91" t="str">
        <f t="shared" si="16"/>
        <v>H_031</v>
      </c>
      <c r="K690" s="92"/>
    </row>
    <row r="691" customHeight="1" spans="1:11">
      <c r="A691" s="60">
        <f t="shared" si="17"/>
        <v>32</v>
      </c>
      <c r="B691" s="61" t="s">
        <v>515</v>
      </c>
      <c r="C691" s="83" t="s">
        <v>53</v>
      </c>
      <c r="D691" s="63" t="s">
        <v>115</v>
      </c>
      <c r="E691" s="64">
        <v>304.64</v>
      </c>
      <c r="F691" s="65" t="s">
        <v>115</v>
      </c>
      <c r="G691" s="66">
        <f>IF(Tabla9[[#This Row],[Precio
Unidad de Compra ( $)]]="","",(E691/(H691*I691)))</f>
        <v>304.64</v>
      </c>
      <c r="H691" s="67">
        <v>1</v>
      </c>
      <c r="I691" s="159">
        <v>1</v>
      </c>
      <c r="J691" s="91" t="str">
        <f t="shared" si="16"/>
        <v>H_032</v>
      </c>
      <c r="K691" s="92"/>
    </row>
    <row r="692" customHeight="1" spans="1:11">
      <c r="A692" s="60">
        <f t="shared" si="17"/>
        <v>33</v>
      </c>
      <c r="B692" s="61" t="s">
        <v>516</v>
      </c>
      <c r="C692" s="83" t="s">
        <v>53</v>
      </c>
      <c r="D692" s="63" t="s">
        <v>115</v>
      </c>
      <c r="E692" s="64">
        <v>3356</v>
      </c>
      <c r="F692" s="65" t="s">
        <v>115</v>
      </c>
      <c r="G692" s="66">
        <f>IF(Tabla9[[#This Row],[Precio
Unidad de Compra ( $)]]="","",(E692/(H692*I692)))</f>
        <v>3356</v>
      </c>
      <c r="H692" s="67">
        <v>1</v>
      </c>
      <c r="I692" s="159">
        <v>1</v>
      </c>
      <c r="J692" s="91" t="str">
        <f t="shared" si="16"/>
        <v>H_033</v>
      </c>
      <c r="K692" s="92"/>
    </row>
    <row r="693" customHeight="1" spans="1:11">
      <c r="A693" s="60">
        <f t="shared" si="17"/>
        <v>34</v>
      </c>
      <c r="B693" s="61" t="s">
        <v>517</v>
      </c>
      <c r="C693" s="83" t="s">
        <v>53</v>
      </c>
      <c r="D693" s="63" t="s">
        <v>115</v>
      </c>
      <c r="E693" s="64">
        <v>3356</v>
      </c>
      <c r="F693" s="65" t="s">
        <v>115</v>
      </c>
      <c r="G693" s="66">
        <f>IF(Tabla9[[#This Row],[Precio
Unidad de Compra ( $)]]="","",(E693/(H693*I693)))</f>
        <v>3356</v>
      </c>
      <c r="H693" s="67">
        <v>1</v>
      </c>
      <c r="I693" s="159">
        <v>1</v>
      </c>
      <c r="J693" s="91" t="str">
        <f t="shared" si="16"/>
        <v>H_034</v>
      </c>
      <c r="K693" s="92"/>
    </row>
    <row r="694" customHeight="1" spans="1:11">
      <c r="A694" s="60">
        <f t="shared" si="17"/>
        <v>35</v>
      </c>
      <c r="B694" s="61" t="s">
        <v>518</v>
      </c>
      <c r="C694" s="83" t="s">
        <v>53</v>
      </c>
      <c r="D694" s="63" t="s">
        <v>115</v>
      </c>
      <c r="E694" s="64">
        <v>3356</v>
      </c>
      <c r="F694" s="65" t="s">
        <v>115</v>
      </c>
      <c r="G694" s="66">
        <f>IF(Tabla9[[#This Row],[Precio
Unidad de Compra ( $)]]="","",(E694/(H694*I694)))</f>
        <v>3356</v>
      </c>
      <c r="H694" s="67">
        <v>1</v>
      </c>
      <c r="I694" s="159">
        <v>1</v>
      </c>
      <c r="J694" s="91" t="str">
        <f t="shared" si="16"/>
        <v>H_035</v>
      </c>
      <c r="K694" s="92"/>
    </row>
    <row r="695" customHeight="1" spans="1:11">
      <c r="A695" s="60">
        <f t="shared" si="17"/>
        <v>36</v>
      </c>
      <c r="B695" s="61" t="s">
        <v>519</v>
      </c>
      <c r="C695" s="83" t="s">
        <v>53</v>
      </c>
      <c r="D695" s="63" t="s">
        <v>115</v>
      </c>
      <c r="E695" s="64">
        <v>3356</v>
      </c>
      <c r="F695" s="65" t="s">
        <v>115</v>
      </c>
      <c r="G695" s="66">
        <f>IF(Tabla9[[#This Row],[Precio
Unidad de Compra ( $)]]="","",(E695/(H695*I695)))</f>
        <v>3356</v>
      </c>
      <c r="H695" s="67">
        <v>1</v>
      </c>
      <c r="I695" s="159">
        <v>1</v>
      </c>
      <c r="J695" s="91" t="str">
        <f t="shared" si="16"/>
        <v>H_036</v>
      </c>
      <c r="K695" s="92"/>
    </row>
    <row r="696" customHeight="1" spans="1:11">
      <c r="A696" s="60">
        <f t="shared" si="17"/>
        <v>37</v>
      </c>
      <c r="B696" s="61" t="s">
        <v>520</v>
      </c>
      <c r="C696" s="83" t="s">
        <v>53</v>
      </c>
      <c r="D696" s="63" t="s">
        <v>115</v>
      </c>
      <c r="E696" s="64">
        <v>3356</v>
      </c>
      <c r="F696" s="65" t="s">
        <v>115</v>
      </c>
      <c r="G696" s="66">
        <f>IF(Tabla9[[#This Row],[Precio
Unidad de Compra ( $)]]="","",(E696/(H696*I696)))</f>
        <v>3356</v>
      </c>
      <c r="H696" s="67">
        <v>1</v>
      </c>
      <c r="I696" s="159">
        <v>1</v>
      </c>
      <c r="J696" s="91" t="str">
        <f t="shared" si="16"/>
        <v>H_037</v>
      </c>
      <c r="K696" s="92"/>
    </row>
    <row r="697" customHeight="1" spans="1:11">
      <c r="A697" s="60">
        <f t="shared" si="17"/>
        <v>38</v>
      </c>
      <c r="B697" s="61" t="s">
        <v>521</v>
      </c>
      <c r="C697" s="83" t="s">
        <v>53</v>
      </c>
      <c r="D697" s="63" t="s">
        <v>115</v>
      </c>
      <c r="E697" s="64">
        <v>3356</v>
      </c>
      <c r="F697" s="65" t="s">
        <v>115</v>
      </c>
      <c r="G697" s="66">
        <f>IF(Tabla9[[#This Row],[Precio
Unidad de Compra ( $)]]="","",(E697/(H697*I697)))</f>
        <v>3356</v>
      </c>
      <c r="H697" s="67">
        <v>1</v>
      </c>
      <c r="I697" s="159">
        <v>1</v>
      </c>
      <c r="J697" s="91" t="str">
        <f t="shared" si="16"/>
        <v>H_038</v>
      </c>
      <c r="K697" s="92"/>
    </row>
    <row r="698" customHeight="1" spans="1:11">
      <c r="A698" s="60">
        <f t="shared" si="17"/>
        <v>39</v>
      </c>
      <c r="B698" s="61" t="s">
        <v>522</v>
      </c>
      <c r="C698" s="83" t="s">
        <v>53</v>
      </c>
      <c r="D698" s="63" t="s">
        <v>115</v>
      </c>
      <c r="E698" s="64">
        <v>3356</v>
      </c>
      <c r="F698" s="65" t="s">
        <v>115</v>
      </c>
      <c r="G698" s="66">
        <f>IF(Tabla9[[#This Row],[Precio
Unidad de Compra ( $)]]="","",(E698/(H698*I698)))</f>
        <v>3356</v>
      </c>
      <c r="H698" s="67">
        <v>1</v>
      </c>
      <c r="I698" s="159">
        <v>1</v>
      </c>
      <c r="J698" s="91" t="str">
        <f t="shared" si="16"/>
        <v>H_039</v>
      </c>
      <c r="K698" s="92"/>
    </row>
    <row r="699" customHeight="1" spans="1:11">
      <c r="A699" s="60">
        <f t="shared" si="17"/>
        <v>40</v>
      </c>
      <c r="B699" s="61" t="s">
        <v>523</v>
      </c>
      <c r="C699" s="83" t="s">
        <v>53</v>
      </c>
      <c r="D699" s="63" t="s">
        <v>115</v>
      </c>
      <c r="E699" s="64">
        <v>3356</v>
      </c>
      <c r="F699" s="65" t="s">
        <v>115</v>
      </c>
      <c r="G699" s="66">
        <f>IF(Tabla9[[#This Row],[Precio
Unidad de Compra ( $)]]="","",(E699/(H699*I699)))</f>
        <v>3356</v>
      </c>
      <c r="H699" s="67">
        <v>1</v>
      </c>
      <c r="I699" s="159">
        <v>1</v>
      </c>
      <c r="J699" s="91" t="str">
        <f t="shared" si="16"/>
        <v>H_040</v>
      </c>
      <c r="K699" s="92"/>
    </row>
    <row r="700" customHeight="1" spans="1:11">
      <c r="A700" s="60">
        <f t="shared" si="17"/>
        <v>41</v>
      </c>
      <c r="B700" s="61" t="s">
        <v>524</v>
      </c>
      <c r="C700" s="83" t="s">
        <v>53</v>
      </c>
      <c r="D700" s="63" t="s">
        <v>115</v>
      </c>
      <c r="E700" s="64">
        <v>3356</v>
      </c>
      <c r="F700" s="65" t="s">
        <v>115</v>
      </c>
      <c r="G700" s="66">
        <f>IF(Tabla9[[#This Row],[Precio
Unidad de Compra ( $)]]="","",(E700/(H700*I700)))</f>
        <v>3356</v>
      </c>
      <c r="H700" s="67">
        <v>1</v>
      </c>
      <c r="I700" s="159">
        <v>1</v>
      </c>
      <c r="J700" s="91" t="str">
        <f t="shared" si="16"/>
        <v>H_041</v>
      </c>
      <c r="K700" s="92"/>
    </row>
    <row r="701" customHeight="1" spans="1:11">
      <c r="A701" s="60">
        <f t="shared" si="17"/>
        <v>42</v>
      </c>
      <c r="B701" s="61" t="s">
        <v>525</v>
      </c>
      <c r="C701" s="83" t="s">
        <v>53</v>
      </c>
      <c r="D701" s="63" t="s">
        <v>115</v>
      </c>
      <c r="E701" s="64">
        <v>3356</v>
      </c>
      <c r="F701" s="65" t="s">
        <v>115</v>
      </c>
      <c r="G701" s="66">
        <f>IF(Tabla9[[#This Row],[Precio
Unidad de Compra ( $)]]="","",(E701/(H701*I701)))</f>
        <v>3356</v>
      </c>
      <c r="H701" s="67">
        <v>1</v>
      </c>
      <c r="I701" s="159">
        <v>1</v>
      </c>
      <c r="J701" s="91" t="str">
        <f t="shared" si="16"/>
        <v>H_042</v>
      </c>
      <c r="K701" s="92"/>
    </row>
    <row r="702" customHeight="1" spans="1:11">
      <c r="A702" s="60">
        <f t="shared" si="17"/>
        <v>43</v>
      </c>
      <c r="B702" s="61" t="s">
        <v>526</v>
      </c>
      <c r="C702" s="83" t="s">
        <v>53</v>
      </c>
      <c r="D702" s="63" t="s">
        <v>115</v>
      </c>
      <c r="E702" s="64">
        <v>3356</v>
      </c>
      <c r="F702" s="65" t="s">
        <v>115</v>
      </c>
      <c r="G702" s="66">
        <f>IF(Tabla9[[#This Row],[Precio
Unidad de Compra ( $)]]="","",(E702/(H702*I702)))</f>
        <v>3356</v>
      </c>
      <c r="H702" s="67">
        <v>1</v>
      </c>
      <c r="I702" s="159">
        <v>1</v>
      </c>
      <c r="J702" s="91" t="str">
        <f t="shared" si="16"/>
        <v>H_043</v>
      </c>
      <c r="K702" s="92"/>
    </row>
    <row r="703" customHeight="1" spans="1:11">
      <c r="A703" s="60">
        <f t="shared" si="17"/>
        <v>44</v>
      </c>
      <c r="B703" s="61" t="s">
        <v>527</v>
      </c>
      <c r="C703" s="83" t="s">
        <v>53</v>
      </c>
      <c r="D703" s="63" t="s">
        <v>115</v>
      </c>
      <c r="E703" s="64">
        <v>1537.48</v>
      </c>
      <c r="F703" s="65" t="s">
        <v>115</v>
      </c>
      <c r="G703" s="66">
        <f>IF(Tabla9[[#This Row],[Precio
Unidad de Compra ( $)]]="","",(E703/(H703*I703)))</f>
        <v>1537.48</v>
      </c>
      <c r="H703" s="67">
        <v>1</v>
      </c>
      <c r="I703" s="159">
        <v>1</v>
      </c>
      <c r="J703" s="91" t="str">
        <f t="shared" si="16"/>
        <v>H_044</v>
      </c>
      <c r="K703" s="92"/>
    </row>
    <row r="704" customHeight="1" spans="1:11">
      <c r="A704" s="60">
        <f t="shared" si="17"/>
        <v>45</v>
      </c>
      <c r="B704" s="61" t="s">
        <v>528</v>
      </c>
      <c r="C704" s="83" t="s">
        <v>53</v>
      </c>
      <c r="D704" s="63" t="s">
        <v>115</v>
      </c>
      <c r="E704" s="156">
        <v>1537.48</v>
      </c>
      <c r="F704" s="65" t="s">
        <v>115</v>
      </c>
      <c r="G704" s="66">
        <f>IF(Tabla9[[#This Row],[Precio
Unidad de Compra ( $)]]="","",(E704/(H704*I704)))</f>
        <v>1537.48</v>
      </c>
      <c r="H704" s="67">
        <v>1</v>
      </c>
      <c r="I704" s="159">
        <v>1</v>
      </c>
      <c r="J704" s="91" t="str">
        <f t="shared" si="16"/>
        <v>H_045</v>
      </c>
      <c r="K704" s="92"/>
    </row>
    <row r="705" customHeight="1" spans="1:11">
      <c r="A705" s="60">
        <f t="shared" si="17"/>
        <v>46</v>
      </c>
      <c r="B705" s="61" t="s">
        <v>529</v>
      </c>
      <c r="C705" s="83" t="s">
        <v>53</v>
      </c>
      <c r="D705" s="63" t="s">
        <v>115</v>
      </c>
      <c r="E705" s="64">
        <v>1537.48</v>
      </c>
      <c r="F705" s="65" t="s">
        <v>115</v>
      </c>
      <c r="G705" s="66">
        <f>IF(Tabla9[[#This Row],[Precio
Unidad de Compra ( $)]]="","",(E705/(H705*I705)))</f>
        <v>1537.48</v>
      </c>
      <c r="H705" s="67">
        <v>1</v>
      </c>
      <c r="I705" s="159">
        <v>1</v>
      </c>
      <c r="J705" s="91" t="str">
        <f t="shared" si="16"/>
        <v>H_046</v>
      </c>
      <c r="K705" s="92"/>
    </row>
    <row r="706" customHeight="1" spans="1:11">
      <c r="A706" s="60">
        <f t="shared" si="17"/>
        <v>47</v>
      </c>
      <c r="B706" s="61" t="s">
        <v>530</v>
      </c>
      <c r="C706" s="83" t="s">
        <v>53</v>
      </c>
      <c r="D706" s="63" t="s">
        <v>115</v>
      </c>
      <c r="E706" s="64">
        <v>1537.48</v>
      </c>
      <c r="F706" s="65" t="s">
        <v>115</v>
      </c>
      <c r="G706" s="66">
        <f>IF(Tabla9[[#This Row],[Precio
Unidad de Compra ( $)]]="","",(E706/(H706*I706)))</f>
        <v>1537.48</v>
      </c>
      <c r="H706" s="67">
        <v>1</v>
      </c>
      <c r="I706" s="159">
        <v>1</v>
      </c>
      <c r="J706" s="91" t="str">
        <f t="shared" si="16"/>
        <v>H_047</v>
      </c>
      <c r="K706" s="92"/>
    </row>
    <row r="707" customHeight="1" spans="1:11">
      <c r="A707" s="60">
        <f t="shared" si="17"/>
        <v>48</v>
      </c>
      <c r="B707" s="160" t="s">
        <v>531</v>
      </c>
      <c r="C707" s="83" t="s">
        <v>53</v>
      </c>
      <c r="D707" s="63" t="s">
        <v>115</v>
      </c>
      <c r="E707" s="156">
        <v>1537.48</v>
      </c>
      <c r="F707" s="157" t="s">
        <v>115</v>
      </c>
      <c r="G707" s="66">
        <f>IF(Tabla9[[#This Row],[Precio
Unidad de Compra ( $)]]="","",(E707/(H707*I707)))</f>
        <v>1537.48</v>
      </c>
      <c r="H707" s="67">
        <v>1</v>
      </c>
      <c r="I707" s="159">
        <v>1</v>
      </c>
      <c r="J707" s="91" t="str">
        <f t="shared" si="16"/>
        <v>H_048</v>
      </c>
      <c r="K707" s="92"/>
    </row>
    <row r="708" customHeight="1" spans="1:11">
      <c r="A708" s="60">
        <f t="shared" si="17"/>
        <v>49</v>
      </c>
      <c r="B708" s="61" t="s">
        <v>532</v>
      </c>
      <c r="C708" s="83" t="s">
        <v>53</v>
      </c>
      <c r="D708" s="63" t="s">
        <v>115</v>
      </c>
      <c r="E708" s="156">
        <v>2727.48</v>
      </c>
      <c r="F708" s="65" t="s">
        <v>115</v>
      </c>
      <c r="G708" s="66">
        <f>IF(Tabla9[[#This Row],[Precio
Unidad de Compra ( $)]]="","",(E708/(H708*I708)))</f>
        <v>2727.48</v>
      </c>
      <c r="H708" s="67">
        <v>1</v>
      </c>
      <c r="I708" s="159">
        <v>1</v>
      </c>
      <c r="J708" s="91" t="str">
        <f t="shared" si="16"/>
        <v>H_049</v>
      </c>
      <c r="K708" s="92"/>
    </row>
    <row r="709" customHeight="1" spans="1:11">
      <c r="A709" s="60">
        <f t="shared" si="17"/>
        <v>50</v>
      </c>
      <c r="B709" s="160" t="s">
        <v>533</v>
      </c>
      <c r="C709" s="83" t="s">
        <v>53</v>
      </c>
      <c r="D709" s="63" t="s">
        <v>115</v>
      </c>
      <c r="E709" s="156">
        <v>1537.48</v>
      </c>
      <c r="F709" s="157" t="s">
        <v>115</v>
      </c>
      <c r="G709" s="66">
        <f>IF(Tabla9[[#This Row],[Precio
Unidad de Compra ( $)]]="","",(E709/(H709*I709)))</f>
        <v>1537.48</v>
      </c>
      <c r="H709" s="67">
        <v>1</v>
      </c>
      <c r="I709" s="159">
        <v>1</v>
      </c>
      <c r="J709" s="91" t="str">
        <f t="shared" si="16"/>
        <v>H_050</v>
      </c>
      <c r="K709" s="92"/>
    </row>
    <row r="710" customHeight="1" spans="1:11">
      <c r="A710" s="60">
        <f t="shared" si="17"/>
        <v>51</v>
      </c>
      <c r="B710" s="160" t="s">
        <v>534</v>
      </c>
      <c r="C710" s="83" t="s">
        <v>53</v>
      </c>
      <c r="D710" s="63" t="s">
        <v>115</v>
      </c>
      <c r="E710" s="156">
        <v>11057</v>
      </c>
      <c r="F710" s="157" t="s">
        <v>115</v>
      </c>
      <c r="G710" s="66">
        <f>IF(Tabla9[[#This Row],[Precio
Unidad de Compra ( $)]]="","",(E710/(H710*I710)))</f>
        <v>11057</v>
      </c>
      <c r="H710" s="67">
        <v>1</v>
      </c>
      <c r="I710" s="159">
        <v>1</v>
      </c>
      <c r="J710" s="91" t="str">
        <f t="shared" si="16"/>
        <v>H_051</v>
      </c>
      <c r="K710" s="92"/>
    </row>
    <row r="711" customHeight="1" spans="1:11">
      <c r="A711" s="60">
        <f t="shared" si="17"/>
        <v>52</v>
      </c>
      <c r="B711" s="160" t="s">
        <v>535</v>
      </c>
      <c r="C711" s="83" t="s">
        <v>53</v>
      </c>
      <c r="D711" s="63" t="s">
        <v>115</v>
      </c>
      <c r="E711" s="156">
        <v>11057</v>
      </c>
      <c r="F711" s="157" t="s">
        <v>115</v>
      </c>
      <c r="G711" s="66">
        <f>IF(Tabla9[[#This Row],[Precio
Unidad de Compra ( $)]]="","",(E711/(H711*I711)))</f>
        <v>11057</v>
      </c>
      <c r="H711" s="67">
        <v>1</v>
      </c>
      <c r="I711" s="159">
        <v>1</v>
      </c>
      <c r="J711" s="91" t="str">
        <f t="shared" si="16"/>
        <v>H_052</v>
      </c>
      <c r="K711" s="92"/>
    </row>
    <row r="712" customHeight="1" spans="1:11">
      <c r="A712" s="60">
        <f t="shared" si="17"/>
        <v>53</v>
      </c>
      <c r="B712" s="160" t="s">
        <v>536</v>
      </c>
      <c r="C712" s="83" t="s">
        <v>53</v>
      </c>
      <c r="D712" s="63" t="s">
        <v>115</v>
      </c>
      <c r="E712" s="156">
        <v>375</v>
      </c>
      <c r="F712" s="157" t="s">
        <v>115</v>
      </c>
      <c r="G712" s="66">
        <f>IF(Tabla9[[#This Row],[Precio
Unidad de Compra ( $)]]="","",(E712/(H712*I712)))</f>
        <v>375</v>
      </c>
      <c r="H712" s="67">
        <v>1</v>
      </c>
      <c r="I712" s="159">
        <v>1</v>
      </c>
      <c r="J712" s="91" t="str">
        <f t="shared" si="16"/>
        <v>H_053</v>
      </c>
      <c r="K712" s="92"/>
    </row>
    <row r="713" customHeight="1" spans="1:11">
      <c r="A713" s="60">
        <f t="shared" si="17"/>
        <v>54</v>
      </c>
      <c r="B713" s="160" t="s">
        <v>537</v>
      </c>
      <c r="C713" s="83" t="s">
        <v>53</v>
      </c>
      <c r="D713" s="63" t="s">
        <v>115</v>
      </c>
      <c r="E713" s="156">
        <v>1006.66666666667</v>
      </c>
      <c r="F713" s="157" t="s">
        <v>115</v>
      </c>
      <c r="G713" s="66">
        <f>IF(Tabla9[[#This Row],[Precio
Unidad de Compra ( $)]]="","",(E713/(H713*I713)))</f>
        <v>1006.66666666667</v>
      </c>
      <c r="H713" s="67">
        <v>1</v>
      </c>
      <c r="I713" s="159">
        <v>1</v>
      </c>
      <c r="J713" s="91" t="str">
        <f t="shared" si="16"/>
        <v>H_054</v>
      </c>
      <c r="K713" s="92"/>
    </row>
    <row r="714" customHeight="1" spans="1:11">
      <c r="A714" s="60">
        <f t="shared" si="17"/>
        <v>55</v>
      </c>
      <c r="B714" s="160" t="s">
        <v>538</v>
      </c>
      <c r="C714" s="83" t="s">
        <v>53</v>
      </c>
      <c r="D714" s="63" t="s">
        <v>115</v>
      </c>
      <c r="E714" s="156">
        <v>375</v>
      </c>
      <c r="F714" s="157" t="s">
        <v>115</v>
      </c>
      <c r="G714" s="66">
        <f>IF(Tabla9[[#This Row],[Precio
Unidad de Compra ( $)]]="","",(E714/(H714*I714)))</f>
        <v>375</v>
      </c>
      <c r="H714" s="67">
        <v>1</v>
      </c>
      <c r="I714" s="159">
        <v>1</v>
      </c>
      <c r="J714" s="91" t="str">
        <f t="shared" si="16"/>
        <v>H_055</v>
      </c>
      <c r="K714" s="92"/>
    </row>
    <row r="715" customHeight="1" spans="1:11">
      <c r="A715" s="60">
        <f t="shared" si="17"/>
        <v>56</v>
      </c>
      <c r="B715" s="160" t="s">
        <v>539</v>
      </c>
      <c r="C715" s="83" t="s">
        <v>53</v>
      </c>
      <c r="D715" s="63" t="s">
        <v>115</v>
      </c>
      <c r="E715" s="156">
        <v>375</v>
      </c>
      <c r="F715" s="157" t="s">
        <v>115</v>
      </c>
      <c r="G715" s="66">
        <f>IF(Tabla9[[#This Row],[Precio
Unidad de Compra ( $)]]="","",(E715/(H715*I715)))</f>
        <v>375</v>
      </c>
      <c r="H715" s="67">
        <v>1</v>
      </c>
      <c r="I715" s="159">
        <v>1</v>
      </c>
      <c r="J715" s="91" t="str">
        <f t="shared" si="16"/>
        <v>H_056</v>
      </c>
      <c r="K715" s="92"/>
    </row>
    <row r="716" customHeight="1" spans="1:11">
      <c r="A716" s="60">
        <f t="shared" si="17"/>
        <v>57</v>
      </c>
      <c r="B716" s="160" t="s">
        <v>540</v>
      </c>
      <c r="C716" s="83" t="s">
        <v>53</v>
      </c>
      <c r="D716" s="63" t="s">
        <v>115</v>
      </c>
      <c r="E716" s="156">
        <v>177.31</v>
      </c>
      <c r="F716" s="157" t="s">
        <v>115</v>
      </c>
      <c r="G716" s="66">
        <f>IF(Tabla9[[#This Row],[Precio
Unidad de Compra ( $)]]="","",(E716/(H716*I716)))</f>
        <v>177.31</v>
      </c>
      <c r="H716" s="67">
        <v>1</v>
      </c>
      <c r="I716" s="159">
        <v>1</v>
      </c>
      <c r="J716" s="91" t="str">
        <f t="shared" si="16"/>
        <v>H_057</v>
      </c>
      <c r="K716" s="92"/>
    </row>
    <row r="717" customHeight="1" spans="1:11">
      <c r="A717" s="60">
        <f t="shared" si="17"/>
        <v>58</v>
      </c>
      <c r="B717" s="160" t="s">
        <v>541</v>
      </c>
      <c r="C717" s="83" t="s">
        <v>53</v>
      </c>
      <c r="D717" s="63" t="s">
        <v>115</v>
      </c>
      <c r="E717" s="156">
        <v>177.31</v>
      </c>
      <c r="F717" s="157" t="s">
        <v>115</v>
      </c>
      <c r="G717" s="66">
        <f>IF(Tabla9[[#This Row],[Precio
Unidad de Compra ( $)]]="","",(E717/(H717*I717)))</f>
        <v>177.31</v>
      </c>
      <c r="H717" s="67">
        <v>1</v>
      </c>
      <c r="I717" s="159">
        <v>1</v>
      </c>
      <c r="J717" s="91" t="str">
        <f t="shared" si="16"/>
        <v>H_058</v>
      </c>
      <c r="K717" s="92"/>
    </row>
    <row r="718" customHeight="1" spans="1:11">
      <c r="A718" s="60">
        <f t="shared" si="17"/>
        <v>59</v>
      </c>
      <c r="B718" s="160" t="s">
        <v>542</v>
      </c>
      <c r="C718" s="83" t="s">
        <v>53</v>
      </c>
      <c r="D718" s="63" t="s">
        <v>115</v>
      </c>
      <c r="E718" s="156">
        <v>177.31</v>
      </c>
      <c r="F718" s="157" t="s">
        <v>115</v>
      </c>
      <c r="G718" s="66">
        <f>IF(Tabla9[[#This Row],[Precio
Unidad de Compra ( $)]]="","",(E718/(H718*I718)))</f>
        <v>177.31</v>
      </c>
      <c r="H718" s="67">
        <v>1</v>
      </c>
      <c r="I718" s="159">
        <v>1</v>
      </c>
      <c r="J718" s="91" t="str">
        <f t="shared" si="16"/>
        <v>H_059</v>
      </c>
      <c r="K718" s="92"/>
    </row>
    <row r="719" customHeight="1" spans="1:11">
      <c r="A719" s="60">
        <f t="shared" si="17"/>
        <v>60</v>
      </c>
      <c r="B719" s="160" t="s">
        <v>543</v>
      </c>
      <c r="C719" s="83" t="s">
        <v>53</v>
      </c>
      <c r="D719" s="63" t="s">
        <v>115</v>
      </c>
      <c r="E719" s="156">
        <v>177.31</v>
      </c>
      <c r="F719" s="157" t="s">
        <v>115</v>
      </c>
      <c r="G719" s="66">
        <f>IF(Tabla9[[#This Row],[Precio
Unidad de Compra ( $)]]="","",(E719/(H719*I719)))</f>
        <v>177.31</v>
      </c>
      <c r="H719" s="67">
        <v>1</v>
      </c>
      <c r="I719" s="159">
        <v>1</v>
      </c>
      <c r="J719" s="91" t="str">
        <f t="shared" si="16"/>
        <v>H_060</v>
      </c>
      <c r="K719" s="92"/>
    </row>
    <row r="720" customHeight="1" spans="1:11">
      <c r="A720" s="60">
        <f t="shared" si="17"/>
        <v>61</v>
      </c>
      <c r="B720" s="161" t="s">
        <v>544</v>
      </c>
      <c r="C720" s="83" t="s">
        <v>53</v>
      </c>
      <c r="D720" s="63" t="s">
        <v>115</v>
      </c>
      <c r="E720" s="64">
        <v>1280.44</v>
      </c>
      <c r="F720" s="65" t="s">
        <v>245</v>
      </c>
      <c r="G720" s="66">
        <f>IF(Tabla9[[#This Row],[Precio
Unidad de Compra ( $)]]="","",(E720/(H720*I720)))</f>
        <v>1280.44</v>
      </c>
      <c r="H720" s="67">
        <v>1</v>
      </c>
      <c r="I720" s="159">
        <v>1</v>
      </c>
      <c r="J720" s="91" t="str">
        <f t="shared" si="16"/>
        <v>H_061</v>
      </c>
      <c r="K720" s="92"/>
    </row>
    <row r="721" customHeight="1" spans="1:11">
      <c r="A721" s="60">
        <f t="shared" si="17"/>
        <v>62</v>
      </c>
      <c r="B721" s="61" t="s">
        <v>545</v>
      </c>
      <c r="C721" s="83" t="s">
        <v>53</v>
      </c>
      <c r="D721" s="63" t="s">
        <v>115</v>
      </c>
      <c r="E721" s="156">
        <v>1280.44</v>
      </c>
      <c r="F721" s="65" t="s">
        <v>115</v>
      </c>
      <c r="G721" s="66">
        <f>IF(Tabla9[[#This Row],[Precio
Unidad de Compra ( $)]]="","",(E721/(H721*I721)))</f>
        <v>1280.44</v>
      </c>
      <c r="H721" s="67">
        <v>1</v>
      </c>
      <c r="I721" s="159">
        <v>1</v>
      </c>
      <c r="J721" s="91" t="str">
        <f t="shared" si="16"/>
        <v>H_062</v>
      </c>
      <c r="K721" s="92"/>
    </row>
    <row r="722" customHeight="1" spans="1:11">
      <c r="A722" s="60">
        <f t="shared" si="17"/>
        <v>63</v>
      </c>
      <c r="B722" s="61" t="s">
        <v>546</v>
      </c>
      <c r="C722" s="83" t="s">
        <v>53</v>
      </c>
      <c r="D722" s="63" t="s">
        <v>115</v>
      </c>
      <c r="E722" s="64">
        <v>1280.44</v>
      </c>
      <c r="F722" s="65" t="s">
        <v>245</v>
      </c>
      <c r="G722" s="66">
        <f>IF(Tabla9[[#This Row],[Precio
Unidad de Compra ( $)]]="","",(E722/(H722*I722)))</f>
        <v>1280.44</v>
      </c>
      <c r="H722" s="67">
        <v>1</v>
      </c>
      <c r="I722" s="159">
        <v>1</v>
      </c>
      <c r="J722" s="91" t="str">
        <f t="shared" si="16"/>
        <v>H_063</v>
      </c>
      <c r="K722" s="92"/>
    </row>
    <row r="723" customHeight="1" spans="1:11">
      <c r="A723" s="60">
        <f t="shared" si="17"/>
        <v>64</v>
      </c>
      <c r="B723" s="61" t="s">
        <v>547</v>
      </c>
      <c r="C723" s="83" t="s">
        <v>53</v>
      </c>
      <c r="D723" s="63" t="s">
        <v>115</v>
      </c>
      <c r="E723" s="64">
        <v>1280.44</v>
      </c>
      <c r="F723" s="65" t="s">
        <v>245</v>
      </c>
      <c r="G723" s="66">
        <f>IF(Tabla9[[#This Row],[Precio
Unidad de Compra ( $)]]="","",(E723/(H723*I723)))</f>
        <v>1280.44</v>
      </c>
      <c r="H723" s="67">
        <v>1</v>
      </c>
      <c r="I723" s="159">
        <v>1</v>
      </c>
      <c r="J723" s="91" t="str">
        <f t="shared" si="16"/>
        <v>H_064</v>
      </c>
      <c r="K723" s="92"/>
    </row>
    <row r="724" customHeight="1" spans="1:11">
      <c r="A724" s="60">
        <f t="shared" si="17"/>
        <v>65</v>
      </c>
      <c r="B724" s="61" t="s">
        <v>548</v>
      </c>
      <c r="C724" s="83" t="s">
        <v>53</v>
      </c>
      <c r="D724" s="63" t="s">
        <v>115</v>
      </c>
      <c r="E724" s="64">
        <v>1280.44</v>
      </c>
      <c r="F724" s="65" t="s">
        <v>245</v>
      </c>
      <c r="G724" s="66">
        <f>IF(Tabla9[[#This Row],[Precio
Unidad de Compra ( $)]]="","",(E724/(H724*I724)))</f>
        <v>1280.44</v>
      </c>
      <c r="H724" s="67">
        <v>1</v>
      </c>
      <c r="I724" s="159">
        <v>1</v>
      </c>
      <c r="J724" s="91" t="str">
        <f t="shared" ref="J724:J787" si="18">IFERROR(CONCATENATE(LEFT(C724,1),"_",TEXT(A724,"000")),"")</f>
        <v>H_065</v>
      </c>
      <c r="K724" s="92"/>
    </row>
    <row r="725" customHeight="1" spans="1:11">
      <c r="A725" s="60">
        <f t="shared" ref="A725:A788" si="19">A724+1</f>
        <v>66</v>
      </c>
      <c r="B725" s="61" t="s">
        <v>549</v>
      </c>
      <c r="C725" s="83" t="s">
        <v>53</v>
      </c>
      <c r="D725" s="63" t="s">
        <v>115</v>
      </c>
      <c r="E725" s="156">
        <v>1280.44</v>
      </c>
      <c r="F725" s="65" t="s">
        <v>115</v>
      </c>
      <c r="G725" s="66">
        <f>IF(Tabla9[[#This Row],[Precio
Unidad de Compra ( $)]]="","",(E725/(H725*I725)))</f>
        <v>1280.44</v>
      </c>
      <c r="H725" s="67">
        <v>1</v>
      </c>
      <c r="I725" s="159">
        <v>1</v>
      </c>
      <c r="J725" s="91" t="str">
        <f t="shared" si="18"/>
        <v>H_066</v>
      </c>
      <c r="K725" s="92"/>
    </row>
    <row r="726" customHeight="1" spans="1:11">
      <c r="A726" s="60">
        <f t="shared" si="19"/>
        <v>67</v>
      </c>
      <c r="B726" s="161" t="s">
        <v>550</v>
      </c>
      <c r="C726" s="83" t="s">
        <v>53</v>
      </c>
      <c r="D726" s="63" t="s">
        <v>115</v>
      </c>
      <c r="E726" s="64">
        <v>1280.44</v>
      </c>
      <c r="F726" s="65" t="s">
        <v>245</v>
      </c>
      <c r="G726" s="66">
        <f>IF(Tabla9[[#This Row],[Precio
Unidad de Compra ( $)]]="","",(E726/(H726*I726)))</f>
        <v>1280.44</v>
      </c>
      <c r="H726" s="67">
        <v>1</v>
      </c>
      <c r="I726" s="159">
        <v>1</v>
      </c>
      <c r="J726" s="91" t="str">
        <f t="shared" si="18"/>
        <v>H_067</v>
      </c>
      <c r="K726" s="92"/>
    </row>
    <row r="727" customHeight="1" spans="1:11">
      <c r="A727" s="60">
        <f t="shared" si="19"/>
        <v>68</v>
      </c>
      <c r="B727" s="160" t="s">
        <v>551</v>
      </c>
      <c r="C727" s="83" t="s">
        <v>53</v>
      </c>
      <c r="D727" s="63" t="s">
        <v>115</v>
      </c>
      <c r="E727" s="156">
        <v>14750</v>
      </c>
      <c r="F727" s="157" t="s">
        <v>115</v>
      </c>
      <c r="G727" s="66">
        <f>IF(Tabla9[[#This Row],[Precio
Unidad de Compra ( $)]]="","",(E727/(H727*I727)))</f>
        <v>14750</v>
      </c>
      <c r="H727" s="67">
        <v>1</v>
      </c>
      <c r="I727" s="159">
        <v>1</v>
      </c>
      <c r="J727" s="91" t="str">
        <f t="shared" si="18"/>
        <v>H_068</v>
      </c>
      <c r="K727" s="92"/>
    </row>
    <row r="728" customHeight="1" spans="1:11">
      <c r="A728" s="60">
        <f t="shared" si="19"/>
        <v>69</v>
      </c>
      <c r="B728" s="160" t="s">
        <v>552</v>
      </c>
      <c r="C728" s="83" t="s">
        <v>53</v>
      </c>
      <c r="D728" s="63" t="s">
        <v>115</v>
      </c>
      <c r="E728" s="156">
        <v>14750</v>
      </c>
      <c r="F728" s="157" t="s">
        <v>115</v>
      </c>
      <c r="G728" s="66">
        <f>IF(Tabla9[[#This Row],[Precio
Unidad de Compra ( $)]]="","",(E728/(H728*I728)))</f>
        <v>14750</v>
      </c>
      <c r="H728" s="67">
        <v>1</v>
      </c>
      <c r="I728" s="159">
        <v>1</v>
      </c>
      <c r="J728" s="91" t="str">
        <f t="shared" si="18"/>
        <v>H_069</v>
      </c>
      <c r="K728" s="92"/>
    </row>
    <row r="729" customHeight="1" spans="1:11">
      <c r="A729" s="60">
        <f t="shared" si="19"/>
        <v>70</v>
      </c>
      <c r="B729" s="160" t="s">
        <v>553</v>
      </c>
      <c r="C729" s="83" t="s">
        <v>53</v>
      </c>
      <c r="D729" s="63" t="s">
        <v>115</v>
      </c>
      <c r="E729" s="156">
        <v>4799.27</v>
      </c>
      <c r="F729" s="157" t="s">
        <v>115</v>
      </c>
      <c r="G729" s="66">
        <f>IF(Tabla9[[#This Row],[Precio
Unidad de Compra ( $)]]="","",(E729/(H729*I729)))</f>
        <v>4799.27</v>
      </c>
      <c r="H729" s="67">
        <v>1</v>
      </c>
      <c r="I729" s="159">
        <v>1</v>
      </c>
      <c r="J729" s="91" t="str">
        <f t="shared" si="18"/>
        <v>H_070</v>
      </c>
      <c r="K729" s="92"/>
    </row>
    <row r="730" customHeight="1" spans="1:11">
      <c r="A730" s="60">
        <f t="shared" si="19"/>
        <v>71</v>
      </c>
      <c r="B730" s="160" t="s">
        <v>554</v>
      </c>
      <c r="C730" s="83" t="s">
        <v>53</v>
      </c>
      <c r="D730" s="63" t="s">
        <v>115</v>
      </c>
      <c r="E730" s="156">
        <v>4799.27</v>
      </c>
      <c r="F730" s="157" t="s">
        <v>115</v>
      </c>
      <c r="G730" s="66">
        <f>IF(Tabla9[[#This Row],[Precio
Unidad de Compra ( $)]]="","",(E730/(H730*I730)))</f>
        <v>4799.27</v>
      </c>
      <c r="H730" s="67">
        <v>1</v>
      </c>
      <c r="I730" s="159">
        <v>1</v>
      </c>
      <c r="J730" s="91" t="str">
        <f t="shared" si="18"/>
        <v>H_071</v>
      </c>
      <c r="K730" s="92"/>
    </row>
    <row r="731" customHeight="1" spans="1:11">
      <c r="A731" s="60">
        <f t="shared" si="19"/>
        <v>72</v>
      </c>
      <c r="B731" s="160" t="s">
        <v>555</v>
      </c>
      <c r="C731" s="83" t="s">
        <v>53</v>
      </c>
      <c r="D731" s="63" t="s">
        <v>115</v>
      </c>
      <c r="E731" s="156">
        <v>1000</v>
      </c>
      <c r="F731" s="157" t="s">
        <v>115</v>
      </c>
      <c r="G731" s="66">
        <f>IF(Tabla9[[#This Row],[Precio
Unidad de Compra ( $)]]="","",(E731/(H731*I731)))</f>
        <v>1000</v>
      </c>
      <c r="H731" s="67">
        <v>1</v>
      </c>
      <c r="I731" s="159">
        <v>1</v>
      </c>
      <c r="J731" s="91" t="str">
        <f t="shared" si="18"/>
        <v>H_072</v>
      </c>
      <c r="K731" s="92"/>
    </row>
    <row r="732" customHeight="1" spans="1:11">
      <c r="A732" s="60">
        <f t="shared" si="19"/>
        <v>73</v>
      </c>
      <c r="B732" s="160" t="s">
        <v>556</v>
      </c>
      <c r="C732" s="83" t="s">
        <v>53</v>
      </c>
      <c r="D732" s="63" t="s">
        <v>115</v>
      </c>
      <c r="E732" s="156">
        <v>1000</v>
      </c>
      <c r="F732" s="157" t="s">
        <v>115</v>
      </c>
      <c r="G732" s="66">
        <f>IF(Tabla9[[#This Row],[Precio
Unidad de Compra ( $)]]="","",(E732/(H732*I732)))</f>
        <v>1000</v>
      </c>
      <c r="H732" s="67">
        <v>1</v>
      </c>
      <c r="I732" s="159">
        <v>1</v>
      </c>
      <c r="J732" s="91" t="str">
        <f t="shared" si="18"/>
        <v>H_073</v>
      </c>
      <c r="K732" s="92"/>
    </row>
    <row r="733" customHeight="1" spans="1:11">
      <c r="A733" s="60">
        <f t="shared" si="19"/>
        <v>74</v>
      </c>
      <c r="B733" s="160" t="s">
        <v>557</v>
      </c>
      <c r="C733" s="83" t="s">
        <v>53</v>
      </c>
      <c r="D733" s="63" t="s">
        <v>115</v>
      </c>
      <c r="E733" s="156">
        <v>6957.93</v>
      </c>
      <c r="F733" s="157" t="s">
        <v>115</v>
      </c>
      <c r="G733" s="66">
        <f>IF(Tabla9[[#This Row],[Precio
Unidad de Compra ( $)]]="","",(E733/(H733*I733)))</f>
        <v>6957.93</v>
      </c>
      <c r="H733" s="67">
        <v>1</v>
      </c>
      <c r="I733" s="159">
        <v>1</v>
      </c>
      <c r="J733" s="91" t="str">
        <f t="shared" si="18"/>
        <v>H_074</v>
      </c>
      <c r="K733" s="92"/>
    </row>
    <row r="734" customHeight="1" spans="1:11">
      <c r="A734" s="60">
        <f t="shared" si="19"/>
        <v>75</v>
      </c>
      <c r="B734" s="160" t="s">
        <v>558</v>
      </c>
      <c r="C734" s="83" t="s">
        <v>53</v>
      </c>
      <c r="D734" s="63" t="s">
        <v>115</v>
      </c>
      <c r="E734" s="156">
        <v>6957.93</v>
      </c>
      <c r="F734" s="157" t="s">
        <v>115</v>
      </c>
      <c r="G734" s="66">
        <f>IF(Tabla9[[#This Row],[Precio
Unidad de Compra ( $)]]="","",(E734/(H734*I734)))</f>
        <v>6957.93</v>
      </c>
      <c r="H734" s="67">
        <v>1</v>
      </c>
      <c r="I734" s="159">
        <v>1</v>
      </c>
      <c r="J734" s="91" t="str">
        <f t="shared" si="18"/>
        <v>H_075</v>
      </c>
      <c r="K734" s="92"/>
    </row>
    <row r="735" customHeight="1" spans="1:11">
      <c r="A735" s="60">
        <f t="shared" si="19"/>
        <v>76</v>
      </c>
      <c r="B735" s="160" t="s">
        <v>559</v>
      </c>
      <c r="C735" s="83" t="s">
        <v>53</v>
      </c>
      <c r="D735" s="63" t="s">
        <v>115</v>
      </c>
      <c r="E735" s="156">
        <v>6957.93</v>
      </c>
      <c r="F735" s="157" t="s">
        <v>115</v>
      </c>
      <c r="G735" s="66">
        <f>IF(Tabla9[[#This Row],[Precio
Unidad de Compra ( $)]]="","",(E735/(H735*I735)))</f>
        <v>6957.93</v>
      </c>
      <c r="H735" s="67">
        <v>1</v>
      </c>
      <c r="I735" s="159">
        <v>1</v>
      </c>
      <c r="J735" s="91" t="str">
        <f t="shared" si="18"/>
        <v>H_076</v>
      </c>
      <c r="K735" s="92"/>
    </row>
    <row r="736" customHeight="1" spans="1:11">
      <c r="A736" s="60">
        <f t="shared" si="19"/>
        <v>77</v>
      </c>
      <c r="B736" s="160" t="s">
        <v>560</v>
      </c>
      <c r="C736" s="83" t="s">
        <v>53</v>
      </c>
      <c r="D736" s="63" t="s">
        <v>115</v>
      </c>
      <c r="E736" s="156">
        <v>6957.93</v>
      </c>
      <c r="F736" s="157" t="s">
        <v>115</v>
      </c>
      <c r="G736" s="66">
        <f>IF(Tabla9[[#This Row],[Precio
Unidad de Compra ( $)]]="","",(E736/(H736*I736)))</f>
        <v>6957.93</v>
      </c>
      <c r="H736" s="67">
        <v>1</v>
      </c>
      <c r="I736" s="159">
        <v>1</v>
      </c>
      <c r="J736" s="91" t="str">
        <f t="shared" si="18"/>
        <v>H_077</v>
      </c>
      <c r="K736" s="92"/>
    </row>
    <row r="737" customHeight="1" spans="1:11">
      <c r="A737" s="60">
        <f t="shared" si="19"/>
        <v>78</v>
      </c>
      <c r="B737" s="160" t="s">
        <v>561</v>
      </c>
      <c r="C737" s="83" t="s">
        <v>53</v>
      </c>
      <c r="D737" s="63" t="s">
        <v>115</v>
      </c>
      <c r="E737" s="156">
        <v>6957.93</v>
      </c>
      <c r="F737" s="157" t="s">
        <v>115</v>
      </c>
      <c r="G737" s="66">
        <f>IF(Tabla9[[#This Row],[Precio
Unidad de Compra ( $)]]="","",(E737/(H737*I737)))</f>
        <v>6957.93</v>
      </c>
      <c r="H737" s="67">
        <v>1</v>
      </c>
      <c r="I737" s="159">
        <v>1</v>
      </c>
      <c r="J737" s="91" t="str">
        <f t="shared" si="18"/>
        <v>H_078</v>
      </c>
      <c r="K737" s="92"/>
    </row>
    <row r="738" customHeight="1" spans="1:11">
      <c r="A738" s="60">
        <f t="shared" si="19"/>
        <v>79</v>
      </c>
      <c r="B738" s="160" t="s">
        <v>562</v>
      </c>
      <c r="C738" s="83" t="s">
        <v>53</v>
      </c>
      <c r="D738" s="63" t="s">
        <v>115</v>
      </c>
      <c r="E738" s="156">
        <v>6957.93</v>
      </c>
      <c r="F738" s="157" t="s">
        <v>115</v>
      </c>
      <c r="G738" s="66">
        <f>IF(Tabla9[[#This Row],[Precio
Unidad de Compra ( $)]]="","",(E738/(H738*I738)))</f>
        <v>6957.93</v>
      </c>
      <c r="H738" s="67">
        <v>1</v>
      </c>
      <c r="I738" s="159">
        <v>1</v>
      </c>
      <c r="J738" s="91" t="str">
        <f t="shared" si="18"/>
        <v>H_079</v>
      </c>
      <c r="K738" s="92"/>
    </row>
    <row r="739" customHeight="1" spans="1:11">
      <c r="A739" s="60">
        <f t="shared" si="19"/>
        <v>80</v>
      </c>
      <c r="B739" s="160" t="s">
        <v>563</v>
      </c>
      <c r="C739" s="83" t="s">
        <v>53</v>
      </c>
      <c r="D739" s="63" t="s">
        <v>115</v>
      </c>
      <c r="E739" s="156">
        <v>6957.93</v>
      </c>
      <c r="F739" s="157" t="s">
        <v>115</v>
      </c>
      <c r="G739" s="66">
        <f>IF(Tabla9[[#This Row],[Precio
Unidad de Compra ( $)]]="","",(E739/(H739*I739)))</f>
        <v>6957.93</v>
      </c>
      <c r="H739" s="67">
        <v>1</v>
      </c>
      <c r="I739" s="159">
        <v>1</v>
      </c>
      <c r="J739" s="91" t="str">
        <f t="shared" si="18"/>
        <v>H_080</v>
      </c>
      <c r="K739" s="92"/>
    </row>
    <row r="740" customHeight="1" spans="1:11">
      <c r="A740" s="60">
        <f t="shared" si="19"/>
        <v>81</v>
      </c>
      <c r="B740" s="160" t="s">
        <v>564</v>
      </c>
      <c r="C740" s="83" t="s">
        <v>53</v>
      </c>
      <c r="D740" s="63" t="s">
        <v>115</v>
      </c>
      <c r="E740" s="156">
        <v>6957.93</v>
      </c>
      <c r="F740" s="157" t="s">
        <v>115</v>
      </c>
      <c r="G740" s="66">
        <f>IF(Tabla9[[#This Row],[Precio
Unidad de Compra ( $)]]="","",(E740/(H740*I740)))</f>
        <v>6957.93</v>
      </c>
      <c r="H740" s="67">
        <v>1</v>
      </c>
      <c r="I740" s="159">
        <v>1</v>
      </c>
      <c r="J740" s="91" t="str">
        <f t="shared" si="18"/>
        <v>H_081</v>
      </c>
      <c r="K740" s="92"/>
    </row>
    <row r="741" customHeight="1" spans="1:11">
      <c r="A741" s="60">
        <f t="shared" si="19"/>
        <v>82</v>
      </c>
      <c r="B741" s="160" t="s">
        <v>565</v>
      </c>
      <c r="C741" s="83" t="s">
        <v>53</v>
      </c>
      <c r="D741" s="63" t="s">
        <v>115</v>
      </c>
      <c r="E741" s="156">
        <v>6957.93</v>
      </c>
      <c r="F741" s="157" t="s">
        <v>115</v>
      </c>
      <c r="G741" s="66">
        <f>IF(Tabla9[[#This Row],[Precio
Unidad de Compra ( $)]]="","",(E741/(H741*I741)))</f>
        <v>6957.93</v>
      </c>
      <c r="H741" s="67">
        <v>1</v>
      </c>
      <c r="I741" s="159">
        <v>1</v>
      </c>
      <c r="J741" s="91" t="str">
        <f t="shared" si="18"/>
        <v>H_082</v>
      </c>
      <c r="K741" s="92"/>
    </row>
    <row r="742" customHeight="1" spans="1:11">
      <c r="A742" s="60">
        <f t="shared" si="19"/>
        <v>83</v>
      </c>
      <c r="B742" s="160" t="s">
        <v>566</v>
      </c>
      <c r="C742" s="83" t="s">
        <v>53</v>
      </c>
      <c r="D742" s="63" t="s">
        <v>115</v>
      </c>
      <c r="E742" s="156">
        <v>6957.93</v>
      </c>
      <c r="F742" s="157" t="s">
        <v>115</v>
      </c>
      <c r="G742" s="66">
        <f>IF(Tabla9[[#This Row],[Precio
Unidad de Compra ( $)]]="","",(E742/(H742*I742)))</f>
        <v>6957.93</v>
      </c>
      <c r="H742" s="67">
        <v>1</v>
      </c>
      <c r="I742" s="159">
        <v>1</v>
      </c>
      <c r="J742" s="91" t="str">
        <f t="shared" si="18"/>
        <v>H_083</v>
      </c>
      <c r="K742" s="92"/>
    </row>
    <row r="743" customHeight="1" spans="1:11">
      <c r="A743" s="60">
        <f t="shared" si="19"/>
        <v>84</v>
      </c>
      <c r="B743" s="160" t="s">
        <v>567</v>
      </c>
      <c r="C743" s="83" t="s">
        <v>53</v>
      </c>
      <c r="D743" s="63" t="s">
        <v>115</v>
      </c>
      <c r="E743" s="156">
        <v>6957.93</v>
      </c>
      <c r="F743" s="157" t="s">
        <v>115</v>
      </c>
      <c r="G743" s="66">
        <f>IF(Tabla9[[#This Row],[Precio
Unidad de Compra ( $)]]="","",(E743/(H743*I743)))</f>
        <v>6957.93</v>
      </c>
      <c r="H743" s="67">
        <v>1</v>
      </c>
      <c r="I743" s="159">
        <v>1</v>
      </c>
      <c r="J743" s="91" t="str">
        <f t="shared" si="18"/>
        <v>H_084</v>
      </c>
      <c r="K743" s="92"/>
    </row>
    <row r="744" customHeight="1" spans="1:11">
      <c r="A744" s="60">
        <f t="shared" si="19"/>
        <v>85</v>
      </c>
      <c r="B744" s="160" t="s">
        <v>568</v>
      </c>
      <c r="C744" s="83" t="s">
        <v>53</v>
      </c>
      <c r="D744" s="63" t="s">
        <v>115</v>
      </c>
      <c r="E744" s="156">
        <v>6957.93</v>
      </c>
      <c r="F744" s="157" t="s">
        <v>115</v>
      </c>
      <c r="G744" s="66">
        <f>IF(Tabla9[[#This Row],[Precio
Unidad de Compra ( $)]]="","",(E744/(H744*I744)))</f>
        <v>6957.93</v>
      </c>
      <c r="H744" s="67">
        <v>1</v>
      </c>
      <c r="I744" s="159">
        <v>1</v>
      </c>
      <c r="J744" s="91" t="str">
        <f t="shared" si="18"/>
        <v>H_085</v>
      </c>
      <c r="K744" s="92"/>
    </row>
    <row r="745" customHeight="1" spans="1:11">
      <c r="A745" s="60">
        <f t="shared" si="19"/>
        <v>86</v>
      </c>
      <c r="B745" s="61" t="s">
        <v>569</v>
      </c>
      <c r="C745" s="83" t="s">
        <v>53</v>
      </c>
      <c r="D745" s="63" t="s">
        <v>115</v>
      </c>
      <c r="E745" s="64">
        <v>3700</v>
      </c>
      <c r="F745" s="65" t="s">
        <v>115</v>
      </c>
      <c r="G745" s="66">
        <f>IF(Tabla9[[#This Row],[Precio
Unidad de Compra ( $)]]="","",(E745/(H745*I745)))</f>
        <v>3700</v>
      </c>
      <c r="H745" s="67">
        <v>1</v>
      </c>
      <c r="I745" s="159">
        <v>1</v>
      </c>
      <c r="J745" s="91" t="str">
        <f t="shared" si="18"/>
        <v>H_086</v>
      </c>
      <c r="K745" s="92"/>
    </row>
    <row r="746" customHeight="1" spans="1:11">
      <c r="A746" s="60">
        <f t="shared" si="19"/>
        <v>87</v>
      </c>
      <c r="B746" s="61" t="s">
        <v>570</v>
      </c>
      <c r="C746" s="83" t="s">
        <v>53</v>
      </c>
      <c r="D746" s="63" t="s">
        <v>115</v>
      </c>
      <c r="E746" s="64">
        <v>3700</v>
      </c>
      <c r="F746" s="65" t="s">
        <v>115</v>
      </c>
      <c r="G746" s="66">
        <f>IF(Tabla9[[#This Row],[Precio
Unidad de Compra ( $)]]="","",(E746/(H746*I746)))</f>
        <v>3700</v>
      </c>
      <c r="H746" s="67">
        <v>1</v>
      </c>
      <c r="I746" s="159">
        <v>1</v>
      </c>
      <c r="J746" s="91" t="str">
        <f t="shared" si="18"/>
        <v>H_087</v>
      </c>
      <c r="K746" s="92"/>
    </row>
    <row r="747" customHeight="1" spans="1:11">
      <c r="A747" s="60">
        <f t="shared" si="19"/>
        <v>88</v>
      </c>
      <c r="B747" s="160" t="s">
        <v>571</v>
      </c>
      <c r="C747" s="83" t="s">
        <v>53</v>
      </c>
      <c r="D747" s="63" t="s">
        <v>115</v>
      </c>
      <c r="E747" s="156">
        <v>1200</v>
      </c>
      <c r="F747" s="157" t="s">
        <v>115</v>
      </c>
      <c r="G747" s="66">
        <f>IF(Tabla9[[#This Row],[Precio
Unidad de Compra ( $)]]="","",(E747/(H747*I747)))</f>
        <v>1200</v>
      </c>
      <c r="H747" s="67">
        <v>1</v>
      </c>
      <c r="I747" s="159">
        <v>1</v>
      </c>
      <c r="J747" s="91" t="str">
        <f t="shared" si="18"/>
        <v>H_088</v>
      </c>
      <c r="K747" s="92"/>
    </row>
    <row r="748" customHeight="1" spans="1:11">
      <c r="A748" s="60">
        <f t="shared" si="19"/>
        <v>89</v>
      </c>
      <c r="B748" s="160" t="s">
        <v>572</v>
      </c>
      <c r="C748" s="83" t="s">
        <v>53</v>
      </c>
      <c r="D748" s="63" t="s">
        <v>115</v>
      </c>
      <c r="E748" s="156">
        <v>1200</v>
      </c>
      <c r="F748" s="157" t="s">
        <v>115</v>
      </c>
      <c r="G748" s="66">
        <f>IF(Tabla9[[#This Row],[Precio
Unidad de Compra ( $)]]="","",(E748/(H748*I748)))</f>
        <v>1200</v>
      </c>
      <c r="H748" s="67">
        <v>1</v>
      </c>
      <c r="I748" s="159">
        <v>1</v>
      </c>
      <c r="J748" s="91" t="str">
        <f t="shared" si="18"/>
        <v>H_089</v>
      </c>
      <c r="K748" s="92"/>
    </row>
    <row r="749" customHeight="1" spans="1:11">
      <c r="A749" s="60">
        <f t="shared" si="19"/>
        <v>90</v>
      </c>
      <c r="B749" s="160" t="s">
        <v>573</v>
      </c>
      <c r="C749" s="83" t="s">
        <v>53</v>
      </c>
      <c r="D749" s="63" t="s">
        <v>115</v>
      </c>
      <c r="E749" s="156">
        <v>1200</v>
      </c>
      <c r="F749" s="157" t="s">
        <v>115</v>
      </c>
      <c r="G749" s="66">
        <f>IF(Tabla9[[#This Row],[Precio
Unidad de Compra ( $)]]="","",(E749/(H749*I749)))</f>
        <v>1200</v>
      </c>
      <c r="H749" s="67">
        <v>1</v>
      </c>
      <c r="I749" s="159">
        <v>1</v>
      </c>
      <c r="J749" s="91" t="str">
        <f t="shared" si="18"/>
        <v>H_090</v>
      </c>
      <c r="K749" s="92"/>
    </row>
    <row r="750" customHeight="1" spans="1:11">
      <c r="A750" s="60">
        <f t="shared" si="19"/>
        <v>91</v>
      </c>
      <c r="B750" s="160" t="s">
        <v>574</v>
      </c>
      <c r="C750" s="83" t="s">
        <v>53</v>
      </c>
      <c r="D750" s="63" t="s">
        <v>115</v>
      </c>
      <c r="E750" s="156">
        <v>1200</v>
      </c>
      <c r="F750" s="157" t="s">
        <v>115</v>
      </c>
      <c r="G750" s="66">
        <f>IF(Tabla9[[#This Row],[Precio
Unidad de Compra ( $)]]="","",(E750/(H750*I750)))</f>
        <v>1200</v>
      </c>
      <c r="H750" s="67">
        <v>1</v>
      </c>
      <c r="I750" s="159">
        <v>1</v>
      </c>
      <c r="J750" s="91" t="str">
        <f t="shared" si="18"/>
        <v>H_091</v>
      </c>
      <c r="K750" s="92"/>
    </row>
    <row r="751" customHeight="1" spans="1:11">
      <c r="A751" s="60">
        <f t="shared" si="19"/>
        <v>92</v>
      </c>
      <c r="B751" s="160" t="s">
        <v>575</v>
      </c>
      <c r="C751" s="83" t="s">
        <v>53</v>
      </c>
      <c r="D751" s="63" t="s">
        <v>115</v>
      </c>
      <c r="E751" s="156">
        <v>1200</v>
      </c>
      <c r="F751" s="157" t="s">
        <v>115</v>
      </c>
      <c r="G751" s="66">
        <f>IF(Tabla9[[#This Row],[Precio
Unidad de Compra ( $)]]="","",(E751/(H751*I751)))</f>
        <v>1200</v>
      </c>
      <c r="H751" s="67">
        <v>1</v>
      </c>
      <c r="I751" s="159">
        <v>1</v>
      </c>
      <c r="J751" s="91" t="str">
        <f t="shared" si="18"/>
        <v>H_092</v>
      </c>
      <c r="K751" s="92"/>
    </row>
    <row r="752" customHeight="1" spans="1:11">
      <c r="A752" s="60">
        <f t="shared" si="19"/>
        <v>93</v>
      </c>
      <c r="B752" s="160" t="s">
        <v>576</v>
      </c>
      <c r="C752" s="83" t="s">
        <v>53</v>
      </c>
      <c r="D752" s="63" t="s">
        <v>115</v>
      </c>
      <c r="E752" s="156">
        <v>873.94</v>
      </c>
      <c r="F752" s="157" t="s">
        <v>115</v>
      </c>
      <c r="G752" s="66">
        <f>IF(Tabla9[[#This Row],[Precio
Unidad de Compra ( $)]]="","",(E752/(H752*I752)))</f>
        <v>873.94</v>
      </c>
      <c r="H752" s="67">
        <v>1</v>
      </c>
      <c r="I752" s="159">
        <v>1</v>
      </c>
      <c r="J752" s="91" t="str">
        <f t="shared" si="18"/>
        <v>H_093</v>
      </c>
      <c r="K752" s="92"/>
    </row>
    <row r="753" customHeight="1" spans="1:11">
      <c r="A753" s="60">
        <f t="shared" si="19"/>
        <v>94</v>
      </c>
      <c r="B753" s="160" t="s">
        <v>577</v>
      </c>
      <c r="C753" s="83" t="s">
        <v>53</v>
      </c>
      <c r="D753" s="63" t="s">
        <v>115</v>
      </c>
      <c r="E753" s="156">
        <v>873.94</v>
      </c>
      <c r="F753" s="157" t="s">
        <v>115</v>
      </c>
      <c r="G753" s="66">
        <f>IF(Tabla9[[#This Row],[Precio
Unidad de Compra ( $)]]="","",(E753/(H753*I753)))</f>
        <v>873.94</v>
      </c>
      <c r="H753" s="67">
        <v>1</v>
      </c>
      <c r="I753" s="159">
        <v>1</v>
      </c>
      <c r="J753" s="91" t="str">
        <f t="shared" si="18"/>
        <v>H_094</v>
      </c>
      <c r="K753" s="92"/>
    </row>
    <row r="754" customHeight="1" spans="1:11">
      <c r="A754" s="60">
        <f t="shared" si="19"/>
        <v>95</v>
      </c>
      <c r="B754" s="160" t="s">
        <v>578</v>
      </c>
      <c r="C754" s="83" t="s">
        <v>53</v>
      </c>
      <c r="D754" s="63" t="s">
        <v>115</v>
      </c>
      <c r="E754" s="156">
        <v>873.94</v>
      </c>
      <c r="F754" s="157" t="s">
        <v>115</v>
      </c>
      <c r="G754" s="66">
        <f>IF(Tabla9[[#This Row],[Precio
Unidad de Compra ( $)]]="","",(E754/(H754*I754)))</f>
        <v>873.94</v>
      </c>
      <c r="H754" s="67">
        <v>1</v>
      </c>
      <c r="I754" s="159">
        <v>1</v>
      </c>
      <c r="J754" s="91" t="str">
        <f t="shared" si="18"/>
        <v>H_095</v>
      </c>
      <c r="K754" s="92"/>
    </row>
    <row r="755" customHeight="1" spans="1:11">
      <c r="A755" s="60">
        <f t="shared" si="19"/>
        <v>96</v>
      </c>
      <c r="B755" s="160" t="s">
        <v>579</v>
      </c>
      <c r="C755" s="83" t="s">
        <v>53</v>
      </c>
      <c r="D755" s="63" t="s">
        <v>115</v>
      </c>
      <c r="E755" s="156">
        <v>1173.34</v>
      </c>
      <c r="F755" s="157" t="s">
        <v>115</v>
      </c>
      <c r="G755" s="66">
        <f>IF(Tabla9[[#This Row],[Precio
Unidad de Compra ( $)]]="","",(E755/(H755*I755)))</f>
        <v>1173.34</v>
      </c>
      <c r="H755" s="67">
        <v>1</v>
      </c>
      <c r="I755" s="159">
        <v>1</v>
      </c>
      <c r="J755" s="91" t="str">
        <f t="shared" si="18"/>
        <v>H_096</v>
      </c>
      <c r="K755" s="92"/>
    </row>
    <row r="756" customHeight="1" spans="1:11">
      <c r="A756" s="60">
        <f t="shared" si="19"/>
        <v>97</v>
      </c>
      <c r="B756" s="160" t="s">
        <v>580</v>
      </c>
      <c r="C756" s="83" t="s">
        <v>53</v>
      </c>
      <c r="D756" s="63" t="s">
        <v>115</v>
      </c>
      <c r="E756" s="156">
        <v>998.41</v>
      </c>
      <c r="F756" s="157" t="s">
        <v>115</v>
      </c>
      <c r="G756" s="66">
        <f>IF(Tabla9[[#This Row],[Precio
Unidad de Compra ( $)]]="","",(E756/(H756*I756)))</f>
        <v>998.41</v>
      </c>
      <c r="H756" s="67">
        <v>1</v>
      </c>
      <c r="I756" s="159">
        <v>1</v>
      </c>
      <c r="J756" s="91" t="str">
        <f t="shared" si="18"/>
        <v>H_097</v>
      </c>
      <c r="K756" s="92"/>
    </row>
    <row r="757" customHeight="1" spans="1:11">
      <c r="A757" s="60">
        <f t="shared" si="19"/>
        <v>98</v>
      </c>
      <c r="B757" s="160" t="s">
        <v>581</v>
      </c>
      <c r="C757" s="83" t="s">
        <v>53</v>
      </c>
      <c r="D757" s="63" t="s">
        <v>115</v>
      </c>
      <c r="E757" s="156">
        <v>998.41</v>
      </c>
      <c r="F757" s="157" t="s">
        <v>115</v>
      </c>
      <c r="G757" s="66">
        <f>IF(Tabla9[[#This Row],[Precio
Unidad de Compra ( $)]]="","",(E757/(H757*I757)))</f>
        <v>998.41</v>
      </c>
      <c r="H757" s="67">
        <v>1</v>
      </c>
      <c r="I757" s="159">
        <v>1</v>
      </c>
      <c r="J757" s="91" t="str">
        <f t="shared" si="18"/>
        <v>H_098</v>
      </c>
      <c r="K757" s="92"/>
    </row>
    <row r="758" customHeight="1" spans="1:11">
      <c r="A758" s="60">
        <f t="shared" si="19"/>
        <v>99</v>
      </c>
      <c r="B758" s="160" t="s">
        <v>582</v>
      </c>
      <c r="C758" s="83" t="s">
        <v>53</v>
      </c>
      <c r="D758" s="63" t="s">
        <v>115</v>
      </c>
      <c r="E758" s="156">
        <v>998.41</v>
      </c>
      <c r="F758" s="157" t="s">
        <v>115</v>
      </c>
      <c r="G758" s="66">
        <f>IF(Tabla9[[#This Row],[Precio
Unidad de Compra ( $)]]="","",(E758/(H758*I758)))</f>
        <v>998.41</v>
      </c>
      <c r="H758" s="67">
        <v>1</v>
      </c>
      <c r="I758" s="159">
        <v>1</v>
      </c>
      <c r="J758" s="91" t="str">
        <f t="shared" si="18"/>
        <v>H_099</v>
      </c>
      <c r="K758" s="92"/>
    </row>
    <row r="759" customHeight="1" spans="1:11">
      <c r="A759" s="60">
        <f t="shared" si="19"/>
        <v>100</v>
      </c>
      <c r="B759" s="160" t="s">
        <v>583</v>
      </c>
      <c r="C759" s="83" t="s">
        <v>53</v>
      </c>
      <c r="D759" s="63" t="s">
        <v>115</v>
      </c>
      <c r="E759" s="156">
        <v>998.41</v>
      </c>
      <c r="F759" s="157" t="s">
        <v>115</v>
      </c>
      <c r="G759" s="66">
        <f>IF(Tabla9[[#This Row],[Precio
Unidad de Compra ( $)]]="","",(E759/(H759*I759)))</f>
        <v>998.41</v>
      </c>
      <c r="H759" s="67">
        <v>1</v>
      </c>
      <c r="I759" s="159">
        <v>1</v>
      </c>
      <c r="J759" s="91" t="str">
        <f t="shared" si="18"/>
        <v>H_100</v>
      </c>
      <c r="K759" s="92"/>
    </row>
    <row r="760" customHeight="1" spans="1:11">
      <c r="A760" s="60">
        <f t="shared" si="19"/>
        <v>101</v>
      </c>
      <c r="B760" s="160" t="s">
        <v>584</v>
      </c>
      <c r="C760" s="83" t="s">
        <v>53</v>
      </c>
      <c r="D760" s="63" t="s">
        <v>115</v>
      </c>
      <c r="E760" s="156">
        <v>1173.34</v>
      </c>
      <c r="F760" s="157" t="s">
        <v>115</v>
      </c>
      <c r="G760" s="66">
        <f>IF(Tabla9[[#This Row],[Precio
Unidad de Compra ( $)]]="","",(E760/(H760*I760)))</f>
        <v>1173.34</v>
      </c>
      <c r="H760" s="67">
        <v>1</v>
      </c>
      <c r="I760" s="159">
        <v>1</v>
      </c>
      <c r="J760" s="91" t="str">
        <f t="shared" si="18"/>
        <v>H_101</v>
      </c>
      <c r="K760" s="92"/>
    </row>
    <row r="761" customHeight="1" spans="1:11">
      <c r="A761" s="60">
        <f t="shared" si="19"/>
        <v>102</v>
      </c>
      <c r="B761" s="160" t="s">
        <v>585</v>
      </c>
      <c r="C761" s="83" t="s">
        <v>53</v>
      </c>
      <c r="D761" s="63" t="s">
        <v>115</v>
      </c>
      <c r="E761" s="156">
        <v>998.41</v>
      </c>
      <c r="F761" s="157" t="s">
        <v>115</v>
      </c>
      <c r="G761" s="66">
        <f>IF(Tabla9[[#This Row],[Precio
Unidad de Compra ( $)]]="","",(E761/(H761*I761)))</f>
        <v>998.41</v>
      </c>
      <c r="H761" s="67">
        <v>1</v>
      </c>
      <c r="I761" s="159">
        <v>1</v>
      </c>
      <c r="J761" s="91" t="str">
        <f t="shared" si="18"/>
        <v>H_102</v>
      </c>
      <c r="K761" s="92"/>
    </row>
    <row r="762" customHeight="1" spans="1:11">
      <c r="A762" s="60">
        <f t="shared" si="19"/>
        <v>103</v>
      </c>
      <c r="B762" s="160" t="s">
        <v>586</v>
      </c>
      <c r="C762" s="83" t="s">
        <v>53</v>
      </c>
      <c r="D762" s="63" t="s">
        <v>115</v>
      </c>
      <c r="E762" s="156">
        <v>998.41</v>
      </c>
      <c r="F762" s="157" t="s">
        <v>115</v>
      </c>
      <c r="G762" s="66">
        <f>IF(Tabla9[[#This Row],[Precio
Unidad de Compra ( $)]]="","",(E762/(H762*I762)))</f>
        <v>998.41</v>
      </c>
      <c r="H762" s="67">
        <v>1</v>
      </c>
      <c r="I762" s="159">
        <v>1</v>
      </c>
      <c r="J762" s="91" t="str">
        <f t="shared" si="18"/>
        <v>H_103</v>
      </c>
      <c r="K762" s="92"/>
    </row>
    <row r="763" customHeight="1" spans="1:11">
      <c r="A763" s="60">
        <f t="shared" si="19"/>
        <v>104</v>
      </c>
      <c r="B763" s="160" t="s">
        <v>587</v>
      </c>
      <c r="C763" s="83" t="s">
        <v>53</v>
      </c>
      <c r="D763" s="63" t="s">
        <v>115</v>
      </c>
      <c r="E763" s="156">
        <v>1173.34</v>
      </c>
      <c r="F763" s="157" t="s">
        <v>115</v>
      </c>
      <c r="G763" s="66">
        <f>IF(Tabla9[[#This Row],[Precio
Unidad de Compra ( $)]]="","",(E763/(H763*I763)))</f>
        <v>1173.34</v>
      </c>
      <c r="H763" s="67">
        <v>1</v>
      </c>
      <c r="I763" s="159">
        <v>1</v>
      </c>
      <c r="J763" s="91" t="str">
        <f t="shared" si="18"/>
        <v>H_104</v>
      </c>
      <c r="K763" s="92"/>
    </row>
    <row r="764" customHeight="1" spans="1:11">
      <c r="A764" s="60">
        <f t="shared" si="19"/>
        <v>105</v>
      </c>
      <c r="B764" s="160" t="s">
        <v>588</v>
      </c>
      <c r="C764" s="83" t="s">
        <v>53</v>
      </c>
      <c r="D764" s="63" t="s">
        <v>115</v>
      </c>
      <c r="E764" s="156">
        <v>998.41</v>
      </c>
      <c r="F764" s="157" t="s">
        <v>115</v>
      </c>
      <c r="G764" s="66">
        <f>IF(Tabla9[[#This Row],[Precio
Unidad de Compra ( $)]]="","",(E764/(H764*I764)))</f>
        <v>998.41</v>
      </c>
      <c r="H764" s="67">
        <v>1</v>
      </c>
      <c r="I764" s="159">
        <v>1</v>
      </c>
      <c r="J764" s="91" t="str">
        <f t="shared" si="18"/>
        <v>H_105</v>
      </c>
      <c r="K764" s="92"/>
    </row>
    <row r="765" customHeight="1" spans="1:11">
      <c r="A765" s="60">
        <f t="shared" si="19"/>
        <v>106</v>
      </c>
      <c r="B765" s="160" t="s">
        <v>589</v>
      </c>
      <c r="C765" s="83" t="s">
        <v>53</v>
      </c>
      <c r="D765" s="63" t="s">
        <v>115</v>
      </c>
      <c r="E765" s="156">
        <v>998.41</v>
      </c>
      <c r="F765" s="157" t="s">
        <v>115</v>
      </c>
      <c r="G765" s="66">
        <f>IF(Tabla9[[#This Row],[Precio
Unidad de Compra ( $)]]="","",(E765/(H765*I765)))</f>
        <v>998.41</v>
      </c>
      <c r="H765" s="67">
        <v>1</v>
      </c>
      <c r="I765" s="159">
        <v>1</v>
      </c>
      <c r="J765" s="91" t="str">
        <f t="shared" si="18"/>
        <v>H_106</v>
      </c>
      <c r="K765" s="92"/>
    </row>
    <row r="766" customHeight="1" spans="1:11">
      <c r="A766" s="60">
        <f t="shared" si="19"/>
        <v>107</v>
      </c>
      <c r="B766" s="160" t="s">
        <v>590</v>
      </c>
      <c r="C766" s="83" t="s">
        <v>53</v>
      </c>
      <c r="D766" s="63" t="s">
        <v>115</v>
      </c>
      <c r="E766" s="156">
        <v>1018.64</v>
      </c>
      <c r="F766" s="157" t="s">
        <v>115</v>
      </c>
      <c r="G766" s="66">
        <f>IF(Tabla9[[#This Row],[Precio
Unidad de Compra ( $)]]="","",(E766/(H766*I766)))</f>
        <v>1018.64</v>
      </c>
      <c r="H766" s="67">
        <v>1</v>
      </c>
      <c r="I766" s="159">
        <v>1</v>
      </c>
      <c r="J766" s="91" t="str">
        <f t="shared" si="18"/>
        <v>H_107</v>
      </c>
      <c r="K766" s="92"/>
    </row>
    <row r="767" customHeight="1" spans="1:11">
      <c r="A767" s="60">
        <f t="shared" si="19"/>
        <v>108</v>
      </c>
      <c r="B767" s="160" t="s">
        <v>591</v>
      </c>
      <c r="C767" s="83" t="s">
        <v>53</v>
      </c>
      <c r="D767" s="63" t="s">
        <v>115</v>
      </c>
      <c r="E767" s="156">
        <v>1173.34</v>
      </c>
      <c r="F767" s="157" t="s">
        <v>115</v>
      </c>
      <c r="G767" s="66">
        <f>IF(Tabla9[[#This Row],[Precio
Unidad de Compra ( $)]]="","",(E767/(H767*I767)))</f>
        <v>1173.34</v>
      </c>
      <c r="H767" s="67">
        <v>1</v>
      </c>
      <c r="I767" s="159">
        <v>1</v>
      </c>
      <c r="J767" s="91" t="str">
        <f t="shared" si="18"/>
        <v>H_108</v>
      </c>
      <c r="K767" s="92"/>
    </row>
    <row r="768" customHeight="1" spans="1:11">
      <c r="A768" s="60">
        <f t="shared" si="19"/>
        <v>109</v>
      </c>
      <c r="B768" s="160" t="s">
        <v>592</v>
      </c>
      <c r="C768" s="83" t="s">
        <v>53</v>
      </c>
      <c r="D768" s="63" t="s">
        <v>115</v>
      </c>
      <c r="E768" s="156">
        <v>1173.34</v>
      </c>
      <c r="F768" s="157" t="s">
        <v>115</v>
      </c>
      <c r="G768" s="66">
        <f>IF(Tabla9[[#This Row],[Precio
Unidad de Compra ( $)]]="","",(E768/(H768*I768)))</f>
        <v>1173.34</v>
      </c>
      <c r="H768" s="67">
        <v>1</v>
      </c>
      <c r="I768" s="159">
        <v>1</v>
      </c>
      <c r="J768" s="91" t="str">
        <f t="shared" si="18"/>
        <v>H_109</v>
      </c>
      <c r="K768" s="92"/>
    </row>
    <row r="769" customHeight="1" spans="1:11">
      <c r="A769" s="60">
        <f t="shared" si="19"/>
        <v>110</v>
      </c>
      <c r="B769" s="160" t="s">
        <v>593</v>
      </c>
      <c r="C769" s="83" t="s">
        <v>53</v>
      </c>
      <c r="D769" s="63" t="s">
        <v>115</v>
      </c>
      <c r="E769" s="156">
        <v>1018.64</v>
      </c>
      <c r="F769" s="157" t="s">
        <v>115</v>
      </c>
      <c r="G769" s="66">
        <f>IF(Tabla9[[#This Row],[Precio
Unidad de Compra ( $)]]="","",(E769/(H769*I769)))</f>
        <v>1018.64</v>
      </c>
      <c r="H769" s="67">
        <v>1</v>
      </c>
      <c r="I769" s="159">
        <v>1</v>
      </c>
      <c r="J769" s="91" t="str">
        <f t="shared" si="18"/>
        <v>H_110</v>
      </c>
      <c r="K769" s="92"/>
    </row>
    <row r="770" customHeight="1" spans="1:11">
      <c r="A770" s="60">
        <f t="shared" si="19"/>
        <v>111</v>
      </c>
      <c r="B770" s="160" t="s">
        <v>594</v>
      </c>
      <c r="C770" s="83" t="s">
        <v>53</v>
      </c>
      <c r="D770" s="63" t="s">
        <v>115</v>
      </c>
      <c r="E770" s="156">
        <v>1018.64</v>
      </c>
      <c r="F770" s="157" t="s">
        <v>115</v>
      </c>
      <c r="G770" s="66">
        <f>IF(Tabla9[[#This Row],[Precio
Unidad de Compra ( $)]]="","",(E770/(H770*I770)))</f>
        <v>1018.64</v>
      </c>
      <c r="H770" s="67">
        <v>1</v>
      </c>
      <c r="I770" s="159">
        <v>1</v>
      </c>
      <c r="J770" s="91" t="str">
        <f t="shared" si="18"/>
        <v>H_111</v>
      </c>
      <c r="K770" s="92"/>
    </row>
    <row r="771" customHeight="1" spans="1:11">
      <c r="A771" s="60">
        <f t="shared" si="19"/>
        <v>112</v>
      </c>
      <c r="B771" s="160" t="s">
        <v>595</v>
      </c>
      <c r="C771" s="83" t="s">
        <v>53</v>
      </c>
      <c r="D771" s="63" t="s">
        <v>115</v>
      </c>
      <c r="E771" s="156">
        <v>2746.52</v>
      </c>
      <c r="F771" s="157" t="s">
        <v>115</v>
      </c>
      <c r="G771" s="66">
        <f>IF(Tabla9[[#This Row],[Precio
Unidad de Compra ( $)]]="","",(E771/(H771*I771)))</f>
        <v>2746.52</v>
      </c>
      <c r="H771" s="67">
        <v>1</v>
      </c>
      <c r="I771" s="159">
        <v>1</v>
      </c>
      <c r="J771" s="91" t="str">
        <f t="shared" si="18"/>
        <v>H_112</v>
      </c>
      <c r="K771" s="92"/>
    </row>
    <row r="772" customHeight="1" spans="1:11">
      <c r="A772" s="60">
        <f t="shared" si="19"/>
        <v>113</v>
      </c>
      <c r="B772" s="160" t="s">
        <v>596</v>
      </c>
      <c r="C772" s="83" t="s">
        <v>53</v>
      </c>
      <c r="D772" s="63" t="s">
        <v>115</v>
      </c>
      <c r="E772" s="156">
        <v>1173.34</v>
      </c>
      <c r="F772" s="157" t="s">
        <v>115</v>
      </c>
      <c r="G772" s="66">
        <f>IF(Tabla9[[#This Row],[Precio
Unidad de Compra ( $)]]="","",(E772/(H772*I772)))</f>
        <v>1173.34</v>
      </c>
      <c r="H772" s="67">
        <v>1</v>
      </c>
      <c r="I772" s="159">
        <v>1</v>
      </c>
      <c r="J772" s="91" t="str">
        <f t="shared" si="18"/>
        <v>H_113</v>
      </c>
      <c r="K772" s="92"/>
    </row>
    <row r="773" customHeight="1" spans="1:11">
      <c r="A773" s="60">
        <f t="shared" si="19"/>
        <v>114</v>
      </c>
      <c r="B773" s="160" t="s">
        <v>597</v>
      </c>
      <c r="C773" s="83" t="s">
        <v>53</v>
      </c>
      <c r="D773" s="63" t="s">
        <v>115</v>
      </c>
      <c r="E773" s="156">
        <v>1173.34</v>
      </c>
      <c r="F773" s="157" t="s">
        <v>115</v>
      </c>
      <c r="G773" s="66">
        <f>IF(Tabla9[[#This Row],[Precio
Unidad de Compra ( $)]]="","",(E773/(H773*I773)))</f>
        <v>1173.34</v>
      </c>
      <c r="H773" s="67">
        <v>1</v>
      </c>
      <c r="I773" s="159">
        <v>1</v>
      </c>
      <c r="J773" s="91" t="str">
        <f t="shared" si="18"/>
        <v>H_114</v>
      </c>
      <c r="K773" s="92"/>
    </row>
    <row r="774" customHeight="1" spans="1:11">
      <c r="A774" s="60">
        <f t="shared" si="19"/>
        <v>115</v>
      </c>
      <c r="B774" s="160" t="s">
        <v>598</v>
      </c>
      <c r="C774" s="83" t="s">
        <v>53</v>
      </c>
      <c r="D774" s="63" t="s">
        <v>115</v>
      </c>
      <c r="E774" s="156">
        <v>1173.34</v>
      </c>
      <c r="F774" s="157" t="s">
        <v>115</v>
      </c>
      <c r="G774" s="66">
        <f>IF(Tabla9[[#This Row],[Precio
Unidad de Compra ( $)]]="","",(E774/(H774*I774)))</f>
        <v>1173.34</v>
      </c>
      <c r="H774" s="67">
        <v>1</v>
      </c>
      <c r="I774" s="159">
        <v>1</v>
      </c>
      <c r="J774" s="91" t="str">
        <f t="shared" si="18"/>
        <v>H_115</v>
      </c>
      <c r="K774" s="92"/>
    </row>
    <row r="775" customHeight="1" spans="1:11">
      <c r="A775" s="60">
        <f t="shared" si="19"/>
        <v>116</v>
      </c>
      <c r="B775" s="160" t="s">
        <v>599</v>
      </c>
      <c r="C775" s="83" t="s">
        <v>53</v>
      </c>
      <c r="D775" s="63" t="s">
        <v>115</v>
      </c>
      <c r="E775" s="156">
        <v>1173.34</v>
      </c>
      <c r="F775" s="157" t="s">
        <v>115</v>
      </c>
      <c r="G775" s="66">
        <f>IF(Tabla9[[#This Row],[Precio
Unidad de Compra ( $)]]="","",(E775/(H775*I775)))</f>
        <v>1173.34</v>
      </c>
      <c r="H775" s="67">
        <v>1</v>
      </c>
      <c r="I775" s="159">
        <v>1</v>
      </c>
      <c r="J775" s="91" t="str">
        <f t="shared" si="18"/>
        <v>H_116</v>
      </c>
      <c r="K775" s="92"/>
    </row>
    <row r="776" customHeight="1" spans="1:11">
      <c r="A776" s="60">
        <f t="shared" si="19"/>
        <v>117</v>
      </c>
      <c r="B776" s="160" t="s">
        <v>600</v>
      </c>
      <c r="C776" s="83" t="s">
        <v>53</v>
      </c>
      <c r="D776" s="63" t="s">
        <v>115</v>
      </c>
      <c r="E776" s="156">
        <v>1173.34</v>
      </c>
      <c r="F776" s="157" t="s">
        <v>115</v>
      </c>
      <c r="G776" s="66">
        <f>IF(Tabla9[[#This Row],[Precio
Unidad de Compra ( $)]]="","",(E776/(H776*I776)))</f>
        <v>1173.34</v>
      </c>
      <c r="H776" s="67">
        <v>1</v>
      </c>
      <c r="I776" s="159">
        <v>1</v>
      </c>
      <c r="J776" s="91" t="str">
        <f t="shared" si="18"/>
        <v>H_117</v>
      </c>
      <c r="K776" s="92"/>
    </row>
    <row r="777" customHeight="1" spans="1:11">
      <c r="A777" s="60">
        <f t="shared" si="19"/>
        <v>118</v>
      </c>
      <c r="B777" s="160" t="s">
        <v>601</v>
      </c>
      <c r="C777" s="83" t="s">
        <v>53</v>
      </c>
      <c r="D777" s="63" t="s">
        <v>115</v>
      </c>
      <c r="E777" s="156">
        <v>1173.34</v>
      </c>
      <c r="F777" s="157" t="s">
        <v>115</v>
      </c>
      <c r="G777" s="66">
        <f>IF(Tabla9[[#This Row],[Precio
Unidad de Compra ( $)]]="","",(E777/(H777*I777)))</f>
        <v>1173.34</v>
      </c>
      <c r="H777" s="67">
        <v>1</v>
      </c>
      <c r="I777" s="159">
        <v>1</v>
      </c>
      <c r="J777" s="91" t="str">
        <f t="shared" si="18"/>
        <v>H_118</v>
      </c>
      <c r="K777" s="92"/>
    </row>
    <row r="778" customHeight="1" spans="1:11">
      <c r="A778" s="60">
        <f t="shared" si="19"/>
        <v>119</v>
      </c>
      <c r="B778" s="160" t="s">
        <v>602</v>
      </c>
      <c r="C778" s="83" t="s">
        <v>53</v>
      </c>
      <c r="D778" s="63" t="s">
        <v>115</v>
      </c>
      <c r="E778" s="156">
        <v>1173.34</v>
      </c>
      <c r="F778" s="157" t="s">
        <v>115</v>
      </c>
      <c r="G778" s="66">
        <f>IF(Tabla9[[#This Row],[Precio
Unidad de Compra ( $)]]="","",(E778/(H778*I778)))</f>
        <v>1173.34</v>
      </c>
      <c r="H778" s="67">
        <v>1</v>
      </c>
      <c r="I778" s="159">
        <v>1</v>
      </c>
      <c r="J778" s="91" t="str">
        <f t="shared" si="18"/>
        <v>H_119</v>
      </c>
      <c r="K778" s="92"/>
    </row>
    <row r="779" customHeight="1" spans="1:11">
      <c r="A779" s="60">
        <f t="shared" si="19"/>
        <v>120</v>
      </c>
      <c r="B779" s="160" t="s">
        <v>603</v>
      </c>
      <c r="C779" s="83" t="s">
        <v>53</v>
      </c>
      <c r="D779" s="63" t="s">
        <v>115</v>
      </c>
      <c r="E779" s="156">
        <v>1173.34</v>
      </c>
      <c r="F779" s="157" t="s">
        <v>115</v>
      </c>
      <c r="G779" s="66">
        <f>IF(Tabla9[[#This Row],[Precio
Unidad de Compra ( $)]]="","",(E779/(H779*I779)))</f>
        <v>1173.34</v>
      </c>
      <c r="H779" s="67">
        <v>1</v>
      </c>
      <c r="I779" s="159">
        <v>1</v>
      </c>
      <c r="J779" s="91" t="str">
        <f t="shared" si="18"/>
        <v>H_120</v>
      </c>
      <c r="K779" s="92"/>
    </row>
    <row r="780" customHeight="1" spans="1:11">
      <c r="A780" s="60">
        <f t="shared" si="19"/>
        <v>121</v>
      </c>
      <c r="B780" s="160" t="s">
        <v>604</v>
      </c>
      <c r="C780" s="83" t="s">
        <v>53</v>
      </c>
      <c r="D780" s="63" t="s">
        <v>115</v>
      </c>
      <c r="E780" s="156">
        <v>1173.34</v>
      </c>
      <c r="F780" s="157" t="s">
        <v>115</v>
      </c>
      <c r="G780" s="66">
        <f>IF(Tabla9[[#This Row],[Precio
Unidad de Compra ( $)]]="","",(E780/(H780*I780)))</f>
        <v>1173.34</v>
      </c>
      <c r="H780" s="67">
        <v>1</v>
      </c>
      <c r="I780" s="159">
        <v>1</v>
      </c>
      <c r="J780" s="91" t="str">
        <f t="shared" si="18"/>
        <v>H_121</v>
      </c>
      <c r="K780" s="92"/>
    </row>
    <row r="781" customHeight="1" spans="1:11">
      <c r="A781" s="60">
        <f t="shared" si="19"/>
        <v>122</v>
      </c>
      <c r="B781" s="61" t="s">
        <v>605</v>
      </c>
      <c r="C781" s="83" t="s">
        <v>53</v>
      </c>
      <c r="D781" s="63" t="s">
        <v>115</v>
      </c>
      <c r="E781" s="156">
        <v>2563</v>
      </c>
      <c r="F781" s="65" t="s">
        <v>115</v>
      </c>
      <c r="G781" s="66">
        <f>IF(Tabla9[[#This Row],[Precio
Unidad de Compra ( $)]]="","",(E781/(H781*I781)))</f>
        <v>2563</v>
      </c>
      <c r="H781" s="67">
        <v>1</v>
      </c>
      <c r="I781" s="159">
        <v>1</v>
      </c>
      <c r="J781" s="91" t="str">
        <f t="shared" si="18"/>
        <v>H_122</v>
      </c>
      <c r="K781" s="92"/>
    </row>
    <row r="782" customHeight="1" spans="1:11">
      <c r="A782" s="60">
        <f t="shared" si="19"/>
        <v>123</v>
      </c>
      <c r="B782" s="61" t="s">
        <v>606</v>
      </c>
      <c r="C782" s="83" t="s">
        <v>53</v>
      </c>
      <c r="D782" s="63" t="s">
        <v>115</v>
      </c>
      <c r="E782" s="64">
        <v>2364.53</v>
      </c>
      <c r="F782" s="65" t="s">
        <v>115</v>
      </c>
      <c r="G782" s="66">
        <f>IF(Tabla9[[#This Row],[Precio
Unidad de Compra ( $)]]="","",(E782/(H782*I782)))</f>
        <v>2364.53</v>
      </c>
      <c r="H782" s="67">
        <v>1</v>
      </c>
      <c r="I782" s="159">
        <v>1</v>
      </c>
      <c r="J782" s="91" t="str">
        <f t="shared" si="18"/>
        <v>H_123</v>
      </c>
      <c r="K782" s="92"/>
    </row>
    <row r="783" customHeight="1" spans="1:11">
      <c r="A783" s="60">
        <f t="shared" si="19"/>
        <v>124</v>
      </c>
      <c r="B783" s="61" t="s">
        <v>607</v>
      </c>
      <c r="C783" s="83" t="s">
        <v>53</v>
      </c>
      <c r="D783" s="63" t="s">
        <v>115</v>
      </c>
      <c r="E783" s="64">
        <v>2364.53</v>
      </c>
      <c r="F783" s="65" t="s">
        <v>115</v>
      </c>
      <c r="G783" s="66">
        <f>IF(Tabla9[[#This Row],[Precio
Unidad de Compra ( $)]]="","",(E783/(H783*I783)))</f>
        <v>2364.53</v>
      </c>
      <c r="H783" s="67">
        <v>1</v>
      </c>
      <c r="I783" s="159">
        <v>1</v>
      </c>
      <c r="J783" s="91" t="str">
        <f t="shared" si="18"/>
        <v>H_124</v>
      </c>
      <c r="K783" s="92"/>
    </row>
    <row r="784" customHeight="1" spans="1:11">
      <c r="A784" s="60">
        <f t="shared" si="19"/>
        <v>125</v>
      </c>
      <c r="B784" s="61" t="s">
        <v>608</v>
      </c>
      <c r="C784" s="83" t="s">
        <v>53</v>
      </c>
      <c r="D784" s="63" t="s">
        <v>115</v>
      </c>
      <c r="E784" s="64">
        <v>2563</v>
      </c>
      <c r="F784" s="65" t="s">
        <v>115</v>
      </c>
      <c r="G784" s="66">
        <f>IF(Tabla9[[#This Row],[Precio
Unidad de Compra ( $)]]="","",(E784/(H784*I784)))</f>
        <v>2563</v>
      </c>
      <c r="H784" s="67">
        <v>1</v>
      </c>
      <c r="I784" s="159">
        <v>1</v>
      </c>
      <c r="J784" s="91" t="str">
        <f t="shared" si="18"/>
        <v>H_125</v>
      </c>
      <c r="K784" s="92"/>
    </row>
    <row r="785" customHeight="1" spans="1:11">
      <c r="A785" s="60">
        <f t="shared" si="19"/>
        <v>126</v>
      </c>
      <c r="B785" s="61" t="s">
        <v>609</v>
      </c>
      <c r="C785" s="83" t="s">
        <v>53</v>
      </c>
      <c r="D785" s="63" t="s">
        <v>115</v>
      </c>
      <c r="E785" s="156">
        <v>2563</v>
      </c>
      <c r="F785" s="157" t="s">
        <v>115</v>
      </c>
      <c r="G785" s="66">
        <f>IF(Tabla9[[#This Row],[Precio
Unidad de Compra ( $)]]="","",(E785/(H785*I785)))</f>
        <v>2563</v>
      </c>
      <c r="H785" s="67">
        <v>1</v>
      </c>
      <c r="I785" s="159">
        <v>1</v>
      </c>
      <c r="J785" s="91" t="str">
        <f t="shared" si="18"/>
        <v>H_126</v>
      </c>
      <c r="K785" s="92"/>
    </row>
    <row r="786" customHeight="1" spans="1:11">
      <c r="A786" s="60">
        <f t="shared" si="19"/>
        <v>127</v>
      </c>
      <c r="B786" s="61" t="s">
        <v>610</v>
      </c>
      <c r="C786" s="83" t="s">
        <v>53</v>
      </c>
      <c r="D786" s="63" t="s">
        <v>115</v>
      </c>
      <c r="E786" s="156">
        <v>2563</v>
      </c>
      <c r="F786" s="157" t="s">
        <v>115</v>
      </c>
      <c r="G786" s="66">
        <f>IF(Tabla9[[#This Row],[Precio
Unidad de Compra ( $)]]="","",(E786/(H786*I786)))</f>
        <v>2563</v>
      </c>
      <c r="H786" s="67">
        <v>1</v>
      </c>
      <c r="I786" s="159">
        <v>1</v>
      </c>
      <c r="J786" s="91" t="str">
        <f t="shared" si="18"/>
        <v>H_127</v>
      </c>
      <c r="K786" s="92"/>
    </row>
    <row r="787" customHeight="1" spans="1:11">
      <c r="A787" s="60">
        <f t="shared" si="19"/>
        <v>128</v>
      </c>
      <c r="B787" s="61" t="s">
        <v>611</v>
      </c>
      <c r="C787" s="83" t="s">
        <v>53</v>
      </c>
      <c r="D787" s="63" t="s">
        <v>115</v>
      </c>
      <c r="E787" s="64">
        <v>2440.69</v>
      </c>
      <c r="F787" s="65" t="s">
        <v>115</v>
      </c>
      <c r="G787" s="66">
        <f>IF(Tabla9[[#This Row],[Precio
Unidad de Compra ( $)]]="","",(E787/(H787*I787)))</f>
        <v>2440.69</v>
      </c>
      <c r="H787" s="67">
        <v>1</v>
      </c>
      <c r="I787" s="159">
        <v>1</v>
      </c>
      <c r="J787" s="91" t="str">
        <f t="shared" si="18"/>
        <v>H_128</v>
      </c>
      <c r="K787" s="92"/>
    </row>
    <row r="788" customHeight="1" spans="1:11">
      <c r="A788" s="60">
        <f t="shared" si="19"/>
        <v>129</v>
      </c>
      <c r="B788" s="61" t="s">
        <v>612</v>
      </c>
      <c r="C788" s="83" t="s">
        <v>53</v>
      </c>
      <c r="D788" s="63" t="s">
        <v>115</v>
      </c>
      <c r="E788" s="64">
        <v>2440.69</v>
      </c>
      <c r="F788" s="65" t="s">
        <v>115</v>
      </c>
      <c r="G788" s="66">
        <f>IF(Tabla9[[#This Row],[Precio
Unidad de Compra ( $)]]="","",(E788/(H788*I788)))</f>
        <v>2440.69</v>
      </c>
      <c r="H788" s="67">
        <v>1</v>
      </c>
      <c r="I788" s="159">
        <v>1</v>
      </c>
      <c r="J788" s="91" t="str">
        <f t="shared" ref="J788:J851" si="20">IFERROR(CONCATENATE(LEFT(C788,1),"_",TEXT(A788,"000")),"")</f>
        <v>H_129</v>
      </c>
      <c r="K788" s="92"/>
    </row>
    <row r="789" customHeight="1" spans="1:11">
      <c r="A789" s="60">
        <f t="shared" ref="A789:A852" si="21">A788+1</f>
        <v>130</v>
      </c>
      <c r="B789" s="160" t="s">
        <v>613</v>
      </c>
      <c r="C789" s="83" t="s">
        <v>53</v>
      </c>
      <c r="D789" s="63" t="s">
        <v>115</v>
      </c>
      <c r="E789" s="156">
        <v>873.94</v>
      </c>
      <c r="F789" s="157" t="s">
        <v>115</v>
      </c>
      <c r="G789" s="66">
        <f>IF(Tabla9[[#This Row],[Precio
Unidad de Compra ( $)]]="","",(E789/(H789*I789)))</f>
        <v>873.94</v>
      </c>
      <c r="H789" s="67">
        <v>1</v>
      </c>
      <c r="I789" s="159">
        <v>1</v>
      </c>
      <c r="J789" s="91" t="str">
        <f t="shared" si="20"/>
        <v>H_130</v>
      </c>
      <c r="K789" s="92"/>
    </row>
    <row r="790" customHeight="1" spans="1:11">
      <c r="A790" s="60">
        <f t="shared" si="21"/>
        <v>131</v>
      </c>
      <c r="B790" s="160" t="s">
        <v>614</v>
      </c>
      <c r="C790" s="83" t="s">
        <v>53</v>
      </c>
      <c r="D790" s="63" t="s">
        <v>115</v>
      </c>
      <c r="E790" s="156">
        <v>873.94</v>
      </c>
      <c r="F790" s="157" t="s">
        <v>115</v>
      </c>
      <c r="G790" s="66">
        <f>IF(Tabla9[[#This Row],[Precio
Unidad de Compra ( $)]]="","",(E790/(H790*I790)))</f>
        <v>873.94</v>
      </c>
      <c r="H790" s="67">
        <v>1</v>
      </c>
      <c r="I790" s="159">
        <v>1</v>
      </c>
      <c r="J790" s="91" t="str">
        <f t="shared" si="20"/>
        <v>H_131</v>
      </c>
      <c r="K790" s="92"/>
    </row>
    <row r="791" customHeight="1" spans="1:11">
      <c r="A791" s="60">
        <f t="shared" si="21"/>
        <v>132</v>
      </c>
      <c r="B791" s="160" t="s">
        <v>615</v>
      </c>
      <c r="C791" s="83" t="s">
        <v>53</v>
      </c>
      <c r="D791" s="63" t="s">
        <v>115</v>
      </c>
      <c r="E791" s="156">
        <v>873.94</v>
      </c>
      <c r="F791" s="157" t="s">
        <v>115</v>
      </c>
      <c r="G791" s="66">
        <f>IF(Tabla9[[#This Row],[Precio
Unidad de Compra ( $)]]="","",(E791/(H791*I791)))</f>
        <v>873.94</v>
      </c>
      <c r="H791" s="67">
        <v>1</v>
      </c>
      <c r="I791" s="159">
        <v>1</v>
      </c>
      <c r="J791" s="91" t="str">
        <f t="shared" si="20"/>
        <v>H_132</v>
      </c>
      <c r="K791" s="92"/>
    </row>
    <row r="792" customHeight="1" spans="1:11">
      <c r="A792" s="60">
        <f t="shared" si="21"/>
        <v>133</v>
      </c>
      <c r="B792" s="160" t="s">
        <v>616</v>
      </c>
      <c r="C792" s="83" t="s">
        <v>53</v>
      </c>
      <c r="D792" s="63" t="s">
        <v>115</v>
      </c>
      <c r="E792" s="156">
        <v>873.94</v>
      </c>
      <c r="F792" s="157" t="s">
        <v>115</v>
      </c>
      <c r="G792" s="66">
        <f>IF(Tabla9[[#This Row],[Precio
Unidad de Compra ( $)]]="","",(E792/(H792*I792)))</f>
        <v>873.94</v>
      </c>
      <c r="H792" s="67">
        <v>1</v>
      </c>
      <c r="I792" s="159">
        <v>1</v>
      </c>
      <c r="J792" s="91" t="str">
        <f t="shared" si="20"/>
        <v>H_133</v>
      </c>
      <c r="K792" s="92"/>
    </row>
    <row r="793" customHeight="1" spans="1:11">
      <c r="A793" s="60">
        <f t="shared" si="21"/>
        <v>134</v>
      </c>
      <c r="B793" s="160" t="s">
        <v>617</v>
      </c>
      <c r="C793" s="83" t="s">
        <v>53</v>
      </c>
      <c r="D793" s="63" t="s">
        <v>115</v>
      </c>
      <c r="E793" s="156">
        <v>873.94</v>
      </c>
      <c r="F793" s="157" t="s">
        <v>115</v>
      </c>
      <c r="G793" s="66">
        <f>IF(Tabla9[[#This Row],[Precio
Unidad de Compra ( $)]]="","",(E793/(H793*I793)))</f>
        <v>873.94</v>
      </c>
      <c r="H793" s="67">
        <v>1</v>
      </c>
      <c r="I793" s="159">
        <v>1</v>
      </c>
      <c r="J793" s="91" t="str">
        <f t="shared" si="20"/>
        <v>H_134</v>
      </c>
      <c r="K793" s="92"/>
    </row>
    <row r="794" customHeight="1" spans="1:11">
      <c r="A794" s="60">
        <f t="shared" si="21"/>
        <v>135</v>
      </c>
      <c r="B794" s="160" t="s">
        <v>618</v>
      </c>
      <c r="C794" s="83" t="s">
        <v>53</v>
      </c>
      <c r="D794" s="63" t="s">
        <v>115</v>
      </c>
      <c r="E794" s="156">
        <v>1547</v>
      </c>
      <c r="F794" s="157" t="s">
        <v>115</v>
      </c>
      <c r="G794" s="66">
        <f>IF(Tabla9[[#This Row],[Precio
Unidad de Compra ( $)]]="","",(E794/(H794*I794)))</f>
        <v>1547</v>
      </c>
      <c r="H794" s="67">
        <v>1</v>
      </c>
      <c r="I794" s="159">
        <v>1</v>
      </c>
      <c r="J794" s="91" t="str">
        <f t="shared" si="20"/>
        <v>H_135</v>
      </c>
      <c r="K794" s="92"/>
    </row>
    <row r="795" customHeight="1" spans="1:11">
      <c r="A795" s="60">
        <f t="shared" si="21"/>
        <v>136</v>
      </c>
      <c r="B795" s="160" t="s">
        <v>619</v>
      </c>
      <c r="C795" s="83" t="s">
        <v>53</v>
      </c>
      <c r="D795" s="63" t="s">
        <v>115</v>
      </c>
      <c r="E795" s="156">
        <v>1547</v>
      </c>
      <c r="F795" s="157" t="s">
        <v>115</v>
      </c>
      <c r="G795" s="66">
        <f>IF(Tabla9[[#This Row],[Precio
Unidad de Compra ( $)]]="","",(E795/(H795*I795)))</f>
        <v>1547</v>
      </c>
      <c r="H795" s="67">
        <v>1</v>
      </c>
      <c r="I795" s="159">
        <v>1</v>
      </c>
      <c r="J795" s="91" t="str">
        <f t="shared" si="20"/>
        <v>H_136</v>
      </c>
      <c r="K795" s="92"/>
    </row>
    <row r="796" customHeight="1" spans="1:11">
      <c r="A796" s="60">
        <f t="shared" si="21"/>
        <v>137</v>
      </c>
      <c r="B796" s="160" t="s">
        <v>620</v>
      </c>
      <c r="C796" s="83" t="s">
        <v>53</v>
      </c>
      <c r="D796" s="63" t="s">
        <v>115</v>
      </c>
      <c r="E796" s="156">
        <v>1547</v>
      </c>
      <c r="F796" s="157" t="s">
        <v>115</v>
      </c>
      <c r="G796" s="66">
        <f>IF(Tabla9[[#This Row],[Precio
Unidad de Compra ( $)]]="","",(E796/(H796*I796)))</f>
        <v>1547</v>
      </c>
      <c r="H796" s="67">
        <v>1</v>
      </c>
      <c r="I796" s="159">
        <v>1</v>
      </c>
      <c r="J796" s="91" t="str">
        <f t="shared" si="20"/>
        <v>H_137</v>
      </c>
      <c r="K796" s="92"/>
    </row>
    <row r="797" customHeight="1" spans="1:11">
      <c r="A797" s="60">
        <f t="shared" si="21"/>
        <v>138</v>
      </c>
      <c r="B797" s="160" t="s">
        <v>621</v>
      </c>
      <c r="C797" s="83" t="s">
        <v>53</v>
      </c>
      <c r="D797" s="63" t="s">
        <v>115</v>
      </c>
      <c r="E797" s="156">
        <v>1850</v>
      </c>
      <c r="F797" s="157" t="s">
        <v>115</v>
      </c>
      <c r="G797" s="66">
        <f>IF(Tabla9[[#This Row],[Precio
Unidad de Compra ( $)]]="","",(E797/(H797*I797)))</f>
        <v>1850</v>
      </c>
      <c r="H797" s="67">
        <v>1</v>
      </c>
      <c r="I797" s="159">
        <v>1</v>
      </c>
      <c r="J797" s="91" t="str">
        <f t="shared" si="20"/>
        <v>H_138</v>
      </c>
      <c r="K797" s="92"/>
    </row>
    <row r="798" customHeight="1" spans="1:11">
      <c r="A798" s="60">
        <f t="shared" si="21"/>
        <v>139</v>
      </c>
      <c r="B798" s="160" t="s">
        <v>622</v>
      </c>
      <c r="C798" s="83" t="s">
        <v>53</v>
      </c>
      <c r="D798" s="63" t="s">
        <v>115</v>
      </c>
      <c r="E798" s="156">
        <v>1850</v>
      </c>
      <c r="F798" s="157" t="s">
        <v>115</v>
      </c>
      <c r="G798" s="66">
        <f>IF(Tabla9[[#This Row],[Precio
Unidad de Compra ( $)]]="","",(E798/(H798*I798)))</f>
        <v>1850</v>
      </c>
      <c r="H798" s="67">
        <v>1</v>
      </c>
      <c r="I798" s="159">
        <v>1</v>
      </c>
      <c r="J798" s="91" t="str">
        <f t="shared" si="20"/>
        <v>H_139</v>
      </c>
      <c r="K798" s="92"/>
    </row>
    <row r="799" customHeight="1" spans="1:11">
      <c r="A799" s="60">
        <f t="shared" si="21"/>
        <v>140</v>
      </c>
      <c r="B799" s="160" t="s">
        <v>623</v>
      </c>
      <c r="C799" s="83" t="s">
        <v>53</v>
      </c>
      <c r="D799" s="63" t="s">
        <v>115</v>
      </c>
      <c r="E799" s="156">
        <v>4799.27</v>
      </c>
      <c r="F799" s="157" t="s">
        <v>115</v>
      </c>
      <c r="G799" s="66">
        <f>IF(Tabla9[[#This Row],[Precio
Unidad de Compra ( $)]]="","",(E799/(H799*I799)))</f>
        <v>4799.27</v>
      </c>
      <c r="H799" s="67">
        <v>1</v>
      </c>
      <c r="I799" s="159">
        <v>1</v>
      </c>
      <c r="J799" s="91" t="str">
        <f t="shared" si="20"/>
        <v>H_140</v>
      </c>
      <c r="K799" s="92"/>
    </row>
    <row r="800" customHeight="1" spans="1:11">
      <c r="A800" s="60">
        <f t="shared" si="21"/>
        <v>141</v>
      </c>
      <c r="B800" s="160" t="s">
        <v>624</v>
      </c>
      <c r="C800" s="83" t="s">
        <v>53</v>
      </c>
      <c r="D800" s="63" t="s">
        <v>115</v>
      </c>
      <c r="E800" s="156">
        <v>4799.27</v>
      </c>
      <c r="F800" s="157" t="s">
        <v>115</v>
      </c>
      <c r="G800" s="66">
        <f>IF(Tabla9[[#This Row],[Precio
Unidad de Compra ( $)]]="","",(E800/(H800*I800)))</f>
        <v>4799.27</v>
      </c>
      <c r="H800" s="67">
        <v>1</v>
      </c>
      <c r="I800" s="159">
        <v>1</v>
      </c>
      <c r="J800" s="91" t="str">
        <f t="shared" si="20"/>
        <v>H_141</v>
      </c>
      <c r="K800" s="92"/>
    </row>
    <row r="801" customHeight="1" spans="1:11">
      <c r="A801" s="60">
        <f t="shared" si="21"/>
        <v>142</v>
      </c>
      <c r="B801" s="160" t="s">
        <v>625</v>
      </c>
      <c r="C801" s="83" t="s">
        <v>53</v>
      </c>
      <c r="D801" s="63" t="s">
        <v>115</v>
      </c>
      <c r="E801" s="156">
        <v>4799.27</v>
      </c>
      <c r="F801" s="157" t="s">
        <v>115</v>
      </c>
      <c r="G801" s="66">
        <f>IF(Tabla9[[#This Row],[Precio
Unidad de Compra ( $)]]="","",(E801/(H801*I801)))</f>
        <v>4799.27</v>
      </c>
      <c r="H801" s="67">
        <v>1</v>
      </c>
      <c r="I801" s="159">
        <v>1</v>
      </c>
      <c r="J801" s="91" t="str">
        <f t="shared" si="20"/>
        <v>H_142</v>
      </c>
      <c r="K801" s="92"/>
    </row>
    <row r="802" customHeight="1" spans="1:11">
      <c r="A802" s="60">
        <f t="shared" si="21"/>
        <v>143</v>
      </c>
      <c r="B802" s="160" t="s">
        <v>626</v>
      </c>
      <c r="C802" s="83" t="s">
        <v>53</v>
      </c>
      <c r="D802" s="63" t="s">
        <v>115</v>
      </c>
      <c r="E802" s="156">
        <v>4799.27</v>
      </c>
      <c r="F802" s="157" t="s">
        <v>115</v>
      </c>
      <c r="G802" s="66">
        <f>IF(Tabla9[[#This Row],[Precio
Unidad de Compra ( $)]]="","",(E802/(H802*I802)))</f>
        <v>4799.27</v>
      </c>
      <c r="H802" s="67">
        <v>1</v>
      </c>
      <c r="I802" s="159">
        <v>1</v>
      </c>
      <c r="J802" s="91" t="str">
        <f t="shared" si="20"/>
        <v>H_143</v>
      </c>
      <c r="K802" s="92"/>
    </row>
    <row r="803" customHeight="1" spans="1:11">
      <c r="A803" s="60">
        <f t="shared" si="21"/>
        <v>144</v>
      </c>
      <c r="B803" s="160" t="s">
        <v>627</v>
      </c>
      <c r="C803" s="83" t="s">
        <v>53</v>
      </c>
      <c r="D803" s="63" t="s">
        <v>115</v>
      </c>
      <c r="E803" s="156">
        <v>4799.27</v>
      </c>
      <c r="F803" s="157" t="s">
        <v>115</v>
      </c>
      <c r="G803" s="66">
        <f>IF(Tabla9[[#This Row],[Precio
Unidad de Compra ( $)]]="","",(E803/(H803*I803)))</f>
        <v>4799.27</v>
      </c>
      <c r="H803" s="67">
        <v>1</v>
      </c>
      <c r="I803" s="159">
        <v>1</v>
      </c>
      <c r="J803" s="91" t="str">
        <f t="shared" si="20"/>
        <v>H_144</v>
      </c>
      <c r="K803" s="92"/>
    </row>
    <row r="804" customHeight="1" spans="1:11">
      <c r="A804" s="60">
        <f t="shared" si="21"/>
        <v>145</v>
      </c>
      <c r="B804" s="160" t="s">
        <v>628</v>
      </c>
      <c r="C804" s="83" t="s">
        <v>53</v>
      </c>
      <c r="D804" s="63" t="s">
        <v>115</v>
      </c>
      <c r="E804" s="156">
        <v>4799.27</v>
      </c>
      <c r="F804" s="157" t="s">
        <v>115</v>
      </c>
      <c r="G804" s="66">
        <f>IF(Tabla9[[#This Row],[Precio
Unidad de Compra ( $)]]="","",(E804/(H804*I804)))</f>
        <v>4799.27</v>
      </c>
      <c r="H804" s="67">
        <v>1</v>
      </c>
      <c r="I804" s="159">
        <v>1</v>
      </c>
      <c r="J804" s="91" t="str">
        <f t="shared" si="20"/>
        <v>H_145</v>
      </c>
      <c r="K804" s="92"/>
    </row>
    <row r="805" customHeight="1" spans="1:11">
      <c r="A805" s="60">
        <f t="shared" si="21"/>
        <v>146</v>
      </c>
      <c r="B805" s="160" t="s">
        <v>629</v>
      </c>
      <c r="C805" s="83" t="s">
        <v>53</v>
      </c>
      <c r="D805" s="63" t="s">
        <v>115</v>
      </c>
      <c r="E805" s="156">
        <v>4799.27</v>
      </c>
      <c r="F805" s="157" t="s">
        <v>115</v>
      </c>
      <c r="G805" s="66">
        <f>IF(Tabla9[[#This Row],[Precio
Unidad de Compra ( $)]]="","",(E805/(H805*I805)))</f>
        <v>4799.27</v>
      </c>
      <c r="H805" s="67">
        <v>1</v>
      </c>
      <c r="I805" s="159">
        <v>1</v>
      </c>
      <c r="J805" s="91" t="str">
        <f t="shared" si="20"/>
        <v>H_146</v>
      </c>
      <c r="K805" s="92"/>
    </row>
    <row r="806" customHeight="1" spans="1:11">
      <c r="A806" s="60">
        <f t="shared" si="21"/>
        <v>147</v>
      </c>
      <c r="B806" s="160" t="s">
        <v>630</v>
      </c>
      <c r="C806" s="83" t="s">
        <v>53</v>
      </c>
      <c r="D806" s="63" t="s">
        <v>115</v>
      </c>
      <c r="E806" s="156">
        <v>4799.27</v>
      </c>
      <c r="F806" s="157" t="s">
        <v>115</v>
      </c>
      <c r="G806" s="66">
        <f>IF(Tabla9[[#This Row],[Precio
Unidad de Compra ( $)]]="","",(E806/(H806*I806)))</f>
        <v>4799.27</v>
      </c>
      <c r="H806" s="67">
        <v>1</v>
      </c>
      <c r="I806" s="159">
        <v>1</v>
      </c>
      <c r="J806" s="91" t="str">
        <f t="shared" si="20"/>
        <v>H_147</v>
      </c>
      <c r="K806" s="92"/>
    </row>
    <row r="807" customHeight="1" spans="1:11">
      <c r="A807" s="60">
        <f t="shared" si="21"/>
        <v>148</v>
      </c>
      <c r="B807" s="160" t="s">
        <v>631</v>
      </c>
      <c r="C807" s="83" t="s">
        <v>53</v>
      </c>
      <c r="D807" s="63" t="s">
        <v>115</v>
      </c>
      <c r="E807" s="156">
        <v>1000</v>
      </c>
      <c r="F807" s="157" t="s">
        <v>115</v>
      </c>
      <c r="G807" s="66">
        <f>IF(Tabla9[[#This Row],[Precio
Unidad de Compra ( $)]]="","",(E807/(H807*I807)))</f>
        <v>1000</v>
      </c>
      <c r="H807" s="67">
        <v>1</v>
      </c>
      <c r="I807" s="159">
        <v>1</v>
      </c>
      <c r="J807" s="91" t="str">
        <f t="shared" si="20"/>
        <v>H_148</v>
      </c>
      <c r="K807" s="92"/>
    </row>
    <row r="808" customHeight="1" spans="1:11">
      <c r="A808" s="60">
        <f t="shared" si="21"/>
        <v>149</v>
      </c>
      <c r="B808" s="160" t="s">
        <v>632</v>
      </c>
      <c r="C808" s="83" t="s">
        <v>53</v>
      </c>
      <c r="D808" s="63" t="s">
        <v>115</v>
      </c>
      <c r="E808" s="156">
        <v>8973.79</v>
      </c>
      <c r="F808" s="157" t="s">
        <v>115</v>
      </c>
      <c r="G808" s="66">
        <f>IF(Tabla9[[#This Row],[Precio
Unidad de Compra ( $)]]="","",(E808/(H808*I808)))</f>
        <v>8973.79</v>
      </c>
      <c r="H808" s="67">
        <v>1</v>
      </c>
      <c r="I808" s="159">
        <v>1</v>
      </c>
      <c r="J808" s="91" t="str">
        <f t="shared" si="20"/>
        <v>H_149</v>
      </c>
      <c r="K808" s="92"/>
    </row>
    <row r="809" customHeight="1" spans="1:11">
      <c r="A809" s="60">
        <f t="shared" si="21"/>
        <v>150</v>
      </c>
      <c r="B809" s="160" t="s">
        <v>633</v>
      </c>
      <c r="C809" s="83" t="s">
        <v>53</v>
      </c>
      <c r="D809" s="63" t="s">
        <v>115</v>
      </c>
      <c r="E809" s="156">
        <v>8973.79</v>
      </c>
      <c r="F809" s="157" t="s">
        <v>115</v>
      </c>
      <c r="G809" s="66">
        <f>IF(Tabla9[[#This Row],[Precio
Unidad de Compra ( $)]]="","",(E809/(H809*I809)))</f>
        <v>8973.79</v>
      </c>
      <c r="H809" s="67">
        <v>1</v>
      </c>
      <c r="I809" s="159">
        <v>1</v>
      </c>
      <c r="J809" s="91" t="str">
        <f t="shared" si="20"/>
        <v>H_150</v>
      </c>
      <c r="K809" s="92"/>
    </row>
    <row r="810" customHeight="1" spans="1:11">
      <c r="A810" s="60">
        <f t="shared" si="21"/>
        <v>151</v>
      </c>
      <c r="B810" s="160" t="s">
        <v>634</v>
      </c>
      <c r="C810" s="83" t="s">
        <v>53</v>
      </c>
      <c r="D810" s="63" t="s">
        <v>115</v>
      </c>
      <c r="E810" s="156">
        <v>8973.79</v>
      </c>
      <c r="F810" s="157" t="s">
        <v>115</v>
      </c>
      <c r="G810" s="66">
        <f>IF(Tabla9[[#This Row],[Precio
Unidad de Compra ( $)]]="","",(E810/(H810*I810)))</f>
        <v>8973.79</v>
      </c>
      <c r="H810" s="67">
        <v>1</v>
      </c>
      <c r="I810" s="159">
        <v>1</v>
      </c>
      <c r="J810" s="91" t="str">
        <f t="shared" si="20"/>
        <v>H_151</v>
      </c>
      <c r="K810" s="92"/>
    </row>
    <row r="811" customHeight="1" spans="1:11">
      <c r="A811" s="60">
        <f t="shared" si="21"/>
        <v>152</v>
      </c>
      <c r="B811" s="160" t="s">
        <v>635</v>
      </c>
      <c r="C811" s="83" t="s">
        <v>53</v>
      </c>
      <c r="D811" s="63" t="s">
        <v>115</v>
      </c>
      <c r="E811" s="156">
        <v>8973.79</v>
      </c>
      <c r="F811" s="157" t="s">
        <v>115</v>
      </c>
      <c r="G811" s="66">
        <f>IF(Tabla9[[#This Row],[Precio
Unidad de Compra ( $)]]="","",(E811/(H811*I811)))</f>
        <v>8973.79</v>
      </c>
      <c r="H811" s="67">
        <v>1</v>
      </c>
      <c r="I811" s="159">
        <v>1</v>
      </c>
      <c r="J811" s="91" t="str">
        <f t="shared" si="20"/>
        <v>H_152</v>
      </c>
      <c r="K811" s="92"/>
    </row>
    <row r="812" customHeight="1" spans="1:11">
      <c r="A812" s="60">
        <f t="shared" si="21"/>
        <v>153</v>
      </c>
      <c r="B812" s="160" t="s">
        <v>636</v>
      </c>
      <c r="C812" s="83" t="s">
        <v>53</v>
      </c>
      <c r="D812" s="63" t="s">
        <v>115</v>
      </c>
      <c r="E812" s="156">
        <v>3844.89</v>
      </c>
      <c r="F812" s="157" t="s">
        <v>115</v>
      </c>
      <c r="G812" s="66">
        <f>IF(Tabla9[[#This Row],[Precio
Unidad de Compra ( $)]]="","",(E812/(H812*I812)))</f>
        <v>3844.89</v>
      </c>
      <c r="H812" s="67">
        <v>1</v>
      </c>
      <c r="I812" s="159">
        <v>1</v>
      </c>
      <c r="J812" s="91" t="str">
        <f t="shared" si="20"/>
        <v>H_153</v>
      </c>
      <c r="K812" s="92"/>
    </row>
    <row r="813" customHeight="1" spans="1:11">
      <c r="A813" s="60">
        <f t="shared" si="21"/>
        <v>154</v>
      </c>
      <c r="B813" s="160" t="s">
        <v>637</v>
      </c>
      <c r="C813" s="83" t="s">
        <v>53</v>
      </c>
      <c r="D813" s="63" t="s">
        <v>115</v>
      </c>
      <c r="E813" s="156">
        <v>3844.89</v>
      </c>
      <c r="F813" s="157" t="s">
        <v>115</v>
      </c>
      <c r="G813" s="66">
        <f>IF(Tabla9[[#This Row],[Precio
Unidad de Compra ( $)]]="","",(E813/(H813*I813)))</f>
        <v>3844.89</v>
      </c>
      <c r="H813" s="67">
        <v>1</v>
      </c>
      <c r="I813" s="159">
        <v>1</v>
      </c>
      <c r="J813" s="91" t="str">
        <f t="shared" si="20"/>
        <v>H_154</v>
      </c>
      <c r="K813" s="92"/>
    </row>
    <row r="814" customHeight="1" spans="1:11">
      <c r="A814" s="60">
        <f t="shared" si="21"/>
        <v>155</v>
      </c>
      <c r="B814" s="160" t="s">
        <v>638</v>
      </c>
      <c r="C814" s="83" t="s">
        <v>53</v>
      </c>
      <c r="D814" s="63" t="s">
        <v>115</v>
      </c>
      <c r="E814" s="156">
        <v>3844.89</v>
      </c>
      <c r="F814" s="157" t="s">
        <v>115</v>
      </c>
      <c r="G814" s="66">
        <f>IF(Tabla9[[#This Row],[Precio
Unidad de Compra ( $)]]="","",(E814/(H814*I814)))</f>
        <v>3844.89</v>
      </c>
      <c r="H814" s="67">
        <v>1</v>
      </c>
      <c r="I814" s="159">
        <v>1</v>
      </c>
      <c r="J814" s="91" t="str">
        <f t="shared" si="20"/>
        <v>H_155</v>
      </c>
      <c r="K814" s="92"/>
    </row>
    <row r="815" customHeight="1" spans="1:11">
      <c r="A815" s="60">
        <f t="shared" si="21"/>
        <v>156</v>
      </c>
      <c r="B815" s="160" t="s">
        <v>639</v>
      </c>
      <c r="C815" s="83" t="s">
        <v>53</v>
      </c>
      <c r="D815" s="63" t="s">
        <v>115</v>
      </c>
      <c r="E815" s="156">
        <v>3844.89</v>
      </c>
      <c r="F815" s="157" t="s">
        <v>115</v>
      </c>
      <c r="G815" s="66">
        <f>IF(Tabla9[[#This Row],[Precio
Unidad de Compra ( $)]]="","",(E815/(H815*I815)))</f>
        <v>3844.89</v>
      </c>
      <c r="H815" s="67">
        <v>1</v>
      </c>
      <c r="I815" s="159">
        <v>1</v>
      </c>
      <c r="J815" s="91" t="str">
        <f t="shared" si="20"/>
        <v>H_156</v>
      </c>
      <c r="K815" s="92"/>
    </row>
    <row r="816" customHeight="1" spans="1:11">
      <c r="A816" s="60">
        <f t="shared" si="21"/>
        <v>157</v>
      </c>
      <c r="B816" s="160" t="s">
        <v>640</v>
      </c>
      <c r="C816" s="83" t="s">
        <v>53</v>
      </c>
      <c r="D816" s="63" t="s">
        <v>115</v>
      </c>
      <c r="E816" s="156">
        <v>3844.89</v>
      </c>
      <c r="F816" s="157" t="s">
        <v>115</v>
      </c>
      <c r="G816" s="66">
        <f>IF(Tabla9[[#This Row],[Precio
Unidad de Compra ( $)]]="","",(E816/(H816*I816)))</f>
        <v>3844.89</v>
      </c>
      <c r="H816" s="67">
        <v>1</v>
      </c>
      <c r="I816" s="159">
        <v>1</v>
      </c>
      <c r="J816" s="91" t="str">
        <f t="shared" si="20"/>
        <v>H_157</v>
      </c>
      <c r="K816" s="92"/>
    </row>
    <row r="817" customHeight="1" spans="1:11">
      <c r="A817" s="60">
        <f t="shared" si="21"/>
        <v>158</v>
      </c>
      <c r="B817" s="160" t="s">
        <v>641</v>
      </c>
      <c r="C817" s="83" t="s">
        <v>53</v>
      </c>
      <c r="D817" s="63" t="s">
        <v>115</v>
      </c>
      <c r="E817" s="156">
        <v>3844.89</v>
      </c>
      <c r="F817" s="157" t="s">
        <v>115</v>
      </c>
      <c r="G817" s="66">
        <f>IF(Tabla9[[#This Row],[Precio
Unidad de Compra ( $)]]="","",(E817/(H817*I817)))</f>
        <v>3844.89</v>
      </c>
      <c r="H817" s="67">
        <v>1</v>
      </c>
      <c r="I817" s="159">
        <v>1</v>
      </c>
      <c r="J817" s="91" t="str">
        <f t="shared" si="20"/>
        <v>H_158</v>
      </c>
      <c r="K817" s="92"/>
    </row>
    <row r="818" customHeight="1" spans="1:11">
      <c r="A818" s="60">
        <f t="shared" si="21"/>
        <v>159</v>
      </c>
      <c r="B818" s="160" t="s">
        <v>642</v>
      </c>
      <c r="C818" s="83" t="s">
        <v>53</v>
      </c>
      <c r="D818" s="63" t="s">
        <v>115</v>
      </c>
      <c r="E818" s="156">
        <v>3844.89</v>
      </c>
      <c r="F818" s="157" t="s">
        <v>115</v>
      </c>
      <c r="G818" s="66">
        <f>IF(Tabla9[[#This Row],[Precio
Unidad de Compra ( $)]]="","",(E818/(H818*I818)))</f>
        <v>3844.89</v>
      </c>
      <c r="H818" s="67">
        <v>1</v>
      </c>
      <c r="I818" s="159">
        <v>1</v>
      </c>
      <c r="J818" s="91" t="str">
        <f t="shared" si="20"/>
        <v>H_159</v>
      </c>
      <c r="K818" s="92"/>
    </row>
    <row r="819" customHeight="1" spans="1:11">
      <c r="A819" s="60">
        <f t="shared" si="21"/>
        <v>160</v>
      </c>
      <c r="B819" s="160" t="s">
        <v>643</v>
      </c>
      <c r="C819" s="83" t="s">
        <v>53</v>
      </c>
      <c r="D819" s="63" t="s">
        <v>115</v>
      </c>
      <c r="E819" s="156">
        <v>3844.89</v>
      </c>
      <c r="F819" s="157" t="s">
        <v>115</v>
      </c>
      <c r="G819" s="66">
        <f>IF(Tabla9[[#This Row],[Precio
Unidad de Compra ( $)]]="","",(E819/(H819*I819)))</f>
        <v>3844.89</v>
      </c>
      <c r="H819" s="67">
        <v>1</v>
      </c>
      <c r="I819" s="159">
        <v>1</v>
      </c>
      <c r="J819" s="91" t="str">
        <f t="shared" si="20"/>
        <v>H_160</v>
      </c>
      <c r="K819" s="92"/>
    </row>
    <row r="820" ht="30" spans="1:11">
      <c r="A820" s="60">
        <f t="shared" si="21"/>
        <v>161</v>
      </c>
      <c r="B820" s="160" t="s">
        <v>644</v>
      </c>
      <c r="C820" s="83" t="s">
        <v>53</v>
      </c>
      <c r="D820" s="63" t="s">
        <v>115</v>
      </c>
      <c r="E820" s="156">
        <v>1661.24</v>
      </c>
      <c r="F820" s="157" t="s">
        <v>115</v>
      </c>
      <c r="G820" s="66">
        <f>IF(Tabla9[[#This Row],[Precio
Unidad de Compra ( $)]]="","",(E820/(H820*I820)))</f>
        <v>1661.24</v>
      </c>
      <c r="H820" s="67">
        <v>1</v>
      </c>
      <c r="I820" s="159">
        <v>1</v>
      </c>
      <c r="J820" s="91" t="str">
        <f t="shared" si="20"/>
        <v>H_161</v>
      </c>
      <c r="K820" s="92"/>
    </row>
    <row r="821" customHeight="1" spans="1:11">
      <c r="A821" s="60">
        <f t="shared" si="21"/>
        <v>162</v>
      </c>
      <c r="B821" s="160" t="s">
        <v>645</v>
      </c>
      <c r="C821" s="83" t="s">
        <v>53</v>
      </c>
      <c r="D821" s="63" t="s">
        <v>115</v>
      </c>
      <c r="E821" s="156">
        <v>1661.24</v>
      </c>
      <c r="F821" s="157" t="s">
        <v>115</v>
      </c>
      <c r="G821" s="66">
        <f>IF(Tabla9[[#This Row],[Precio
Unidad de Compra ( $)]]="","",(E821/(H821*I821)))</f>
        <v>1661.24</v>
      </c>
      <c r="H821" s="67">
        <v>1</v>
      </c>
      <c r="I821" s="159">
        <v>1</v>
      </c>
      <c r="J821" s="91" t="str">
        <f t="shared" si="20"/>
        <v>H_162</v>
      </c>
      <c r="K821" s="92"/>
    </row>
    <row r="822" customHeight="1" spans="1:11">
      <c r="A822" s="60">
        <f t="shared" si="21"/>
        <v>163</v>
      </c>
      <c r="B822" s="160" t="s">
        <v>646</v>
      </c>
      <c r="C822" s="83" t="s">
        <v>53</v>
      </c>
      <c r="D822" s="63" t="s">
        <v>115</v>
      </c>
      <c r="E822" s="156">
        <v>1661.24</v>
      </c>
      <c r="F822" s="157" t="s">
        <v>115</v>
      </c>
      <c r="G822" s="66">
        <f>IF(Tabla9[[#This Row],[Precio
Unidad de Compra ( $)]]="","",(E822/(H822*I822)))</f>
        <v>1661.24</v>
      </c>
      <c r="H822" s="67">
        <v>1</v>
      </c>
      <c r="I822" s="159">
        <v>1</v>
      </c>
      <c r="J822" s="91" t="str">
        <f t="shared" si="20"/>
        <v>H_163</v>
      </c>
      <c r="K822" s="92"/>
    </row>
    <row r="823" customHeight="1" spans="1:11">
      <c r="A823" s="60">
        <f t="shared" si="21"/>
        <v>164</v>
      </c>
      <c r="B823" s="160" t="s">
        <v>647</v>
      </c>
      <c r="C823" s="83" t="s">
        <v>53</v>
      </c>
      <c r="D823" s="63" t="s">
        <v>115</v>
      </c>
      <c r="E823" s="156">
        <v>1661.24</v>
      </c>
      <c r="F823" s="157" t="s">
        <v>115</v>
      </c>
      <c r="G823" s="66">
        <f>IF(Tabla9[[#This Row],[Precio
Unidad de Compra ( $)]]="","",(E823/(H823*I823)))</f>
        <v>1661.24</v>
      </c>
      <c r="H823" s="67">
        <v>1</v>
      </c>
      <c r="I823" s="159">
        <v>1</v>
      </c>
      <c r="J823" s="91" t="str">
        <f t="shared" si="20"/>
        <v>H_164</v>
      </c>
      <c r="K823" s="92"/>
    </row>
    <row r="824" customHeight="1" spans="1:11">
      <c r="A824" s="60">
        <f t="shared" si="21"/>
        <v>165</v>
      </c>
      <c r="B824" s="160" t="s">
        <v>648</v>
      </c>
      <c r="C824" s="83" t="s">
        <v>53</v>
      </c>
      <c r="D824" s="63" t="s">
        <v>115</v>
      </c>
      <c r="E824" s="156">
        <v>1661.24</v>
      </c>
      <c r="F824" s="157" t="s">
        <v>115</v>
      </c>
      <c r="G824" s="66">
        <f>IF(Tabla9[[#This Row],[Precio
Unidad de Compra ( $)]]="","",(E824/(H824*I824)))</f>
        <v>1661.24</v>
      </c>
      <c r="H824" s="67">
        <v>1</v>
      </c>
      <c r="I824" s="159">
        <v>1</v>
      </c>
      <c r="J824" s="91" t="str">
        <f t="shared" si="20"/>
        <v>H_165</v>
      </c>
      <c r="K824" s="92"/>
    </row>
    <row r="825" customHeight="1" spans="1:11">
      <c r="A825" s="60">
        <f t="shared" si="21"/>
        <v>166</v>
      </c>
      <c r="B825" s="160" t="s">
        <v>649</v>
      </c>
      <c r="C825" s="83" t="s">
        <v>53</v>
      </c>
      <c r="D825" s="63" t="s">
        <v>115</v>
      </c>
      <c r="E825" s="156">
        <v>690.75</v>
      </c>
      <c r="F825" s="157" t="s">
        <v>115</v>
      </c>
      <c r="G825" s="66">
        <f>IF(Tabla9[[#This Row],[Precio
Unidad de Compra ( $)]]="","",(E825/(H825*I825)))</f>
        <v>690.75</v>
      </c>
      <c r="H825" s="67">
        <v>1</v>
      </c>
      <c r="I825" s="159">
        <v>1</v>
      </c>
      <c r="J825" s="91" t="str">
        <f t="shared" si="20"/>
        <v>H_166</v>
      </c>
      <c r="K825" s="92"/>
    </row>
    <row r="826" customHeight="1" spans="1:11">
      <c r="A826" s="60">
        <f t="shared" si="21"/>
        <v>167</v>
      </c>
      <c r="B826" s="160" t="s">
        <v>650</v>
      </c>
      <c r="C826" s="83" t="s">
        <v>53</v>
      </c>
      <c r="D826" s="63" t="s">
        <v>115</v>
      </c>
      <c r="E826" s="156">
        <v>690.75</v>
      </c>
      <c r="F826" s="157" t="s">
        <v>115</v>
      </c>
      <c r="G826" s="66">
        <f>IF(Tabla9[[#This Row],[Precio
Unidad de Compra ( $)]]="","",(E826/(H826*I826)))</f>
        <v>690.75</v>
      </c>
      <c r="H826" s="67">
        <v>1</v>
      </c>
      <c r="I826" s="159">
        <v>1</v>
      </c>
      <c r="J826" s="91" t="str">
        <f t="shared" si="20"/>
        <v>H_167</v>
      </c>
      <c r="K826" s="92"/>
    </row>
    <row r="827" customHeight="1" spans="1:11">
      <c r="A827" s="60">
        <f t="shared" si="21"/>
        <v>168</v>
      </c>
      <c r="B827" s="160" t="s">
        <v>651</v>
      </c>
      <c r="C827" s="83" t="s">
        <v>53</v>
      </c>
      <c r="D827" s="63" t="s">
        <v>115</v>
      </c>
      <c r="E827" s="156">
        <v>690.75</v>
      </c>
      <c r="F827" s="157" t="s">
        <v>115</v>
      </c>
      <c r="G827" s="66">
        <f>IF(Tabla9[[#This Row],[Precio
Unidad de Compra ( $)]]="","",(E827/(H827*I827)))</f>
        <v>690.75</v>
      </c>
      <c r="H827" s="67">
        <v>1</v>
      </c>
      <c r="I827" s="159">
        <v>1</v>
      </c>
      <c r="J827" s="91" t="str">
        <f t="shared" si="20"/>
        <v>H_168</v>
      </c>
      <c r="K827" s="92"/>
    </row>
    <row r="828" customHeight="1" spans="1:11">
      <c r="A828" s="60">
        <f t="shared" si="21"/>
        <v>169</v>
      </c>
      <c r="B828" s="160" t="s">
        <v>652</v>
      </c>
      <c r="C828" s="83" t="s">
        <v>53</v>
      </c>
      <c r="D828" s="63" t="s">
        <v>115</v>
      </c>
      <c r="E828" s="156">
        <v>690.75</v>
      </c>
      <c r="F828" s="157" t="s">
        <v>115</v>
      </c>
      <c r="G828" s="66">
        <f>IF(Tabla9[[#This Row],[Precio
Unidad de Compra ( $)]]="","",(E828/(H828*I828)))</f>
        <v>690.75</v>
      </c>
      <c r="H828" s="67">
        <v>1</v>
      </c>
      <c r="I828" s="159">
        <v>1</v>
      </c>
      <c r="J828" s="91" t="str">
        <f t="shared" si="20"/>
        <v>H_169</v>
      </c>
      <c r="K828" s="92"/>
    </row>
    <row r="829" customHeight="1" spans="1:11">
      <c r="A829" s="60">
        <f t="shared" si="21"/>
        <v>170</v>
      </c>
      <c r="B829" s="160" t="s">
        <v>653</v>
      </c>
      <c r="C829" s="83" t="s">
        <v>53</v>
      </c>
      <c r="D829" s="63" t="s">
        <v>115</v>
      </c>
      <c r="E829" s="156">
        <v>690.75</v>
      </c>
      <c r="F829" s="157" t="s">
        <v>115</v>
      </c>
      <c r="G829" s="66">
        <f>IF(Tabla9[[#This Row],[Precio
Unidad de Compra ( $)]]="","",(E829/(H829*I829)))</f>
        <v>690.75</v>
      </c>
      <c r="H829" s="67">
        <v>1</v>
      </c>
      <c r="I829" s="159">
        <v>1</v>
      </c>
      <c r="J829" s="91" t="str">
        <f t="shared" si="20"/>
        <v>H_170</v>
      </c>
      <c r="K829" s="92"/>
    </row>
    <row r="830" customHeight="1" spans="1:11">
      <c r="A830" s="60">
        <f t="shared" si="21"/>
        <v>171</v>
      </c>
      <c r="B830" s="160" t="s">
        <v>654</v>
      </c>
      <c r="C830" s="83" t="s">
        <v>53</v>
      </c>
      <c r="D830" s="63" t="s">
        <v>115</v>
      </c>
      <c r="E830" s="156">
        <v>690.75</v>
      </c>
      <c r="F830" s="157" t="s">
        <v>115</v>
      </c>
      <c r="G830" s="66">
        <f>IF(Tabla9[[#This Row],[Precio
Unidad de Compra ( $)]]="","",(E830/(H830*I830)))</f>
        <v>690.75</v>
      </c>
      <c r="H830" s="67">
        <v>1</v>
      </c>
      <c r="I830" s="159">
        <v>1</v>
      </c>
      <c r="J830" s="91" t="str">
        <f t="shared" si="20"/>
        <v>H_171</v>
      </c>
      <c r="K830" s="92"/>
    </row>
    <row r="831" customHeight="1" spans="1:11">
      <c r="A831" s="60">
        <f t="shared" si="21"/>
        <v>172</v>
      </c>
      <c r="B831" s="160" t="s">
        <v>655</v>
      </c>
      <c r="C831" s="83" t="s">
        <v>53</v>
      </c>
      <c r="D831" s="63" t="s">
        <v>115</v>
      </c>
      <c r="E831" s="64">
        <v>690.75</v>
      </c>
      <c r="F831" s="65" t="s">
        <v>115</v>
      </c>
      <c r="G831" s="66">
        <f>IF(Tabla9[[#This Row],[Precio
Unidad de Compra ( $)]]="","",(E831/(H831*I831)))</f>
        <v>690.75</v>
      </c>
      <c r="H831" s="67">
        <v>1</v>
      </c>
      <c r="I831" s="159">
        <v>1</v>
      </c>
      <c r="J831" s="91" t="str">
        <f t="shared" si="20"/>
        <v>H_172</v>
      </c>
      <c r="K831" s="92"/>
    </row>
    <row r="832" customHeight="1" spans="1:11">
      <c r="A832" s="60">
        <f t="shared" si="21"/>
        <v>173</v>
      </c>
      <c r="B832" s="160" t="s">
        <v>656</v>
      </c>
      <c r="C832" s="83" t="s">
        <v>53</v>
      </c>
      <c r="D832" s="63" t="s">
        <v>115</v>
      </c>
      <c r="E832" s="64">
        <v>690.75</v>
      </c>
      <c r="F832" s="65" t="s">
        <v>115</v>
      </c>
      <c r="G832" s="66">
        <f>IF(Tabla9[[#This Row],[Precio
Unidad de Compra ( $)]]="","",(E832/(H832*I832)))</f>
        <v>690.75</v>
      </c>
      <c r="H832" s="67">
        <v>1</v>
      </c>
      <c r="I832" s="159">
        <v>1</v>
      </c>
      <c r="J832" s="91" t="str">
        <f t="shared" si="20"/>
        <v>H_173</v>
      </c>
      <c r="K832" s="92"/>
    </row>
    <row r="833" customHeight="1" spans="1:11">
      <c r="A833" s="60">
        <f t="shared" si="21"/>
        <v>174</v>
      </c>
      <c r="B833" s="160" t="s">
        <v>657</v>
      </c>
      <c r="C833" s="83" t="s">
        <v>53</v>
      </c>
      <c r="D833" s="63" t="s">
        <v>115</v>
      </c>
      <c r="E833" s="156">
        <v>690.75</v>
      </c>
      <c r="F833" s="157" t="s">
        <v>115</v>
      </c>
      <c r="G833" s="66">
        <f>IF(Tabla9[[#This Row],[Precio
Unidad de Compra ( $)]]="","",(E833/(H833*I833)))</f>
        <v>690.75</v>
      </c>
      <c r="H833" s="67">
        <v>1</v>
      </c>
      <c r="I833" s="159">
        <v>1</v>
      </c>
      <c r="J833" s="91" t="str">
        <f t="shared" si="20"/>
        <v>H_174</v>
      </c>
      <c r="K833" s="92"/>
    </row>
    <row r="834" customHeight="1" spans="1:11">
      <c r="A834" s="60">
        <f t="shared" si="21"/>
        <v>175</v>
      </c>
      <c r="B834" s="160" t="s">
        <v>658</v>
      </c>
      <c r="C834" s="83" t="s">
        <v>53</v>
      </c>
      <c r="D834" s="63" t="s">
        <v>115</v>
      </c>
      <c r="E834" s="156">
        <v>690.75</v>
      </c>
      <c r="F834" s="157" t="s">
        <v>115</v>
      </c>
      <c r="G834" s="66">
        <f>IF(Tabla9[[#This Row],[Precio
Unidad de Compra ( $)]]="","",(E834/(H834*I834)))</f>
        <v>690.75</v>
      </c>
      <c r="H834" s="67">
        <v>1</v>
      </c>
      <c r="I834" s="159">
        <v>1</v>
      </c>
      <c r="J834" s="91" t="str">
        <f t="shared" si="20"/>
        <v>H_175</v>
      </c>
      <c r="K834" s="92"/>
    </row>
    <row r="835" customHeight="1" spans="1:11">
      <c r="A835" s="60">
        <f t="shared" si="21"/>
        <v>176</v>
      </c>
      <c r="B835" s="160" t="s">
        <v>659</v>
      </c>
      <c r="C835" s="83" t="s">
        <v>53</v>
      </c>
      <c r="D835" s="63" t="s">
        <v>115</v>
      </c>
      <c r="E835" s="156">
        <v>690.75</v>
      </c>
      <c r="F835" s="157" t="s">
        <v>115</v>
      </c>
      <c r="G835" s="66">
        <f>IF(Tabla9[[#This Row],[Precio
Unidad de Compra ( $)]]="","",(E835/(H835*I835)))</f>
        <v>690.75</v>
      </c>
      <c r="H835" s="67">
        <v>1</v>
      </c>
      <c r="I835" s="159">
        <v>1</v>
      </c>
      <c r="J835" s="91" t="str">
        <f t="shared" si="20"/>
        <v>H_176</v>
      </c>
      <c r="K835" s="92"/>
    </row>
    <row r="836" customHeight="1" spans="1:11">
      <c r="A836" s="60">
        <f t="shared" si="21"/>
        <v>177</v>
      </c>
      <c r="B836" s="160" t="s">
        <v>660</v>
      </c>
      <c r="C836" s="83" t="s">
        <v>53</v>
      </c>
      <c r="D836" s="63" t="s">
        <v>115</v>
      </c>
      <c r="E836" s="156">
        <v>690.75</v>
      </c>
      <c r="F836" s="157" t="s">
        <v>115</v>
      </c>
      <c r="G836" s="66">
        <f>IF(Tabla9[[#This Row],[Precio
Unidad de Compra ( $)]]="","",(E836/(H836*I836)))</f>
        <v>690.75</v>
      </c>
      <c r="H836" s="67">
        <v>1</v>
      </c>
      <c r="I836" s="159">
        <v>1</v>
      </c>
      <c r="J836" s="91" t="str">
        <f t="shared" si="20"/>
        <v>H_177</v>
      </c>
      <c r="K836" s="92"/>
    </row>
    <row r="837" customHeight="1" spans="1:11">
      <c r="A837" s="60">
        <f t="shared" si="21"/>
        <v>178</v>
      </c>
      <c r="B837" s="160" t="s">
        <v>661</v>
      </c>
      <c r="C837" s="83" t="s">
        <v>53</v>
      </c>
      <c r="D837" s="63" t="s">
        <v>115</v>
      </c>
      <c r="E837" s="64">
        <v>690.75</v>
      </c>
      <c r="F837" s="65" t="s">
        <v>115</v>
      </c>
      <c r="G837" s="66">
        <f>IF(Tabla9[[#This Row],[Precio
Unidad de Compra ( $)]]="","",(E837/(H837*I837)))</f>
        <v>690.75</v>
      </c>
      <c r="H837" s="67">
        <v>1</v>
      </c>
      <c r="I837" s="159">
        <v>1</v>
      </c>
      <c r="J837" s="91" t="str">
        <f t="shared" si="20"/>
        <v>H_178</v>
      </c>
      <c r="K837" s="92"/>
    </row>
    <row r="838" customHeight="1" spans="1:11">
      <c r="A838" s="60">
        <f t="shared" si="21"/>
        <v>179</v>
      </c>
      <c r="B838" s="160" t="s">
        <v>662</v>
      </c>
      <c r="C838" s="83" t="s">
        <v>53</v>
      </c>
      <c r="D838" s="63" t="s">
        <v>115</v>
      </c>
      <c r="E838" s="64">
        <v>690.75</v>
      </c>
      <c r="F838" s="65" t="s">
        <v>115</v>
      </c>
      <c r="G838" s="66">
        <f>IF(Tabla9[[#This Row],[Precio
Unidad de Compra ( $)]]="","",(E838/(H838*I838)))</f>
        <v>690.75</v>
      </c>
      <c r="H838" s="67">
        <v>1</v>
      </c>
      <c r="I838" s="159">
        <v>1</v>
      </c>
      <c r="J838" s="91" t="str">
        <f t="shared" si="20"/>
        <v>H_179</v>
      </c>
      <c r="K838" s="92"/>
    </row>
    <row r="839" customHeight="1" spans="1:11">
      <c r="A839" s="60">
        <f t="shared" si="21"/>
        <v>180</v>
      </c>
      <c r="B839" s="160" t="s">
        <v>663</v>
      </c>
      <c r="C839" s="83" t="s">
        <v>53</v>
      </c>
      <c r="D839" s="63" t="s">
        <v>115</v>
      </c>
      <c r="E839" s="156">
        <v>690.75</v>
      </c>
      <c r="F839" s="157" t="s">
        <v>115</v>
      </c>
      <c r="G839" s="66">
        <f>IF(Tabla9[[#This Row],[Precio
Unidad de Compra ( $)]]="","",(E839/(H839*I839)))</f>
        <v>690.75</v>
      </c>
      <c r="H839" s="67">
        <v>1</v>
      </c>
      <c r="I839" s="159">
        <v>1</v>
      </c>
      <c r="J839" s="91" t="str">
        <f t="shared" si="20"/>
        <v>H_180</v>
      </c>
      <c r="K839" s="92"/>
    </row>
    <row r="840" customHeight="1" spans="1:11">
      <c r="A840" s="60">
        <f t="shared" si="21"/>
        <v>181</v>
      </c>
      <c r="B840" s="160" t="s">
        <v>664</v>
      </c>
      <c r="C840" s="83" t="s">
        <v>53</v>
      </c>
      <c r="D840" s="63" t="s">
        <v>115</v>
      </c>
      <c r="E840" s="156">
        <v>690.75</v>
      </c>
      <c r="F840" s="157" t="s">
        <v>115</v>
      </c>
      <c r="G840" s="66">
        <f>IF(Tabla9[[#This Row],[Precio
Unidad de Compra ( $)]]="","",(E840/(H840*I840)))</f>
        <v>690.75</v>
      </c>
      <c r="H840" s="67">
        <v>1</v>
      </c>
      <c r="I840" s="159">
        <v>1</v>
      </c>
      <c r="J840" s="91" t="str">
        <f t="shared" si="20"/>
        <v>H_181</v>
      </c>
      <c r="K840" s="92"/>
    </row>
    <row r="841" customHeight="1" spans="1:11">
      <c r="A841" s="60">
        <f t="shared" si="21"/>
        <v>182</v>
      </c>
      <c r="B841" s="160" t="s">
        <v>665</v>
      </c>
      <c r="C841" s="83" t="s">
        <v>53</v>
      </c>
      <c r="D841" s="63" t="s">
        <v>115</v>
      </c>
      <c r="E841" s="156">
        <v>690.75</v>
      </c>
      <c r="F841" s="157" t="s">
        <v>115</v>
      </c>
      <c r="G841" s="66">
        <f>IF(Tabla9[[#This Row],[Precio
Unidad de Compra ( $)]]="","",(E841/(H841*I841)))</f>
        <v>690.75</v>
      </c>
      <c r="H841" s="67">
        <v>1</v>
      </c>
      <c r="I841" s="159">
        <v>1</v>
      </c>
      <c r="J841" s="91" t="str">
        <f t="shared" si="20"/>
        <v>H_182</v>
      </c>
      <c r="K841" s="92"/>
    </row>
    <row r="842" customHeight="1" spans="1:11">
      <c r="A842" s="60">
        <f t="shared" si="21"/>
        <v>183</v>
      </c>
      <c r="B842" s="160" t="s">
        <v>666</v>
      </c>
      <c r="C842" s="83" t="s">
        <v>53</v>
      </c>
      <c r="D842" s="63" t="s">
        <v>115</v>
      </c>
      <c r="E842" s="64">
        <v>690.75</v>
      </c>
      <c r="F842" s="65" t="s">
        <v>115</v>
      </c>
      <c r="G842" s="66">
        <f>IF(Tabla9[[#This Row],[Precio
Unidad de Compra ( $)]]="","",(E842/(H842*I842)))</f>
        <v>690.75</v>
      </c>
      <c r="H842" s="67">
        <v>1</v>
      </c>
      <c r="I842" s="159">
        <v>1</v>
      </c>
      <c r="J842" s="91" t="str">
        <f t="shared" si="20"/>
        <v>H_183</v>
      </c>
      <c r="K842" s="92"/>
    </row>
    <row r="843" spans="1:11">
      <c r="A843" s="60">
        <f t="shared" si="21"/>
        <v>184</v>
      </c>
      <c r="B843" s="160" t="s">
        <v>667</v>
      </c>
      <c r="C843" s="83" t="s">
        <v>53</v>
      </c>
      <c r="D843" s="63" t="s">
        <v>115</v>
      </c>
      <c r="E843" s="156">
        <v>690.75</v>
      </c>
      <c r="F843" s="157" t="s">
        <v>115</v>
      </c>
      <c r="G843" s="66">
        <f>IF(Tabla9[[#This Row],[Precio
Unidad de Compra ( $)]]="","",(E843/(H843*I843)))</f>
        <v>690.75</v>
      </c>
      <c r="H843" s="67">
        <v>1</v>
      </c>
      <c r="I843" s="159">
        <v>1</v>
      </c>
      <c r="J843" s="91" t="str">
        <f t="shared" si="20"/>
        <v>H_184</v>
      </c>
      <c r="K843" s="92"/>
    </row>
    <row r="844" ht="30" spans="1:11">
      <c r="A844" s="60">
        <f t="shared" si="21"/>
        <v>185</v>
      </c>
      <c r="B844" s="160" t="s">
        <v>668</v>
      </c>
      <c r="C844" s="83" t="s">
        <v>53</v>
      </c>
      <c r="D844" s="63" t="s">
        <v>115</v>
      </c>
      <c r="E844" s="156">
        <v>690.75</v>
      </c>
      <c r="F844" s="157" t="s">
        <v>115</v>
      </c>
      <c r="G844" s="66">
        <f>IF(Tabla9[[#This Row],[Precio
Unidad de Compra ( $)]]="","",(E844/(H844*I844)))</f>
        <v>690.75</v>
      </c>
      <c r="H844" s="67">
        <v>1</v>
      </c>
      <c r="I844" s="159">
        <v>1</v>
      </c>
      <c r="J844" s="91" t="str">
        <f t="shared" si="20"/>
        <v>H_185</v>
      </c>
      <c r="K844" s="92"/>
    </row>
    <row r="845" ht="30" spans="1:11">
      <c r="A845" s="60">
        <f t="shared" si="21"/>
        <v>186</v>
      </c>
      <c r="B845" s="160" t="s">
        <v>669</v>
      </c>
      <c r="C845" s="83" t="s">
        <v>53</v>
      </c>
      <c r="D845" s="63" t="s">
        <v>115</v>
      </c>
      <c r="E845" s="156">
        <v>690.75</v>
      </c>
      <c r="F845" s="157" t="s">
        <v>115</v>
      </c>
      <c r="G845" s="66">
        <f>IF(Tabla9[[#This Row],[Precio
Unidad de Compra ( $)]]="","",(E845/(H845*I845)))</f>
        <v>690.75</v>
      </c>
      <c r="H845" s="67">
        <v>1</v>
      </c>
      <c r="I845" s="159">
        <v>1</v>
      </c>
      <c r="J845" s="91" t="str">
        <f t="shared" si="20"/>
        <v>H_186</v>
      </c>
      <c r="K845" s="92"/>
    </row>
    <row r="846" spans="1:11">
      <c r="A846" s="60">
        <f t="shared" si="21"/>
        <v>187</v>
      </c>
      <c r="B846" s="160" t="s">
        <v>670</v>
      </c>
      <c r="C846" s="83" t="s">
        <v>53</v>
      </c>
      <c r="D846" s="63" t="s">
        <v>115</v>
      </c>
      <c r="E846" s="156">
        <v>690.75</v>
      </c>
      <c r="F846" s="157" t="s">
        <v>115</v>
      </c>
      <c r="G846" s="66">
        <f>IF(Tabla9[[#This Row],[Precio
Unidad de Compra ( $)]]="","",(E846/(H846*I846)))</f>
        <v>690.75</v>
      </c>
      <c r="H846" s="67">
        <v>1</v>
      </c>
      <c r="I846" s="159">
        <v>1</v>
      </c>
      <c r="J846" s="91" t="str">
        <f t="shared" si="20"/>
        <v>H_187</v>
      </c>
      <c r="K846" s="92"/>
    </row>
    <row r="847" spans="1:11">
      <c r="A847" s="60">
        <f t="shared" si="21"/>
        <v>188</v>
      </c>
      <c r="B847" s="160" t="s">
        <v>671</v>
      </c>
      <c r="C847" s="83" t="s">
        <v>53</v>
      </c>
      <c r="D847" s="63" t="s">
        <v>115</v>
      </c>
      <c r="E847" s="64">
        <v>690.75</v>
      </c>
      <c r="F847" s="65" t="s">
        <v>115</v>
      </c>
      <c r="G847" s="66">
        <f>IF(Tabla9[[#This Row],[Precio
Unidad de Compra ( $)]]="","",(E847/(H847*I847)))</f>
        <v>690.75</v>
      </c>
      <c r="H847" s="67">
        <v>1</v>
      </c>
      <c r="I847" s="159">
        <v>1</v>
      </c>
      <c r="J847" s="91" t="str">
        <f t="shared" si="20"/>
        <v>H_188</v>
      </c>
      <c r="K847" s="92"/>
    </row>
    <row r="848" spans="1:11">
      <c r="A848" s="60">
        <f t="shared" si="21"/>
        <v>189</v>
      </c>
      <c r="B848" s="160" t="s">
        <v>672</v>
      </c>
      <c r="C848" s="83" t="s">
        <v>53</v>
      </c>
      <c r="D848" s="63" t="s">
        <v>115</v>
      </c>
      <c r="E848" s="156">
        <v>690.75</v>
      </c>
      <c r="F848" s="157" t="s">
        <v>115</v>
      </c>
      <c r="G848" s="66">
        <f>IF(Tabla9[[#This Row],[Precio
Unidad de Compra ( $)]]="","",(E848/(H848*I848)))</f>
        <v>690.75</v>
      </c>
      <c r="H848" s="67">
        <v>1</v>
      </c>
      <c r="I848" s="159">
        <v>1</v>
      </c>
      <c r="J848" s="91" t="str">
        <f t="shared" si="20"/>
        <v>H_189</v>
      </c>
      <c r="K848" s="92"/>
    </row>
    <row r="849" spans="1:11">
      <c r="A849" s="60">
        <f t="shared" si="21"/>
        <v>190</v>
      </c>
      <c r="B849" s="160" t="s">
        <v>673</v>
      </c>
      <c r="C849" s="83" t="s">
        <v>53</v>
      </c>
      <c r="D849" s="63" t="s">
        <v>115</v>
      </c>
      <c r="E849" s="156">
        <v>690.75</v>
      </c>
      <c r="F849" s="157" t="s">
        <v>115</v>
      </c>
      <c r="G849" s="66">
        <f>IF(Tabla9[[#This Row],[Precio
Unidad de Compra ( $)]]="","",(E849/(H849*I849)))</f>
        <v>690.75</v>
      </c>
      <c r="H849" s="67">
        <v>1</v>
      </c>
      <c r="I849" s="159">
        <v>1</v>
      </c>
      <c r="J849" s="91" t="str">
        <f t="shared" si="20"/>
        <v>H_190</v>
      </c>
      <c r="K849" s="92"/>
    </row>
    <row r="850" ht="30" spans="1:11">
      <c r="A850" s="60">
        <f t="shared" si="21"/>
        <v>191</v>
      </c>
      <c r="B850" s="160" t="s">
        <v>674</v>
      </c>
      <c r="C850" s="83" t="s">
        <v>53</v>
      </c>
      <c r="D850" s="63" t="s">
        <v>115</v>
      </c>
      <c r="E850" s="156">
        <v>3850</v>
      </c>
      <c r="F850" s="157" t="s">
        <v>115</v>
      </c>
      <c r="G850" s="66">
        <f>IF(Tabla9[[#This Row],[Precio
Unidad de Compra ( $)]]="","",(E850/(H850*I850)))</f>
        <v>3850</v>
      </c>
      <c r="H850" s="67">
        <v>1</v>
      </c>
      <c r="I850" s="159">
        <v>1</v>
      </c>
      <c r="J850" s="91" t="str">
        <f t="shared" si="20"/>
        <v>H_191</v>
      </c>
      <c r="K850" s="92"/>
    </row>
    <row r="851" ht="30" spans="1:11">
      <c r="A851" s="60">
        <f t="shared" si="21"/>
        <v>192</v>
      </c>
      <c r="B851" s="160" t="s">
        <v>675</v>
      </c>
      <c r="C851" s="83" t="s">
        <v>53</v>
      </c>
      <c r="D851" s="63" t="s">
        <v>115</v>
      </c>
      <c r="E851" s="156">
        <v>3850</v>
      </c>
      <c r="F851" s="157" t="s">
        <v>115</v>
      </c>
      <c r="G851" s="66">
        <f>IF(Tabla9[[#This Row],[Precio
Unidad de Compra ( $)]]="","",(E851/(H851*I851)))</f>
        <v>3850</v>
      </c>
      <c r="H851" s="67">
        <v>1</v>
      </c>
      <c r="I851" s="159">
        <v>1</v>
      </c>
      <c r="J851" s="91" t="str">
        <f t="shared" si="20"/>
        <v>H_192</v>
      </c>
      <c r="K851" s="92"/>
    </row>
    <row r="852" ht="30" spans="1:11">
      <c r="A852" s="60">
        <f t="shared" si="21"/>
        <v>193</v>
      </c>
      <c r="B852" s="160" t="s">
        <v>676</v>
      </c>
      <c r="C852" s="83" t="s">
        <v>53</v>
      </c>
      <c r="D852" s="63" t="s">
        <v>115</v>
      </c>
      <c r="E852" s="156">
        <v>3850</v>
      </c>
      <c r="F852" s="157" t="s">
        <v>115</v>
      </c>
      <c r="G852" s="66">
        <f>IF(Tabla9[[#This Row],[Precio
Unidad de Compra ( $)]]="","",(E852/(H852*I852)))</f>
        <v>3850</v>
      </c>
      <c r="H852" s="67">
        <v>1</v>
      </c>
      <c r="I852" s="159">
        <v>1</v>
      </c>
      <c r="J852" s="91" t="str">
        <f t="shared" ref="J852:J915" si="22">IFERROR(CONCATENATE(LEFT(C852,1),"_",TEXT(A852,"000")),"")</f>
        <v>H_193</v>
      </c>
      <c r="K852" s="92"/>
    </row>
    <row r="853" ht="30" spans="1:11">
      <c r="A853" s="60">
        <f t="shared" ref="A853:A916" si="23">A852+1</f>
        <v>194</v>
      </c>
      <c r="B853" s="160" t="s">
        <v>677</v>
      </c>
      <c r="C853" s="83" t="s">
        <v>53</v>
      </c>
      <c r="D853" s="63" t="s">
        <v>115</v>
      </c>
      <c r="E853" s="156">
        <v>3850</v>
      </c>
      <c r="F853" s="157" t="s">
        <v>115</v>
      </c>
      <c r="G853" s="66">
        <f>IF(Tabla9[[#This Row],[Precio
Unidad de Compra ( $)]]="","",(E853/(H853*I853)))</f>
        <v>3850</v>
      </c>
      <c r="H853" s="67">
        <v>1</v>
      </c>
      <c r="I853" s="159">
        <v>1</v>
      </c>
      <c r="J853" s="91" t="str">
        <f t="shared" si="22"/>
        <v>H_194</v>
      </c>
      <c r="K853" s="92"/>
    </row>
    <row r="854" ht="30" spans="1:11">
      <c r="A854" s="60">
        <f t="shared" si="23"/>
        <v>195</v>
      </c>
      <c r="B854" s="160" t="s">
        <v>678</v>
      </c>
      <c r="C854" s="83" t="s">
        <v>53</v>
      </c>
      <c r="D854" s="63" t="s">
        <v>115</v>
      </c>
      <c r="E854" s="156">
        <v>3850</v>
      </c>
      <c r="F854" s="157" t="s">
        <v>115</v>
      </c>
      <c r="G854" s="66">
        <f>IF(Tabla9[[#This Row],[Precio
Unidad de Compra ( $)]]="","",(E854/(H854*I854)))</f>
        <v>3850</v>
      </c>
      <c r="H854" s="67">
        <v>1</v>
      </c>
      <c r="I854" s="159">
        <v>1</v>
      </c>
      <c r="J854" s="91" t="str">
        <f t="shared" si="22"/>
        <v>H_195</v>
      </c>
      <c r="K854" s="92"/>
    </row>
    <row r="855" ht="30" spans="1:11">
      <c r="A855" s="60">
        <f t="shared" si="23"/>
        <v>196</v>
      </c>
      <c r="B855" s="160" t="s">
        <v>679</v>
      </c>
      <c r="C855" s="83" t="s">
        <v>53</v>
      </c>
      <c r="D855" s="63" t="s">
        <v>115</v>
      </c>
      <c r="E855" s="156">
        <v>3850</v>
      </c>
      <c r="F855" s="157" t="s">
        <v>115</v>
      </c>
      <c r="G855" s="66">
        <f>IF(Tabla9[[#This Row],[Precio
Unidad de Compra ( $)]]="","",(E855/(H855*I855)))</f>
        <v>3850</v>
      </c>
      <c r="H855" s="67">
        <v>1</v>
      </c>
      <c r="I855" s="159">
        <v>1</v>
      </c>
      <c r="J855" s="91" t="str">
        <f t="shared" si="22"/>
        <v>H_196</v>
      </c>
      <c r="K855" s="92"/>
    </row>
    <row r="856" ht="30" spans="1:11">
      <c r="A856" s="60">
        <f t="shared" si="23"/>
        <v>197</v>
      </c>
      <c r="B856" s="160" t="s">
        <v>680</v>
      </c>
      <c r="C856" s="83" t="s">
        <v>53</v>
      </c>
      <c r="D856" s="63" t="s">
        <v>115</v>
      </c>
      <c r="E856" s="156">
        <v>3850</v>
      </c>
      <c r="F856" s="157" t="s">
        <v>115</v>
      </c>
      <c r="G856" s="66">
        <f>IF(Tabla9[[#This Row],[Precio
Unidad de Compra ( $)]]="","",(E856/(H856*I856)))</f>
        <v>3850</v>
      </c>
      <c r="H856" s="67">
        <v>1</v>
      </c>
      <c r="I856" s="159">
        <v>1</v>
      </c>
      <c r="J856" s="91" t="str">
        <f t="shared" si="22"/>
        <v>H_197</v>
      </c>
      <c r="K856" s="92"/>
    </row>
    <row r="857" ht="30" spans="1:11">
      <c r="A857" s="60">
        <f t="shared" si="23"/>
        <v>198</v>
      </c>
      <c r="B857" s="160" t="s">
        <v>681</v>
      </c>
      <c r="C857" s="83" t="s">
        <v>53</v>
      </c>
      <c r="D857" s="63" t="s">
        <v>115</v>
      </c>
      <c r="E857" s="156">
        <v>3850</v>
      </c>
      <c r="F857" s="157" t="s">
        <v>115</v>
      </c>
      <c r="G857" s="66">
        <f>IF(Tabla9[[#This Row],[Precio
Unidad de Compra ( $)]]="","",(E857/(H857*I857)))</f>
        <v>3850</v>
      </c>
      <c r="H857" s="67">
        <v>1</v>
      </c>
      <c r="I857" s="159">
        <v>1</v>
      </c>
      <c r="J857" s="91" t="str">
        <f t="shared" si="22"/>
        <v>H_198</v>
      </c>
      <c r="K857" s="92"/>
    </row>
    <row r="858" ht="30" spans="1:11">
      <c r="A858" s="60">
        <f t="shared" si="23"/>
        <v>199</v>
      </c>
      <c r="B858" s="160" t="s">
        <v>682</v>
      </c>
      <c r="C858" s="83" t="s">
        <v>53</v>
      </c>
      <c r="D858" s="63" t="s">
        <v>115</v>
      </c>
      <c r="E858" s="156">
        <v>3850</v>
      </c>
      <c r="F858" s="157" t="s">
        <v>115</v>
      </c>
      <c r="G858" s="66">
        <f>IF(Tabla9[[#This Row],[Precio
Unidad de Compra ( $)]]="","",(E858/(H858*I858)))</f>
        <v>3850</v>
      </c>
      <c r="H858" s="67">
        <v>1</v>
      </c>
      <c r="I858" s="159">
        <v>1</v>
      </c>
      <c r="J858" s="91" t="str">
        <f t="shared" si="22"/>
        <v>H_199</v>
      </c>
      <c r="K858" s="92"/>
    </row>
    <row r="859" ht="30" spans="1:11">
      <c r="A859" s="60">
        <f t="shared" si="23"/>
        <v>200</v>
      </c>
      <c r="B859" s="160" t="s">
        <v>683</v>
      </c>
      <c r="C859" s="83" t="s">
        <v>53</v>
      </c>
      <c r="D859" s="63" t="s">
        <v>115</v>
      </c>
      <c r="E859" s="156">
        <v>3850</v>
      </c>
      <c r="F859" s="157" t="s">
        <v>115</v>
      </c>
      <c r="G859" s="66">
        <f>IF(Tabla9[[#This Row],[Precio
Unidad de Compra ( $)]]="","",(E859/(H859*I859)))</f>
        <v>3850</v>
      </c>
      <c r="H859" s="67">
        <v>1</v>
      </c>
      <c r="I859" s="159">
        <v>1</v>
      </c>
      <c r="J859" s="91" t="str">
        <f t="shared" si="22"/>
        <v>H_200</v>
      </c>
      <c r="K859" s="92"/>
    </row>
    <row r="860" ht="30" spans="1:11">
      <c r="A860" s="60">
        <f t="shared" si="23"/>
        <v>201</v>
      </c>
      <c r="B860" s="160" t="s">
        <v>684</v>
      </c>
      <c r="C860" s="83" t="s">
        <v>53</v>
      </c>
      <c r="D860" s="63" t="s">
        <v>115</v>
      </c>
      <c r="E860" s="156">
        <v>3850</v>
      </c>
      <c r="F860" s="157" t="s">
        <v>115</v>
      </c>
      <c r="G860" s="66">
        <f>IF(Tabla9[[#This Row],[Precio
Unidad de Compra ( $)]]="","",(E860/(H860*I860)))</f>
        <v>3850</v>
      </c>
      <c r="H860" s="67">
        <v>1</v>
      </c>
      <c r="I860" s="159">
        <v>1</v>
      </c>
      <c r="J860" s="91" t="str">
        <f t="shared" si="22"/>
        <v>H_201</v>
      </c>
      <c r="K860" s="92"/>
    </row>
    <row r="861" ht="30" spans="1:11">
      <c r="A861" s="60">
        <f t="shared" si="23"/>
        <v>202</v>
      </c>
      <c r="B861" s="160" t="s">
        <v>685</v>
      </c>
      <c r="C861" s="83" t="s">
        <v>53</v>
      </c>
      <c r="D861" s="63" t="s">
        <v>115</v>
      </c>
      <c r="E861" s="156">
        <v>3850</v>
      </c>
      <c r="F861" s="157" t="s">
        <v>115</v>
      </c>
      <c r="G861" s="66">
        <f>IF(Tabla9[[#This Row],[Precio
Unidad de Compra ( $)]]="","",(E861/(H861*I861)))</f>
        <v>3850</v>
      </c>
      <c r="H861" s="67">
        <v>1</v>
      </c>
      <c r="I861" s="159">
        <v>1</v>
      </c>
      <c r="J861" s="91" t="str">
        <f t="shared" si="22"/>
        <v>H_202</v>
      </c>
      <c r="K861" s="92"/>
    </row>
    <row r="862" ht="30" spans="1:11">
      <c r="A862" s="60">
        <f t="shared" si="23"/>
        <v>203</v>
      </c>
      <c r="B862" s="160" t="s">
        <v>686</v>
      </c>
      <c r="C862" s="83" t="s">
        <v>53</v>
      </c>
      <c r="D862" s="63" t="s">
        <v>115</v>
      </c>
      <c r="E862" s="156">
        <v>3850</v>
      </c>
      <c r="F862" s="157" t="s">
        <v>115</v>
      </c>
      <c r="G862" s="66">
        <f>IF(Tabla9[[#This Row],[Precio
Unidad de Compra ( $)]]="","",(E862/(H862*I862)))</f>
        <v>3850</v>
      </c>
      <c r="H862" s="67">
        <v>1</v>
      </c>
      <c r="I862" s="159">
        <v>1</v>
      </c>
      <c r="J862" s="91" t="str">
        <f t="shared" si="22"/>
        <v>H_203</v>
      </c>
      <c r="K862" s="92"/>
    </row>
    <row r="863" ht="30" spans="1:11">
      <c r="A863" s="60">
        <f t="shared" si="23"/>
        <v>204</v>
      </c>
      <c r="B863" s="160" t="s">
        <v>687</v>
      </c>
      <c r="C863" s="83" t="s">
        <v>53</v>
      </c>
      <c r="D863" s="63" t="s">
        <v>115</v>
      </c>
      <c r="E863" s="156">
        <v>3850</v>
      </c>
      <c r="F863" s="157" t="s">
        <v>115</v>
      </c>
      <c r="G863" s="66">
        <f>IF(Tabla9[[#This Row],[Precio
Unidad de Compra ( $)]]="","",(E863/(H863*I863)))</f>
        <v>3850</v>
      </c>
      <c r="H863" s="67">
        <v>1</v>
      </c>
      <c r="I863" s="159">
        <v>1</v>
      </c>
      <c r="J863" s="91" t="str">
        <f t="shared" si="22"/>
        <v>H_204</v>
      </c>
      <c r="K863" s="92"/>
    </row>
    <row r="864" ht="30" spans="1:11">
      <c r="A864" s="60">
        <f t="shared" si="23"/>
        <v>205</v>
      </c>
      <c r="B864" s="160" t="s">
        <v>688</v>
      </c>
      <c r="C864" s="83" t="s">
        <v>53</v>
      </c>
      <c r="D864" s="63" t="s">
        <v>115</v>
      </c>
      <c r="E864" s="156">
        <v>3850</v>
      </c>
      <c r="F864" s="157" t="s">
        <v>115</v>
      </c>
      <c r="G864" s="66">
        <f>IF(Tabla9[[#This Row],[Precio
Unidad de Compra ( $)]]="","",(E864/(H864*I864)))</f>
        <v>3850</v>
      </c>
      <c r="H864" s="67">
        <v>1</v>
      </c>
      <c r="I864" s="159">
        <v>1</v>
      </c>
      <c r="J864" s="91" t="str">
        <f t="shared" si="22"/>
        <v>H_205</v>
      </c>
      <c r="K864" s="92"/>
    </row>
    <row r="865" ht="30" spans="1:11">
      <c r="A865" s="60">
        <f t="shared" si="23"/>
        <v>206</v>
      </c>
      <c r="B865" s="160" t="s">
        <v>689</v>
      </c>
      <c r="C865" s="83" t="s">
        <v>53</v>
      </c>
      <c r="D865" s="63" t="s">
        <v>115</v>
      </c>
      <c r="E865" s="156">
        <v>3850</v>
      </c>
      <c r="F865" s="157" t="s">
        <v>115</v>
      </c>
      <c r="G865" s="66">
        <f>IF(Tabla9[[#This Row],[Precio
Unidad de Compra ( $)]]="","",(E865/(H865*I865)))</f>
        <v>3850</v>
      </c>
      <c r="H865" s="67">
        <v>1</v>
      </c>
      <c r="I865" s="159">
        <v>1</v>
      </c>
      <c r="J865" s="91" t="str">
        <f t="shared" si="22"/>
        <v>H_206</v>
      </c>
      <c r="K865" s="92"/>
    </row>
    <row r="866" ht="30" spans="1:11">
      <c r="A866" s="60">
        <f t="shared" si="23"/>
        <v>207</v>
      </c>
      <c r="B866" s="160" t="s">
        <v>690</v>
      </c>
      <c r="C866" s="83" t="s">
        <v>53</v>
      </c>
      <c r="D866" s="63" t="s">
        <v>115</v>
      </c>
      <c r="E866" s="156">
        <v>3850</v>
      </c>
      <c r="F866" s="157" t="s">
        <v>115</v>
      </c>
      <c r="G866" s="66">
        <f>IF(Tabla9[[#This Row],[Precio
Unidad de Compra ( $)]]="","",(E866/(H866*I866)))</f>
        <v>3850</v>
      </c>
      <c r="H866" s="67">
        <v>1</v>
      </c>
      <c r="I866" s="159">
        <v>1</v>
      </c>
      <c r="J866" s="91" t="str">
        <f t="shared" si="22"/>
        <v>H_207</v>
      </c>
      <c r="K866" s="92"/>
    </row>
    <row r="867" ht="30" spans="1:11">
      <c r="A867" s="60">
        <f t="shared" si="23"/>
        <v>208</v>
      </c>
      <c r="B867" s="160" t="s">
        <v>691</v>
      </c>
      <c r="C867" s="83" t="s">
        <v>53</v>
      </c>
      <c r="D867" s="63" t="s">
        <v>115</v>
      </c>
      <c r="E867" s="156">
        <v>3850</v>
      </c>
      <c r="F867" s="157" t="s">
        <v>115</v>
      </c>
      <c r="G867" s="66">
        <f>IF(Tabla9[[#This Row],[Precio
Unidad de Compra ( $)]]="","",(E867/(H867*I867)))</f>
        <v>3850</v>
      </c>
      <c r="H867" s="67">
        <v>1</v>
      </c>
      <c r="I867" s="159">
        <v>1</v>
      </c>
      <c r="J867" s="91" t="str">
        <f t="shared" si="22"/>
        <v>H_208</v>
      </c>
      <c r="K867" s="92"/>
    </row>
    <row r="868" ht="30" spans="1:11">
      <c r="A868" s="60">
        <f t="shared" si="23"/>
        <v>209</v>
      </c>
      <c r="B868" s="160" t="s">
        <v>692</v>
      </c>
      <c r="C868" s="83" t="s">
        <v>53</v>
      </c>
      <c r="D868" s="63" t="s">
        <v>115</v>
      </c>
      <c r="E868" s="156">
        <v>3850</v>
      </c>
      <c r="F868" s="157" t="s">
        <v>115</v>
      </c>
      <c r="G868" s="66">
        <f>IF(Tabla9[[#This Row],[Precio
Unidad de Compra ( $)]]="","",(E868/(H868*I868)))</f>
        <v>3850</v>
      </c>
      <c r="H868" s="67">
        <v>1</v>
      </c>
      <c r="I868" s="159">
        <v>1</v>
      </c>
      <c r="J868" s="91" t="str">
        <f t="shared" si="22"/>
        <v>H_209</v>
      </c>
      <c r="K868" s="92"/>
    </row>
    <row r="869" ht="30" spans="1:11">
      <c r="A869" s="60">
        <f t="shared" si="23"/>
        <v>210</v>
      </c>
      <c r="B869" s="160" t="s">
        <v>693</v>
      </c>
      <c r="C869" s="83" t="s">
        <v>53</v>
      </c>
      <c r="D869" s="63" t="s">
        <v>115</v>
      </c>
      <c r="E869" s="156">
        <v>3850</v>
      </c>
      <c r="F869" s="157" t="s">
        <v>115</v>
      </c>
      <c r="G869" s="66">
        <f>IF(Tabla9[[#This Row],[Precio
Unidad de Compra ( $)]]="","",(E869/(H869*I869)))</f>
        <v>3850</v>
      </c>
      <c r="H869" s="67">
        <v>1</v>
      </c>
      <c r="I869" s="159">
        <v>1</v>
      </c>
      <c r="J869" s="91" t="str">
        <f t="shared" si="22"/>
        <v>H_210</v>
      </c>
      <c r="K869" s="92"/>
    </row>
    <row r="870" ht="30" spans="1:11">
      <c r="A870" s="60">
        <f t="shared" si="23"/>
        <v>211</v>
      </c>
      <c r="B870" s="160" t="s">
        <v>694</v>
      </c>
      <c r="C870" s="83" t="s">
        <v>53</v>
      </c>
      <c r="D870" s="63" t="s">
        <v>115</v>
      </c>
      <c r="E870" s="156">
        <v>3850</v>
      </c>
      <c r="F870" s="157" t="s">
        <v>115</v>
      </c>
      <c r="G870" s="66">
        <f>IF(Tabla9[[#This Row],[Precio
Unidad de Compra ( $)]]="","",(E870/(H870*I870)))</f>
        <v>3850</v>
      </c>
      <c r="H870" s="67">
        <v>1</v>
      </c>
      <c r="I870" s="159">
        <v>1</v>
      </c>
      <c r="J870" s="91" t="str">
        <f t="shared" si="22"/>
        <v>H_211</v>
      </c>
      <c r="K870" s="92"/>
    </row>
    <row r="871" ht="30" spans="1:11">
      <c r="A871" s="60">
        <f t="shared" si="23"/>
        <v>212</v>
      </c>
      <c r="B871" s="160" t="s">
        <v>695</v>
      </c>
      <c r="C871" s="83" t="s">
        <v>53</v>
      </c>
      <c r="D871" s="63" t="s">
        <v>115</v>
      </c>
      <c r="E871" s="156">
        <v>8973.79</v>
      </c>
      <c r="F871" s="157" t="s">
        <v>115</v>
      </c>
      <c r="G871" s="66">
        <f>IF(Tabla9[[#This Row],[Precio
Unidad de Compra ( $)]]="","",(E871/(H871*I871)))</f>
        <v>8973.79</v>
      </c>
      <c r="H871" s="67">
        <v>1</v>
      </c>
      <c r="I871" s="159">
        <v>1</v>
      </c>
      <c r="J871" s="91" t="str">
        <f t="shared" si="22"/>
        <v>H_212</v>
      </c>
      <c r="K871" s="92"/>
    </row>
    <row r="872" ht="30" spans="1:11">
      <c r="A872" s="60">
        <f t="shared" si="23"/>
        <v>213</v>
      </c>
      <c r="B872" s="160" t="s">
        <v>696</v>
      </c>
      <c r="C872" s="83" t="s">
        <v>53</v>
      </c>
      <c r="D872" s="63" t="s">
        <v>115</v>
      </c>
      <c r="E872" s="156">
        <v>8973.79</v>
      </c>
      <c r="F872" s="157" t="s">
        <v>115</v>
      </c>
      <c r="G872" s="66">
        <f>IF(Tabla9[[#This Row],[Precio
Unidad de Compra ( $)]]="","",(E872/(H872*I872)))</f>
        <v>8973.79</v>
      </c>
      <c r="H872" s="67">
        <v>1</v>
      </c>
      <c r="I872" s="159">
        <v>1</v>
      </c>
      <c r="J872" s="91" t="str">
        <f t="shared" si="22"/>
        <v>H_213</v>
      </c>
      <c r="K872" s="92"/>
    </row>
    <row r="873" ht="30" spans="1:11">
      <c r="A873" s="60">
        <f t="shared" si="23"/>
        <v>214</v>
      </c>
      <c r="B873" s="160" t="s">
        <v>697</v>
      </c>
      <c r="C873" s="83" t="s">
        <v>53</v>
      </c>
      <c r="D873" s="63" t="s">
        <v>115</v>
      </c>
      <c r="E873" s="156">
        <v>8973.79</v>
      </c>
      <c r="F873" s="157" t="s">
        <v>115</v>
      </c>
      <c r="G873" s="66">
        <f>IF(Tabla9[[#This Row],[Precio
Unidad de Compra ( $)]]="","",(E873/(H873*I873)))</f>
        <v>8973.79</v>
      </c>
      <c r="H873" s="67">
        <v>1</v>
      </c>
      <c r="I873" s="159">
        <v>1</v>
      </c>
      <c r="J873" s="91" t="str">
        <f t="shared" si="22"/>
        <v>H_214</v>
      </c>
      <c r="K873" s="92"/>
    </row>
    <row r="874" spans="1:11">
      <c r="A874" s="60">
        <f t="shared" si="23"/>
        <v>215</v>
      </c>
      <c r="B874" s="160" t="s">
        <v>698</v>
      </c>
      <c r="C874" s="83" t="s">
        <v>53</v>
      </c>
      <c r="D874" s="63" t="s">
        <v>115</v>
      </c>
      <c r="E874" s="156">
        <v>1661.24</v>
      </c>
      <c r="F874" s="157" t="s">
        <v>115</v>
      </c>
      <c r="G874" s="66">
        <f>IF(Tabla9[[#This Row],[Precio
Unidad de Compra ( $)]]="","",(E874/(H874*I874)))</f>
        <v>1661.24</v>
      </c>
      <c r="H874" s="67">
        <v>1</v>
      </c>
      <c r="I874" s="159">
        <v>1</v>
      </c>
      <c r="J874" s="91" t="str">
        <f t="shared" si="22"/>
        <v>H_215</v>
      </c>
      <c r="K874" s="92"/>
    </row>
    <row r="875" ht="30" spans="1:11">
      <c r="A875" s="60">
        <f t="shared" si="23"/>
        <v>216</v>
      </c>
      <c r="B875" s="160" t="s">
        <v>699</v>
      </c>
      <c r="C875" s="83" t="s">
        <v>53</v>
      </c>
      <c r="D875" s="63" t="s">
        <v>115</v>
      </c>
      <c r="E875" s="156">
        <v>1661.24</v>
      </c>
      <c r="F875" s="157" t="s">
        <v>115</v>
      </c>
      <c r="G875" s="66">
        <f>IF(Tabla9[[#This Row],[Precio
Unidad de Compra ( $)]]="","",(E875/(H875*I875)))</f>
        <v>1661.24</v>
      </c>
      <c r="H875" s="67">
        <v>1</v>
      </c>
      <c r="I875" s="159">
        <v>1</v>
      </c>
      <c r="J875" s="91" t="str">
        <f t="shared" si="22"/>
        <v>H_216</v>
      </c>
      <c r="K875" s="92"/>
    </row>
    <row r="876" spans="1:11">
      <c r="A876" s="60">
        <f t="shared" si="23"/>
        <v>217</v>
      </c>
      <c r="B876" s="160" t="s">
        <v>700</v>
      </c>
      <c r="C876" s="83" t="s">
        <v>53</v>
      </c>
      <c r="D876" s="63" t="s">
        <v>115</v>
      </c>
      <c r="E876" s="156">
        <v>690.75</v>
      </c>
      <c r="F876" s="157" t="s">
        <v>115</v>
      </c>
      <c r="G876" s="66">
        <f>IF(Tabla9[[#This Row],[Precio
Unidad de Compra ( $)]]="","",(E876/(H876*I876)))</f>
        <v>690.75</v>
      </c>
      <c r="H876" s="67">
        <v>1</v>
      </c>
      <c r="I876" s="159">
        <v>1</v>
      </c>
      <c r="J876" s="91" t="str">
        <f t="shared" si="22"/>
        <v>H_217</v>
      </c>
      <c r="K876" s="92"/>
    </row>
    <row r="877" spans="1:11">
      <c r="A877" s="60">
        <f t="shared" si="23"/>
        <v>218</v>
      </c>
      <c r="B877" s="162" t="s">
        <v>701</v>
      </c>
      <c r="C877" s="83" t="s">
        <v>53</v>
      </c>
      <c r="D877" s="63" t="s">
        <v>115</v>
      </c>
      <c r="E877" s="163">
        <v>1505.04</v>
      </c>
      <c r="F877" s="65" t="s">
        <v>115</v>
      </c>
      <c r="G877" s="66">
        <f>IF(Tabla9[[#This Row],[Precio
Unidad de Compra ( $)]]="","",(E877/(H877*I877)))</f>
        <v>1505.04</v>
      </c>
      <c r="H877" s="67">
        <v>1</v>
      </c>
      <c r="I877" s="159">
        <v>1</v>
      </c>
      <c r="J877" s="91" t="str">
        <f t="shared" si="22"/>
        <v>H_218</v>
      </c>
      <c r="K877" s="92"/>
    </row>
    <row r="878" spans="1:11">
      <c r="A878" s="60">
        <f t="shared" si="23"/>
        <v>219</v>
      </c>
      <c r="B878" s="162" t="s">
        <v>702</v>
      </c>
      <c r="C878" s="83" t="s">
        <v>53</v>
      </c>
      <c r="D878" s="63" t="s">
        <v>115</v>
      </c>
      <c r="E878" s="163">
        <v>3628.57</v>
      </c>
      <c r="F878" s="65" t="s">
        <v>115</v>
      </c>
      <c r="G878" s="66">
        <f>IF(Tabla9[[#This Row],[Precio
Unidad de Compra ( $)]]="","",(E878/(H878*I878)))</f>
        <v>3628.57</v>
      </c>
      <c r="H878" s="67">
        <v>1</v>
      </c>
      <c r="I878" s="159">
        <v>1</v>
      </c>
      <c r="J878" s="91" t="str">
        <f t="shared" si="22"/>
        <v>H_219</v>
      </c>
      <c r="K878" s="92"/>
    </row>
    <row r="879" spans="1:11">
      <c r="A879" s="60">
        <f t="shared" si="23"/>
        <v>220</v>
      </c>
      <c r="B879" s="162" t="s">
        <v>703</v>
      </c>
      <c r="C879" s="83" t="s">
        <v>53</v>
      </c>
      <c r="D879" s="63" t="s">
        <v>115</v>
      </c>
      <c r="E879" s="163">
        <v>1505.04</v>
      </c>
      <c r="F879" s="65" t="s">
        <v>115</v>
      </c>
      <c r="G879" s="66">
        <f>IF(Tabla9[[#This Row],[Precio
Unidad de Compra ( $)]]="","",(E879/(H879*I879)))</f>
        <v>1505.04</v>
      </c>
      <c r="H879" s="67">
        <v>1</v>
      </c>
      <c r="I879" s="159">
        <v>1</v>
      </c>
      <c r="J879" s="91" t="str">
        <f t="shared" si="22"/>
        <v>H_220</v>
      </c>
      <c r="K879" s="92"/>
    </row>
    <row r="880" ht="30" spans="1:11">
      <c r="A880" s="60">
        <f t="shared" si="23"/>
        <v>221</v>
      </c>
      <c r="B880" s="160" t="s">
        <v>704</v>
      </c>
      <c r="C880" s="83" t="s">
        <v>53</v>
      </c>
      <c r="D880" s="63" t="s">
        <v>115</v>
      </c>
      <c r="E880" s="156">
        <v>2898.84</v>
      </c>
      <c r="F880" s="157" t="s">
        <v>115</v>
      </c>
      <c r="G880" s="66">
        <f>IF(Tabla9[[#This Row],[Precio
Unidad de Compra ( $)]]="","",(E880/(H880*I880)))</f>
        <v>2898.84</v>
      </c>
      <c r="H880" s="67">
        <v>1</v>
      </c>
      <c r="I880" s="159">
        <v>1</v>
      </c>
      <c r="J880" s="91" t="str">
        <f t="shared" si="22"/>
        <v>H_221</v>
      </c>
      <c r="K880" s="92"/>
    </row>
    <row r="881" ht="30" spans="1:11">
      <c r="A881" s="60">
        <f t="shared" si="23"/>
        <v>222</v>
      </c>
      <c r="B881" s="160" t="s">
        <v>705</v>
      </c>
      <c r="C881" s="83" t="s">
        <v>53</v>
      </c>
      <c r="D881" s="63" t="s">
        <v>115</v>
      </c>
      <c r="E881" s="156">
        <v>2898.84</v>
      </c>
      <c r="F881" s="157" t="s">
        <v>115</v>
      </c>
      <c r="G881" s="66">
        <f>IF(Tabla9[[#This Row],[Precio
Unidad de Compra ( $)]]="","",(E881/(H881*I881)))</f>
        <v>2898.84</v>
      </c>
      <c r="H881" s="67">
        <v>1</v>
      </c>
      <c r="I881" s="159">
        <v>1</v>
      </c>
      <c r="J881" s="91" t="str">
        <f t="shared" si="22"/>
        <v>H_222</v>
      </c>
      <c r="K881" s="92"/>
    </row>
    <row r="882" ht="30" spans="1:11">
      <c r="A882" s="60">
        <f t="shared" si="23"/>
        <v>223</v>
      </c>
      <c r="B882" s="160" t="s">
        <v>706</v>
      </c>
      <c r="C882" s="83" t="s">
        <v>53</v>
      </c>
      <c r="D882" s="63" t="s">
        <v>115</v>
      </c>
      <c r="E882" s="156">
        <v>2898.84</v>
      </c>
      <c r="F882" s="157" t="s">
        <v>115</v>
      </c>
      <c r="G882" s="66">
        <f>IF(Tabla9[[#This Row],[Precio
Unidad de Compra ( $)]]="","",(E882/(H882*I882)))</f>
        <v>2898.84</v>
      </c>
      <c r="H882" s="67">
        <v>1</v>
      </c>
      <c r="I882" s="159">
        <v>1</v>
      </c>
      <c r="J882" s="91" t="str">
        <f t="shared" si="22"/>
        <v>H_223</v>
      </c>
      <c r="K882" s="92"/>
    </row>
    <row r="883" ht="30" spans="1:11">
      <c r="A883" s="60">
        <f t="shared" si="23"/>
        <v>224</v>
      </c>
      <c r="B883" s="160" t="s">
        <v>707</v>
      </c>
      <c r="C883" s="83" t="s">
        <v>53</v>
      </c>
      <c r="D883" s="63" t="s">
        <v>115</v>
      </c>
      <c r="E883" s="156">
        <v>833</v>
      </c>
      <c r="F883" s="157" t="s">
        <v>115</v>
      </c>
      <c r="G883" s="66">
        <f>IF(Tabla9[[#This Row],[Precio
Unidad de Compra ( $)]]="","",(E883/(H883*I883)))</f>
        <v>833</v>
      </c>
      <c r="H883" s="67">
        <v>1</v>
      </c>
      <c r="I883" s="159">
        <v>1</v>
      </c>
      <c r="J883" s="91" t="str">
        <f t="shared" si="22"/>
        <v>H_224</v>
      </c>
      <c r="K883" s="92"/>
    </row>
    <row r="884" ht="30" spans="1:11">
      <c r="A884" s="60">
        <f t="shared" si="23"/>
        <v>225</v>
      </c>
      <c r="B884" s="160" t="s">
        <v>708</v>
      </c>
      <c r="C884" s="83" t="s">
        <v>53</v>
      </c>
      <c r="D884" s="63" t="s">
        <v>115</v>
      </c>
      <c r="E884" s="156">
        <v>833</v>
      </c>
      <c r="F884" s="157" t="s">
        <v>115</v>
      </c>
      <c r="G884" s="66">
        <f>IF(Tabla9[[#This Row],[Precio
Unidad de Compra ( $)]]="","",(E884/(H884*I884)))</f>
        <v>833</v>
      </c>
      <c r="H884" s="67">
        <v>1</v>
      </c>
      <c r="I884" s="159">
        <v>1</v>
      </c>
      <c r="J884" s="91" t="str">
        <f t="shared" si="22"/>
        <v>H_225</v>
      </c>
      <c r="K884" s="92"/>
    </row>
    <row r="885" ht="30" spans="1:11">
      <c r="A885" s="60">
        <f t="shared" si="23"/>
        <v>226</v>
      </c>
      <c r="B885" s="160" t="s">
        <v>709</v>
      </c>
      <c r="C885" s="83" t="s">
        <v>53</v>
      </c>
      <c r="D885" s="63" t="s">
        <v>115</v>
      </c>
      <c r="E885" s="156">
        <v>1266.66666666667</v>
      </c>
      <c r="F885" s="157" t="s">
        <v>115</v>
      </c>
      <c r="G885" s="66">
        <f>IF(Tabla9[[#This Row],[Precio
Unidad de Compra ( $)]]="","",(E885/(H885*I885)))</f>
        <v>1266.66666666667</v>
      </c>
      <c r="H885" s="67">
        <v>1</v>
      </c>
      <c r="I885" s="159">
        <v>1</v>
      </c>
      <c r="J885" s="91" t="str">
        <f t="shared" si="22"/>
        <v>H_226</v>
      </c>
      <c r="K885" s="92"/>
    </row>
    <row r="886" ht="30" spans="1:11">
      <c r="A886" s="60">
        <f t="shared" si="23"/>
        <v>227</v>
      </c>
      <c r="B886" s="160" t="s">
        <v>710</v>
      </c>
      <c r="C886" s="83" t="s">
        <v>53</v>
      </c>
      <c r="D886" s="63" t="s">
        <v>115</v>
      </c>
      <c r="E886" s="156">
        <v>1266.66666666667</v>
      </c>
      <c r="F886" s="157" t="s">
        <v>115</v>
      </c>
      <c r="G886" s="66">
        <f>IF(Tabla9[[#This Row],[Precio
Unidad de Compra ( $)]]="","",(E886/(H886*I886)))</f>
        <v>1266.66666666667</v>
      </c>
      <c r="H886" s="67">
        <v>1</v>
      </c>
      <c r="I886" s="159">
        <v>1</v>
      </c>
      <c r="J886" s="91" t="str">
        <f t="shared" si="22"/>
        <v>H_227</v>
      </c>
      <c r="K886" s="92"/>
    </row>
    <row r="887" ht="30" spans="1:11">
      <c r="A887" s="60">
        <f t="shared" si="23"/>
        <v>228</v>
      </c>
      <c r="B887" s="160" t="s">
        <v>711</v>
      </c>
      <c r="C887" s="83" t="s">
        <v>53</v>
      </c>
      <c r="D887" s="63" t="s">
        <v>115</v>
      </c>
      <c r="E887" s="156">
        <v>1266.66666666667</v>
      </c>
      <c r="F887" s="157" t="s">
        <v>115</v>
      </c>
      <c r="G887" s="66">
        <f>IF(Tabla9[[#This Row],[Precio
Unidad de Compra ( $)]]="","",(E887/(H887*I887)))</f>
        <v>1266.66666666667</v>
      </c>
      <c r="H887" s="67">
        <v>1</v>
      </c>
      <c r="I887" s="159">
        <v>1</v>
      </c>
      <c r="J887" s="91" t="str">
        <f t="shared" si="22"/>
        <v>H_228</v>
      </c>
      <c r="K887" s="92"/>
    </row>
    <row r="888" ht="30" spans="1:11">
      <c r="A888" s="60">
        <f t="shared" si="23"/>
        <v>229</v>
      </c>
      <c r="B888" s="160" t="s">
        <v>712</v>
      </c>
      <c r="C888" s="83" t="s">
        <v>53</v>
      </c>
      <c r="D888" s="63" t="s">
        <v>115</v>
      </c>
      <c r="E888" s="156">
        <v>1266.66666666667</v>
      </c>
      <c r="F888" s="157" t="s">
        <v>115</v>
      </c>
      <c r="G888" s="66">
        <f>IF(Tabla9[[#This Row],[Precio
Unidad de Compra ( $)]]="","",(E888/(H888*I888)))</f>
        <v>1266.66666666667</v>
      </c>
      <c r="H888" s="67">
        <v>1</v>
      </c>
      <c r="I888" s="159">
        <v>1</v>
      </c>
      <c r="J888" s="91" t="str">
        <f t="shared" si="22"/>
        <v>H_229</v>
      </c>
      <c r="K888" s="92"/>
    </row>
    <row r="889" ht="30" spans="1:11">
      <c r="A889" s="60">
        <f t="shared" si="23"/>
        <v>230</v>
      </c>
      <c r="B889" s="160" t="s">
        <v>713</v>
      </c>
      <c r="C889" s="83" t="s">
        <v>53</v>
      </c>
      <c r="D889" s="63" t="s">
        <v>115</v>
      </c>
      <c r="E889" s="64">
        <v>1266.66666666667</v>
      </c>
      <c r="F889" s="65" t="s">
        <v>115</v>
      </c>
      <c r="G889" s="66">
        <f>IF(Tabla9[[#This Row],[Precio
Unidad de Compra ( $)]]="","",(E889/(H889*I889)))</f>
        <v>1266.66666666667</v>
      </c>
      <c r="H889" s="67">
        <v>1</v>
      </c>
      <c r="I889" s="159">
        <v>1</v>
      </c>
      <c r="J889" s="91" t="str">
        <f t="shared" si="22"/>
        <v>H_230</v>
      </c>
      <c r="K889" s="92"/>
    </row>
    <row r="890" ht="30" spans="1:11">
      <c r="A890" s="60">
        <f t="shared" si="23"/>
        <v>231</v>
      </c>
      <c r="B890" s="160" t="s">
        <v>714</v>
      </c>
      <c r="C890" s="83" t="s">
        <v>53</v>
      </c>
      <c r="D890" s="63" t="s">
        <v>115</v>
      </c>
      <c r="E890" s="156">
        <v>1266.66666666667</v>
      </c>
      <c r="F890" s="157" t="s">
        <v>115</v>
      </c>
      <c r="G890" s="66">
        <f>IF(Tabla9[[#This Row],[Precio
Unidad de Compra ( $)]]="","",(E890/(H890*I890)))</f>
        <v>1266.66666666667</v>
      </c>
      <c r="H890" s="67">
        <v>1</v>
      </c>
      <c r="I890" s="159">
        <v>1</v>
      </c>
      <c r="J890" s="91" t="str">
        <f t="shared" si="22"/>
        <v>H_231</v>
      </c>
      <c r="K890" s="92"/>
    </row>
    <row r="891" ht="30" spans="1:11">
      <c r="A891" s="60">
        <f t="shared" si="23"/>
        <v>232</v>
      </c>
      <c r="B891" s="160" t="s">
        <v>715</v>
      </c>
      <c r="C891" s="83" t="s">
        <v>53</v>
      </c>
      <c r="D891" s="63" t="s">
        <v>115</v>
      </c>
      <c r="E891" s="156">
        <v>1266.66666666667</v>
      </c>
      <c r="F891" s="157" t="s">
        <v>115</v>
      </c>
      <c r="G891" s="66">
        <f>IF(Tabla9[[#This Row],[Precio
Unidad de Compra ( $)]]="","",(E891/(H891*I891)))</f>
        <v>1266.66666666667</v>
      </c>
      <c r="H891" s="67">
        <v>1</v>
      </c>
      <c r="I891" s="159">
        <v>1</v>
      </c>
      <c r="J891" s="91" t="str">
        <f t="shared" si="22"/>
        <v>H_232</v>
      </c>
      <c r="K891" s="92"/>
    </row>
    <row r="892" ht="30" spans="1:11">
      <c r="A892" s="60">
        <f t="shared" si="23"/>
        <v>233</v>
      </c>
      <c r="B892" s="160" t="s">
        <v>716</v>
      </c>
      <c r="C892" s="83" t="s">
        <v>53</v>
      </c>
      <c r="D892" s="63" t="s">
        <v>115</v>
      </c>
      <c r="E892" s="156">
        <v>1266.66666666667</v>
      </c>
      <c r="F892" s="157" t="s">
        <v>115</v>
      </c>
      <c r="G892" s="66">
        <f>IF(Tabla9[[#This Row],[Precio
Unidad de Compra ( $)]]="","",(E892/(H892*I892)))</f>
        <v>1266.66666666667</v>
      </c>
      <c r="H892" s="67">
        <v>1</v>
      </c>
      <c r="I892" s="159">
        <v>1</v>
      </c>
      <c r="J892" s="91" t="str">
        <f t="shared" si="22"/>
        <v>H_233</v>
      </c>
      <c r="K892" s="92"/>
    </row>
    <row r="893" ht="30" spans="1:11">
      <c r="A893" s="60">
        <f t="shared" si="23"/>
        <v>234</v>
      </c>
      <c r="B893" s="160" t="s">
        <v>717</v>
      </c>
      <c r="C893" s="83" t="s">
        <v>53</v>
      </c>
      <c r="D893" s="63" t="s">
        <v>115</v>
      </c>
      <c r="E893" s="156">
        <v>1266.66666666667</v>
      </c>
      <c r="F893" s="157" t="s">
        <v>115</v>
      </c>
      <c r="G893" s="66">
        <f>IF(Tabla9[[#This Row],[Precio
Unidad de Compra ( $)]]="","",(E893/(H893*I893)))</f>
        <v>1266.66666666667</v>
      </c>
      <c r="H893" s="67">
        <v>1</v>
      </c>
      <c r="I893" s="159">
        <v>1</v>
      </c>
      <c r="J893" s="91" t="str">
        <f t="shared" si="22"/>
        <v>H_234</v>
      </c>
      <c r="K893" s="92"/>
    </row>
    <row r="894" ht="30" spans="1:11">
      <c r="A894" s="60">
        <f t="shared" si="23"/>
        <v>235</v>
      </c>
      <c r="B894" s="160" t="s">
        <v>718</v>
      </c>
      <c r="C894" s="83" t="s">
        <v>53</v>
      </c>
      <c r="D894" s="63" t="s">
        <v>115</v>
      </c>
      <c r="E894" s="156">
        <v>1266.66666666667</v>
      </c>
      <c r="F894" s="157" t="s">
        <v>115</v>
      </c>
      <c r="G894" s="66">
        <f>IF(Tabla9[[#This Row],[Precio
Unidad de Compra ( $)]]="","",(E894/(H894*I894)))</f>
        <v>1266.66666666667</v>
      </c>
      <c r="H894" s="67">
        <v>1</v>
      </c>
      <c r="I894" s="159">
        <v>1</v>
      </c>
      <c r="J894" s="91" t="str">
        <f t="shared" si="22"/>
        <v>H_235</v>
      </c>
      <c r="K894" s="92"/>
    </row>
    <row r="895" ht="30" spans="1:11">
      <c r="A895" s="60">
        <f t="shared" si="23"/>
        <v>236</v>
      </c>
      <c r="B895" s="160" t="s">
        <v>719</v>
      </c>
      <c r="C895" s="83" t="s">
        <v>53</v>
      </c>
      <c r="D895" s="63" t="s">
        <v>115</v>
      </c>
      <c r="E895" s="156">
        <v>1266.66666666667</v>
      </c>
      <c r="F895" s="157" t="s">
        <v>115</v>
      </c>
      <c r="G895" s="66">
        <f>IF(Tabla9[[#This Row],[Precio
Unidad de Compra ( $)]]="","",(E895/(H895*I895)))</f>
        <v>1266.66666666667</v>
      </c>
      <c r="H895" s="67">
        <v>1</v>
      </c>
      <c r="I895" s="159">
        <v>1</v>
      </c>
      <c r="J895" s="91" t="str">
        <f t="shared" si="22"/>
        <v>H_236</v>
      </c>
      <c r="K895" s="92"/>
    </row>
    <row r="896" ht="30" spans="1:11">
      <c r="A896" s="60">
        <f t="shared" si="23"/>
        <v>237</v>
      </c>
      <c r="B896" s="160" t="s">
        <v>720</v>
      </c>
      <c r="C896" s="83" t="s">
        <v>53</v>
      </c>
      <c r="D896" s="63" t="s">
        <v>115</v>
      </c>
      <c r="E896" s="156">
        <v>1266.66666666667</v>
      </c>
      <c r="F896" s="157" t="s">
        <v>115</v>
      </c>
      <c r="G896" s="66">
        <f>IF(Tabla9[[#This Row],[Precio
Unidad de Compra ( $)]]="","",(E896/(H896*I896)))</f>
        <v>1266.66666666667</v>
      </c>
      <c r="H896" s="67">
        <v>1</v>
      </c>
      <c r="I896" s="159">
        <v>1</v>
      </c>
      <c r="J896" s="91" t="str">
        <f t="shared" si="22"/>
        <v>H_237</v>
      </c>
      <c r="K896" s="92"/>
    </row>
    <row r="897" ht="30" spans="1:11">
      <c r="A897" s="60">
        <f t="shared" si="23"/>
        <v>238</v>
      </c>
      <c r="B897" s="160" t="s">
        <v>721</v>
      </c>
      <c r="C897" s="83" t="s">
        <v>53</v>
      </c>
      <c r="D897" s="63" t="s">
        <v>115</v>
      </c>
      <c r="E897" s="156">
        <v>455.66625</v>
      </c>
      <c r="F897" s="157" t="s">
        <v>115</v>
      </c>
      <c r="G897" s="66">
        <f>IF(Tabla9[[#This Row],[Precio
Unidad de Compra ( $)]]="","",(E897/(H897*I897)))</f>
        <v>455.66625</v>
      </c>
      <c r="H897" s="67">
        <v>1</v>
      </c>
      <c r="I897" s="159">
        <v>1</v>
      </c>
      <c r="J897" s="91" t="str">
        <f t="shared" si="22"/>
        <v>H_238</v>
      </c>
      <c r="K897" s="92"/>
    </row>
    <row r="898" ht="30" spans="1:11">
      <c r="A898" s="60">
        <f t="shared" si="23"/>
        <v>239</v>
      </c>
      <c r="B898" s="160" t="s">
        <v>722</v>
      </c>
      <c r="C898" s="83" t="s">
        <v>53</v>
      </c>
      <c r="D898" s="63" t="s">
        <v>115</v>
      </c>
      <c r="E898" s="156">
        <v>455.66625</v>
      </c>
      <c r="F898" s="157" t="s">
        <v>115</v>
      </c>
      <c r="G898" s="66">
        <f>IF(Tabla9[[#This Row],[Precio
Unidad de Compra ( $)]]="","",(E898/(H898*I898)))</f>
        <v>455.66625</v>
      </c>
      <c r="H898" s="67">
        <v>1</v>
      </c>
      <c r="I898" s="159">
        <v>1</v>
      </c>
      <c r="J898" s="91" t="str">
        <f t="shared" si="22"/>
        <v>H_239</v>
      </c>
      <c r="K898" s="92"/>
    </row>
    <row r="899" ht="30" spans="1:11">
      <c r="A899" s="60">
        <f t="shared" si="23"/>
        <v>240</v>
      </c>
      <c r="B899" s="160" t="s">
        <v>723</v>
      </c>
      <c r="C899" s="83" t="s">
        <v>53</v>
      </c>
      <c r="D899" s="63" t="s">
        <v>115</v>
      </c>
      <c r="E899" s="156">
        <v>455.66625</v>
      </c>
      <c r="F899" s="157" t="s">
        <v>115</v>
      </c>
      <c r="G899" s="66">
        <f>IF(Tabla9[[#This Row],[Precio
Unidad de Compra ( $)]]="","",(E899/(H899*I899)))</f>
        <v>455.66625</v>
      </c>
      <c r="H899" s="67">
        <v>1</v>
      </c>
      <c r="I899" s="159">
        <v>1</v>
      </c>
      <c r="J899" s="91" t="str">
        <f t="shared" si="22"/>
        <v>H_240</v>
      </c>
      <c r="K899" s="92"/>
    </row>
    <row r="900" ht="30" spans="1:11">
      <c r="A900" s="60">
        <f t="shared" si="23"/>
        <v>241</v>
      </c>
      <c r="B900" s="160" t="s">
        <v>724</v>
      </c>
      <c r="C900" s="83" t="s">
        <v>53</v>
      </c>
      <c r="D900" s="63" t="s">
        <v>115</v>
      </c>
      <c r="E900" s="156">
        <v>455.66625</v>
      </c>
      <c r="F900" s="157" t="s">
        <v>115</v>
      </c>
      <c r="G900" s="66">
        <f>IF(Tabla9[[#This Row],[Precio
Unidad de Compra ( $)]]="","",(E900/(H900*I900)))</f>
        <v>455.66625</v>
      </c>
      <c r="H900" s="67">
        <v>1</v>
      </c>
      <c r="I900" s="159">
        <v>1</v>
      </c>
      <c r="J900" s="91" t="str">
        <f t="shared" si="22"/>
        <v>H_241</v>
      </c>
      <c r="K900" s="92"/>
    </row>
    <row r="901" ht="30" spans="1:11">
      <c r="A901" s="60">
        <f t="shared" si="23"/>
        <v>242</v>
      </c>
      <c r="B901" s="160" t="s">
        <v>725</v>
      </c>
      <c r="C901" s="83" t="s">
        <v>53</v>
      </c>
      <c r="D901" s="63" t="s">
        <v>115</v>
      </c>
      <c r="E901" s="156">
        <v>455.66625</v>
      </c>
      <c r="F901" s="157" t="s">
        <v>115</v>
      </c>
      <c r="G901" s="66">
        <f>IF(Tabla9[[#This Row],[Precio
Unidad de Compra ( $)]]="","",(E901/(H901*I901)))</f>
        <v>455.66625</v>
      </c>
      <c r="H901" s="67">
        <v>1</v>
      </c>
      <c r="I901" s="159">
        <v>1</v>
      </c>
      <c r="J901" s="91" t="str">
        <f t="shared" si="22"/>
        <v>H_242</v>
      </c>
      <c r="K901" s="92"/>
    </row>
    <row r="902" ht="30" spans="1:11">
      <c r="A902" s="60">
        <f t="shared" si="23"/>
        <v>243</v>
      </c>
      <c r="B902" s="160" t="s">
        <v>726</v>
      </c>
      <c r="C902" s="83" t="s">
        <v>53</v>
      </c>
      <c r="D902" s="63" t="s">
        <v>115</v>
      </c>
      <c r="E902" s="156">
        <v>455.66625</v>
      </c>
      <c r="F902" s="157" t="s">
        <v>115</v>
      </c>
      <c r="G902" s="66">
        <f>IF(Tabla9[[#This Row],[Precio
Unidad de Compra ( $)]]="","",(E902/(H902*I902)))</f>
        <v>455.66625</v>
      </c>
      <c r="H902" s="67">
        <v>1</v>
      </c>
      <c r="I902" s="159">
        <v>1</v>
      </c>
      <c r="J902" s="91" t="str">
        <f t="shared" si="22"/>
        <v>H_243</v>
      </c>
      <c r="K902" s="92"/>
    </row>
    <row r="903" ht="30" spans="1:11">
      <c r="A903" s="60">
        <f t="shared" si="23"/>
        <v>244</v>
      </c>
      <c r="B903" s="160" t="s">
        <v>727</v>
      </c>
      <c r="C903" s="83" t="s">
        <v>53</v>
      </c>
      <c r="D903" s="63" t="s">
        <v>115</v>
      </c>
      <c r="E903" s="156">
        <v>455.66625</v>
      </c>
      <c r="F903" s="157" t="s">
        <v>115</v>
      </c>
      <c r="G903" s="66">
        <f>IF(Tabla9[[#This Row],[Precio
Unidad de Compra ( $)]]="","",(E903/(H903*I903)))</f>
        <v>455.66625</v>
      </c>
      <c r="H903" s="67">
        <v>1</v>
      </c>
      <c r="I903" s="159">
        <v>1</v>
      </c>
      <c r="J903" s="91" t="str">
        <f t="shared" si="22"/>
        <v>H_244</v>
      </c>
      <c r="K903" s="92"/>
    </row>
    <row r="904" ht="30" spans="1:11">
      <c r="A904" s="60">
        <f t="shared" si="23"/>
        <v>245</v>
      </c>
      <c r="B904" s="160" t="s">
        <v>728</v>
      </c>
      <c r="C904" s="83" t="s">
        <v>53</v>
      </c>
      <c r="D904" s="63" t="s">
        <v>115</v>
      </c>
      <c r="E904" s="156">
        <v>455.66625</v>
      </c>
      <c r="F904" s="157" t="s">
        <v>115</v>
      </c>
      <c r="G904" s="66">
        <f>IF(Tabla9[[#This Row],[Precio
Unidad de Compra ( $)]]="","",(E904/(H904*I904)))</f>
        <v>455.66625</v>
      </c>
      <c r="H904" s="67">
        <v>1</v>
      </c>
      <c r="I904" s="159">
        <v>1</v>
      </c>
      <c r="J904" s="91" t="str">
        <f t="shared" si="22"/>
        <v>H_245</v>
      </c>
      <c r="K904" s="92"/>
    </row>
    <row r="905" ht="30" spans="1:11">
      <c r="A905" s="60">
        <f t="shared" si="23"/>
        <v>246</v>
      </c>
      <c r="B905" s="160" t="s">
        <v>729</v>
      </c>
      <c r="C905" s="83" t="s">
        <v>53</v>
      </c>
      <c r="D905" s="63" t="s">
        <v>115</v>
      </c>
      <c r="E905" s="156">
        <v>455.66625</v>
      </c>
      <c r="F905" s="157" t="s">
        <v>115</v>
      </c>
      <c r="G905" s="66">
        <f>IF(Tabla9[[#This Row],[Precio
Unidad de Compra ( $)]]="","",(E905/(H905*I905)))</f>
        <v>455.66625</v>
      </c>
      <c r="H905" s="67">
        <v>1</v>
      </c>
      <c r="I905" s="159">
        <v>1</v>
      </c>
      <c r="J905" s="91" t="str">
        <f t="shared" si="22"/>
        <v>H_246</v>
      </c>
      <c r="K905" s="92"/>
    </row>
    <row r="906" ht="30" spans="1:11">
      <c r="A906" s="60">
        <f t="shared" si="23"/>
        <v>247</v>
      </c>
      <c r="B906" s="160" t="s">
        <v>730</v>
      </c>
      <c r="C906" s="83" t="s">
        <v>53</v>
      </c>
      <c r="D906" s="63" t="s">
        <v>115</v>
      </c>
      <c r="E906" s="156">
        <v>455.66625</v>
      </c>
      <c r="F906" s="157" t="s">
        <v>115</v>
      </c>
      <c r="G906" s="66">
        <f>IF(Tabla9[[#This Row],[Precio
Unidad de Compra ( $)]]="","",(E906/(H906*I906)))</f>
        <v>455.66625</v>
      </c>
      <c r="H906" s="67">
        <v>1</v>
      </c>
      <c r="I906" s="159">
        <v>1</v>
      </c>
      <c r="J906" s="91" t="str">
        <f t="shared" si="22"/>
        <v>H_247</v>
      </c>
      <c r="K906" s="92"/>
    </row>
    <row r="907" ht="30" spans="1:11">
      <c r="A907" s="60">
        <f t="shared" si="23"/>
        <v>248</v>
      </c>
      <c r="B907" s="160" t="s">
        <v>731</v>
      </c>
      <c r="C907" s="83" t="s">
        <v>53</v>
      </c>
      <c r="D907" s="63" t="s">
        <v>115</v>
      </c>
      <c r="E907" s="156">
        <v>455.66625</v>
      </c>
      <c r="F907" s="157" t="s">
        <v>115</v>
      </c>
      <c r="G907" s="66">
        <f>IF(Tabla9[[#This Row],[Precio
Unidad de Compra ( $)]]="","",(E907/(H907*I907)))</f>
        <v>455.66625</v>
      </c>
      <c r="H907" s="67">
        <v>1</v>
      </c>
      <c r="I907" s="159">
        <v>1</v>
      </c>
      <c r="J907" s="91" t="str">
        <f t="shared" si="22"/>
        <v>H_248</v>
      </c>
      <c r="K907" s="92"/>
    </row>
    <row r="908" ht="30" spans="1:11">
      <c r="A908" s="60">
        <f t="shared" si="23"/>
        <v>249</v>
      </c>
      <c r="B908" s="160" t="s">
        <v>732</v>
      </c>
      <c r="C908" s="83" t="s">
        <v>53</v>
      </c>
      <c r="D908" s="63" t="s">
        <v>115</v>
      </c>
      <c r="E908" s="156">
        <v>455.66625</v>
      </c>
      <c r="F908" s="157" t="s">
        <v>115</v>
      </c>
      <c r="G908" s="66">
        <f>IF(Tabla9[[#This Row],[Precio
Unidad de Compra ( $)]]="","",(E908/(H908*I908)))</f>
        <v>455.66625</v>
      </c>
      <c r="H908" s="67">
        <v>1</v>
      </c>
      <c r="I908" s="159">
        <v>1</v>
      </c>
      <c r="J908" s="91" t="str">
        <f t="shared" si="22"/>
        <v>H_249</v>
      </c>
      <c r="K908" s="92"/>
    </row>
    <row r="909" ht="30" spans="1:11">
      <c r="A909" s="60">
        <f t="shared" si="23"/>
        <v>250</v>
      </c>
      <c r="B909" s="160" t="s">
        <v>733</v>
      </c>
      <c r="C909" s="83" t="s">
        <v>53</v>
      </c>
      <c r="D909" s="63" t="s">
        <v>115</v>
      </c>
      <c r="E909" s="156">
        <v>455.66625</v>
      </c>
      <c r="F909" s="157" t="s">
        <v>115</v>
      </c>
      <c r="G909" s="66">
        <f>IF(Tabla9[[#This Row],[Precio
Unidad de Compra ( $)]]="","",(E909/(H909*I909)))</f>
        <v>455.66625</v>
      </c>
      <c r="H909" s="67">
        <v>1</v>
      </c>
      <c r="I909" s="159">
        <v>1</v>
      </c>
      <c r="J909" s="91" t="str">
        <f t="shared" si="22"/>
        <v>H_250</v>
      </c>
      <c r="K909" s="92"/>
    </row>
    <row r="910" ht="30" spans="1:11">
      <c r="A910" s="60">
        <f t="shared" si="23"/>
        <v>251</v>
      </c>
      <c r="B910" s="160" t="s">
        <v>734</v>
      </c>
      <c r="C910" s="83" t="s">
        <v>53</v>
      </c>
      <c r="D910" s="63" t="s">
        <v>115</v>
      </c>
      <c r="E910" s="156">
        <v>455.66625</v>
      </c>
      <c r="F910" s="157" t="s">
        <v>115</v>
      </c>
      <c r="G910" s="66">
        <f>IF(Tabla9[[#This Row],[Precio
Unidad de Compra ( $)]]="","",(E910/(H910*I910)))</f>
        <v>455.66625</v>
      </c>
      <c r="H910" s="67">
        <v>1</v>
      </c>
      <c r="I910" s="159">
        <v>1</v>
      </c>
      <c r="J910" s="91" t="str">
        <f t="shared" si="22"/>
        <v>H_251</v>
      </c>
      <c r="K910" s="92"/>
    </row>
    <row r="911" spans="1:11">
      <c r="A911" s="60">
        <f t="shared" si="23"/>
        <v>252</v>
      </c>
      <c r="B911" s="61" t="s">
        <v>735</v>
      </c>
      <c r="C911" s="83" t="s">
        <v>53</v>
      </c>
      <c r="D911" s="63" t="s">
        <v>115</v>
      </c>
      <c r="E911" s="64">
        <v>3356</v>
      </c>
      <c r="F911" s="65" t="s">
        <v>115</v>
      </c>
      <c r="G911" s="66">
        <f>IF(Tabla9[[#This Row],[Precio
Unidad de Compra ( $)]]="","",(E911/(H911*I911)))</f>
        <v>3356</v>
      </c>
      <c r="H911" s="67">
        <v>1</v>
      </c>
      <c r="I911" s="159">
        <v>1</v>
      </c>
      <c r="J911" s="91" t="str">
        <f t="shared" si="22"/>
        <v>H_252</v>
      </c>
      <c r="K911" s="92"/>
    </row>
    <row r="912" spans="1:11">
      <c r="A912" s="60">
        <f t="shared" si="23"/>
        <v>253</v>
      </c>
      <c r="B912" s="160" t="s">
        <v>736</v>
      </c>
      <c r="C912" s="83" t="s">
        <v>53</v>
      </c>
      <c r="D912" s="63" t="s">
        <v>115</v>
      </c>
      <c r="E912" s="156">
        <v>1900</v>
      </c>
      <c r="F912" s="157" t="s">
        <v>115</v>
      </c>
      <c r="G912" s="66">
        <f>IF(Tabla9[[#This Row],[Precio
Unidad de Compra ( $)]]="","",(E912/(H912*I912)))</f>
        <v>1900</v>
      </c>
      <c r="H912" s="67">
        <v>1</v>
      </c>
      <c r="I912" s="159">
        <v>1</v>
      </c>
      <c r="J912" s="91" t="str">
        <f t="shared" si="22"/>
        <v>H_253</v>
      </c>
      <c r="K912" s="92"/>
    </row>
    <row r="913" spans="1:11">
      <c r="A913" s="60">
        <f t="shared" si="23"/>
        <v>254</v>
      </c>
      <c r="B913" s="160" t="s">
        <v>737</v>
      </c>
      <c r="C913" s="83" t="s">
        <v>53</v>
      </c>
      <c r="D913" s="63" t="s">
        <v>115</v>
      </c>
      <c r="E913" s="156">
        <v>1900</v>
      </c>
      <c r="F913" s="157" t="s">
        <v>115</v>
      </c>
      <c r="G913" s="66">
        <f>IF(Tabla9[[#This Row],[Precio
Unidad de Compra ( $)]]="","",(E913/(H913*I913)))</f>
        <v>1900</v>
      </c>
      <c r="H913" s="67">
        <v>1</v>
      </c>
      <c r="I913" s="159">
        <v>1</v>
      </c>
      <c r="J913" s="91" t="str">
        <f t="shared" si="22"/>
        <v>H_254</v>
      </c>
      <c r="K913" s="92"/>
    </row>
    <row r="914" spans="1:11">
      <c r="A914" s="60">
        <f t="shared" si="23"/>
        <v>255</v>
      </c>
      <c r="B914" s="160" t="s">
        <v>738</v>
      </c>
      <c r="C914" s="83" t="s">
        <v>53</v>
      </c>
      <c r="D914" s="63" t="s">
        <v>115</v>
      </c>
      <c r="E914" s="156">
        <v>23075</v>
      </c>
      <c r="F914" s="157" t="s">
        <v>115</v>
      </c>
      <c r="G914" s="66">
        <f>IF(Tabla9[[#This Row],[Precio
Unidad de Compra ( $)]]="","",(E914/(H914*I914)))</f>
        <v>23075</v>
      </c>
      <c r="H914" s="67">
        <v>1</v>
      </c>
      <c r="I914" s="159">
        <v>1</v>
      </c>
      <c r="J914" s="91" t="str">
        <f t="shared" si="22"/>
        <v>H_255</v>
      </c>
      <c r="K914" s="92"/>
    </row>
    <row r="915" spans="1:11">
      <c r="A915" s="60">
        <f t="shared" si="23"/>
        <v>256</v>
      </c>
      <c r="B915" s="61" t="s">
        <v>739</v>
      </c>
      <c r="C915" s="83" t="s">
        <v>53</v>
      </c>
      <c r="D915" s="63" t="s">
        <v>115</v>
      </c>
      <c r="E915" s="156">
        <v>23075.29</v>
      </c>
      <c r="F915" s="65" t="s">
        <v>115</v>
      </c>
      <c r="G915" s="66">
        <f>IF(Tabla9[[#This Row],[Precio
Unidad de Compra ( $)]]="","",(E915/(H915*I915)))</f>
        <v>23075.29</v>
      </c>
      <c r="H915" s="67">
        <v>1</v>
      </c>
      <c r="I915" s="159">
        <v>1</v>
      </c>
      <c r="J915" s="91" t="str">
        <f t="shared" si="22"/>
        <v>H_256</v>
      </c>
      <c r="K915" s="92"/>
    </row>
    <row r="916" spans="1:11">
      <c r="A916" s="60">
        <f t="shared" si="23"/>
        <v>257</v>
      </c>
      <c r="B916" s="160" t="s">
        <v>740</v>
      </c>
      <c r="C916" s="83" t="s">
        <v>53</v>
      </c>
      <c r="D916" s="63" t="s">
        <v>115</v>
      </c>
      <c r="E916" s="156">
        <v>1018.64</v>
      </c>
      <c r="F916" s="157" t="s">
        <v>115</v>
      </c>
      <c r="G916" s="66">
        <f>IF(Tabla9[[#This Row],[Precio
Unidad de Compra ( $)]]="","",(E916/(H916*I916)))</f>
        <v>1018.64</v>
      </c>
      <c r="H916" s="67">
        <v>1</v>
      </c>
      <c r="I916" s="159">
        <v>1</v>
      </c>
      <c r="J916" s="91" t="str">
        <f t="shared" ref="J916:J979" si="24">IFERROR(CONCATENATE(LEFT(C916,1),"_",TEXT(A916,"000")),"")</f>
        <v>H_257</v>
      </c>
      <c r="K916" s="92"/>
    </row>
    <row r="917" spans="1:11">
      <c r="A917" s="60">
        <f t="shared" ref="A917:A980" si="25">A916+1</f>
        <v>258</v>
      </c>
      <c r="B917" s="160" t="s">
        <v>741</v>
      </c>
      <c r="C917" s="83" t="s">
        <v>53</v>
      </c>
      <c r="D917" s="63" t="s">
        <v>115</v>
      </c>
      <c r="E917" s="156">
        <v>1018.64</v>
      </c>
      <c r="F917" s="157" t="s">
        <v>115</v>
      </c>
      <c r="G917" s="66">
        <f>IF(Tabla9[[#This Row],[Precio
Unidad de Compra ( $)]]="","",(E917/(H917*I917)))</f>
        <v>1018.64</v>
      </c>
      <c r="H917" s="67">
        <v>1</v>
      </c>
      <c r="I917" s="159">
        <v>1</v>
      </c>
      <c r="J917" s="91" t="str">
        <f t="shared" si="24"/>
        <v>H_258</v>
      </c>
      <c r="K917" s="92"/>
    </row>
    <row r="918" spans="1:11">
      <c r="A918" s="60">
        <f t="shared" si="25"/>
        <v>259</v>
      </c>
      <c r="B918" s="61" t="s">
        <v>742</v>
      </c>
      <c r="C918" s="83" t="s">
        <v>53</v>
      </c>
      <c r="D918" s="63" t="s">
        <v>115</v>
      </c>
      <c r="E918" s="64">
        <v>3356</v>
      </c>
      <c r="F918" s="65" t="s">
        <v>115</v>
      </c>
      <c r="G918" s="66">
        <f>IF(Tabla9[[#This Row],[Precio
Unidad de Compra ( $)]]="","",(E918/(H918*I918)))</f>
        <v>3356</v>
      </c>
      <c r="H918" s="67">
        <v>1</v>
      </c>
      <c r="I918" s="159">
        <v>1</v>
      </c>
      <c r="J918" s="91" t="str">
        <f t="shared" si="24"/>
        <v>H_259</v>
      </c>
      <c r="K918" s="92"/>
    </row>
    <row r="919" ht="30" spans="1:11">
      <c r="A919" s="60">
        <f t="shared" si="25"/>
        <v>260</v>
      </c>
      <c r="B919" s="61" t="s">
        <v>743</v>
      </c>
      <c r="C919" s="83" t="s">
        <v>53</v>
      </c>
      <c r="D919" s="63" t="s">
        <v>115</v>
      </c>
      <c r="E919" s="64">
        <v>3356</v>
      </c>
      <c r="F919" s="65" t="s">
        <v>115</v>
      </c>
      <c r="G919" s="66">
        <f>IF(Tabla9[[#This Row],[Precio
Unidad de Compra ( $)]]="","",(E919/(H919*I919)))</f>
        <v>3356</v>
      </c>
      <c r="H919" s="67">
        <v>1</v>
      </c>
      <c r="I919" s="159">
        <v>1</v>
      </c>
      <c r="J919" s="91" t="str">
        <f t="shared" si="24"/>
        <v>H_260</v>
      </c>
      <c r="K919" s="92"/>
    </row>
    <row r="920" spans="1:11">
      <c r="A920" s="60">
        <f t="shared" si="25"/>
        <v>261</v>
      </c>
      <c r="B920" s="61" t="s">
        <v>744</v>
      </c>
      <c r="C920" s="83" t="s">
        <v>53</v>
      </c>
      <c r="D920" s="63" t="s">
        <v>115</v>
      </c>
      <c r="E920" s="64">
        <v>3356</v>
      </c>
      <c r="F920" s="65" t="s">
        <v>115</v>
      </c>
      <c r="G920" s="66">
        <f>IF(Tabla9[[#This Row],[Precio
Unidad de Compra ( $)]]="","",(E920/(H920*I920)))</f>
        <v>3356</v>
      </c>
      <c r="H920" s="67">
        <v>1</v>
      </c>
      <c r="I920" s="159">
        <v>1</v>
      </c>
      <c r="J920" s="91" t="str">
        <f t="shared" si="24"/>
        <v>H_261</v>
      </c>
      <c r="K920" s="92"/>
    </row>
    <row r="921" spans="1:11">
      <c r="A921" s="60">
        <f t="shared" si="25"/>
        <v>262</v>
      </c>
      <c r="B921" s="61" t="s">
        <v>745</v>
      </c>
      <c r="C921" s="83" t="s">
        <v>53</v>
      </c>
      <c r="D921" s="63" t="s">
        <v>115</v>
      </c>
      <c r="E921" s="64">
        <v>3356</v>
      </c>
      <c r="F921" s="65" t="s">
        <v>115</v>
      </c>
      <c r="G921" s="66">
        <f>IF(Tabla9[[#This Row],[Precio
Unidad de Compra ( $)]]="","",(E921/(H921*I921)))</f>
        <v>3356</v>
      </c>
      <c r="H921" s="67">
        <v>1</v>
      </c>
      <c r="I921" s="159">
        <v>1</v>
      </c>
      <c r="J921" s="91" t="str">
        <f t="shared" si="24"/>
        <v>H_262</v>
      </c>
      <c r="K921" s="92"/>
    </row>
    <row r="922" ht="30" spans="1:11">
      <c r="A922" s="60">
        <f t="shared" si="25"/>
        <v>263</v>
      </c>
      <c r="B922" s="61" t="s">
        <v>746</v>
      </c>
      <c r="C922" s="83" t="s">
        <v>53</v>
      </c>
      <c r="D922" s="63" t="s">
        <v>115</v>
      </c>
      <c r="E922" s="156">
        <v>3356</v>
      </c>
      <c r="F922" s="157" t="s">
        <v>115</v>
      </c>
      <c r="G922" s="66">
        <f>IF(Tabla9[[#This Row],[Precio
Unidad de Compra ( $)]]="","",(E922/(H922*I922)))</f>
        <v>3356</v>
      </c>
      <c r="H922" s="67">
        <v>1</v>
      </c>
      <c r="I922" s="159">
        <v>1</v>
      </c>
      <c r="J922" s="91" t="str">
        <f t="shared" si="24"/>
        <v>H_263</v>
      </c>
      <c r="K922" s="92"/>
    </row>
    <row r="923" spans="1:11">
      <c r="A923" s="60">
        <f t="shared" si="25"/>
        <v>264</v>
      </c>
      <c r="B923" s="61" t="s">
        <v>747</v>
      </c>
      <c r="C923" s="83" t="s">
        <v>53</v>
      </c>
      <c r="D923" s="63" t="s">
        <v>115</v>
      </c>
      <c r="E923" s="64">
        <v>3356</v>
      </c>
      <c r="F923" s="65" t="s">
        <v>115</v>
      </c>
      <c r="G923" s="66">
        <f>IF(Tabla9[[#This Row],[Precio
Unidad de Compra ( $)]]="","",(E923/(H923*I923)))</f>
        <v>3356</v>
      </c>
      <c r="H923" s="67">
        <v>1</v>
      </c>
      <c r="I923" s="159">
        <v>1</v>
      </c>
      <c r="J923" s="91" t="str">
        <f t="shared" si="24"/>
        <v>H_264</v>
      </c>
      <c r="K923" s="92"/>
    </row>
    <row r="924" spans="1:11">
      <c r="A924" s="60">
        <f t="shared" si="25"/>
        <v>265</v>
      </c>
      <c r="B924" s="61" t="s">
        <v>748</v>
      </c>
      <c r="C924" s="83" t="s">
        <v>53</v>
      </c>
      <c r="D924" s="63" t="s">
        <v>115</v>
      </c>
      <c r="E924" s="64">
        <v>3356</v>
      </c>
      <c r="F924" s="65" t="s">
        <v>115</v>
      </c>
      <c r="G924" s="66">
        <f>IF(Tabla9[[#This Row],[Precio
Unidad de Compra ( $)]]="","",(E924/(H924*I924)))</f>
        <v>3356</v>
      </c>
      <c r="H924" s="67">
        <v>1</v>
      </c>
      <c r="I924" s="159">
        <v>1</v>
      </c>
      <c r="J924" s="91" t="str">
        <f t="shared" si="24"/>
        <v>H_265</v>
      </c>
      <c r="K924" s="92"/>
    </row>
    <row r="925" spans="1:11">
      <c r="A925" s="60">
        <f t="shared" si="25"/>
        <v>266</v>
      </c>
      <c r="B925" s="61" t="s">
        <v>749</v>
      </c>
      <c r="C925" s="83" t="s">
        <v>53</v>
      </c>
      <c r="D925" s="63" t="s">
        <v>115</v>
      </c>
      <c r="E925" s="64">
        <v>3356</v>
      </c>
      <c r="F925" s="65" t="s">
        <v>115</v>
      </c>
      <c r="G925" s="66">
        <f>IF(Tabla9[[#This Row],[Precio
Unidad de Compra ( $)]]="","",(E925/(H925*I925)))</f>
        <v>3356</v>
      </c>
      <c r="H925" s="67">
        <v>1</v>
      </c>
      <c r="I925" s="159">
        <v>1</v>
      </c>
      <c r="J925" s="91" t="str">
        <f t="shared" si="24"/>
        <v>H_266</v>
      </c>
      <c r="K925" s="92"/>
    </row>
    <row r="926" spans="1:11">
      <c r="A926" s="60">
        <f t="shared" si="25"/>
        <v>267</v>
      </c>
      <c r="B926" s="61" t="s">
        <v>750</v>
      </c>
      <c r="C926" s="83" t="s">
        <v>53</v>
      </c>
      <c r="D926" s="63" t="s">
        <v>115</v>
      </c>
      <c r="E926" s="156">
        <v>198</v>
      </c>
      <c r="F926" s="157" t="s">
        <v>115</v>
      </c>
      <c r="G926" s="66">
        <f>IF(Tabla9[[#This Row],[Precio
Unidad de Compra ( $)]]="","",(E926/(H926*I926)))</f>
        <v>198</v>
      </c>
      <c r="H926" s="67">
        <v>1</v>
      </c>
      <c r="I926" s="159">
        <v>1</v>
      </c>
      <c r="J926" s="91" t="str">
        <f t="shared" si="24"/>
        <v>H_267</v>
      </c>
      <c r="K926" s="92"/>
    </row>
    <row r="927" spans="1:11">
      <c r="A927" s="60">
        <f t="shared" si="25"/>
        <v>268</v>
      </c>
      <c r="B927" s="61" t="s">
        <v>751</v>
      </c>
      <c r="C927" s="83" t="s">
        <v>53</v>
      </c>
      <c r="D927" s="63" t="s">
        <v>115</v>
      </c>
      <c r="E927" s="156">
        <v>3356</v>
      </c>
      <c r="F927" s="157" t="s">
        <v>115</v>
      </c>
      <c r="G927" s="66">
        <f>IF(Tabla9[[#This Row],[Precio
Unidad de Compra ( $)]]="","",(E927/(H927*I927)))</f>
        <v>3356</v>
      </c>
      <c r="H927" s="67">
        <v>1</v>
      </c>
      <c r="I927" s="159">
        <v>1</v>
      </c>
      <c r="J927" s="91" t="str">
        <f t="shared" si="24"/>
        <v>H_268</v>
      </c>
      <c r="K927" s="92"/>
    </row>
    <row r="928" spans="1:11">
      <c r="A928" s="60">
        <f t="shared" si="25"/>
        <v>269</v>
      </c>
      <c r="B928" s="61" t="s">
        <v>752</v>
      </c>
      <c r="C928" s="83" t="s">
        <v>53</v>
      </c>
      <c r="D928" s="63" t="s">
        <v>115</v>
      </c>
      <c r="E928" s="156">
        <v>198</v>
      </c>
      <c r="F928" s="157" t="s">
        <v>115</v>
      </c>
      <c r="G928" s="66">
        <f>IF(Tabla9[[#This Row],[Precio
Unidad de Compra ( $)]]="","",(E928/(H928*I928)))</f>
        <v>198</v>
      </c>
      <c r="H928" s="67">
        <v>1</v>
      </c>
      <c r="I928" s="159">
        <v>1</v>
      </c>
      <c r="J928" s="91" t="str">
        <f t="shared" si="24"/>
        <v>H_269</v>
      </c>
      <c r="K928" s="92"/>
    </row>
    <row r="929" spans="1:11">
      <c r="A929" s="60">
        <f t="shared" si="25"/>
        <v>270</v>
      </c>
      <c r="B929" s="61" t="s">
        <v>753</v>
      </c>
      <c r="C929" s="83" t="s">
        <v>53</v>
      </c>
      <c r="D929" s="63" t="s">
        <v>115</v>
      </c>
      <c r="E929" s="156">
        <v>3356</v>
      </c>
      <c r="F929" s="157" t="s">
        <v>115</v>
      </c>
      <c r="G929" s="66">
        <f>IF(Tabla9[[#This Row],[Precio
Unidad de Compra ( $)]]="","",(E929/(H929*I929)))</f>
        <v>3356</v>
      </c>
      <c r="H929" s="67">
        <v>1</v>
      </c>
      <c r="I929" s="159">
        <v>1</v>
      </c>
      <c r="J929" s="91" t="str">
        <f t="shared" si="24"/>
        <v>H_270</v>
      </c>
      <c r="K929" s="92"/>
    </row>
    <row r="930" spans="1:11">
      <c r="A930" s="60">
        <f t="shared" si="25"/>
        <v>271</v>
      </c>
      <c r="B930" s="61" t="s">
        <v>754</v>
      </c>
      <c r="C930" s="83" t="s">
        <v>53</v>
      </c>
      <c r="D930" s="63" t="s">
        <v>115</v>
      </c>
      <c r="E930" s="156">
        <v>3356</v>
      </c>
      <c r="F930" s="157" t="s">
        <v>115</v>
      </c>
      <c r="G930" s="66">
        <f>IF(Tabla9[[#This Row],[Precio
Unidad de Compra ( $)]]="","",(E930/(H930*I930)))</f>
        <v>3356</v>
      </c>
      <c r="H930" s="67">
        <v>1</v>
      </c>
      <c r="I930" s="159">
        <v>1</v>
      </c>
      <c r="J930" s="91" t="str">
        <f t="shared" si="24"/>
        <v>H_271</v>
      </c>
      <c r="K930" s="92"/>
    </row>
    <row r="931" ht="30" spans="1:11">
      <c r="A931" s="60">
        <f t="shared" si="25"/>
        <v>272</v>
      </c>
      <c r="B931" s="61" t="s">
        <v>755</v>
      </c>
      <c r="C931" s="83" t="s">
        <v>53</v>
      </c>
      <c r="D931" s="63" t="s">
        <v>115</v>
      </c>
      <c r="E931" s="64">
        <v>198</v>
      </c>
      <c r="F931" s="65" t="s">
        <v>115</v>
      </c>
      <c r="G931" s="66">
        <f>IF(Tabla9[[#This Row],[Precio
Unidad de Compra ( $)]]="","",(E931/(H931*I931)))</f>
        <v>198</v>
      </c>
      <c r="H931" s="67">
        <v>1</v>
      </c>
      <c r="I931" s="159">
        <v>1</v>
      </c>
      <c r="J931" s="91" t="str">
        <f t="shared" si="24"/>
        <v>H_272</v>
      </c>
      <c r="K931" s="92"/>
    </row>
    <row r="932" ht="30" spans="1:11">
      <c r="A932" s="60">
        <f t="shared" si="25"/>
        <v>273</v>
      </c>
      <c r="B932" s="61" t="s">
        <v>756</v>
      </c>
      <c r="C932" s="83" t="s">
        <v>53</v>
      </c>
      <c r="D932" s="63" t="s">
        <v>115</v>
      </c>
      <c r="E932" s="156">
        <v>198</v>
      </c>
      <c r="F932" s="157" t="s">
        <v>115</v>
      </c>
      <c r="G932" s="66">
        <f>IF(Tabla9[[#This Row],[Precio
Unidad de Compra ( $)]]="","",(E932/(H932*I932)))</f>
        <v>198</v>
      </c>
      <c r="H932" s="67">
        <v>1</v>
      </c>
      <c r="I932" s="159">
        <v>1</v>
      </c>
      <c r="J932" s="91" t="str">
        <f t="shared" si="24"/>
        <v>H_273</v>
      </c>
      <c r="K932" s="92"/>
    </row>
    <row r="933" spans="1:11">
      <c r="A933" s="60">
        <f t="shared" si="25"/>
        <v>274</v>
      </c>
      <c r="B933" s="61" t="s">
        <v>757</v>
      </c>
      <c r="C933" s="83" t="s">
        <v>53</v>
      </c>
      <c r="D933" s="63" t="s">
        <v>115</v>
      </c>
      <c r="E933" s="156">
        <v>198</v>
      </c>
      <c r="F933" s="157" t="s">
        <v>115</v>
      </c>
      <c r="G933" s="66">
        <f>IF(Tabla9[[#This Row],[Precio
Unidad de Compra ( $)]]="","",(E933/(H933*I933)))</f>
        <v>198</v>
      </c>
      <c r="H933" s="67">
        <v>1</v>
      </c>
      <c r="I933" s="159">
        <v>1</v>
      </c>
      <c r="J933" s="91" t="str">
        <f t="shared" si="24"/>
        <v>H_274</v>
      </c>
      <c r="K933" s="92"/>
    </row>
    <row r="934" spans="1:11">
      <c r="A934" s="60">
        <f t="shared" si="25"/>
        <v>275</v>
      </c>
      <c r="B934" s="61" t="s">
        <v>758</v>
      </c>
      <c r="C934" s="83" t="s">
        <v>53</v>
      </c>
      <c r="D934" s="63" t="s">
        <v>115</v>
      </c>
      <c r="E934" s="156">
        <v>198</v>
      </c>
      <c r="F934" s="157" t="s">
        <v>115</v>
      </c>
      <c r="G934" s="66">
        <f>IF(Tabla9[[#This Row],[Precio
Unidad de Compra ( $)]]="","",(E934/(H934*I934)))</f>
        <v>198</v>
      </c>
      <c r="H934" s="67">
        <v>1</v>
      </c>
      <c r="I934" s="159">
        <v>1</v>
      </c>
      <c r="J934" s="91" t="str">
        <f t="shared" si="24"/>
        <v>H_275</v>
      </c>
      <c r="K934" s="92"/>
    </row>
    <row r="935" ht="30" spans="1:11">
      <c r="A935" s="60">
        <f t="shared" si="25"/>
        <v>276</v>
      </c>
      <c r="B935" s="61" t="s">
        <v>759</v>
      </c>
      <c r="C935" s="83" t="s">
        <v>53</v>
      </c>
      <c r="D935" s="63" t="s">
        <v>115</v>
      </c>
      <c r="E935" s="156">
        <v>198</v>
      </c>
      <c r="F935" s="157" t="s">
        <v>115</v>
      </c>
      <c r="G935" s="66">
        <f>IF(Tabla9[[#This Row],[Precio
Unidad de Compra ( $)]]="","",(E935/(H935*I935)))</f>
        <v>198</v>
      </c>
      <c r="H935" s="67">
        <v>1</v>
      </c>
      <c r="I935" s="159">
        <v>1</v>
      </c>
      <c r="J935" s="91" t="str">
        <f t="shared" si="24"/>
        <v>H_276</v>
      </c>
      <c r="K935" s="92"/>
    </row>
    <row r="936" spans="1:11">
      <c r="A936" s="60">
        <f t="shared" si="25"/>
        <v>277</v>
      </c>
      <c r="B936" s="61" t="s">
        <v>760</v>
      </c>
      <c r="C936" s="83" t="s">
        <v>53</v>
      </c>
      <c r="D936" s="63" t="s">
        <v>115</v>
      </c>
      <c r="E936" s="156">
        <v>3356</v>
      </c>
      <c r="F936" s="157" t="s">
        <v>115</v>
      </c>
      <c r="G936" s="66">
        <f>IF(Tabla9[[#This Row],[Precio
Unidad de Compra ( $)]]="","",(E936/(H936*I936)))</f>
        <v>3356</v>
      </c>
      <c r="H936" s="67">
        <v>1</v>
      </c>
      <c r="I936" s="159">
        <v>1</v>
      </c>
      <c r="J936" s="91" t="str">
        <f t="shared" si="24"/>
        <v>H_277</v>
      </c>
      <c r="K936" s="92"/>
    </row>
    <row r="937" spans="1:11">
      <c r="A937" s="60">
        <f t="shared" si="25"/>
        <v>278</v>
      </c>
      <c r="B937" s="160" t="s">
        <v>761</v>
      </c>
      <c r="C937" s="83" t="s">
        <v>53</v>
      </c>
      <c r="D937" s="63" t="s">
        <v>115</v>
      </c>
      <c r="E937" s="156">
        <v>1100</v>
      </c>
      <c r="F937" s="157" t="s">
        <v>115</v>
      </c>
      <c r="G937" s="66">
        <f>IF(Tabla9[[#This Row],[Precio
Unidad de Compra ( $)]]="","",(E937/(H937*I937)))</f>
        <v>1100</v>
      </c>
      <c r="H937" s="67">
        <v>1</v>
      </c>
      <c r="I937" s="159">
        <v>1</v>
      </c>
      <c r="J937" s="91" t="str">
        <f t="shared" si="24"/>
        <v>H_278</v>
      </c>
      <c r="K937" s="92"/>
    </row>
    <row r="938" spans="1:11">
      <c r="A938" s="60">
        <f t="shared" si="25"/>
        <v>279</v>
      </c>
      <c r="B938" s="160" t="s">
        <v>762</v>
      </c>
      <c r="C938" s="83" t="s">
        <v>53</v>
      </c>
      <c r="D938" s="63" t="s">
        <v>115</v>
      </c>
      <c r="E938" s="156">
        <v>1350</v>
      </c>
      <c r="F938" s="157" t="s">
        <v>115</v>
      </c>
      <c r="G938" s="66">
        <f>IF(Tabla9[[#This Row],[Precio
Unidad de Compra ( $)]]="","",(E938/(H938*I938)))</f>
        <v>1350</v>
      </c>
      <c r="H938" s="67">
        <v>1</v>
      </c>
      <c r="I938" s="159">
        <v>1</v>
      </c>
      <c r="J938" s="91" t="str">
        <f t="shared" si="24"/>
        <v>H_279</v>
      </c>
      <c r="K938" s="92"/>
    </row>
    <row r="939" spans="1:11">
      <c r="A939" s="60">
        <f t="shared" si="25"/>
        <v>280</v>
      </c>
      <c r="B939" s="160" t="s">
        <v>763</v>
      </c>
      <c r="C939" s="83" t="s">
        <v>53</v>
      </c>
      <c r="D939" s="63" t="s">
        <v>115</v>
      </c>
      <c r="E939" s="156">
        <v>925</v>
      </c>
      <c r="F939" s="157" t="s">
        <v>115</v>
      </c>
      <c r="G939" s="66">
        <f>IF(Tabla9[[#This Row],[Precio
Unidad de Compra ( $)]]="","",(E939/(H939*I939)))</f>
        <v>925</v>
      </c>
      <c r="H939" s="67">
        <v>1</v>
      </c>
      <c r="I939" s="159">
        <v>1</v>
      </c>
      <c r="J939" s="91" t="str">
        <f t="shared" si="24"/>
        <v>H_280</v>
      </c>
      <c r="K939" s="92"/>
    </row>
    <row r="940" spans="1:11">
      <c r="A940" s="60">
        <f t="shared" si="25"/>
        <v>281</v>
      </c>
      <c r="B940" s="61" t="s">
        <v>764</v>
      </c>
      <c r="C940" s="83" t="s">
        <v>53</v>
      </c>
      <c r="D940" s="63" t="s">
        <v>115</v>
      </c>
      <c r="E940" s="64">
        <v>3373</v>
      </c>
      <c r="F940" s="65" t="s">
        <v>115</v>
      </c>
      <c r="G940" s="66">
        <f>IF(Tabla9[[#This Row],[Precio
Unidad de Compra ( $)]]="","",(E940/(H940*I940)))</f>
        <v>3373</v>
      </c>
      <c r="H940" s="67">
        <v>1</v>
      </c>
      <c r="I940" s="159">
        <v>1</v>
      </c>
      <c r="J940" s="91" t="str">
        <f t="shared" si="24"/>
        <v>H_281</v>
      </c>
      <c r="K940" s="92"/>
    </row>
    <row r="941" spans="1:11">
      <c r="A941" s="60">
        <f t="shared" si="25"/>
        <v>282</v>
      </c>
      <c r="B941" s="162" t="s">
        <v>765</v>
      </c>
      <c r="C941" s="83" t="s">
        <v>53</v>
      </c>
      <c r="D941" s="63" t="s">
        <v>115</v>
      </c>
      <c r="E941" s="163">
        <v>1275.68</v>
      </c>
      <c r="F941" s="65" t="s">
        <v>115</v>
      </c>
      <c r="G941" s="66">
        <f>IF(Tabla9[[#This Row],[Precio
Unidad de Compra ( $)]]="","",(E941/(H941*I941)))</f>
        <v>1275.68</v>
      </c>
      <c r="H941" s="67">
        <v>1</v>
      </c>
      <c r="I941" s="159">
        <v>1</v>
      </c>
      <c r="J941" s="91" t="str">
        <f t="shared" si="24"/>
        <v>H_282</v>
      </c>
      <c r="K941" s="92"/>
    </row>
    <row r="942" spans="1:11">
      <c r="A942" s="60">
        <f t="shared" si="25"/>
        <v>283</v>
      </c>
      <c r="B942" s="61" t="s">
        <v>766</v>
      </c>
      <c r="C942" s="83" t="s">
        <v>53</v>
      </c>
      <c r="D942" s="63" t="s">
        <v>115</v>
      </c>
      <c r="E942" s="156">
        <v>3373</v>
      </c>
      <c r="F942" s="157" t="s">
        <v>115</v>
      </c>
      <c r="G942" s="66">
        <f>IF(Tabla9[[#This Row],[Precio
Unidad de Compra ( $)]]="","",(E942/(H942*I942)))</f>
        <v>3373</v>
      </c>
      <c r="H942" s="67">
        <v>1</v>
      </c>
      <c r="I942" s="159">
        <v>1</v>
      </c>
      <c r="J942" s="91" t="str">
        <f t="shared" si="24"/>
        <v>H_283</v>
      </c>
      <c r="K942" s="92"/>
    </row>
    <row r="943" spans="1:11">
      <c r="A943" s="60">
        <f t="shared" si="25"/>
        <v>284</v>
      </c>
      <c r="B943" s="162" t="s">
        <v>767</v>
      </c>
      <c r="C943" s="83" t="s">
        <v>53</v>
      </c>
      <c r="D943" s="63" t="s">
        <v>115</v>
      </c>
      <c r="E943" s="163">
        <v>1275.68</v>
      </c>
      <c r="F943" s="65" t="s">
        <v>115</v>
      </c>
      <c r="G943" s="66">
        <f>IF(Tabla9[[#This Row],[Precio
Unidad de Compra ( $)]]="","",(E943/(H943*I943)))</f>
        <v>1275.68</v>
      </c>
      <c r="H943" s="67">
        <v>1</v>
      </c>
      <c r="I943" s="159">
        <v>1</v>
      </c>
      <c r="J943" s="91" t="str">
        <f t="shared" si="24"/>
        <v>H_284</v>
      </c>
      <c r="K943" s="92"/>
    </row>
    <row r="944" spans="1:11">
      <c r="A944" s="60">
        <f t="shared" si="25"/>
        <v>285</v>
      </c>
      <c r="B944" s="61" t="s">
        <v>768</v>
      </c>
      <c r="C944" s="83" t="s">
        <v>53</v>
      </c>
      <c r="D944" s="63" t="s">
        <v>115</v>
      </c>
      <c r="E944" s="64">
        <v>1275.68</v>
      </c>
      <c r="F944" s="65" t="s">
        <v>115</v>
      </c>
      <c r="G944" s="66">
        <f>IF(Tabla9[[#This Row],[Precio
Unidad de Compra ( $)]]="","",(E944/(H944*I944)))</f>
        <v>1275.68</v>
      </c>
      <c r="H944" s="67">
        <v>1</v>
      </c>
      <c r="I944" s="159">
        <v>1</v>
      </c>
      <c r="J944" s="91" t="str">
        <f t="shared" si="24"/>
        <v>H_285</v>
      </c>
      <c r="K944" s="92"/>
    </row>
    <row r="945" spans="1:11">
      <c r="A945" s="60">
        <f t="shared" si="25"/>
        <v>286</v>
      </c>
      <c r="B945" s="160" t="s">
        <v>769</v>
      </c>
      <c r="C945" s="83" t="s">
        <v>53</v>
      </c>
      <c r="D945" s="63" t="s">
        <v>115</v>
      </c>
      <c r="E945" s="156">
        <v>2746.52</v>
      </c>
      <c r="F945" s="157" t="s">
        <v>115</v>
      </c>
      <c r="G945" s="66">
        <f>IF(Tabla9[[#This Row],[Precio
Unidad de Compra ( $)]]="","",(E945/(H945*I945)))</f>
        <v>2746.52</v>
      </c>
      <c r="H945" s="67">
        <v>1</v>
      </c>
      <c r="I945" s="159">
        <v>1</v>
      </c>
      <c r="J945" s="91" t="str">
        <f t="shared" si="24"/>
        <v>H_286</v>
      </c>
      <c r="K945" s="92"/>
    </row>
    <row r="946" spans="1:11">
      <c r="A946" s="60">
        <f t="shared" si="25"/>
        <v>287</v>
      </c>
      <c r="B946" s="61" t="s">
        <v>770</v>
      </c>
      <c r="C946" s="83" t="s">
        <v>53</v>
      </c>
      <c r="D946" s="63" t="s">
        <v>115</v>
      </c>
      <c r="E946" s="64">
        <v>1275.68</v>
      </c>
      <c r="F946" s="65" t="s">
        <v>115</v>
      </c>
      <c r="G946" s="66">
        <f>IF(Tabla9[[#This Row],[Precio
Unidad de Compra ( $)]]="","",(E946/(H946*I946)))</f>
        <v>1275.68</v>
      </c>
      <c r="H946" s="67">
        <v>1</v>
      </c>
      <c r="I946" s="159">
        <v>1</v>
      </c>
      <c r="J946" s="91" t="str">
        <f t="shared" si="24"/>
        <v>H_287</v>
      </c>
      <c r="K946" s="92"/>
    </row>
    <row r="947" spans="1:11">
      <c r="A947" s="60">
        <f t="shared" si="25"/>
        <v>288</v>
      </c>
      <c r="B947" s="61" t="s">
        <v>771</v>
      </c>
      <c r="C947" s="83" t="s">
        <v>53</v>
      </c>
      <c r="D947" s="63" t="s">
        <v>115</v>
      </c>
      <c r="E947" s="64">
        <v>1225.7</v>
      </c>
      <c r="F947" s="65" t="s">
        <v>115</v>
      </c>
      <c r="G947" s="66">
        <f>IF(Tabla9[[#This Row],[Precio
Unidad de Compra ( $)]]="","",(E947/(H947*I947)))</f>
        <v>1225.7</v>
      </c>
      <c r="H947" s="67">
        <v>1</v>
      </c>
      <c r="I947" s="159">
        <v>1</v>
      </c>
      <c r="J947" s="91" t="str">
        <f t="shared" si="24"/>
        <v>H_288</v>
      </c>
      <c r="K947" s="92"/>
    </row>
    <row r="948" spans="1:11">
      <c r="A948" s="60">
        <f t="shared" si="25"/>
        <v>289</v>
      </c>
      <c r="B948" s="61" t="s">
        <v>772</v>
      </c>
      <c r="C948" s="83" t="s">
        <v>53</v>
      </c>
      <c r="D948" s="63" t="s">
        <v>115</v>
      </c>
      <c r="E948" s="64">
        <v>3881.78</v>
      </c>
      <c r="F948" s="65" t="s">
        <v>115</v>
      </c>
      <c r="G948" s="66">
        <f>IF(Tabla9[[#This Row],[Precio
Unidad de Compra ( $)]]="","",(E948/(H948*I948)))</f>
        <v>3881.78</v>
      </c>
      <c r="H948" s="67">
        <v>1</v>
      </c>
      <c r="I948" s="159">
        <v>1</v>
      </c>
      <c r="J948" s="91" t="str">
        <f t="shared" si="24"/>
        <v>H_289</v>
      </c>
      <c r="K948" s="92"/>
    </row>
    <row r="949" spans="1:11">
      <c r="A949" s="60">
        <f t="shared" si="25"/>
        <v>290</v>
      </c>
      <c r="B949" s="61" t="s">
        <v>773</v>
      </c>
      <c r="C949" s="83" t="s">
        <v>53</v>
      </c>
      <c r="D949" s="63" t="s">
        <v>115</v>
      </c>
      <c r="E949" s="64">
        <v>1275.68</v>
      </c>
      <c r="F949" s="65" t="s">
        <v>115</v>
      </c>
      <c r="G949" s="66">
        <f>IF(Tabla9[[#This Row],[Precio
Unidad de Compra ( $)]]="","",(E949/(H949*I949)))</f>
        <v>1275.68</v>
      </c>
      <c r="H949" s="67">
        <v>1</v>
      </c>
      <c r="I949" s="159">
        <v>1</v>
      </c>
      <c r="J949" s="91" t="str">
        <f t="shared" si="24"/>
        <v>H_290</v>
      </c>
      <c r="K949" s="92"/>
    </row>
    <row r="950" spans="1:11">
      <c r="A950" s="60">
        <f t="shared" si="25"/>
        <v>291</v>
      </c>
      <c r="B950" s="61" t="s">
        <v>774</v>
      </c>
      <c r="C950" s="83" t="s">
        <v>53</v>
      </c>
      <c r="D950" s="63" t="s">
        <v>115</v>
      </c>
      <c r="E950" s="64">
        <v>3881.78</v>
      </c>
      <c r="F950" s="65" t="s">
        <v>115</v>
      </c>
      <c r="G950" s="66">
        <f>IF(Tabla9[[#This Row],[Precio
Unidad de Compra ( $)]]="","",(E950/(H950*I950)))</f>
        <v>3881.78</v>
      </c>
      <c r="H950" s="67">
        <v>1</v>
      </c>
      <c r="I950" s="159">
        <v>1</v>
      </c>
      <c r="J950" s="91" t="str">
        <f t="shared" si="24"/>
        <v>H_291</v>
      </c>
      <c r="K950" s="92"/>
    </row>
    <row r="951" spans="1:11">
      <c r="A951" s="60">
        <f t="shared" si="25"/>
        <v>292</v>
      </c>
      <c r="B951" s="61" t="s">
        <v>775</v>
      </c>
      <c r="C951" s="83" t="s">
        <v>53</v>
      </c>
      <c r="D951" s="63" t="s">
        <v>115</v>
      </c>
      <c r="E951" s="156">
        <v>1225.7</v>
      </c>
      <c r="F951" s="157" t="s">
        <v>115</v>
      </c>
      <c r="G951" s="66">
        <f>IF(Tabla9[[#This Row],[Precio
Unidad de Compra ( $)]]="","",(E951/(H951*I951)))</f>
        <v>1225.7</v>
      </c>
      <c r="H951" s="67">
        <v>1</v>
      </c>
      <c r="I951" s="159">
        <v>1</v>
      </c>
      <c r="J951" s="91" t="str">
        <f t="shared" si="24"/>
        <v>H_292</v>
      </c>
      <c r="K951" s="92"/>
    </row>
    <row r="952" spans="1:11">
      <c r="A952" s="60">
        <f t="shared" si="25"/>
        <v>293</v>
      </c>
      <c r="B952" s="61" t="s">
        <v>776</v>
      </c>
      <c r="C952" s="83" t="s">
        <v>53</v>
      </c>
      <c r="D952" s="63" t="s">
        <v>115</v>
      </c>
      <c r="E952" s="64">
        <v>1225.7</v>
      </c>
      <c r="F952" s="65" t="s">
        <v>115</v>
      </c>
      <c r="G952" s="66">
        <f>IF(Tabla9[[#This Row],[Precio
Unidad de Compra ( $)]]="","",(E952/(H952*I952)))</f>
        <v>1225.7</v>
      </c>
      <c r="H952" s="67">
        <v>1</v>
      </c>
      <c r="I952" s="159">
        <v>1</v>
      </c>
      <c r="J952" s="91" t="str">
        <f t="shared" si="24"/>
        <v>H_293</v>
      </c>
      <c r="K952" s="92"/>
    </row>
    <row r="953" spans="1:11">
      <c r="A953" s="60">
        <f t="shared" si="25"/>
        <v>294</v>
      </c>
      <c r="B953" s="61" t="s">
        <v>777</v>
      </c>
      <c r="C953" s="83" t="s">
        <v>53</v>
      </c>
      <c r="D953" s="63" t="s">
        <v>115</v>
      </c>
      <c r="E953" s="64">
        <v>2400</v>
      </c>
      <c r="F953" s="65" t="s">
        <v>115</v>
      </c>
      <c r="G953" s="66">
        <f>IF(Tabla9[[#This Row],[Precio
Unidad de Compra ( $)]]="","",(E953/(H953*I953)))</f>
        <v>2400</v>
      </c>
      <c r="H953" s="67">
        <v>1</v>
      </c>
      <c r="I953" s="159">
        <v>1</v>
      </c>
      <c r="J953" s="91" t="str">
        <f t="shared" si="24"/>
        <v>H_294</v>
      </c>
      <c r="K953" s="92"/>
    </row>
    <row r="954" spans="1:11">
      <c r="A954" s="60">
        <f t="shared" si="25"/>
        <v>295</v>
      </c>
      <c r="B954" s="61" t="s">
        <v>778</v>
      </c>
      <c r="C954" s="83" t="s">
        <v>53</v>
      </c>
      <c r="D954" s="63" t="s">
        <v>115</v>
      </c>
      <c r="E954" s="64">
        <v>1275.68</v>
      </c>
      <c r="F954" s="65" t="s">
        <v>115</v>
      </c>
      <c r="G954" s="66">
        <f>IF(Tabla9[[#This Row],[Precio
Unidad de Compra ( $)]]="","",(E954/(H954*I954)))</f>
        <v>1275.68</v>
      </c>
      <c r="H954" s="67">
        <v>1</v>
      </c>
      <c r="I954" s="159">
        <v>1</v>
      </c>
      <c r="J954" s="91" t="str">
        <f t="shared" si="24"/>
        <v>H_295</v>
      </c>
      <c r="K954" s="92"/>
    </row>
    <row r="955" spans="1:11">
      <c r="A955" s="60">
        <f t="shared" si="25"/>
        <v>296</v>
      </c>
      <c r="B955" s="61" t="s">
        <v>779</v>
      </c>
      <c r="C955" s="83" t="s">
        <v>53</v>
      </c>
      <c r="D955" s="63" t="s">
        <v>115</v>
      </c>
      <c r="E955" s="64">
        <v>1225.7</v>
      </c>
      <c r="F955" s="65" t="s">
        <v>115</v>
      </c>
      <c r="G955" s="66">
        <f>IF(Tabla9[[#This Row],[Precio
Unidad de Compra ( $)]]="","",(E955/(H955*I955)))</f>
        <v>1225.7</v>
      </c>
      <c r="H955" s="67">
        <v>1</v>
      </c>
      <c r="I955" s="159">
        <v>1</v>
      </c>
      <c r="J955" s="91" t="str">
        <f t="shared" si="24"/>
        <v>H_296</v>
      </c>
      <c r="K955" s="92"/>
    </row>
    <row r="956" spans="1:11">
      <c r="A956" s="60">
        <f t="shared" si="25"/>
        <v>297</v>
      </c>
      <c r="B956" s="61" t="s">
        <v>780</v>
      </c>
      <c r="C956" s="83" t="s">
        <v>53</v>
      </c>
      <c r="D956" s="63" t="s">
        <v>115</v>
      </c>
      <c r="E956" s="64">
        <v>1275.68</v>
      </c>
      <c r="F956" s="65" t="s">
        <v>115</v>
      </c>
      <c r="G956" s="66">
        <f>IF(Tabla9[[#This Row],[Precio
Unidad de Compra ( $)]]="","",(E956/(H956*I956)))</f>
        <v>1275.68</v>
      </c>
      <c r="H956" s="67">
        <v>1</v>
      </c>
      <c r="I956" s="159">
        <v>1</v>
      </c>
      <c r="J956" s="91" t="str">
        <f t="shared" si="24"/>
        <v>H_297</v>
      </c>
      <c r="K956" s="92"/>
    </row>
    <row r="957" spans="1:11">
      <c r="A957" s="60">
        <f t="shared" si="25"/>
        <v>298</v>
      </c>
      <c r="B957" s="61" t="s">
        <v>781</v>
      </c>
      <c r="C957" s="83" t="s">
        <v>53</v>
      </c>
      <c r="D957" s="63" t="s">
        <v>115</v>
      </c>
      <c r="E957" s="64">
        <v>2400</v>
      </c>
      <c r="F957" s="65" t="s">
        <v>115</v>
      </c>
      <c r="G957" s="66">
        <f>IF(Tabla9[[#This Row],[Precio
Unidad de Compra ( $)]]="","",(E957/(H957*I957)))</f>
        <v>2400</v>
      </c>
      <c r="H957" s="67">
        <v>1</v>
      </c>
      <c r="I957" s="159">
        <v>1</v>
      </c>
      <c r="J957" s="91" t="str">
        <f t="shared" si="24"/>
        <v>H_298</v>
      </c>
      <c r="K957" s="92"/>
    </row>
    <row r="958" ht="30" spans="1:11">
      <c r="A958" s="60">
        <f t="shared" si="25"/>
        <v>299</v>
      </c>
      <c r="B958" s="160" t="s">
        <v>782</v>
      </c>
      <c r="C958" s="83" t="s">
        <v>53</v>
      </c>
      <c r="D958" s="63" t="s">
        <v>115</v>
      </c>
      <c r="E958" s="156">
        <v>873.94</v>
      </c>
      <c r="F958" s="157" t="s">
        <v>115</v>
      </c>
      <c r="G958" s="66">
        <f>IF(Tabla9[[#This Row],[Precio
Unidad de Compra ( $)]]="","",(E958/(H958*I958)))</f>
        <v>873.94</v>
      </c>
      <c r="H958" s="67">
        <v>1</v>
      </c>
      <c r="I958" s="159">
        <v>1</v>
      </c>
      <c r="J958" s="91" t="str">
        <f t="shared" si="24"/>
        <v>H_299</v>
      </c>
      <c r="K958" s="92"/>
    </row>
    <row r="959" spans="1:11">
      <c r="A959" s="60">
        <f t="shared" si="25"/>
        <v>300</v>
      </c>
      <c r="B959" s="160" t="s">
        <v>783</v>
      </c>
      <c r="C959" s="83" t="s">
        <v>53</v>
      </c>
      <c r="D959" s="63" t="s">
        <v>115</v>
      </c>
      <c r="E959" s="156">
        <v>873.94</v>
      </c>
      <c r="F959" s="157" t="s">
        <v>115</v>
      </c>
      <c r="G959" s="66">
        <f>IF(Tabla9[[#This Row],[Precio
Unidad de Compra ( $)]]="","",(E959/(H959*I959)))</f>
        <v>873.94</v>
      </c>
      <c r="H959" s="67">
        <v>1</v>
      </c>
      <c r="I959" s="159">
        <v>1</v>
      </c>
      <c r="J959" s="91" t="str">
        <f t="shared" si="24"/>
        <v>H_300</v>
      </c>
      <c r="K959" s="92"/>
    </row>
    <row r="960" spans="1:11">
      <c r="A960" s="60">
        <f t="shared" si="25"/>
        <v>301</v>
      </c>
      <c r="B960" s="160" t="s">
        <v>784</v>
      </c>
      <c r="C960" s="83" t="s">
        <v>53</v>
      </c>
      <c r="D960" s="63" t="s">
        <v>115</v>
      </c>
      <c r="E960" s="156">
        <v>873.94</v>
      </c>
      <c r="F960" s="157" t="s">
        <v>115</v>
      </c>
      <c r="G960" s="66">
        <f>IF(Tabla9[[#This Row],[Precio
Unidad de Compra ( $)]]="","",(E960/(H960*I960)))</f>
        <v>873.94</v>
      </c>
      <c r="H960" s="67">
        <v>1</v>
      </c>
      <c r="I960" s="159">
        <v>1</v>
      </c>
      <c r="J960" s="91" t="str">
        <f t="shared" si="24"/>
        <v>H_301</v>
      </c>
      <c r="K960" s="92"/>
    </row>
    <row r="961" spans="1:11">
      <c r="A961" s="60">
        <f t="shared" si="25"/>
        <v>302</v>
      </c>
      <c r="B961" s="160" t="s">
        <v>785</v>
      </c>
      <c r="C961" s="83" t="s">
        <v>53</v>
      </c>
      <c r="D961" s="63" t="s">
        <v>115</v>
      </c>
      <c r="E961" s="156">
        <v>873.94</v>
      </c>
      <c r="F961" s="157" t="s">
        <v>115</v>
      </c>
      <c r="G961" s="66">
        <f>IF(Tabla9[[#This Row],[Precio
Unidad de Compra ( $)]]="","",(E961/(H961*I961)))</f>
        <v>873.94</v>
      </c>
      <c r="H961" s="67">
        <v>1</v>
      </c>
      <c r="I961" s="159">
        <v>1</v>
      </c>
      <c r="J961" s="91" t="str">
        <f t="shared" si="24"/>
        <v>H_302</v>
      </c>
      <c r="K961" s="92"/>
    </row>
    <row r="962" spans="1:11">
      <c r="A962" s="60">
        <f t="shared" si="25"/>
        <v>303</v>
      </c>
      <c r="B962" s="61" t="s">
        <v>786</v>
      </c>
      <c r="C962" s="83" t="s">
        <v>53</v>
      </c>
      <c r="D962" s="63" t="s">
        <v>115</v>
      </c>
      <c r="E962" s="64">
        <v>131.97</v>
      </c>
      <c r="F962" s="65" t="s">
        <v>115</v>
      </c>
      <c r="G962" s="66">
        <f>IF(Tabla9[[#This Row],[Precio
Unidad de Compra ( $)]]="","",(E962/(H962*I962)))</f>
        <v>131.97</v>
      </c>
      <c r="H962" s="67">
        <v>1</v>
      </c>
      <c r="I962" s="159">
        <v>1</v>
      </c>
      <c r="J962" s="91" t="str">
        <f t="shared" si="24"/>
        <v>H_303</v>
      </c>
      <c r="K962" s="92"/>
    </row>
    <row r="963" spans="1:11">
      <c r="A963" s="60">
        <f t="shared" si="25"/>
        <v>304</v>
      </c>
      <c r="B963" s="160" t="s">
        <v>787</v>
      </c>
      <c r="C963" s="83" t="s">
        <v>53</v>
      </c>
      <c r="D963" s="63" t="s">
        <v>115</v>
      </c>
      <c r="E963" s="156">
        <v>5450</v>
      </c>
      <c r="F963" s="157" t="s">
        <v>115</v>
      </c>
      <c r="G963" s="66">
        <f>IF(Tabla9[[#This Row],[Precio
Unidad de Compra ( $)]]="","",(E963/(H963*I963)))</f>
        <v>5450</v>
      </c>
      <c r="H963" s="67">
        <v>1</v>
      </c>
      <c r="I963" s="159">
        <v>1</v>
      </c>
      <c r="J963" s="91" t="str">
        <f t="shared" si="24"/>
        <v>H_304</v>
      </c>
      <c r="K963" s="92"/>
    </row>
    <row r="964" spans="1:11">
      <c r="A964" s="60">
        <f t="shared" si="25"/>
        <v>305</v>
      </c>
      <c r="B964" s="160" t="s">
        <v>788</v>
      </c>
      <c r="C964" s="83" t="s">
        <v>53</v>
      </c>
      <c r="D964" s="63" t="s">
        <v>115</v>
      </c>
      <c r="E964" s="156">
        <v>5450</v>
      </c>
      <c r="F964" s="157" t="s">
        <v>115</v>
      </c>
      <c r="G964" s="66">
        <f>IF(Tabla9[[#This Row],[Precio
Unidad de Compra ( $)]]="","",(E964/(H964*I964)))</f>
        <v>5450</v>
      </c>
      <c r="H964" s="67">
        <v>1</v>
      </c>
      <c r="I964" s="159">
        <v>1</v>
      </c>
      <c r="J964" s="91" t="str">
        <f t="shared" si="24"/>
        <v>H_305</v>
      </c>
      <c r="K964" s="92"/>
    </row>
    <row r="965" ht="30" spans="1:11">
      <c r="A965" s="60">
        <f t="shared" si="25"/>
        <v>306</v>
      </c>
      <c r="B965" s="160" t="s">
        <v>789</v>
      </c>
      <c r="C965" s="83" t="s">
        <v>53</v>
      </c>
      <c r="D965" s="63" t="s">
        <v>115</v>
      </c>
      <c r="E965" s="156">
        <v>5450</v>
      </c>
      <c r="F965" s="157" t="s">
        <v>115</v>
      </c>
      <c r="G965" s="66">
        <f>IF(Tabla9[[#This Row],[Precio
Unidad de Compra ( $)]]="","",(E965/(H965*I965)))</f>
        <v>5450</v>
      </c>
      <c r="H965" s="67">
        <v>1</v>
      </c>
      <c r="I965" s="159">
        <v>1</v>
      </c>
      <c r="J965" s="91" t="str">
        <f t="shared" si="24"/>
        <v>H_306</v>
      </c>
      <c r="K965" s="92"/>
    </row>
    <row r="966" ht="30" spans="1:11">
      <c r="A966" s="60">
        <f t="shared" si="25"/>
        <v>307</v>
      </c>
      <c r="B966" s="160" t="s">
        <v>790</v>
      </c>
      <c r="C966" s="83" t="s">
        <v>53</v>
      </c>
      <c r="D966" s="63" t="s">
        <v>115</v>
      </c>
      <c r="E966" s="156">
        <v>5450</v>
      </c>
      <c r="F966" s="157" t="s">
        <v>115</v>
      </c>
      <c r="G966" s="66">
        <f>IF(Tabla9[[#This Row],[Precio
Unidad de Compra ( $)]]="","",(E966/(H966*I966)))</f>
        <v>5450</v>
      </c>
      <c r="H966" s="67">
        <v>1</v>
      </c>
      <c r="I966" s="159">
        <v>1</v>
      </c>
      <c r="J966" s="91" t="str">
        <f t="shared" si="24"/>
        <v>H_307</v>
      </c>
      <c r="K966" s="92"/>
    </row>
    <row r="967" ht="30" spans="1:11">
      <c r="A967" s="60">
        <f t="shared" si="25"/>
        <v>308</v>
      </c>
      <c r="B967" s="160" t="s">
        <v>791</v>
      </c>
      <c r="C967" s="83" t="s">
        <v>53</v>
      </c>
      <c r="D967" s="63" t="s">
        <v>115</v>
      </c>
      <c r="E967" s="156">
        <v>5450</v>
      </c>
      <c r="F967" s="157" t="s">
        <v>115</v>
      </c>
      <c r="G967" s="66">
        <f>IF(Tabla9[[#This Row],[Precio
Unidad de Compra ( $)]]="","",(E967/(H967*I967)))</f>
        <v>5450</v>
      </c>
      <c r="H967" s="67">
        <v>1</v>
      </c>
      <c r="I967" s="159">
        <v>1</v>
      </c>
      <c r="J967" s="91" t="str">
        <f t="shared" si="24"/>
        <v>H_308</v>
      </c>
      <c r="K967" s="92"/>
    </row>
    <row r="968" ht="30" spans="1:11">
      <c r="A968" s="60">
        <f t="shared" si="25"/>
        <v>309</v>
      </c>
      <c r="B968" s="160" t="s">
        <v>792</v>
      </c>
      <c r="C968" s="83" t="s">
        <v>53</v>
      </c>
      <c r="D968" s="63" t="s">
        <v>115</v>
      </c>
      <c r="E968" s="156">
        <v>5450</v>
      </c>
      <c r="F968" s="157" t="s">
        <v>115</v>
      </c>
      <c r="G968" s="66">
        <f>IF(Tabla9[[#This Row],[Precio
Unidad de Compra ( $)]]="","",(E968/(H968*I968)))</f>
        <v>5450</v>
      </c>
      <c r="H968" s="67">
        <v>1</v>
      </c>
      <c r="I968" s="159">
        <v>1</v>
      </c>
      <c r="J968" s="91" t="str">
        <f t="shared" si="24"/>
        <v>H_309</v>
      </c>
      <c r="K968" s="92"/>
    </row>
    <row r="969" ht="30" spans="1:11">
      <c r="A969" s="60">
        <f t="shared" si="25"/>
        <v>310</v>
      </c>
      <c r="B969" s="160" t="s">
        <v>793</v>
      </c>
      <c r="C969" s="83" t="s">
        <v>53</v>
      </c>
      <c r="D969" s="63" t="s">
        <v>115</v>
      </c>
      <c r="E969" s="156">
        <v>5450</v>
      </c>
      <c r="F969" s="157" t="s">
        <v>115</v>
      </c>
      <c r="G969" s="66">
        <f>IF(Tabla9[[#This Row],[Precio
Unidad de Compra ( $)]]="","",(E969/(H969*I969)))</f>
        <v>5450</v>
      </c>
      <c r="H969" s="67">
        <v>1</v>
      </c>
      <c r="I969" s="159">
        <v>1</v>
      </c>
      <c r="J969" s="91" t="str">
        <f t="shared" si="24"/>
        <v>H_310</v>
      </c>
      <c r="K969" s="92"/>
    </row>
    <row r="970" ht="30" spans="1:11">
      <c r="A970" s="60">
        <f t="shared" si="25"/>
        <v>311</v>
      </c>
      <c r="B970" s="160" t="s">
        <v>794</v>
      </c>
      <c r="C970" s="83" t="s">
        <v>53</v>
      </c>
      <c r="D970" s="63" t="s">
        <v>115</v>
      </c>
      <c r="E970" s="156">
        <v>5450</v>
      </c>
      <c r="F970" s="157" t="s">
        <v>115</v>
      </c>
      <c r="G970" s="66">
        <f>IF(Tabla9[[#This Row],[Precio
Unidad de Compra ( $)]]="","",(E970/(H970*I970)))</f>
        <v>5450</v>
      </c>
      <c r="H970" s="67">
        <v>1</v>
      </c>
      <c r="I970" s="159">
        <v>1</v>
      </c>
      <c r="J970" s="91" t="str">
        <f t="shared" si="24"/>
        <v>H_311</v>
      </c>
      <c r="K970" s="92"/>
    </row>
    <row r="971" spans="1:11">
      <c r="A971" s="60">
        <f t="shared" si="25"/>
        <v>312</v>
      </c>
      <c r="B971" s="61" t="s">
        <v>795</v>
      </c>
      <c r="C971" s="83" t="s">
        <v>53</v>
      </c>
      <c r="D971" s="63" t="s">
        <v>115</v>
      </c>
      <c r="E971" s="64">
        <v>131.97</v>
      </c>
      <c r="F971" s="65" t="s">
        <v>115</v>
      </c>
      <c r="G971" s="66">
        <f>IF(Tabla9[[#This Row],[Precio
Unidad de Compra ( $)]]="","",(E971/(H971*I971)))</f>
        <v>131.97</v>
      </c>
      <c r="H971" s="67">
        <v>1</v>
      </c>
      <c r="I971" s="159">
        <v>1</v>
      </c>
      <c r="J971" s="91" t="str">
        <f t="shared" si="24"/>
        <v>H_312</v>
      </c>
      <c r="K971" s="92"/>
    </row>
    <row r="972" spans="1:11">
      <c r="A972" s="60">
        <f t="shared" si="25"/>
        <v>313</v>
      </c>
      <c r="B972" s="61" t="s">
        <v>796</v>
      </c>
      <c r="C972" s="83" t="s">
        <v>53</v>
      </c>
      <c r="D972" s="63" t="s">
        <v>115</v>
      </c>
      <c r="E972" s="64">
        <v>131.97</v>
      </c>
      <c r="F972" s="65" t="s">
        <v>115</v>
      </c>
      <c r="G972" s="66">
        <f>IF(Tabla9[[#This Row],[Precio
Unidad de Compra ( $)]]="","",(E972/(H972*I972)))</f>
        <v>131.97</v>
      </c>
      <c r="H972" s="67">
        <v>1</v>
      </c>
      <c r="I972" s="159">
        <v>1</v>
      </c>
      <c r="J972" s="91" t="str">
        <f t="shared" si="24"/>
        <v>H_313</v>
      </c>
      <c r="K972" s="92"/>
    </row>
    <row r="973" spans="1:11">
      <c r="A973" s="60">
        <f t="shared" si="25"/>
        <v>314</v>
      </c>
      <c r="B973" s="161" t="s">
        <v>797</v>
      </c>
      <c r="C973" s="83" t="s">
        <v>53</v>
      </c>
      <c r="D973" s="63" t="s">
        <v>115</v>
      </c>
      <c r="E973" s="64">
        <v>249.9</v>
      </c>
      <c r="F973" s="65" t="s">
        <v>245</v>
      </c>
      <c r="G973" s="66">
        <f>IF(Tabla9[[#This Row],[Precio
Unidad de Compra ( $)]]="","",(E973/(H973*I973)))</f>
        <v>249.9</v>
      </c>
      <c r="H973" s="67">
        <v>1</v>
      </c>
      <c r="I973" s="159">
        <v>1</v>
      </c>
      <c r="J973" s="91" t="str">
        <f t="shared" si="24"/>
        <v>H_314</v>
      </c>
      <c r="K973" s="92"/>
    </row>
    <row r="974" spans="1:11">
      <c r="A974" s="60">
        <f t="shared" si="25"/>
        <v>315</v>
      </c>
      <c r="B974" s="61" t="s">
        <v>798</v>
      </c>
      <c r="C974" s="83" t="s">
        <v>53</v>
      </c>
      <c r="D974" s="63" t="s">
        <v>115</v>
      </c>
      <c r="E974" s="64">
        <v>131.97</v>
      </c>
      <c r="F974" s="65" t="s">
        <v>244</v>
      </c>
      <c r="G974" s="66">
        <f>IF(Tabla9[[#This Row],[Precio
Unidad de Compra ( $)]]="","",(E974/(H974*I974)))</f>
        <v>131.97</v>
      </c>
      <c r="H974" s="67">
        <v>1</v>
      </c>
      <c r="I974" s="159">
        <v>1</v>
      </c>
      <c r="J974" s="91" t="str">
        <f t="shared" si="24"/>
        <v>H_315</v>
      </c>
      <c r="K974" s="92"/>
    </row>
    <row r="975" spans="1:11">
      <c r="A975" s="60">
        <f t="shared" si="25"/>
        <v>316</v>
      </c>
      <c r="B975" s="61" t="s">
        <v>799</v>
      </c>
      <c r="C975" s="83" t="s">
        <v>53</v>
      </c>
      <c r="D975" s="63" t="s">
        <v>115</v>
      </c>
      <c r="E975" s="64">
        <v>131.97</v>
      </c>
      <c r="F975" s="65" t="s">
        <v>115</v>
      </c>
      <c r="G975" s="66">
        <f>IF(Tabla9[[#This Row],[Precio
Unidad de Compra ( $)]]="","",(E975/(H975*I975)))</f>
        <v>131.97</v>
      </c>
      <c r="H975" s="67">
        <v>1</v>
      </c>
      <c r="I975" s="159">
        <v>1</v>
      </c>
      <c r="J975" s="91" t="str">
        <f t="shared" si="24"/>
        <v>H_316</v>
      </c>
      <c r="K975" s="92"/>
    </row>
    <row r="976" spans="1:11">
      <c r="A976" s="60">
        <f t="shared" si="25"/>
        <v>317</v>
      </c>
      <c r="B976" s="61" t="s">
        <v>800</v>
      </c>
      <c r="C976" s="83" t="s">
        <v>53</v>
      </c>
      <c r="D976" s="63" t="s">
        <v>115</v>
      </c>
      <c r="E976" s="156">
        <v>131.97</v>
      </c>
      <c r="F976" s="157" t="s">
        <v>115</v>
      </c>
      <c r="G976" s="66">
        <f>IF(Tabla9[[#This Row],[Precio
Unidad de Compra ( $)]]="","",(E976/(H976*I976)))</f>
        <v>131.97</v>
      </c>
      <c r="H976" s="67">
        <v>1</v>
      </c>
      <c r="I976" s="159">
        <v>1</v>
      </c>
      <c r="J976" s="91" t="str">
        <f t="shared" si="24"/>
        <v>H_317</v>
      </c>
      <c r="K976" s="92"/>
    </row>
    <row r="977" spans="1:11">
      <c r="A977" s="60">
        <f t="shared" si="25"/>
        <v>318</v>
      </c>
      <c r="B977" s="61" t="s">
        <v>801</v>
      </c>
      <c r="C977" s="83" t="s">
        <v>53</v>
      </c>
      <c r="D977" s="63" t="s">
        <v>115</v>
      </c>
      <c r="E977" s="64">
        <v>131.97</v>
      </c>
      <c r="F977" s="65" t="s">
        <v>115</v>
      </c>
      <c r="G977" s="66">
        <f>IF(Tabla9[[#This Row],[Precio
Unidad de Compra ( $)]]="","",(E977/(H977*I977)))</f>
        <v>131.97</v>
      </c>
      <c r="H977" s="67">
        <v>1</v>
      </c>
      <c r="I977" s="159">
        <v>1</v>
      </c>
      <c r="J977" s="91" t="str">
        <f t="shared" si="24"/>
        <v>H_318</v>
      </c>
      <c r="K977" s="92"/>
    </row>
    <row r="978" spans="1:11">
      <c r="A978" s="60">
        <f t="shared" si="25"/>
        <v>319</v>
      </c>
      <c r="B978" s="61" t="s">
        <v>802</v>
      </c>
      <c r="C978" s="83" t="s">
        <v>53</v>
      </c>
      <c r="D978" s="63" t="s">
        <v>115</v>
      </c>
      <c r="E978" s="64">
        <v>131.97</v>
      </c>
      <c r="F978" s="65" t="s">
        <v>115</v>
      </c>
      <c r="G978" s="66">
        <f>IF(Tabla9[[#This Row],[Precio
Unidad de Compra ( $)]]="","",(E978/(H978*I978)))</f>
        <v>131.97</v>
      </c>
      <c r="H978" s="67">
        <v>1</v>
      </c>
      <c r="I978" s="159">
        <v>1</v>
      </c>
      <c r="J978" s="91" t="str">
        <f t="shared" si="24"/>
        <v>H_319</v>
      </c>
      <c r="K978" s="92"/>
    </row>
    <row r="979" spans="1:11">
      <c r="A979" s="60">
        <f t="shared" si="25"/>
        <v>320</v>
      </c>
      <c r="B979" s="61" t="s">
        <v>803</v>
      </c>
      <c r="C979" s="83" t="s">
        <v>53</v>
      </c>
      <c r="D979" s="63" t="s">
        <v>115</v>
      </c>
      <c r="E979" s="64">
        <v>131.97</v>
      </c>
      <c r="F979" s="65" t="s">
        <v>115</v>
      </c>
      <c r="G979" s="66">
        <f>IF(Tabla9[[#This Row],[Precio
Unidad de Compra ( $)]]="","",(E979/(H979*I979)))</f>
        <v>131.97</v>
      </c>
      <c r="H979" s="67">
        <v>1</v>
      </c>
      <c r="I979" s="159">
        <v>1</v>
      </c>
      <c r="J979" s="91" t="str">
        <f t="shared" si="24"/>
        <v>H_320</v>
      </c>
      <c r="K979" s="92"/>
    </row>
    <row r="980" spans="1:11">
      <c r="A980" s="60">
        <f t="shared" si="25"/>
        <v>321</v>
      </c>
      <c r="B980" s="61" t="s">
        <v>804</v>
      </c>
      <c r="C980" s="83" t="s">
        <v>53</v>
      </c>
      <c r="D980" s="63" t="s">
        <v>115</v>
      </c>
      <c r="E980" s="64">
        <v>131.97</v>
      </c>
      <c r="F980" s="65" t="s">
        <v>115</v>
      </c>
      <c r="G980" s="66">
        <f>IF(Tabla9[[#This Row],[Precio
Unidad de Compra ( $)]]="","",(E980/(H980*I980)))</f>
        <v>131.97</v>
      </c>
      <c r="H980" s="67">
        <v>1</v>
      </c>
      <c r="I980" s="159">
        <v>1</v>
      </c>
      <c r="J980" s="91" t="str">
        <f t="shared" ref="J980:J1043" si="26">IFERROR(CONCATENATE(LEFT(C980,1),"_",TEXT(A980,"000")),"")</f>
        <v>H_321</v>
      </c>
      <c r="K980" s="92"/>
    </row>
    <row r="981" spans="1:11">
      <c r="A981" s="60">
        <f t="shared" ref="A981:A1044" si="27">A980+1</f>
        <v>322</v>
      </c>
      <c r="B981" s="61" t="s">
        <v>805</v>
      </c>
      <c r="C981" s="83" t="s">
        <v>53</v>
      </c>
      <c r="D981" s="63" t="s">
        <v>115</v>
      </c>
      <c r="E981" s="64">
        <v>131.97</v>
      </c>
      <c r="F981" s="65" t="s">
        <v>115</v>
      </c>
      <c r="G981" s="66">
        <f>IF(Tabla9[[#This Row],[Precio
Unidad de Compra ( $)]]="","",(E981/(H981*I981)))</f>
        <v>131.97</v>
      </c>
      <c r="H981" s="67">
        <v>1</v>
      </c>
      <c r="I981" s="159">
        <v>1</v>
      </c>
      <c r="J981" s="91" t="str">
        <f t="shared" si="26"/>
        <v>H_322</v>
      </c>
      <c r="K981" s="92"/>
    </row>
    <row r="982" spans="1:11">
      <c r="A982" s="60">
        <f t="shared" si="27"/>
        <v>323</v>
      </c>
      <c r="B982" s="61" t="s">
        <v>806</v>
      </c>
      <c r="C982" s="83" t="s">
        <v>53</v>
      </c>
      <c r="D982" s="63" t="s">
        <v>115</v>
      </c>
      <c r="E982" s="64">
        <v>131.97</v>
      </c>
      <c r="F982" s="65" t="s">
        <v>115</v>
      </c>
      <c r="G982" s="66">
        <f>IF(Tabla9[[#This Row],[Precio
Unidad de Compra ( $)]]="","",(E982/(H982*I982)))</f>
        <v>131.97</v>
      </c>
      <c r="H982" s="67">
        <v>1</v>
      </c>
      <c r="I982" s="159">
        <v>1</v>
      </c>
      <c r="J982" s="91" t="str">
        <f t="shared" si="26"/>
        <v>H_323</v>
      </c>
      <c r="K982" s="92"/>
    </row>
    <row r="983" spans="1:11">
      <c r="A983" s="60">
        <f t="shared" si="27"/>
        <v>324</v>
      </c>
      <c r="B983" s="61" t="s">
        <v>807</v>
      </c>
      <c r="C983" s="83" t="s">
        <v>53</v>
      </c>
      <c r="D983" s="63" t="s">
        <v>115</v>
      </c>
      <c r="E983" s="64">
        <v>131.97</v>
      </c>
      <c r="F983" s="157" t="s">
        <v>115</v>
      </c>
      <c r="G983" s="66">
        <f>IF(Tabla9[[#This Row],[Precio
Unidad de Compra ( $)]]="","",(E983/(H983*I983)))</f>
        <v>131.97</v>
      </c>
      <c r="H983" s="67">
        <v>1</v>
      </c>
      <c r="I983" s="159">
        <v>1</v>
      </c>
      <c r="J983" s="91" t="str">
        <f t="shared" si="26"/>
        <v>H_324</v>
      </c>
      <c r="K983" s="92"/>
    </row>
    <row r="984" spans="1:11">
      <c r="A984" s="60">
        <f t="shared" si="27"/>
        <v>325</v>
      </c>
      <c r="B984" s="61" t="s">
        <v>808</v>
      </c>
      <c r="C984" s="83" t="s">
        <v>53</v>
      </c>
      <c r="D984" s="63" t="s">
        <v>115</v>
      </c>
      <c r="E984" s="64">
        <v>131.97</v>
      </c>
      <c r="F984" s="65" t="s">
        <v>115</v>
      </c>
      <c r="G984" s="66">
        <f>IF(Tabla9[[#This Row],[Precio
Unidad de Compra ( $)]]="","",(E984/(H984*I984)))</f>
        <v>131.97</v>
      </c>
      <c r="H984" s="67">
        <v>1</v>
      </c>
      <c r="I984" s="159">
        <v>1</v>
      </c>
      <c r="J984" s="91" t="str">
        <f t="shared" si="26"/>
        <v>H_325</v>
      </c>
      <c r="K984" s="92"/>
    </row>
    <row r="985" spans="1:11">
      <c r="A985" s="60">
        <f t="shared" si="27"/>
        <v>326</v>
      </c>
      <c r="B985" s="61" t="s">
        <v>809</v>
      </c>
      <c r="C985" s="83" t="s">
        <v>53</v>
      </c>
      <c r="D985" s="63" t="s">
        <v>115</v>
      </c>
      <c r="E985" s="64">
        <v>131.97</v>
      </c>
      <c r="F985" s="65" t="s">
        <v>115</v>
      </c>
      <c r="G985" s="66">
        <f>IF(Tabla9[[#This Row],[Precio
Unidad de Compra ( $)]]="","",(E985/(H985*I985)))</f>
        <v>131.97</v>
      </c>
      <c r="H985" s="67">
        <v>1</v>
      </c>
      <c r="I985" s="159">
        <v>1</v>
      </c>
      <c r="J985" s="91" t="str">
        <f t="shared" si="26"/>
        <v>H_326</v>
      </c>
      <c r="K985" s="92"/>
    </row>
    <row r="986" spans="1:11">
      <c r="A986" s="60">
        <f t="shared" si="27"/>
        <v>327</v>
      </c>
      <c r="B986" s="61" t="s">
        <v>810</v>
      </c>
      <c r="C986" s="83" t="s">
        <v>53</v>
      </c>
      <c r="D986" s="63" t="s">
        <v>115</v>
      </c>
      <c r="E986" s="64">
        <v>131.97</v>
      </c>
      <c r="F986" s="65" t="s">
        <v>115</v>
      </c>
      <c r="G986" s="66">
        <f>IF(Tabla9[[#This Row],[Precio
Unidad de Compra ( $)]]="","",(E986/(H986*I986)))</f>
        <v>131.97</v>
      </c>
      <c r="H986" s="67">
        <v>1</v>
      </c>
      <c r="I986" s="159">
        <v>1</v>
      </c>
      <c r="J986" s="91" t="str">
        <f t="shared" si="26"/>
        <v>H_327</v>
      </c>
      <c r="K986" s="92"/>
    </row>
    <row r="987" spans="1:11">
      <c r="A987" s="60">
        <f t="shared" si="27"/>
        <v>328</v>
      </c>
      <c r="B987" s="61" t="s">
        <v>811</v>
      </c>
      <c r="C987" s="83" t="s">
        <v>53</v>
      </c>
      <c r="D987" s="63" t="s">
        <v>115</v>
      </c>
      <c r="E987" s="156">
        <v>131.97</v>
      </c>
      <c r="F987" s="157" t="s">
        <v>115</v>
      </c>
      <c r="G987" s="66">
        <f>IF(Tabla9[[#This Row],[Precio
Unidad de Compra ( $)]]="","",(E987/(H987*I987)))</f>
        <v>131.97</v>
      </c>
      <c r="H987" s="67">
        <v>1</v>
      </c>
      <c r="I987" s="159">
        <v>1</v>
      </c>
      <c r="J987" s="91" t="str">
        <f t="shared" si="26"/>
        <v>H_328</v>
      </c>
      <c r="K987" s="92"/>
    </row>
    <row r="988" spans="1:11">
      <c r="A988" s="60">
        <f t="shared" si="27"/>
        <v>329</v>
      </c>
      <c r="B988" s="61" t="s">
        <v>812</v>
      </c>
      <c r="C988" s="83" t="s">
        <v>53</v>
      </c>
      <c r="D988" s="63" t="s">
        <v>115</v>
      </c>
      <c r="E988" s="64">
        <v>131.97</v>
      </c>
      <c r="F988" s="65" t="s">
        <v>115</v>
      </c>
      <c r="G988" s="66">
        <f>IF(Tabla9[[#This Row],[Precio
Unidad de Compra ( $)]]="","",(E988/(H988*I988)))</f>
        <v>131.97</v>
      </c>
      <c r="H988" s="67">
        <v>1</v>
      </c>
      <c r="I988" s="159">
        <v>1</v>
      </c>
      <c r="J988" s="91" t="str">
        <f t="shared" si="26"/>
        <v>H_329</v>
      </c>
      <c r="K988" s="92"/>
    </row>
    <row r="989" spans="1:11">
      <c r="A989" s="60">
        <f t="shared" si="27"/>
        <v>330</v>
      </c>
      <c r="B989" s="61" t="s">
        <v>813</v>
      </c>
      <c r="C989" s="83" t="s">
        <v>53</v>
      </c>
      <c r="D989" s="63" t="s">
        <v>115</v>
      </c>
      <c r="E989" s="64">
        <v>131.97</v>
      </c>
      <c r="F989" s="65" t="s">
        <v>115</v>
      </c>
      <c r="G989" s="66">
        <f>IF(Tabla9[[#This Row],[Precio
Unidad de Compra ( $)]]="","",(E989/(H989*I989)))</f>
        <v>131.97</v>
      </c>
      <c r="H989" s="67">
        <v>1</v>
      </c>
      <c r="I989" s="159">
        <v>1</v>
      </c>
      <c r="J989" s="91" t="str">
        <f t="shared" si="26"/>
        <v>H_330</v>
      </c>
      <c r="K989" s="92"/>
    </row>
    <row r="990" spans="1:11">
      <c r="A990" s="60">
        <f t="shared" si="27"/>
        <v>331</v>
      </c>
      <c r="B990" s="61" t="s">
        <v>814</v>
      </c>
      <c r="C990" s="83" t="s">
        <v>53</v>
      </c>
      <c r="D990" s="63" t="s">
        <v>115</v>
      </c>
      <c r="E990" s="64">
        <v>131.97</v>
      </c>
      <c r="F990" s="65" t="s">
        <v>115</v>
      </c>
      <c r="G990" s="66">
        <f>IF(Tabla9[[#This Row],[Precio
Unidad de Compra ( $)]]="","",(E990/(H990*I990)))</f>
        <v>131.97</v>
      </c>
      <c r="H990" s="67">
        <v>1</v>
      </c>
      <c r="I990" s="159">
        <v>1</v>
      </c>
      <c r="J990" s="91" t="str">
        <f t="shared" si="26"/>
        <v>H_331</v>
      </c>
      <c r="K990" s="92"/>
    </row>
    <row r="991" spans="1:11">
      <c r="A991" s="60">
        <f t="shared" si="27"/>
        <v>332</v>
      </c>
      <c r="B991" s="61" t="s">
        <v>815</v>
      </c>
      <c r="C991" s="83" t="s">
        <v>53</v>
      </c>
      <c r="D991" s="63" t="s">
        <v>115</v>
      </c>
      <c r="E991" s="64">
        <v>131.97</v>
      </c>
      <c r="F991" s="65" t="s">
        <v>115</v>
      </c>
      <c r="G991" s="66">
        <f>IF(Tabla9[[#This Row],[Precio
Unidad de Compra ( $)]]="","",(E991/(H991*I991)))</f>
        <v>131.97</v>
      </c>
      <c r="H991" s="67">
        <v>1</v>
      </c>
      <c r="I991" s="159">
        <v>1</v>
      </c>
      <c r="J991" s="91" t="str">
        <f t="shared" si="26"/>
        <v>H_332</v>
      </c>
      <c r="K991" s="92"/>
    </row>
    <row r="992" spans="1:11">
      <c r="A992" s="60">
        <f t="shared" si="27"/>
        <v>333</v>
      </c>
      <c r="B992" s="61" t="s">
        <v>816</v>
      </c>
      <c r="C992" s="83" t="s">
        <v>53</v>
      </c>
      <c r="D992" s="63" t="s">
        <v>115</v>
      </c>
      <c r="E992" s="156">
        <v>131.97</v>
      </c>
      <c r="F992" s="157" t="s">
        <v>115</v>
      </c>
      <c r="G992" s="66">
        <f>IF(Tabla9[[#This Row],[Precio
Unidad de Compra ( $)]]="","",(E992/(H992*I992)))</f>
        <v>131.97</v>
      </c>
      <c r="H992" s="67">
        <v>1</v>
      </c>
      <c r="I992" s="159">
        <v>1</v>
      </c>
      <c r="J992" s="91" t="str">
        <f t="shared" si="26"/>
        <v>H_333</v>
      </c>
      <c r="K992" s="92"/>
    </row>
    <row r="993" ht="30" spans="1:11">
      <c r="A993" s="60">
        <f t="shared" si="27"/>
        <v>334</v>
      </c>
      <c r="B993" s="160" t="s">
        <v>817</v>
      </c>
      <c r="C993" s="83" t="s">
        <v>53</v>
      </c>
      <c r="D993" s="63" t="s">
        <v>115</v>
      </c>
      <c r="E993" s="156">
        <v>6957.93</v>
      </c>
      <c r="F993" s="157" t="s">
        <v>115</v>
      </c>
      <c r="G993" s="66">
        <f>IF(Tabla9[[#This Row],[Precio
Unidad de Compra ( $)]]="","",(E993/(H993*I993)))</f>
        <v>6957.93</v>
      </c>
      <c r="H993" s="67">
        <v>1</v>
      </c>
      <c r="I993" s="159">
        <v>1</v>
      </c>
      <c r="J993" s="91" t="str">
        <f t="shared" si="26"/>
        <v>H_334</v>
      </c>
      <c r="K993" s="92"/>
    </row>
    <row r="994" spans="1:11">
      <c r="A994" s="60">
        <f t="shared" si="27"/>
        <v>335</v>
      </c>
      <c r="B994" s="160" t="s">
        <v>818</v>
      </c>
      <c r="C994" s="83" t="s">
        <v>53</v>
      </c>
      <c r="D994" s="63" t="s">
        <v>115</v>
      </c>
      <c r="E994" s="156">
        <v>2563</v>
      </c>
      <c r="F994" s="157" t="s">
        <v>115</v>
      </c>
      <c r="G994" s="66">
        <f>IF(Tabla9[[#This Row],[Precio
Unidad de Compra ( $)]]="","",(E994/(H994*I994)))</f>
        <v>2563</v>
      </c>
      <c r="H994" s="67">
        <v>1</v>
      </c>
      <c r="I994" s="159">
        <v>1</v>
      </c>
      <c r="J994" s="91" t="str">
        <f t="shared" si="26"/>
        <v>H_335</v>
      </c>
      <c r="K994" s="92"/>
    </row>
    <row r="995" spans="1:11">
      <c r="A995" s="60">
        <f t="shared" si="27"/>
        <v>336</v>
      </c>
      <c r="B995" s="160" t="s">
        <v>819</v>
      </c>
      <c r="C995" s="83" t="s">
        <v>53</v>
      </c>
      <c r="D995" s="63" t="s">
        <v>115</v>
      </c>
      <c r="E995" s="156">
        <v>2563</v>
      </c>
      <c r="F995" s="157" t="s">
        <v>115</v>
      </c>
      <c r="G995" s="66">
        <f>IF(Tabla9[[#This Row],[Precio
Unidad de Compra ( $)]]="","",(E995/(H995*I995)))</f>
        <v>2563</v>
      </c>
      <c r="H995" s="67">
        <v>1</v>
      </c>
      <c r="I995" s="159">
        <v>1</v>
      </c>
      <c r="J995" s="91" t="str">
        <f t="shared" si="26"/>
        <v>H_336</v>
      </c>
      <c r="K995" s="92"/>
    </row>
    <row r="996" ht="30" spans="1:11">
      <c r="A996" s="60">
        <f t="shared" si="27"/>
        <v>337</v>
      </c>
      <c r="B996" s="160" t="s">
        <v>820</v>
      </c>
      <c r="C996" s="83" t="s">
        <v>53</v>
      </c>
      <c r="D996" s="63" t="s">
        <v>115</v>
      </c>
      <c r="E996" s="156">
        <v>2563</v>
      </c>
      <c r="F996" s="157" t="s">
        <v>115</v>
      </c>
      <c r="G996" s="66">
        <f>IF(Tabla9[[#This Row],[Precio
Unidad de Compra ( $)]]="","",(E996/(H996*I996)))</f>
        <v>2563</v>
      </c>
      <c r="H996" s="67">
        <v>1</v>
      </c>
      <c r="I996" s="159">
        <v>1</v>
      </c>
      <c r="J996" s="91" t="str">
        <f t="shared" si="26"/>
        <v>H_337</v>
      </c>
      <c r="K996" s="92"/>
    </row>
    <row r="997" spans="1:11">
      <c r="A997" s="60">
        <f t="shared" si="27"/>
        <v>338</v>
      </c>
      <c r="B997" s="160" t="s">
        <v>821</v>
      </c>
      <c r="C997" s="83" t="s">
        <v>53</v>
      </c>
      <c r="D997" s="63" t="s">
        <v>115</v>
      </c>
      <c r="E997" s="156">
        <v>2563</v>
      </c>
      <c r="F997" s="157" t="s">
        <v>115</v>
      </c>
      <c r="G997" s="66">
        <f>IF(Tabla9[[#This Row],[Precio
Unidad de Compra ( $)]]="","",(E997/(H997*I997)))</f>
        <v>2563</v>
      </c>
      <c r="H997" s="67">
        <v>1</v>
      </c>
      <c r="I997" s="159">
        <v>1</v>
      </c>
      <c r="J997" s="91" t="str">
        <f t="shared" si="26"/>
        <v>H_338</v>
      </c>
      <c r="K997" s="92"/>
    </row>
    <row r="998" ht="30" spans="1:11">
      <c r="A998" s="60">
        <f t="shared" si="27"/>
        <v>339</v>
      </c>
      <c r="B998" s="160" t="s">
        <v>822</v>
      </c>
      <c r="C998" s="83" t="s">
        <v>53</v>
      </c>
      <c r="D998" s="63" t="s">
        <v>115</v>
      </c>
      <c r="E998" s="156">
        <v>2885.5</v>
      </c>
      <c r="F998" s="157" t="s">
        <v>115</v>
      </c>
      <c r="G998" s="66">
        <f>IF(Tabla9[[#This Row],[Precio
Unidad de Compra ( $)]]="","",(E998/(H998*I998)))</f>
        <v>2885.5</v>
      </c>
      <c r="H998" s="67">
        <v>1</v>
      </c>
      <c r="I998" s="159">
        <v>1</v>
      </c>
      <c r="J998" s="91" t="str">
        <f t="shared" si="26"/>
        <v>H_339</v>
      </c>
      <c r="K998" s="92"/>
    </row>
    <row r="999" ht="30" spans="1:11">
      <c r="A999" s="60">
        <f t="shared" si="27"/>
        <v>340</v>
      </c>
      <c r="B999" s="160" t="s">
        <v>823</v>
      </c>
      <c r="C999" s="83" t="s">
        <v>53</v>
      </c>
      <c r="D999" s="63" t="s">
        <v>115</v>
      </c>
      <c r="E999" s="156">
        <v>2885.5</v>
      </c>
      <c r="F999" s="157" t="s">
        <v>115</v>
      </c>
      <c r="G999" s="66">
        <f>IF(Tabla9[[#This Row],[Precio
Unidad de Compra ( $)]]="","",(E999/(H999*I999)))</f>
        <v>2885.5</v>
      </c>
      <c r="H999" s="67">
        <v>1</v>
      </c>
      <c r="I999" s="159">
        <v>1</v>
      </c>
      <c r="J999" s="91" t="str">
        <f t="shared" si="26"/>
        <v>H_340</v>
      </c>
      <c r="K999" s="92"/>
    </row>
    <row r="1000" ht="30" spans="1:11">
      <c r="A1000" s="60">
        <f t="shared" si="27"/>
        <v>341</v>
      </c>
      <c r="B1000" s="160" t="s">
        <v>824</v>
      </c>
      <c r="C1000" s="83" t="s">
        <v>53</v>
      </c>
      <c r="D1000" s="63" t="s">
        <v>115</v>
      </c>
      <c r="E1000" s="156">
        <v>2885.5</v>
      </c>
      <c r="F1000" s="157" t="s">
        <v>115</v>
      </c>
      <c r="G1000" s="66">
        <f>IF(Tabla9[[#This Row],[Precio
Unidad de Compra ( $)]]="","",(E1000/(H1000*I1000)))</f>
        <v>2885.5</v>
      </c>
      <c r="H1000" s="67">
        <v>1</v>
      </c>
      <c r="I1000" s="159">
        <v>1</v>
      </c>
      <c r="J1000" s="91" t="str">
        <f t="shared" si="26"/>
        <v>H_341</v>
      </c>
      <c r="K1000" s="92"/>
    </row>
    <row r="1001" ht="30" spans="1:11">
      <c r="A1001" s="60">
        <f t="shared" si="27"/>
        <v>342</v>
      </c>
      <c r="B1001" s="160" t="s">
        <v>825</v>
      </c>
      <c r="C1001" s="83" t="s">
        <v>53</v>
      </c>
      <c r="D1001" s="63" t="s">
        <v>115</v>
      </c>
      <c r="E1001" s="156">
        <v>2885.5</v>
      </c>
      <c r="F1001" s="157" t="s">
        <v>115</v>
      </c>
      <c r="G1001" s="66">
        <f>IF(Tabla9[[#This Row],[Precio
Unidad de Compra ( $)]]="","",(E1001/(H1001*I1001)))</f>
        <v>2885.5</v>
      </c>
      <c r="H1001" s="67">
        <v>1</v>
      </c>
      <c r="I1001" s="159">
        <v>1</v>
      </c>
      <c r="J1001" s="91" t="str">
        <f t="shared" si="26"/>
        <v>H_342</v>
      </c>
      <c r="K1001" s="92"/>
    </row>
    <row r="1002" ht="30" spans="1:11">
      <c r="A1002" s="60">
        <f t="shared" si="27"/>
        <v>343</v>
      </c>
      <c r="B1002" s="160" t="s">
        <v>826</v>
      </c>
      <c r="C1002" s="83" t="s">
        <v>53</v>
      </c>
      <c r="D1002" s="63" t="s">
        <v>115</v>
      </c>
      <c r="E1002" s="156">
        <v>2885.5</v>
      </c>
      <c r="F1002" s="157" t="s">
        <v>115</v>
      </c>
      <c r="G1002" s="66">
        <f>IF(Tabla9[[#This Row],[Precio
Unidad de Compra ( $)]]="","",(E1002/(H1002*I1002)))</f>
        <v>2885.5</v>
      </c>
      <c r="H1002" s="67">
        <v>1</v>
      </c>
      <c r="I1002" s="159">
        <v>1</v>
      </c>
      <c r="J1002" s="91" t="str">
        <f t="shared" si="26"/>
        <v>H_343</v>
      </c>
      <c r="K1002" s="92"/>
    </row>
    <row r="1003" ht="30" spans="1:11">
      <c r="A1003" s="60">
        <f t="shared" si="27"/>
        <v>344</v>
      </c>
      <c r="B1003" s="160" t="s">
        <v>827</v>
      </c>
      <c r="C1003" s="83" t="s">
        <v>53</v>
      </c>
      <c r="D1003" s="63" t="s">
        <v>115</v>
      </c>
      <c r="E1003" s="156">
        <v>2885.5</v>
      </c>
      <c r="F1003" s="157" t="s">
        <v>115</v>
      </c>
      <c r="G1003" s="66">
        <f>IF(Tabla9[[#This Row],[Precio
Unidad de Compra ( $)]]="","",(E1003/(H1003*I1003)))</f>
        <v>2885.5</v>
      </c>
      <c r="H1003" s="67">
        <v>1</v>
      </c>
      <c r="I1003" s="159">
        <v>1</v>
      </c>
      <c r="J1003" s="91" t="str">
        <f t="shared" si="26"/>
        <v>H_344</v>
      </c>
      <c r="K1003" s="92"/>
    </row>
    <row r="1004" ht="30" spans="1:11">
      <c r="A1004" s="60">
        <f t="shared" si="27"/>
        <v>345</v>
      </c>
      <c r="B1004" s="160" t="s">
        <v>828</v>
      </c>
      <c r="C1004" s="83" t="s">
        <v>53</v>
      </c>
      <c r="D1004" s="63" t="s">
        <v>115</v>
      </c>
      <c r="E1004" s="156">
        <v>2885.5</v>
      </c>
      <c r="F1004" s="157" t="s">
        <v>115</v>
      </c>
      <c r="G1004" s="66">
        <f>IF(Tabla9[[#This Row],[Precio
Unidad de Compra ( $)]]="","",(E1004/(H1004*I1004)))</f>
        <v>2885.5</v>
      </c>
      <c r="H1004" s="67">
        <v>1</v>
      </c>
      <c r="I1004" s="159">
        <v>1</v>
      </c>
      <c r="J1004" s="91" t="str">
        <f t="shared" si="26"/>
        <v>H_345</v>
      </c>
      <c r="K1004" s="92"/>
    </row>
    <row r="1005" ht="30" spans="1:11">
      <c r="A1005" s="60">
        <f t="shared" si="27"/>
        <v>346</v>
      </c>
      <c r="B1005" s="160" t="s">
        <v>829</v>
      </c>
      <c r="C1005" s="83" t="s">
        <v>53</v>
      </c>
      <c r="D1005" s="63" t="s">
        <v>115</v>
      </c>
      <c r="E1005" s="156">
        <v>2885.5</v>
      </c>
      <c r="F1005" s="157" t="s">
        <v>115</v>
      </c>
      <c r="G1005" s="66">
        <f>IF(Tabla9[[#This Row],[Precio
Unidad de Compra ( $)]]="","",(E1005/(H1005*I1005)))</f>
        <v>2885.5</v>
      </c>
      <c r="H1005" s="67">
        <v>1</v>
      </c>
      <c r="I1005" s="159">
        <v>1</v>
      </c>
      <c r="J1005" s="91" t="str">
        <f t="shared" si="26"/>
        <v>H_346</v>
      </c>
      <c r="K1005" s="92"/>
    </row>
    <row r="1006" ht="30" spans="1:11">
      <c r="A1006" s="60">
        <f t="shared" si="27"/>
        <v>347</v>
      </c>
      <c r="B1006" s="160" t="s">
        <v>830</v>
      </c>
      <c r="C1006" s="83" t="s">
        <v>53</v>
      </c>
      <c r="D1006" s="63" t="s">
        <v>115</v>
      </c>
      <c r="E1006" s="156">
        <v>2785.5</v>
      </c>
      <c r="F1006" s="157" t="s">
        <v>115</v>
      </c>
      <c r="G1006" s="66">
        <f>IF(Tabla9[[#This Row],[Precio
Unidad de Compra ( $)]]="","",(E1006/(H1006*I1006)))</f>
        <v>2785.5</v>
      </c>
      <c r="H1006" s="67">
        <v>1</v>
      </c>
      <c r="I1006" s="159">
        <v>1</v>
      </c>
      <c r="J1006" s="91" t="str">
        <f t="shared" si="26"/>
        <v>H_347</v>
      </c>
      <c r="K1006" s="92"/>
    </row>
    <row r="1007" ht="30" spans="1:11">
      <c r="A1007" s="60">
        <f t="shared" si="27"/>
        <v>348</v>
      </c>
      <c r="B1007" s="160" t="s">
        <v>831</v>
      </c>
      <c r="C1007" s="83" t="s">
        <v>53</v>
      </c>
      <c r="D1007" s="63" t="s">
        <v>115</v>
      </c>
      <c r="E1007" s="156">
        <v>2785.5</v>
      </c>
      <c r="F1007" s="157" t="s">
        <v>115</v>
      </c>
      <c r="G1007" s="66">
        <f>IF(Tabla9[[#This Row],[Precio
Unidad de Compra ( $)]]="","",(E1007/(H1007*I1007)))</f>
        <v>2785.5</v>
      </c>
      <c r="H1007" s="67">
        <v>1</v>
      </c>
      <c r="I1007" s="159">
        <v>1</v>
      </c>
      <c r="J1007" s="91" t="str">
        <f t="shared" si="26"/>
        <v>H_348</v>
      </c>
      <c r="K1007" s="92"/>
    </row>
    <row r="1008" ht="30" spans="1:11">
      <c r="A1008" s="60">
        <f t="shared" si="27"/>
        <v>349</v>
      </c>
      <c r="B1008" s="160" t="s">
        <v>832</v>
      </c>
      <c r="C1008" s="83" t="s">
        <v>53</v>
      </c>
      <c r="D1008" s="63" t="s">
        <v>115</v>
      </c>
      <c r="E1008" s="156">
        <v>1</v>
      </c>
      <c r="F1008" s="157" t="s">
        <v>115</v>
      </c>
      <c r="G1008" s="66">
        <f>IF(Tabla9[[#This Row],[Precio
Unidad de Compra ( $)]]="","",(E1008/(H1008*I1008)))</f>
        <v>1</v>
      </c>
      <c r="H1008" s="67">
        <v>1</v>
      </c>
      <c r="I1008" s="159">
        <v>1</v>
      </c>
      <c r="J1008" s="91" t="str">
        <f t="shared" si="26"/>
        <v>H_349</v>
      </c>
      <c r="K1008" s="92"/>
    </row>
    <row r="1009" ht="30" spans="1:11">
      <c r="A1009" s="60">
        <f t="shared" si="27"/>
        <v>350</v>
      </c>
      <c r="B1009" s="160" t="s">
        <v>833</v>
      </c>
      <c r="C1009" s="83" t="s">
        <v>53</v>
      </c>
      <c r="D1009" s="63" t="s">
        <v>115</v>
      </c>
      <c r="E1009" s="156">
        <v>1200</v>
      </c>
      <c r="F1009" s="157" t="s">
        <v>115</v>
      </c>
      <c r="G1009" s="66">
        <f>IF(Tabla9[[#This Row],[Precio
Unidad de Compra ( $)]]="","",(E1009/(H1009*I1009)))</f>
        <v>1200</v>
      </c>
      <c r="H1009" s="67">
        <v>1</v>
      </c>
      <c r="I1009" s="159">
        <v>1</v>
      </c>
      <c r="J1009" s="91" t="str">
        <f t="shared" si="26"/>
        <v>H_350</v>
      </c>
      <c r="K1009" s="92"/>
    </row>
    <row r="1010" ht="30" spans="1:11">
      <c r="A1010" s="60">
        <f t="shared" si="27"/>
        <v>351</v>
      </c>
      <c r="B1010" s="160" t="s">
        <v>834</v>
      </c>
      <c r="C1010" s="83" t="s">
        <v>53</v>
      </c>
      <c r="D1010" s="63" t="s">
        <v>115</v>
      </c>
      <c r="E1010" s="156">
        <v>1200</v>
      </c>
      <c r="F1010" s="157" t="s">
        <v>115</v>
      </c>
      <c r="G1010" s="66">
        <f>IF(Tabla9[[#This Row],[Precio
Unidad de Compra ( $)]]="","",(E1010/(H1010*I1010)))</f>
        <v>1200</v>
      </c>
      <c r="H1010" s="67">
        <v>1</v>
      </c>
      <c r="I1010" s="159">
        <v>1</v>
      </c>
      <c r="J1010" s="91" t="str">
        <f t="shared" si="26"/>
        <v>H_351</v>
      </c>
      <c r="K1010" s="92"/>
    </row>
    <row r="1011" spans="1:11">
      <c r="A1011" s="60">
        <f t="shared" si="27"/>
        <v>352</v>
      </c>
      <c r="B1011" s="160" t="s">
        <v>835</v>
      </c>
      <c r="C1011" s="83" t="s">
        <v>53</v>
      </c>
      <c r="D1011" s="63" t="s">
        <v>115</v>
      </c>
      <c r="E1011" s="156">
        <v>1200</v>
      </c>
      <c r="F1011" s="157" t="s">
        <v>115</v>
      </c>
      <c r="G1011" s="66">
        <f>IF(Tabla9[[#This Row],[Precio
Unidad de Compra ( $)]]="","",(E1011/(H1011*I1011)))</f>
        <v>1200</v>
      </c>
      <c r="H1011" s="67">
        <v>1</v>
      </c>
      <c r="I1011" s="159">
        <v>1</v>
      </c>
      <c r="J1011" s="91" t="str">
        <f t="shared" si="26"/>
        <v>H_352</v>
      </c>
      <c r="K1011" s="92"/>
    </row>
    <row r="1012" spans="1:11">
      <c r="A1012" s="60">
        <f t="shared" si="27"/>
        <v>353</v>
      </c>
      <c r="B1012" s="160" t="s">
        <v>836</v>
      </c>
      <c r="C1012" s="83" t="s">
        <v>53</v>
      </c>
      <c r="D1012" s="63" t="s">
        <v>115</v>
      </c>
      <c r="E1012" s="156">
        <v>500</v>
      </c>
      <c r="F1012" s="157" t="s">
        <v>115</v>
      </c>
      <c r="G1012" s="66">
        <f>IF(Tabla9[[#This Row],[Precio
Unidad de Compra ( $)]]="","",(E1012/(H1012*I1012)))</f>
        <v>500</v>
      </c>
      <c r="H1012" s="67">
        <v>1</v>
      </c>
      <c r="I1012" s="159">
        <v>1</v>
      </c>
      <c r="J1012" s="91" t="str">
        <f t="shared" si="26"/>
        <v>H_353</v>
      </c>
      <c r="K1012" s="92"/>
    </row>
    <row r="1013" spans="1:11">
      <c r="A1013" s="60">
        <f t="shared" si="27"/>
        <v>354</v>
      </c>
      <c r="B1013" s="160" t="s">
        <v>837</v>
      </c>
      <c r="C1013" s="83" t="s">
        <v>53</v>
      </c>
      <c r="D1013" s="63" t="s">
        <v>115</v>
      </c>
      <c r="E1013" s="156">
        <v>500</v>
      </c>
      <c r="F1013" s="157" t="s">
        <v>115</v>
      </c>
      <c r="G1013" s="66">
        <f>IF(Tabla9[[#This Row],[Precio
Unidad de Compra ( $)]]="","",(E1013/(H1013*I1013)))</f>
        <v>500</v>
      </c>
      <c r="H1013" s="67">
        <v>1</v>
      </c>
      <c r="I1013" s="159">
        <v>1</v>
      </c>
      <c r="J1013" s="91" t="str">
        <f t="shared" si="26"/>
        <v>H_354</v>
      </c>
      <c r="K1013" s="92"/>
    </row>
    <row r="1014" spans="1:11">
      <c r="A1014" s="60">
        <f t="shared" si="27"/>
        <v>355</v>
      </c>
      <c r="B1014" s="160" t="s">
        <v>838</v>
      </c>
      <c r="C1014" s="83" t="s">
        <v>53</v>
      </c>
      <c r="D1014" s="63" t="s">
        <v>115</v>
      </c>
      <c r="E1014" s="156">
        <v>500</v>
      </c>
      <c r="F1014" s="157" t="s">
        <v>115</v>
      </c>
      <c r="G1014" s="66">
        <f>IF(Tabla9[[#This Row],[Precio
Unidad de Compra ( $)]]="","",(E1014/(H1014*I1014)))</f>
        <v>500</v>
      </c>
      <c r="H1014" s="67">
        <v>1</v>
      </c>
      <c r="I1014" s="159">
        <v>1</v>
      </c>
      <c r="J1014" s="91" t="str">
        <f t="shared" si="26"/>
        <v>H_355</v>
      </c>
      <c r="K1014" s="92"/>
    </row>
    <row r="1015" spans="1:11">
      <c r="A1015" s="60">
        <f t="shared" si="27"/>
        <v>356</v>
      </c>
      <c r="B1015" s="160" t="s">
        <v>839</v>
      </c>
      <c r="C1015" s="83" t="s">
        <v>53</v>
      </c>
      <c r="D1015" s="63" t="s">
        <v>115</v>
      </c>
      <c r="E1015" s="156">
        <v>500</v>
      </c>
      <c r="F1015" s="157" t="s">
        <v>115</v>
      </c>
      <c r="G1015" s="66">
        <f>IF(Tabla9[[#This Row],[Precio
Unidad de Compra ( $)]]="","",(E1015/(H1015*I1015)))</f>
        <v>500</v>
      </c>
      <c r="H1015" s="67">
        <v>1</v>
      </c>
      <c r="I1015" s="159">
        <v>1</v>
      </c>
      <c r="J1015" s="91" t="str">
        <f t="shared" si="26"/>
        <v>H_356</v>
      </c>
      <c r="K1015" s="92"/>
    </row>
    <row r="1016" spans="1:11">
      <c r="A1016" s="60">
        <f t="shared" si="27"/>
        <v>357</v>
      </c>
      <c r="B1016" s="160" t="s">
        <v>840</v>
      </c>
      <c r="C1016" s="83" t="s">
        <v>53</v>
      </c>
      <c r="D1016" s="63" t="s">
        <v>115</v>
      </c>
      <c r="E1016" s="156">
        <v>500</v>
      </c>
      <c r="F1016" s="157" t="s">
        <v>115</v>
      </c>
      <c r="G1016" s="66">
        <f>IF(Tabla9[[#This Row],[Precio
Unidad de Compra ( $)]]="","",(E1016/(H1016*I1016)))</f>
        <v>500</v>
      </c>
      <c r="H1016" s="67">
        <v>1</v>
      </c>
      <c r="I1016" s="159">
        <v>1</v>
      </c>
      <c r="J1016" s="91" t="str">
        <f t="shared" si="26"/>
        <v>H_357</v>
      </c>
      <c r="K1016" s="92"/>
    </row>
    <row r="1017" spans="1:11">
      <c r="A1017" s="60">
        <f t="shared" si="27"/>
        <v>358</v>
      </c>
      <c r="B1017" s="160" t="s">
        <v>841</v>
      </c>
      <c r="C1017" s="83" t="s">
        <v>53</v>
      </c>
      <c r="D1017" s="63" t="s">
        <v>115</v>
      </c>
      <c r="E1017" s="156">
        <v>114.24</v>
      </c>
      <c r="F1017" s="157" t="s">
        <v>115</v>
      </c>
      <c r="G1017" s="66">
        <f>IF(Tabla9[[#This Row],[Precio
Unidad de Compra ( $)]]="","",(E1017/(H1017*I1017)))</f>
        <v>114.24</v>
      </c>
      <c r="H1017" s="67">
        <v>1</v>
      </c>
      <c r="I1017" s="159">
        <v>1</v>
      </c>
      <c r="J1017" s="91" t="str">
        <f t="shared" si="26"/>
        <v>H_358</v>
      </c>
      <c r="K1017" s="92"/>
    </row>
    <row r="1018" spans="1:11">
      <c r="A1018" s="60">
        <f t="shared" si="27"/>
        <v>359</v>
      </c>
      <c r="B1018" s="160" t="s">
        <v>842</v>
      </c>
      <c r="C1018" s="83" t="s">
        <v>53</v>
      </c>
      <c r="D1018" s="63" t="s">
        <v>115</v>
      </c>
      <c r="E1018" s="156">
        <v>114.24</v>
      </c>
      <c r="F1018" s="157" t="s">
        <v>115</v>
      </c>
      <c r="G1018" s="66">
        <f>IF(Tabla9[[#This Row],[Precio
Unidad de Compra ( $)]]="","",(E1018/(H1018*I1018)))</f>
        <v>114.24</v>
      </c>
      <c r="H1018" s="67">
        <v>1</v>
      </c>
      <c r="I1018" s="159">
        <v>1</v>
      </c>
      <c r="J1018" s="91" t="str">
        <f t="shared" si="26"/>
        <v>H_359</v>
      </c>
      <c r="K1018" s="92"/>
    </row>
    <row r="1019" spans="1:11">
      <c r="A1019" s="60">
        <f t="shared" si="27"/>
        <v>360</v>
      </c>
      <c r="B1019" s="160" t="s">
        <v>843</v>
      </c>
      <c r="C1019" s="83" t="s">
        <v>53</v>
      </c>
      <c r="D1019" s="63" t="s">
        <v>115</v>
      </c>
      <c r="E1019" s="156">
        <v>114.24</v>
      </c>
      <c r="F1019" s="157" t="s">
        <v>115</v>
      </c>
      <c r="G1019" s="66">
        <f>IF(Tabla9[[#This Row],[Precio
Unidad de Compra ( $)]]="","",(E1019/(H1019*I1019)))</f>
        <v>114.24</v>
      </c>
      <c r="H1019" s="67">
        <v>1</v>
      </c>
      <c r="I1019" s="159">
        <v>1</v>
      </c>
      <c r="J1019" s="91" t="str">
        <f t="shared" si="26"/>
        <v>H_360</v>
      </c>
      <c r="K1019" s="92"/>
    </row>
    <row r="1020" spans="1:11">
      <c r="A1020" s="60">
        <f t="shared" si="27"/>
        <v>361</v>
      </c>
      <c r="B1020" s="160" t="s">
        <v>844</v>
      </c>
      <c r="C1020" s="83" t="s">
        <v>53</v>
      </c>
      <c r="D1020" s="63" t="s">
        <v>115</v>
      </c>
      <c r="E1020" s="156">
        <v>114.24</v>
      </c>
      <c r="F1020" s="157" t="s">
        <v>115</v>
      </c>
      <c r="G1020" s="66">
        <f>IF(Tabla9[[#This Row],[Precio
Unidad de Compra ( $)]]="","",(E1020/(H1020*I1020)))</f>
        <v>114.24</v>
      </c>
      <c r="H1020" s="67">
        <v>1</v>
      </c>
      <c r="I1020" s="159">
        <v>1</v>
      </c>
      <c r="J1020" s="91" t="str">
        <f t="shared" si="26"/>
        <v>H_361</v>
      </c>
      <c r="K1020" s="92"/>
    </row>
    <row r="1021" spans="1:11">
      <c r="A1021" s="60">
        <f t="shared" si="27"/>
        <v>362</v>
      </c>
      <c r="B1021" s="160" t="s">
        <v>845</v>
      </c>
      <c r="C1021" s="83" t="s">
        <v>53</v>
      </c>
      <c r="D1021" s="63" t="s">
        <v>115</v>
      </c>
      <c r="E1021" s="156">
        <v>114.24</v>
      </c>
      <c r="F1021" s="157" t="s">
        <v>115</v>
      </c>
      <c r="G1021" s="66">
        <f>IF(Tabla9[[#This Row],[Precio
Unidad de Compra ( $)]]="","",(E1021/(H1021*I1021)))</f>
        <v>114.24</v>
      </c>
      <c r="H1021" s="67">
        <v>1</v>
      </c>
      <c r="I1021" s="159">
        <v>1</v>
      </c>
      <c r="J1021" s="91" t="str">
        <f t="shared" si="26"/>
        <v>H_362</v>
      </c>
      <c r="K1021" s="92"/>
    </row>
    <row r="1022" spans="1:11">
      <c r="A1022" s="60">
        <f t="shared" si="27"/>
        <v>363</v>
      </c>
      <c r="B1022" s="160" t="s">
        <v>846</v>
      </c>
      <c r="C1022" s="83" t="s">
        <v>53</v>
      </c>
      <c r="D1022" s="63" t="s">
        <v>115</v>
      </c>
      <c r="E1022" s="156">
        <v>114.24</v>
      </c>
      <c r="F1022" s="157" t="s">
        <v>115</v>
      </c>
      <c r="G1022" s="66">
        <f>IF(Tabla9[[#This Row],[Precio
Unidad de Compra ( $)]]="","",(E1022/(H1022*I1022)))</f>
        <v>114.24</v>
      </c>
      <c r="H1022" s="67">
        <v>1</v>
      </c>
      <c r="I1022" s="159">
        <v>1</v>
      </c>
      <c r="J1022" s="91" t="str">
        <f t="shared" si="26"/>
        <v>H_363</v>
      </c>
      <c r="K1022" s="92"/>
    </row>
    <row r="1023" spans="1:11">
      <c r="A1023" s="60">
        <f t="shared" si="27"/>
        <v>364</v>
      </c>
      <c r="B1023" s="160" t="s">
        <v>847</v>
      </c>
      <c r="C1023" s="83" t="s">
        <v>53</v>
      </c>
      <c r="D1023" s="63" t="s">
        <v>115</v>
      </c>
      <c r="E1023" s="156">
        <v>114.24</v>
      </c>
      <c r="F1023" s="157" t="s">
        <v>115</v>
      </c>
      <c r="G1023" s="66">
        <f>IF(Tabla9[[#This Row],[Precio
Unidad de Compra ( $)]]="","",(E1023/(H1023*I1023)))</f>
        <v>114.24</v>
      </c>
      <c r="H1023" s="67">
        <v>1</v>
      </c>
      <c r="I1023" s="159">
        <v>1</v>
      </c>
      <c r="J1023" s="91" t="str">
        <f t="shared" si="26"/>
        <v>H_364</v>
      </c>
      <c r="K1023" s="92"/>
    </row>
    <row r="1024" spans="1:11">
      <c r="A1024" s="60">
        <f t="shared" si="27"/>
        <v>365</v>
      </c>
      <c r="B1024" s="160" t="s">
        <v>848</v>
      </c>
      <c r="C1024" s="83" t="s">
        <v>53</v>
      </c>
      <c r="D1024" s="63" t="s">
        <v>115</v>
      </c>
      <c r="E1024" s="156">
        <v>114.24</v>
      </c>
      <c r="F1024" s="157" t="s">
        <v>115</v>
      </c>
      <c r="G1024" s="66">
        <f>IF(Tabla9[[#This Row],[Precio
Unidad de Compra ( $)]]="","",(E1024/(H1024*I1024)))</f>
        <v>114.24</v>
      </c>
      <c r="H1024" s="67">
        <v>1</v>
      </c>
      <c r="I1024" s="159">
        <v>1</v>
      </c>
      <c r="J1024" s="91" t="str">
        <f t="shared" si="26"/>
        <v>H_365</v>
      </c>
      <c r="K1024" s="92"/>
    </row>
    <row r="1025" spans="1:11">
      <c r="A1025" s="60">
        <f t="shared" si="27"/>
        <v>366</v>
      </c>
      <c r="B1025" s="160" t="s">
        <v>849</v>
      </c>
      <c r="C1025" s="83" t="s">
        <v>53</v>
      </c>
      <c r="D1025" s="63" t="s">
        <v>115</v>
      </c>
      <c r="E1025" s="156">
        <v>114.24</v>
      </c>
      <c r="F1025" s="157" t="s">
        <v>115</v>
      </c>
      <c r="G1025" s="66">
        <f>IF(Tabla9[[#This Row],[Precio
Unidad de Compra ( $)]]="","",(E1025/(H1025*I1025)))</f>
        <v>114.24</v>
      </c>
      <c r="H1025" s="67">
        <v>1</v>
      </c>
      <c r="I1025" s="159">
        <v>1</v>
      </c>
      <c r="J1025" s="91" t="str">
        <f t="shared" si="26"/>
        <v>H_366</v>
      </c>
      <c r="K1025" s="92"/>
    </row>
    <row r="1026" spans="1:11">
      <c r="A1026" s="60">
        <f t="shared" si="27"/>
        <v>367</v>
      </c>
      <c r="B1026" s="160" t="s">
        <v>850</v>
      </c>
      <c r="C1026" s="83" t="s">
        <v>53</v>
      </c>
      <c r="D1026" s="63" t="s">
        <v>115</v>
      </c>
      <c r="E1026" s="156">
        <v>114.24</v>
      </c>
      <c r="F1026" s="157" t="s">
        <v>115</v>
      </c>
      <c r="G1026" s="66">
        <f>IF(Tabla9[[#This Row],[Precio
Unidad de Compra ( $)]]="","",(E1026/(H1026*I1026)))</f>
        <v>114.24</v>
      </c>
      <c r="H1026" s="67">
        <v>1</v>
      </c>
      <c r="I1026" s="159">
        <v>1</v>
      </c>
      <c r="J1026" s="91" t="str">
        <f t="shared" si="26"/>
        <v>H_367</v>
      </c>
      <c r="K1026" s="92"/>
    </row>
    <row r="1027" spans="1:11">
      <c r="A1027" s="60">
        <f t="shared" si="27"/>
        <v>368</v>
      </c>
      <c r="B1027" s="160" t="s">
        <v>851</v>
      </c>
      <c r="C1027" s="83" t="s">
        <v>53</v>
      </c>
      <c r="D1027" s="63" t="s">
        <v>115</v>
      </c>
      <c r="E1027" s="156">
        <v>114.24</v>
      </c>
      <c r="F1027" s="157" t="s">
        <v>115</v>
      </c>
      <c r="G1027" s="66">
        <f>IF(Tabla9[[#This Row],[Precio
Unidad de Compra ( $)]]="","",(E1027/(H1027*I1027)))</f>
        <v>114.24</v>
      </c>
      <c r="H1027" s="67">
        <v>1</v>
      </c>
      <c r="I1027" s="159">
        <v>1</v>
      </c>
      <c r="J1027" s="91" t="str">
        <f t="shared" si="26"/>
        <v>H_368</v>
      </c>
      <c r="K1027" s="92"/>
    </row>
    <row r="1028" spans="1:11">
      <c r="A1028" s="60">
        <f t="shared" si="27"/>
        <v>369</v>
      </c>
      <c r="B1028" s="160" t="s">
        <v>852</v>
      </c>
      <c r="C1028" s="83" t="s">
        <v>53</v>
      </c>
      <c r="D1028" s="63" t="s">
        <v>115</v>
      </c>
      <c r="E1028" s="156">
        <v>114.24</v>
      </c>
      <c r="F1028" s="157" t="s">
        <v>115</v>
      </c>
      <c r="G1028" s="66">
        <f>IF(Tabla9[[#This Row],[Precio
Unidad de Compra ( $)]]="","",(E1028/(H1028*I1028)))</f>
        <v>114.24</v>
      </c>
      <c r="H1028" s="67">
        <v>1</v>
      </c>
      <c r="I1028" s="159">
        <v>1</v>
      </c>
      <c r="J1028" s="91" t="str">
        <f t="shared" si="26"/>
        <v>H_369</v>
      </c>
      <c r="K1028" s="92"/>
    </row>
    <row r="1029" spans="1:11">
      <c r="A1029" s="60">
        <f t="shared" si="27"/>
        <v>370</v>
      </c>
      <c r="B1029" s="160" t="s">
        <v>853</v>
      </c>
      <c r="C1029" s="83" t="s">
        <v>53</v>
      </c>
      <c r="D1029" s="63" t="s">
        <v>115</v>
      </c>
      <c r="E1029" s="156">
        <v>114.24</v>
      </c>
      <c r="F1029" s="157" t="s">
        <v>115</v>
      </c>
      <c r="G1029" s="66">
        <f>IF(Tabla9[[#This Row],[Precio
Unidad de Compra ( $)]]="","",(E1029/(H1029*I1029)))</f>
        <v>114.24</v>
      </c>
      <c r="H1029" s="67">
        <v>1</v>
      </c>
      <c r="I1029" s="159">
        <v>1</v>
      </c>
      <c r="J1029" s="91" t="str">
        <f t="shared" si="26"/>
        <v>H_370</v>
      </c>
      <c r="K1029" s="92"/>
    </row>
    <row r="1030" spans="1:11">
      <c r="A1030" s="60">
        <f t="shared" si="27"/>
        <v>371</v>
      </c>
      <c r="B1030" s="160" t="s">
        <v>854</v>
      </c>
      <c r="C1030" s="83" t="s">
        <v>53</v>
      </c>
      <c r="D1030" s="63" t="s">
        <v>115</v>
      </c>
      <c r="E1030" s="156">
        <v>114.24</v>
      </c>
      <c r="F1030" s="157" t="s">
        <v>115</v>
      </c>
      <c r="G1030" s="66">
        <f>IF(Tabla9[[#This Row],[Precio
Unidad de Compra ( $)]]="","",(E1030/(H1030*I1030)))</f>
        <v>114.24</v>
      </c>
      <c r="H1030" s="67">
        <v>1</v>
      </c>
      <c r="I1030" s="159">
        <v>1</v>
      </c>
      <c r="J1030" s="91" t="str">
        <f t="shared" si="26"/>
        <v>H_371</v>
      </c>
      <c r="K1030" s="92"/>
    </row>
    <row r="1031" spans="1:11">
      <c r="A1031" s="60">
        <f t="shared" si="27"/>
        <v>372</v>
      </c>
      <c r="B1031" s="160" t="s">
        <v>855</v>
      </c>
      <c r="C1031" s="83" t="s">
        <v>53</v>
      </c>
      <c r="D1031" s="63" t="s">
        <v>115</v>
      </c>
      <c r="E1031" s="156">
        <v>1800</v>
      </c>
      <c r="F1031" s="157" t="s">
        <v>115</v>
      </c>
      <c r="G1031" s="66">
        <f>IF(Tabla9[[#This Row],[Precio
Unidad de Compra ( $)]]="","",(E1031/(H1031*I1031)))</f>
        <v>1800</v>
      </c>
      <c r="H1031" s="67">
        <v>1</v>
      </c>
      <c r="I1031" s="159">
        <v>1</v>
      </c>
      <c r="J1031" s="91" t="str">
        <f t="shared" si="26"/>
        <v>H_372</v>
      </c>
      <c r="K1031" s="92"/>
    </row>
    <row r="1032" spans="1:11">
      <c r="A1032" s="60">
        <f t="shared" si="27"/>
        <v>373</v>
      </c>
      <c r="B1032" s="160" t="s">
        <v>856</v>
      </c>
      <c r="C1032" s="83" t="s">
        <v>53</v>
      </c>
      <c r="D1032" s="63" t="s">
        <v>115</v>
      </c>
      <c r="E1032" s="156">
        <v>546</v>
      </c>
      <c r="F1032" s="157" t="s">
        <v>115</v>
      </c>
      <c r="G1032" s="66">
        <f>IF(Tabla9[[#This Row],[Precio
Unidad de Compra ( $)]]="","",(E1032/(H1032*I1032)))</f>
        <v>546</v>
      </c>
      <c r="H1032" s="67">
        <v>1</v>
      </c>
      <c r="I1032" s="159">
        <v>1</v>
      </c>
      <c r="J1032" s="91" t="str">
        <f t="shared" si="26"/>
        <v>H_373</v>
      </c>
      <c r="K1032" s="92"/>
    </row>
    <row r="1033" spans="1:11">
      <c r="A1033" s="60">
        <f t="shared" si="27"/>
        <v>374</v>
      </c>
      <c r="B1033" s="160" t="s">
        <v>857</v>
      </c>
      <c r="C1033" s="83" t="s">
        <v>53</v>
      </c>
      <c r="D1033" s="63" t="s">
        <v>115</v>
      </c>
      <c r="E1033" s="156">
        <v>114.24</v>
      </c>
      <c r="F1033" s="157" t="s">
        <v>115</v>
      </c>
      <c r="G1033" s="66">
        <f>IF(Tabla9[[#This Row],[Precio
Unidad de Compra ( $)]]="","",(E1033/(H1033*I1033)))</f>
        <v>114.24</v>
      </c>
      <c r="H1033" s="67">
        <v>1</v>
      </c>
      <c r="I1033" s="159">
        <v>1</v>
      </c>
      <c r="J1033" s="91" t="str">
        <f t="shared" si="26"/>
        <v>H_374</v>
      </c>
      <c r="K1033" s="92"/>
    </row>
    <row r="1034" spans="1:11">
      <c r="A1034" s="60">
        <f t="shared" si="27"/>
        <v>375</v>
      </c>
      <c r="B1034" s="160" t="s">
        <v>858</v>
      </c>
      <c r="C1034" s="83" t="s">
        <v>53</v>
      </c>
      <c r="D1034" s="63" t="s">
        <v>115</v>
      </c>
      <c r="E1034" s="156">
        <v>114.24</v>
      </c>
      <c r="F1034" s="157" t="s">
        <v>115</v>
      </c>
      <c r="G1034" s="66">
        <f>IF(Tabla9[[#This Row],[Precio
Unidad de Compra ( $)]]="","",(E1034/(H1034*I1034)))</f>
        <v>114.24</v>
      </c>
      <c r="H1034" s="67">
        <v>1</v>
      </c>
      <c r="I1034" s="159">
        <v>1</v>
      </c>
      <c r="J1034" s="91" t="str">
        <f t="shared" si="26"/>
        <v>H_375</v>
      </c>
      <c r="K1034" s="92"/>
    </row>
    <row r="1035" spans="1:11">
      <c r="A1035" s="60">
        <f t="shared" si="27"/>
        <v>376</v>
      </c>
      <c r="B1035" s="160" t="s">
        <v>859</v>
      </c>
      <c r="C1035" s="83" t="s">
        <v>53</v>
      </c>
      <c r="D1035" s="63" t="s">
        <v>115</v>
      </c>
      <c r="E1035" s="156">
        <v>114.24</v>
      </c>
      <c r="F1035" s="157" t="s">
        <v>115</v>
      </c>
      <c r="G1035" s="66">
        <f>IF(Tabla9[[#This Row],[Precio
Unidad de Compra ( $)]]="","",(E1035/(H1035*I1035)))</f>
        <v>114.24</v>
      </c>
      <c r="H1035" s="67">
        <v>1</v>
      </c>
      <c r="I1035" s="159">
        <v>1</v>
      </c>
      <c r="J1035" s="91" t="str">
        <f t="shared" si="26"/>
        <v>H_376</v>
      </c>
      <c r="K1035" s="92"/>
    </row>
    <row r="1036" spans="1:11">
      <c r="A1036" s="60">
        <f t="shared" si="27"/>
        <v>377</v>
      </c>
      <c r="B1036" s="160" t="s">
        <v>860</v>
      </c>
      <c r="C1036" s="83" t="s">
        <v>53</v>
      </c>
      <c r="D1036" s="63" t="s">
        <v>115</v>
      </c>
      <c r="E1036" s="156">
        <v>114.24</v>
      </c>
      <c r="F1036" s="157" t="s">
        <v>115</v>
      </c>
      <c r="G1036" s="66">
        <f>IF(Tabla9[[#This Row],[Precio
Unidad de Compra ( $)]]="","",(E1036/(H1036*I1036)))</f>
        <v>114.24</v>
      </c>
      <c r="H1036" s="67">
        <v>1</v>
      </c>
      <c r="I1036" s="159">
        <v>1</v>
      </c>
      <c r="J1036" s="91" t="str">
        <f t="shared" si="26"/>
        <v>H_377</v>
      </c>
      <c r="K1036" s="92"/>
    </row>
    <row r="1037" spans="1:11">
      <c r="A1037" s="60">
        <f t="shared" si="27"/>
        <v>378</v>
      </c>
      <c r="B1037" s="160" t="s">
        <v>861</v>
      </c>
      <c r="C1037" s="83" t="s">
        <v>53</v>
      </c>
      <c r="D1037" s="63" t="s">
        <v>115</v>
      </c>
      <c r="E1037" s="156">
        <v>114.24</v>
      </c>
      <c r="F1037" s="157" t="s">
        <v>115</v>
      </c>
      <c r="G1037" s="66">
        <f>IF(Tabla9[[#This Row],[Precio
Unidad de Compra ( $)]]="","",(E1037/(H1037*I1037)))</f>
        <v>114.24</v>
      </c>
      <c r="H1037" s="67">
        <v>1</v>
      </c>
      <c r="I1037" s="159">
        <v>1</v>
      </c>
      <c r="J1037" s="91" t="str">
        <f t="shared" si="26"/>
        <v>H_378</v>
      </c>
      <c r="K1037" s="92"/>
    </row>
    <row r="1038" spans="1:11">
      <c r="A1038" s="60">
        <f t="shared" si="27"/>
        <v>379</v>
      </c>
      <c r="B1038" s="160" t="s">
        <v>862</v>
      </c>
      <c r="C1038" s="83" t="s">
        <v>53</v>
      </c>
      <c r="D1038" s="63" t="s">
        <v>115</v>
      </c>
      <c r="E1038" s="156">
        <v>114.24</v>
      </c>
      <c r="F1038" s="157" t="s">
        <v>115</v>
      </c>
      <c r="G1038" s="66">
        <f>IF(Tabla9[[#This Row],[Precio
Unidad de Compra ( $)]]="","",(E1038/(H1038*I1038)))</f>
        <v>114.24</v>
      </c>
      <c r="H1038" s="67">
        <v>1</v>
      </c>
      <c r="I1038" s="159">
        <v>1</v>
      </c>
      <c r="J1038" s="91" t="str">
        <f t="shared" si="26"/>
        <v>H_379</v>
      </c>
      <c r="K1038" s="92"/>
    </row>
    <row r="1039" spans="1:11">
      <c r="A1039" s="60">
        <f t="shared" si="27"/>
        <v>380</v>
      </c>
      <c r="B1039" s="160" t="s">
        <v>863</v>
      </c>
      <c r="C1039" s="83" t="s">
        <v>53</v>
      </c>
      <c r="D1039" s="63" t="s">
        <v>115</v>
      </c>
      <c r="E1039" s="156">
        <v>114.24</v>
      </c>
      <c r="F1039" s="157" t="s">
        <v>115</v>
      </c>
      <c r="G1039" s="66">
        <f>IF(Tabla9[[#This Row],[Precio
Unidad de Compra ( $)]]="","",(E1039/(H1039*I1039)))</f>
        <v>114.24</v>
      </c>
      <c r="H1039" s="67">
        <v>1</v>
      </c>
      <c r="I1039" s="159">
        <v>1</v>
      </c>
      <c r="J1039" s="91" t="str">
        <f t="shared" si="26"/>
        <v>H_380</v>
      </c>
      <c r="K1039" s="92"/>
    </row>
    <row r="1040" spans="1:11">
      <c r="A1040" s="60">
        <f t="shared" si="27"/>
        <v>381</v>
      </c>
      <c r="B1040" s="160" t="s">
        <v>864</v>
      </c>
      <c r="C1040" s="83" t="s">
        <v>53</v>
      </c>
      <c r="D1040" s="63" t="s">
        <v>115</v>
      </c>
      <c r="E1040" s="156">
        <v>114.24</v>
      </c>
      <c r="F1040" s="157" t="s">
        <v>115</v>
      </c>
      <c r="G1040" s="66">
        <f>IF(Tabla9[[#This Row],[Precio
Unidad de Compra ( $)]]="","",(E1040/(H1040*I1040)))</f>
        <v>114.24</v>
      </c>
      <c r="H1040" s="67">
        <v>1</v>
      </c>
      <c r="I1040" s="159">
        <v>1</v>
      </c>
      <c r="J1040" s="91" t="str">
        <f t="shared" si="26"/>
        <v>H_381</v>
      </c>
      <c r="K1040" s="92"/>
    </row>
    <row r="1041" spans="1:11">
      <c r="A1041" s="60">
        <f t="shared" si="27"/>
        <v>382</v>
      </c>
      <c r="B1041" s="160" t="s">
        <v>865</v>
      </c>
      <c r="C1041" s="83" t="s">
        <v>53</v>
      </c>
      <c r="D1041" s="63" t="s">
        <v>115</v>
      </c>
      <c r="E1041" s="156">
        <v>114.24</v>
      </c>
      <c r="F1041" s="157" t="s">
        <v>115</v>
      </c>
      <c r="G1041" s="66">
        <f>IF(Tabla9[[#This Row],[Precio
Unidad de Compra ( $)]]="","",(E1041/(H1041*I1041)))</f>
        <v>114.24</v>
      </c>
      <c r="H1041" s="67">
        <v>1</v>
      </c>
      <c r="I1041" s="159">
        <v>1</v>
      </c>
      <c r="J1041" s="91" t="str">
        <f t="shared" si="26"/>
        <v>H_382</v>
      </c>
      <c r="K1041" s="92"/>
    </row>
    <row r="1042" spans="1:11">
      <c r="A1042" s="60">
        <f t="shared" si="27"/>
        <v>383</v>
      </c>
      <c r="B1042" s="160" t="s">
        <v>866</v>
      </c>
      <c r="C1042" s="83" t="s">
        <v>53</v>
      </c>
      <c r="D1042" s="63" t="s">
        <v>115</v>
      </c>
      <c r="E1042" s="156">
        <v>114.24</v>
      </c>
      <c r="F1042" s="157" t="s">
        <v>115</v>
      </c>
      <c r="G1042" s="66">
        <f>IF(Tabla9[[#This Row],[Precio
Unidad de Compra ( $)]]="","",(E1042/(H1042*I1042)))</f>
        <v>114.24</v>
      </c>
      <c r="H1042" s="67">
        <v>1</v>
      </c>
      <c r="I1042" s="159">
        <v>1</v>
      </c>
      <c r="J1042" s="91" t="str">
        <f t="shared" si="26"/>
        <v>H_383</v>
      </c>
      <c r="K1042" s="92"/>
    </row>
    <row r="1043" spans="1:11">
      <c r="A1043" s="60">
        <f t="shared" si="27"/>
        <v>384</v>
      </c>
      <c r="B1043" s="160" t="s">
        <v>867</v>
      </c>
      <c r="C1043" s="83" t="s">
        <v>53</v>
      </c>
      <c r="D1043" s="63" t="s">
        <v>115</v>
      </c>
      <c r="E1043" s="156">
        <v>1550</v>
      </c>
      <c r="F1043" s="157" t="s">
        <v>115</v>
      </c>
      <c r="G1043" s="66">
        <f>IF(Tabla9[[#This Row],[Precio
Unidad de Compra ( $)]]="","",(E1043/(H1043*I1043)))</f>
        <v>1550</v>
      </c>
      <c r="H1043" s="67">
        <v>1</v>
      </c>
      <c r="I1043" s="159">
        <v>1</v>
      </c>
      <c r="J1043" s="91" t="str">
        <f t="shared" si="26"/>
        <v>H_384</v>
      </c>
      <c r="K1043" s="92"/>
    </row>
    <row r="1044" ht="30" spans="1:11">
      <c r="A1044" s="60">
        <f t="shared" si="27"/>
        <v>385</v>
      </c>
      <c r="B1044" s="160" t="s">
        <v>868</v>
      </c>
      <c r="C1044" s="83" t="s">
        <v>53</v>
      </c>
      <c r="D1044" s="63" t="s">
        <v>115</v>
      </c>
      <c r="E1044" s="156">
        <v>1550</v>
      </c>
      <c r="F1044" s="157" t="s">
        <v>115</v>
      </c>
      <c r="G1044" s="66">
        <f>IF(Tabla9[[#This Row],[Precio
Unidad de Compra ( $)]]="","",(E1044/(H1044*I1044)))</f>
        <v>1550</v>
      </c>
      <c r="H1044" s="67">
        <v>1</v>
      </c>
      <c r="I1044" s="159">
        <v>1</v>
      </c>
      <c r="J1044" s="91" t="str">
        <f t="shared" ref="J1044:J1080" si="28">IFERROR(CONCATENATE(LEFT(C1044,1),"_",TEXT(A1044,"000")),"")</f>
        <v>H_385</v>
      </c>
      <c r="K1044" s="92"/>
    </row>
    <row r="1045" ht="30" spans="1:11">
      <c r="A1045" s="60">
        <f t="shared" ref="A1045:A1080" si="29">A1044+1</f>
        <v>386</v>
      </c>
      <c r="B1045" s="160" t="s">
        <v>869</v>
      </c>
      <c r="C1045" s="83" t="s">
        <v>53</v>
      </c>
      <c r="D1045" s="63" t="s">
        <v>115</v>
      </c>
      <c r="E1045" s="156">
        <v>1550</v>
      </c>
      <c r="F1045" s="157" t="s">
        <v>115</v>
      </c>
      <c r="G1045" s="66">
        <f>IF(Tabla9[[#This Row],[Precio
Unidad de Compra ( $)]]="","",(E1045/(H1045*I1045)))</f>
        <v>1550</v>
      </c>
      <c r="H1045" s="67">
        <v>1</v>
      </c>
      <c r="I1045" s="159">
        <v>1</v>
      </c>
      <c r="J1045" s="91" t="str">
        <f t="shared" si="28"/>
        <v>H_386</v>
      </c>
      <c r="K1045" s="92"/>
    </row>
    <row r="1046" spans="1:11">
      <c r="A1046" s="60">
        <f t="shared" si="29"/>
        <v>387</v>
      </c>
      <c r="B1046" s="160" t="s">
        <v>870</v>
      </c>
      <c r="C1046" s="83" t="s">
        <v>53</v>
      </c>
      <c r="D1046" s="63" t="s">
        <v>115</v>
      </c>
      <c r="E1046" s="156">
        <v>1550</v>
      </c>
      <c r="F1046" s="157" t="s">
        <v>115</v>
      </c>
      <c r="G1046" s="66">
        <f>IF(Tabla9[[#This Row],[Precio
Unidad de Compra ( $)]]="","",(E1046/(H1046*I1046)))</f>
        <v>1550</v>
      </c>
      <c r="H1046" s="67">
        <v>1</v>
      </c>
      <c r="I1046" s="159">
        <v>1</v>
      </c>
      <c r="J1046" s="91" t="str">
        <f t="shared" si="28"/>
        <v>H_387</v>
      </c>
      <c r="K1046" s="92"/>
    </row>
    <row r="1047" spans="1:11">
      <c r="A1047" s="60">
        <f t="shared" si="29"/>
        <v>388</v>
      </c>
      <c r="B1047" s="160" t="s">
        <v>871</v>
      </c>
      <c r="C1047" s="83" t="s">
        <v>53</v>
      </c>
      <c r="D1047" s="63" t="s">
        <v>115</v>
      </c>
      <c r="E1047" s="156">
        <v>1550</v>
      </c>
      <c r="F1047" s="157" t="s">
        <v>115</v>
      </c>
      <c r="G1047" s="66">
        <f>IF(Tabla9[[#This Row],[Precio
Unidad de Compra ( $)]]="","",(E1047/(H1047*I1047)))</f>
        <v>1550</v>
      </c>
      <c r="H1047" s="67">
        <v>1</v>
      </c>
      <c r="I1047" s="159">
        <v>1</v>
      </c>
      <c r="J1047" s="91" t="str">
        <f t="shared" si="28"/>
        <v>H_388</v>
      </c>
      <c r="K1047" s="92"/>
    </row>
    <row r="1048" spans="1:11">
      <c r="A1048" s="60">
        <f t="shared" si="29"/>
        <v>389</v>
      </c>
      <c r="B1048" s="160" t="s">
        <v>872</v>
      </c>
      <c r="C1048" s="83" t="s">
        <v>53</v>
      </c>
      <c r="D1048" s="63" t="s">
        <v>115</v>
      </c>
      <c r="E1048" s="156">
        <v>1550</v>
      </c>
      <c r="F1048" s="157" t="s">
        <v>115</v>
      </c>
      <c r="G1048" s="66">
        <f>IF(Tabla9[[#This Row],[Precio
Unidad de Compra ( $)]]="","",(E1048/(H1048*I1048)))</f>
        <v>1550</v>
      </c>
      <c r="H1048" s="67">
        <v>1</v>
      </c>
      <c r="I1048" s="159">
        <v>1</v>
      </c>
      <c r="J1048" s="91" t="str">
        <f t="shared" si="28"/>
        <v>H_389</v>
      </c>
      <c r="K1048" s="92"/>
    </row>
    <row r="1049" spans="1:11">
      <c r="A1049" s="60">
        <f t="shared" si="29"/>
        <v>390</v>
      </c>
      <c r="B1049" s="160" t="s">
        <v>873</v>
      </c>
      <c r="C1049" s="83" t="s">
        <v>53</v>
      </c>
      <c r="D1049" s="63" t="s">
        <v>115</v>
      </c>
      <c r="E1049" s="156">
        <v>952</v>
      </c>
      <c r="F1049" s="157" t="s">
        <v>115</v>
      </c>
      <c r="G1049" s="66">
        <f>IF(Tabla9[[#This Row],[Precio
Unidad de Compra ( $)]]="","",(E1049/(H1049*I1049)))</f>
        <v>952</v>
      </c>
      <c r="H1049" s="67">
        <v>1</v>
      </c>
      <c r="I1049" s="159">
        <v>1</v>
      </c>
      <c r="J1049" s="91" t="str">
        <f t="shared" si="28"/>
        <v>H_390</v>
      </c>
      <c r="K1049" s="92"/>
    </row>
    <row r="1050" spans="1:11">
      <c r="A1050" s="60">
        <f t="shared" si="29"/>
        <v>391</v>
      </c>
      <c r="B1050" s="160" t="s">
        <v>874</v>
      </c>
      <c r="C1050" s="83" t="s">
        <v>53</v>
      </c>
      <c r="D1050" s="63" t="s">
        <v>115</v>
      </c>
      <c r="E1050" s="156">
        <v>925</v>
      </c>
      <c r="F1050" s="157" t="s">
        <v>115</v>
      </c>
      <c r="G1050" s="66">
        <f>IF(Tabla9[[#This Row],[Precio
Unidad de Compra ( $)]]="","",(E1050/(H1050*I1050)))</f>
        <v>925</v>
      </c>
      <c r="H1050" s="67">
        <v>1</v>
      </c>
      <c r="I1050" s="159">
        <v>1</v>
      </c>
      <c r="J1050" s="91" t="str">
        <f t="shared" si="28"/>
        <v>H_391</v>
      </c>
      <c r="K1050" s="92"/>
    </row>
    <row r="1051" spans="1:11">
      <c r="A1051" s="60">
        <f t="shared" si="29"/>
        <v>392</v>
      </c>
      <c r="B1051" s="160" t="s">
        <v>875</v>
      </c>
      <c r="C1051" s="83" t="s">
        <v>53</v>
      </c>
      <c r="D1051" s="63" t="s">
        <v>115</v>
      </c>
      <c r="E1051" s="156">
        <v>1100</v>
      </c>
      <c r="F1051" s="157" t="s">
        <v>115</v>
      </c>
      <c r="G1051" s="66">
        <f>IF(Tabla9[[#This Row],[Precio
Unidad de Compra ( $)]]="","",(E1051/(H1051*I1051)))</f>
        <v>1100</v>
      </c>
      <c r="H1051" s="67">
        <v>1</v>
      </c>
      <c r="I1051" s="159">
        <v>1</v>
      </c>
      <c r="J1051" s="91" t="str">
        <f t="shared" si="28"/>
        <v>H_392</v>
      </c>
      <c r="K1051" s="92"/>
    </row>
    <row r="1052" spans="1:11">
      <c r="A1052" s="60">
        <f t="shared" si="29"/>
        <v>393</v>
      </c>
      <c r="B1052" s="160" t="s">
        <v>876</v>
      </c>
      <c r="C1052" s="83" t="s">
        <v>53</v>
      </c>
      <c r="D1052" s="63" t="s">
        <v>115</v>
      </c>
      <c r="E1052" s="156">
        <v>1350</v>
      </c>
      <c r="F1052" s="157" t="s">
        <v>115</v>
      </c>
      <c r="G1052" s="66">
        <f>IF(Tabla9[[#This Row],[Precio
Unidad de Compra ( $)]]="","",(E1052/(H1052*I1052)))</f>
        <v>1350</v>
      </c>
      <c r="H1052" s="67">
        <v>1</v>
      </c>
      <c r="I1052" s="159">
        <v>1</v>
      </c>
      <c r="J1052" s="91" t="str">
        <f t="shared" si="28"/>
        <v>H_393</v>
      </c>
      <c r="K1052" s="92"/>
    </row>
    <row r="1053" spans="1:11">
      <c r="A1053" s="60">
        <f t="shared" si="29"/>
        <v>394</v>
      </c>
      <c r="B1053" s="160" t="s">
        <v>877</v>
      </c>
      <c r="C1053" s="83" t="s">
        <v>53</v>
      </c>
      <c r="D1053" s="63" t="s">
        <v>115</v>
      </c>
      <c r="E1053" s="156">
        <v>1350</v>
      </c>
      <c r="F1053" s="157" t="s">
        <v>115</v>
      </c>
      <c r="G1053" s="66">
        <f>IF(Tabla9[[#This Row],[Precio
Unidad de Compra ( $)]]="","",(E1053/(H1053*I1053)))</f>
        <v>1350</v>
      </c>
      <c r="H1053" s="67">
        <v>1</v>
      </c>
      <c r="I1053" s="159">
        <v>1</v>
      </c>
      <c r="J1053" s="91" t="str">
        <f t="shared" si="28"/>
        <v>H_394</v>
      </c>
      <c r="K1053" s="92"/>
    </row>
    <row r="1054" spans="1:11">
      <c r="A1054" s="60">
        <f t="shared" si="29"/>
        <v>395</v>
      </c>
      <c r="B1054" s="61" t="s">
        <v>878</v>
      </c>
      <c r="C1054" s="83" t="s">
        <v>53</v>
      </c>
      <c r="D1054" s="63" t="s">
        <v>115</v>
      </c>
      <c r="E1054" s="64">
        <v>2727.48</v>
      </c>
      <c r="F1054" s="65" t="s">
        <v>115</v>
      </c>
      <c r="G1054" s="66">
        <f>IF(Tabla9[[#This Row],[Precio
Unidad de Compra ( $)]]="","",(E1054/(H1054*I1054)))</f>
        <v>2727.48</v>
      </c>
      <c r="H1054" s="67">
        <v>1</v>
      </c>
      <c r="I1054" s="159">
        <v>1</v>
      </c>
      <c r="J1054" s="91" t="str">
        <f t="shared" si="28"/>
        <v>H_395</v>
      </c>
      <c r="K1054" s="92"/>
    </row>
    <row r="1055" spans="1:11">
      <c r="A1055" s="60">
        <f t="shared" si="29"/>
        <v>396</v>
      </c>
      <c r="B1055" s="61" t="s">
        <v>879</v>
      </c>
      <c r="C1055" s="83" t="s">
        <v>53</v>
      </c>
      <c r="D1055" s="63" t="s">
        <v>115</v>
      </c>
      <c r="E1055" s="64">
        <v>2727.48</v>
      </c>
      <c r="F1055" s="65" t="s">
        <v>115</v>
      </c>
      <c r="G1055" s="66">
        <f>IF(Tabla9[[#This Row],[Precio
Unidad de Compra ( $)]]="","",(E1055/(H1055*I1055)))</f>
        <v>2727.48</v>
      </c>
      <c r="H1055" s="67">
        <v>1</v>
      </c>
      <c r="I1055" s="159">
        <v>1</v>
      </c>
      <c r="J1055" s="91" t="str">
        <f t="shared" si="28"/>
        <v>H_396</v>
      </c>
      <c r="K1055" s="92"/>
    </row>
    <row r="1056" spans="1:11">
      <c r="A1056" s="60">
        <f t="shared" si="29"/>
        <v>397</v>
      </c>
      <c r="B1056" s="160" t="s">
        <v>880</v>
      </c>
      <c r="C1056" s="83" t="s">
        <v>53</v>
      </c>
      <c r="D1056" s="63" t="s">
        <v>115</v>
      </c>
      <c r="E1056" s="156">
        <v>2727.48</v>
      </c>
      <c r="F1056" s="157" t="s">
        <v>115</v>
      </c>
      <c r="G1056" s="66">
        <f>IF(Tabla9[[#This Row],[Precio
Unidad de Compra ( $)]]="","",(E1056/(H1056*I1056)))</f>
        <v>2727.48</v>
      </c>
      <c r="H1056" s="67">
        <v>1</v>
      </c>
      <c r="I1056" s="159">
        <v>1</v>
      </c>
      <c r="J1056" s="91" t="str">
        <f t="shared" si="28"/>
        <v>H_397</v>
      </c>
      <c r="K1056" s="92"/>
    </row>
    <row r="1057" spans="1:11">
      <c r="A1057" s="60">
        <f t="shared" si="29"/>
        <v>398</v>
      </c>
      <c r="B1057" s="160" t="s">
        <v>881</v>
      </c>
      <c r="C1057" s="83" t="s">
        <v>53</v>
      </c>
      <c r="D1057" s="63" t="s">
        <v>115</v>
      </c>
      <c r="E1057" s="156">
        <v>2727.48</v>
      </c>
      <c r="F1057" s="157" t="s">
        <v>115</v>
      </c>
      <c r="G1057" s="66">
        <f>IF(Tabla9[[#This Row],[Precio
Unidad de Compra ( $)]]="","",(E1057/(H1057*I1057)))</f>
        <v>2727.48</v>
      </c>
      <c r="H1057" s="67">
        <v>1</v>
      </c>
      <c r="I1057" s="159">
        <v>1</v>
      </c>
      <c r="J1057" s="91" t="str">
        <f t="shared" si="28"/>
        <v>H_398</v>
      </c>
      <c r="K1057" s="92"/>
    </row>
    <row r="1058" spans="1:11">
      <c r="A1058" s="60">
        <f t="shared" si="29"/>
        <v>399</v>
      </c>
      <c r="B1058" s="160" t="s">
        <v>882</v>
      </c>
      <c r="C1058" s="83" t="s">
        <v>53</v>
      </c>
      <c r="D1058" s="63" t="s">
        <v>115</v>
      </c>
      <c r="E1058" s="156">
        <v>2727.48</v>
      </c>
      <c r="F1058" s="157" t="s">
        <v>115</v>
      </c>
      <c r="G1058" s="66">
        <f>IF(Tabla9[[#This Row],[Precio
Unidad de Compra ( $)]]="","",(E1058/(H1058*I1058)))</f>
        <v>2727.48</v>
      </c>
      <c r="H1058" s="67">
        <v>1</v>
      </c>
      <c r="I1058" s="159">
        <v>1</v>
      </c>
      <c r="J1058" s="91" t="str">
        <f t="shared" si="28"/>
        <v>H_399</v>
      </c>
      <c r="K1058" s="92"/>
    </row>
    <row r="1059" spans="1:11">
      <c r="A1059" s="60">
        <f t="shared" si="29"/>
        <v>400</v>
      </c>
      <c r="B1059" s="160" t="s">
        <v>883</v>
      </c>
      <c r="C1059" s="83" t="s">
        <v>53</v>
      </c>
      <c r="D1059" s="63" t="s">
        <v>115</v>
      </c>
      <c r="E1059" s="156">
        <v>3111.85</v>
      </c>
      <c r="F1059" s="157" t="s">
        <v>115</v>
      </c>
      <c r="G1059" s="66">
        <f>IF(Tabla9[[#This Row],[Precio
Unidad de Compra ( $)]]="","",(E1059/(H1059*I1059)))</f>
        <v>3111.85</v>
      </c>
      <c r="H1059" s="67">
        <v>1</v>
      </c>
      <c r="I1059" s="159">
        <v>1</v>
      </c>
      <c r="J1059" s="91" t="str">
        <f t="shared" si="28"/>
        <v>H_400</v>
      </c>
      <c r="K1059" s="92"/>
    </row>
    <row r="1060" ht="30" spans="1:11">
      <c r="A1060" s="60">
        <f t="shared" si="29"/>
        <v>401</v>
      </c>
      <c r="B1060" s="160" t="s">
        <v>884</v>
      </c>
      <c r="C1060" s="83" t="s">
        <v>53</v>
      </c>
      <c r="D1060" s="63" t="s">
        <v>115</v>
      </c>
      <c r="E1060" s="64">
        <v>1550</v>
      </c>
      <c r="F1060" s="65" t="s">
        <v>115</v>
      </c>
      <c r="G1060" s="66">
        <f>IF(Tabla9[[#This Row],[Precio
Unidad de Compra ( $)]]="","",(E1060/(H1060*I1060)))</f>
        <v>1550</v>
      </c>
      <c r="H1060" s="67">
        <v>1</v>
      </c>
      <c r="I1060" s="159">
        <v>1</v>
      </c>
      <c r="J1060" s="91" t="str">
        <f t="shared" si="28"/>
        <v>H_401</v>
      </c>
      <c r="K1060" s="92"/>
    </row>
    <row r="1061" ht="17.25" customHeight="1" spans="1:11">
      <c r="A1061" s="60">
        <f t="shared" si="29"/>
        <v>402</v>
      </c>
      <c r="B1061" s="160" t="s">
        <v>885</v>
      </c>
      <c r="C1061" s="83" t="s">
        <v>53</v>
      </c>
      <c r="D1061" s="63" t="s">
        <v>115</v>
      </c>
      <c r="E1061" s="156">
        <v>1550</v>
      </c>
      <c r="F1061" s="157" t="s">
        <v>115</v>
      </c>
      <c r="G1061" s="66">
        <f>IF(Tabla9[[#This Row],[Precio
Unidad de Compra ( $)]]="","",(E1061/(H1061*I1061)))</f>
        <v>1550</v>
      </c>
      <c r="H1061" s="67">
        <v>1</v>
      </c>
      <c r="I1061" s="159">
        <v>1</v>
      </c>
      <c r="J1061" s="91" t="str">
        <f t="shared" si="28"/>
        <v>H_402</v>
      </c>
      <c r="K1061" s="92"/>
    </row>
    <row r="1062" ht="13.5" customHeight="1" spans="1:11">
      <c r="A1062" s="60">
        <f t="shared" si="29"/>
        <v>403</v>
      </c>
      <c r="B1062" s="160" t="s">
        <v>886</v>
      </c>
      <c r="C1062" s="83" t="s">
        <v>53</v>
      </c>
      <c r="D1062" s="63" t="s">
        <v>115</v>
      </c>
      <c r="E1062" s="156">
        <v>1550</v>
      </c>
      <c r="F1062" s="157" t="s">
        <v>115</v>
      </c>
      <c r="G1062" s="66">
        <f>IF(Tabla9[[#This Row],[Precio
Unidad de Compra ( $)]]="","",(E1062/(H1062*I1062)))</f>
        <v>1550</v>
      </c>
      <c r="H1062" s="67">
        <v>1</v>
      </c>
      <c r="I1062" s="159">
        <v>1</v>
      </c>
      <c r="J1062" s="91" t="str">
        <f t="shared" si="28"/>
        <v>H_403</v>
      </c>
      <c r="K1062" s="92"/>
    </row>
    <row r="1063" ht="27" customHeight="1" spans="1:11">
      <c r="A1063" s="60">
        <f t="shared" si="29"/>
        <v>404</v>
      </c>
      <c r="B1063" s="160" t="s">
        <v>887</v>
      </c>
      <c r="C1063" s="83" t="s">
        <v>53</v>
      </c>
      <c r="D1063" s="63" t="s">
        <v>115</v>
      </c>
      <c r="E1063" s="64">
        <v>1550</v>
      </c>
      <c r="F1063" s="65" t="s">
        <v>115</v>
      </c>
      <c r="G1063" s="66">
        <f>IF(Tabla9[[#This Row],[Precio
Unidad de Compra ( $)]]="","",(E1063/(H1063*I1063)))</f>
        <v>1550</v>
      </c>
      <c r="H1063" s="67">
        <v>1</v>
      </c>
      <c r="I1063" s="159">
        <v>1</v>
      </c>
      <c r="J1063" s="91" t="str">
        <f t="shared" si="28"/>
        <v>H_404</v>
      </c>
      <c r="K1063" s="92"/>
    </row>
    <row r="1064" spans="1:11">
      <c r="A1064" s="60">
        <f t="shared" si="29"/>
        <v>405</v>
      </c>
      <c r="B1064" s="160" t="s">
        <v>888</v>
      </c>
      <c r="C1064" s="83" t="s">
        <v>53</v>
      </c>
      <c r="D1064" s="63" t="s">
        <v>115</v>
      </c>
      <c r="E1064" s="156">
        <v>1550</v>
      </c>
      <c r="F1064" s="157" t="s">
        <v>115</v>
      </c>
      <c r="G1064" s="66">
        <f>IF(Tabla9[[#This Row],[Precio
Unidad de Compra ( $)]]="","",(E1064/(H1064*I1064)))</f>
        <v>1550</v>
      </c>
      <c r="H1064" s="67">
        <v>1</v>
      </c>
      <c r="I1064" s="159">
        <v>1</v>
      </c>
      <c r="J1064" s="91" t="str">
        <f t="shared" si="28"/>
        <v>H_405</v>
      </c>
      <c r="K1064" s="92"/>
    </row>
    <row r="1065" spans="1:11">
      <c r="A1065" s="60">
        <f t="shared" si="29"/>
        <v>406</v>
      </c>
      <c r="B1065" s="160" t="s">
        <v>889</v>
      </c>
      <c r="C1065" s="83" t="s">
        <v>53</v>
      </c>
      <c r="D1065" s="63" t="s">
        <v>115</v>
      </c>
      <c r="E1065" s="156">
        <v>3844</v>
      </c>
      <c r="F1065" s="157" t="s">
        <v>115</v>
      </c>
      <c r="G1065" s="66">
        <f>IF(Tabla9[[#This Row],[Precio
Unidad de Compra ( $)]]="","",(E1065/(H1065*I1065)))</f>
        <v>3844</v>
      </c>
      <c r="H1065" s="67">
        <v>1</v>
      </c>
      <c r="I1065" s="159">
        <v>1</v>
      </c>
      <c r="J1065" s="91" t="str">
        <f t="shared" si="28"/>
        <v>H_406</v>
      </c>
      <c r="K1065" s="92"/>
    </row>
    <row r="1066" spans="1:11">
      <c r="A1066" s="60">
        <f t="shared" si="29"/>
        <v>407</v>
      </c>
      <c r="B1066" s="160" t="s">
        <v>890</v>
      </c>
      <c r="C1066" s="83" t="s">
        <v>53</v>
      </c>
      <c r="D1066" s="63" t="s">
        <v>115</v>
      </c>
      <c r="E1066" s="156">
        <v>3844</v>
      </c>
      <c r="F1066" s="157" t="s">
        <v>115</v>
      </c>
      <c r="G1066" s="66">
        <f>IF(Tabla9[[#This Row],[Precio
Unidad de Compra ( $)]]="","",(E1066/(H1066*I1066)))</f>
        <v>3844</v>
      </c>
      <c r="H1066" s="67">
        <v>1</v>
      </c>
      <c r="I1066" s="159">
        <v>1</v>
      </c>
      <c r="J1066" s="91" t="str">
        <f t="shared" si="28"/>
        <v>H_407</v>
      </c>
      <c r="K1066" s="92"/>
    </row>
    <row r="1067" spans="1:11">
      <c r="A1067" s="60">
        <f t="shared" si="29"/>
        <v>408</v>
      </c>
      <c r="B1067" s="160" t="s">
        <v>891</v>
      </c>
      <c r="C1067" s="83" t="s">
        <v>53</v>
      </c>
      <c r="D1067" s="63" t="s">
        <v>115</v>
      </c>
      <c r="E1067" s="156">
        <v>998.41</v>
      </c>
      <c r="F1067" s="157" t="s">
        <v>115</v>
      </c>
      <c r="G1067" s="66">
        <f>IF(Tabla9[[#This Row],[Precio
Unidad de Compra ( $)]]="","",(E1067/(H1067*I1067)))</f>
        <v>998.41</v>
      </c>
      <c r="H1067" s="67">
        <v>1</v>
      </c>
      <c r="I1067" s="159">
        <v>1</v>
      </c>
      <c r="J1067" s="91" t="str">
        <f t="shared" si="28"/>
        <v>H_408</v>
      </c>
      <c r="K1067" s="92"/>
    </row>
    <row r="1068" spans="1:11">
      <c r="A1068" s="60">
        <f t="shared" si="29"/>
        <v>409</v>
      </c>
      <c r="B1068" s="160" t="s">
        <v>892</v>
      </c>
      <c r="C1068" s="83" t="s">
        <v>53</v>
      </c>
      <c r="D1068" s="63" t="s">
        <v>115</v>
      </c>
      <c r="E1068" s="156">
        <v>998.41</v>
      </c>
      <c r="F1068" s="157" t="s">
        <v>115</v>
      </c>
      <c r="G1068" s="66">
        <f>IF(Tabla9[[#This Row],[Precio
Unidad de Compra ( $)]]="","",(E1068/(H1068*I1068)))</f>
        <v>998.41</v>
      </c>
      <c r="H1068" s="67">
        <v>1</v>
      </c>
      <c r="I1068" s="159">
        <v>1</v>
      </c>
      <c r="J1068" s="91" t="str">
        <f t="shared" si="28"/>
        <v>H_409</v>
      </c>
      <c r="K1068" s="92"/>
    </row>
    <row r="1069" spans="1:11">
      <c r="A1069" s="60">
        <f t="shared" si="29"/>
        <v>410</v>
      </c>
      <c r="B1069" s="160" t="s">
        <v>893</v>
      </c>
      <c r="C1069" s="83" t="s">
        <v>53</v>
      </c>
      <c r="D1069" s="63" t="s">
        <v>115</v>
      </c>
      <c r="E1069" s="156">
        <v>998.41</v>
      </c>
      <c r="F1069" s="157" t="s">
        <v>115</v>
      </c>
      <c r="G1069" s="66">
        <f>IF(Tabla9[[#This Row],[Precio
Unidad de Compra ( $)]]="","",(E1069/(H1069*I1069)))</f>
        <v>998.41</v>
      </c>
      <c r="H1069" s="67">
        <v>1</v>
      </c>
      <c r="I1069" s="159">
        <v>1</v>
      </c>
      <c r="J1069" s="91" t="str">
        <f t="shared" si="28"/>
        <v>H_410</v>
      </c>
      <c r="K1069" s="92"/>
    </row>
    <row r="1070" spans="1:11">
      <c r="A1070" s="60">
        <f t="shared" si="29"/>
        <v>411</v>
      </c>
      <c r="B1070" s="160" t="s">
        <v>894</v>
      </c>
      <c r="C1070" s="83" t="s">
        <v>53</v>
      </c>
      <c r="D1070" s="63" t="s">
        <v>115</v>
      </c>
      <c r="E1070" s="156">
        <v>998.41</v>
      </c>
      <c r="F1070" s="157" t="s">
        <v>115</v>
      </c>
      <c r="G1070" s="66">
        <f>IF(Tabla9[[#This Row],[Precio
Unidad de Compra ( $)]]="","",(E1070/(H1070*I1070)))</f>
        <v>998.41</v>
      </c>
      <c r="H1070" s="67">
        <v>1</v>
      </c>
      <c r="I1070" s="159">
        <v>1</v>
      </c>
      <c r="J1070" s="91" t="str">
        <f t="shared" si="28"/>
        <v>H_411</v>
      </c>
      <c r="K1070" s="92"/>
    </row>
    <row r="1071" spans="1:11">
      <c r="A1071" s="60">
        <f t="shared" si="29"/>
        <v>412</v>
      </c>
      <c r="B1071" s="160" t="s">
        <v>895</v>
      </c>
      <c r="C1071" s="83" t="s">
        <v>53</v>
      </c>
      <c r="D1071" s="63" t="s">
        <v>115</v>
      </c>
      <c r="E1071" s="156">
        <v>998.41</v>
      </c>
      <c r="F1071" s="157" t="s">
        <v>115</v>
      </c>
      <c r="G1071" s="66">
        <f>IF(Tabla9[[#This Row],[Precio
Unidad de Compra ( $)]]="","",(E1071/(H1071*I1071)))</f>
        <v>998.41</v>
      </c>
      <c r="H1071" s="67">
        <v>1</v>
      </c>
      <c r="I1071" s="159">
        <v>1</v>
      </c>
      <c r="J1071" s="91" t="str">
        <f t="shared" si="28"/>
        <v>H_412</v>
      </c>
      <c r="K1071" s="92"/>
    </row>
    <row r="1072" spans="1:11">
      <c r="A1072" s="60">
        <f t="shared" si="29"/>
        <v>413</v>
      </c>
      <c r="B1072" s="160" t="s">
        <v>896</v>
      </c>
      <c r="C1072" s="83" t="s">
        <v>53</v>
      </c>
      <c r="D1072" s="63" t="s">
        <v>115</v>
      </c>
      <c r="E1072" s="156">
        <v>998.41</v>
      </c>
      <c r="F1072" s="157" t="s">
        <v>115</v>
      </c>
      <c r="G1072" s="66">
        <f>IF(Tabla9[[#This Row],[Precio
Unidad de Compra ( $)]]="","",(E1072/(H1072*I1072)))</f>
        <v>998.41</v>
      </c>
      <c r="H1072" s="67">
        <v>1</v>
      </c>
      <c r="I1072" s="159">
        <v>1</v>
      </c>
      <c r="J1072" s="91" t="str">
        <f t="shared" si="28"/>
        <v>H_413</v>
      </c>
      <c r="K1072" s="92"/>
    </row>
    <row r="1073" spans="1:11">
      <c r="A1073" s="60">
        <f t="shared" si="29"/>
        <v>414</v>
      </c>
      <c r="B1073" s="160" t="s">
        <v>897</v>
      </c>
      <c r="C1073" s="83" t="s">
        <v>53</v>
      </c>
      <c r="D1073" s="63" t="s">
        <v>115</v>
      </c>
      <c r="E1073" s="156">
        <v>3844</v>
      </c>
      <c r="F1073" s="157" t="s">
        <v>115</v>
      </c>
      <c r="G1073" s="66">
        <f>IF(Tabla9[[#This Row],[Precio
Unidad de Compra ( $)]]="","",(E1073/(H1073*I1073)))</f>
        <v>3844</v>
      </c>
      <c r="H1073" s="67">
        <v>1</v>
      </c>
      <c r="I1073" s="159">
        <v>1</v>
      </c>
      <c r="J1073" s="91" t="str">
        <f t="shared" si="28"/>
        <v>H_414</v>
      </c>
      <c r="K1073" s="92"/>
    </row>
    <row r="1074" spans="1:11">
      <c r="A1074" s="60">
        <f t="shared" si="29"/>
        <v>415</v>
      </c>
      <c r="B1074" s="160" t="s">
        <v>898</v>
      </c>
      <c r="C1074" s="83" t="s">
        <v>53</v>
      </c>
      <c r="D1074" s="63" t="s">
        <v>115</v>
      </c>
      <c r="E1074" s="156">
        <v>3844</v>
      </c>
      <c r="F1074" s="157" t="s">
        <v>115</v>
      </c>
      <c r="G1074" s="66">
        <f>IF(Tabla9[[#This Row],[Precio
Unidad de Compra ( $)]]="","",(E1074/(H1074*I1074)))</f>
        <v>3844</v>
      </c>
      <c r="H1074" s="67">
        <v>1</v>
      </c>
      <c r="I1074" s="159">
        <v>1</v>
      </c>
      <c r="J1074" s="91" t="str">
        <f t="shared" si="28"/>
        <v>H_415</v>
      </c>
      <c r="K1074" s="92"/>
    </row>
    <row r="1075" spans="1:11">
      <c r="A1075" s="60">
        <f t="shared" si="29"/>
        <v>416</v>
      </c>
      <c r="B1075" s="160" t="s">
        <v>899</v>
      </c>
      <c r="C1075" s="83" t="s">
        <v>53</v>
      </c>
      <c r="D1075" s="63" t="s">
        <v>115</v>
      </c>
      <c r="E1075" s="156">
        <v>998.41</v>
      </c>
      <c r="F1075" s="157" t="s">
        <v>115</v>
      </c>
      <c r="G1075" s="66">
        <f>IF(Tabla9[[#This Row],[Precio
Unidad de Compra ( $)]]="","",(E1075/(H1075*I1075)))</f>
        <v>998.41</v>
      </c>
      <c r="H1075" s="67">
        <v>1</v>
      </c>
      <c r="I1075" s="159">
        <v>1</v>
      </c>
      <c r="J1075" s="91" t="str">
        <f t="shared" si="28"/>
        <v>H_416</v>
      </c>
      <c r="K1075" s="92"/>
    </row>
    <row r="1076" spans="1:11">
      <c r="A1076" s="60">
        <f t="shared" si="29"/>
        <v>417</v>
      </c>
      <c r="B1076" s="160" t="s">
        <v>900</v>
      </c>
      <c r="C1076" s="83" t="s">
        <v>53</v>
      </c>
      <c r="D1076" s="63" t="s">
        <v>115</v>
      </c>
      <c r="E1076" s="156">
        <v>3844</v>
      </c>
      <c r="F1076" s="157" t="s">
        <v>115</v>
      </c>
      <c r="G1076" s="66">
        <f>IF(Tabla9[[#This Row],[Precio
Unidad de Compra ( $)]]="","",(E1076/(H1076*I1076)))</f>
        <v>3844</v>
      </c>
      <c r="H1076" s="67">
        <v>1</v>
      </c>
      <c r="I1076" s="159">
        <v>1</v>
      </c>
      <c r="J1076" s="91" t="str">
        <f t="shared" si="28"/>
        <v>H_417</v>
      </c>
      <c r="K1076" s="92"/>
    </row>
    <row r="1077" spans="1:11">
      <c r="A1077" s="60">
        <f t="shared" si="29"/>
        <v>418</v>
      </c>
      <c r="B1077" s="160" t="s">
        <v>901</v>
      </c>
      <c r="C1077" s="83" t="s">
        <v>53</v>
      </c>
      <c r="D1077" s="63" t="s">
        <v>115</v>
      </c>
      <c r="E1077" s="156">
        <v>3844</v>
      </c>
      <c r="F1077" s="157" t="s">
        <v>115</v>
      </c>
      <c r="G1077" s="66">
        <f>IF(Tabla9[[#This Row],[Precio
Unidad de Compra ( $)]]="","",(E1077/(H1077*I1077)))</f>
        <v>3844</v>
      </c>
      <c r="H1077" s="67">
        <v>1</v>
      </c>
      <c r="I1077" s="159">
        <v>1</v>
      </c>
      <c r="J1077" s="91" t="str">
        <f t="shared" si="28"/>
        <v>H_418</v>
      </c>
      <c r="K1077" s="92"/>
    </row>
    <row r="1078" spans="1:11">
      <c r="A1078" s="60">
        <f t="shared" si="29"/>
        <v>419</v>
      </c>
      <c r="B1078" s="160" t="s">
        <v>902</v>
      </c>
      <c r="C1078" s="83" t="s">
        <v>53</v>
      </c>
      <c r="D1078" s="63" t="s">
        <v>115</v>
      </c>
      <c r="E1078" s="156">
        <v>1173.34</v>
      </c>
      <c r="F1078" s="157" t="s">
        <v>115</v>
      </c>
      <c r="G1078" s="66">
        <f>IF(Tabla9[[#This Row],[Precio
Unidad de Compra ( $)]]="","",(E1078/(H1078*I1078)))</f>
        <v>1173.34</v>
      </c>
      <c r="H1078" s="67">
        <v>1</v>
      </c>
      <c r="I1078" s="159">
        <v>1</v>
      </c>
      <c r="J1078" s="91" t="str">
        <f t="shared" si="28"/>
        <v>H_419</v>
      </c>
      <c r="K1078" s="92"/>
    </row>
    <row r="1079" spans="1:11">
      <c r="A1079" s="60">
        <f t="shared" si="29"/>
        <v>420</v>
      </c>
      <c r="B1079" s="160" t="s">
        <v>903</v>
      </c>
      <c r="C1079" s="83" t="s">
        <v>53</v>
      </c>
      <c r="D1079" s="63" t="s">
        <v>115</v>
      </c>
      <c r="E1079" s="156">
        <v>3844</v>
      </c>
      <c r="F1079" s="157" t="s">
        <v>115</v>
      </c>
      <c r="G1079" s="66">
        <f>IF(Tabla9[[#This Row],[Precio
Unidad de Compra ( $)]]="","",(E1079/(H1079*I1079)))</f>
        <v>3844</v>
      </c>
      <c r="H1079" s="67">
        <v>1</v>
      </c>
      <c r="I1079" s="159">
        <v>1</v>
      </c>
      <c r="J1079" s="91" t="str">
        <f t="shared" si="28"/>
        <v>H_420</v>
      </c>
      <c r="K1079" s="92"/>
    </row>
    <row r="1080" spans="1:11">
      <c r="A1080" s="60">
        <f t="shared" si="29"/>
        <v>421</v>
      </c>
      <c r="B1080" s="160" t="s">
        <v>904</v>
      </c>
      <c r="C1080" s="83" t="s">
        <v>53</v>
      </c>
      <c r="D1080" s="63" t="s">
        <v>115</v>
      </c>
      <c r="E1080" s="156">
        <v>1200</v>
      </c>
      <c r="F1080" s="157" t="s">
        <v>115</v>
      </c>
      <c r="G1080" s="66">
        <f>IF(Tabla9[[#This Row],[Precio
Unidad de Compra ( $)]]="","",(E1080/(H1080*I1080)))</f>
        <v>1200</v>
      </c>
      <c r="H1080" s="67">
        <v>1</v>
      </c>
      <c r="I1080" s="159">
        <v>1</v>
      </c>
      <c r="J1080" s="91" t="str">
        <f t="shared" si="28"/>
        <v>H_421</v>
      </c>
      <c r="K1080" s="92"/>
    </row>
    <row r="1081" spans="2:9">
      <c r="B1081"/>
      <c r="C1081"/>
      <c r="D1081"/>
      <c r="E1081"/>
      <c r="F1081" s="74"/>
      <c r="H1081"/>
      <c r="I1081"/>
    </row>
    <row r="1082" spans="2:9">
      <c r="B1082"/>
      <c r="C1082"/>
      <c r="D1082"/>
      <c r="E1082"/>
      <c r="F1082" s="74"/>
      <c r="H1082"/>
      <c r="I1082"/>
    </row>
    <row r="1083" ht="17.25" customHeight="1" spans="2:9">
      <c r="B1083"/>
      <c r="C1083"/>
      <c r="D1083"/>
      <c r="E1083"/>
      <c r="F1083" s="74"/>
      <c r="H1083"/>
      <c r="I1083"/>
    </row>
    <row r="1084" spans="2:9">
      <c r="B1084"/>
      <c r="C1084"/>
      <c r="D1084"/>
      <c r="E1084"/>
      <c r="F1084" s="74"/>
      <c r="H1084"/>
      <c r="I1084"/>
    </row>
    <row r="1085" spans="2:9">
      <c r="B1085"/>
      <c r="C1085"/>
      <c r="D1085"/>
      <c r="E1085"/>
      <c r="F1085" s="74"/>
      <c r="H1085"/>
      <c r="I1085"/>
    </row>
    <row r="1086" spans="2:9">
      <c r="B1086"/>
      <c r="C1086"/>
      <c r="D1086"/>
      <c r="E1086"/>
      <c r="F1086" s="74"/>
      <c r="H1086"/>
      <c r="I1086"/>
    </row>
    <row r="1087" spans="2:9">
      <c r="B1087"/>
      <c r="C1087"/>
      <c r="D1087"/>
      <c r="E1087"/>
      <c r="F1087" s="74"/>
      <c r="H1087"/>
      <c r="I1087"/>
    </row>
    <row r="1088" spans="2:9">
      <c r="B1088"/>
      <c r="C1088"/>
      <c r="D1088"/>
      <c r="E1088"/>
      <c r="F1088" s="74"/>
      <c r="H1088"/>
      <c r="I1088"/>
    </row>
    <row r="1089" customFormat="1" spans="6:6">
      <c r="F1089" s="74"/>
    </row>
    <row r="1090" customFormat="1" spans="6:6">
      <c r="F1090" s="74"/>
    </row>
    <row r="1091" customFormat="1" spans="6:6">
      <c r="F1091" s="74"/>
    </row>
    <row r="1092" customFormat="1" spans="6:6">
      <c r="F1092" s="74"/>
    </row>
    <row r="1093" customFormat="1" spans="6:6">
      <c r="F1093" s="74"/>
    </row>
    <row r="1094" customFormat="1" spans="6:6">
      <c r="F1094" s="74"/>
    </row>
    <row r="1095" customFormat="1" spans="6:6">
      <c r="F1095" s="74"/>
    </row>
    <row r="1096" customFormat="1" spans="6:6">
      <c r="F1096" s="74"/>
    </row>
    <row r="1097" customFormat="1" spans="6:6">
      <c r="F1097" s="74"/>
    </row>
    <row r="1098" customFormat="1" spans="6:6">
      <c r="F1098" s="74"/>
    </row>
    <row r="1099" customFormat="1" spans="6:6">
      <c r="F1099" s="74"/>
    </row>
    <row r="1100" customFormat="1" spans="6:6">
      <c r="F1100" s="74"/>
    </row>
    <row r="1101" customFormat="1" spans="6:6">
      <c r="F1101" s="74"/>
    </row>
    <row r="1102" customFormat="1" spans="6:6">
      <c r="F1102" s="74"/>
    </row>
    <row r="1103" customFormat="1" spans="6:6">
      <c r="F1103" s="74"/>
    </row>
    <row r="1104" customFormat="1" spans="6:6">
      <c r="F1104" s="74"/>
    </row>
    <row r="1105" ht="15.75" spans="1:10">
      <c r="A1105" s="25"/>
      <c r="B1105" s="75" t="s">
        <v>126</v>
      </c>
      <c r="C1105" s="25"/>
      <c r="D1105" s="25"/>
      <c r="E1105" s="25"/>
      <c r="F1105" s="76"/>
      <c r="G1105" s="25"/>
      <c r="H1105" s="25"/>
      <c r="I1105" s="25"/>
      <c r="J1105" s="25"/>
    </row>
    <row r="1106" spans="2:9">
      <c r="B1106"/>
      <c r="C1106"/>
      <c r="D1106"/>
      <c r="E1106"/>
      <c r="F1106" s="74"/>
      <c r="H1106"/>
      <c r="I1106"/>
    </row>
    <row r="1107" ht="18.75" spans="1:9">
      <c r="A1107" s="164" t="s">
        <v>96</v>
      </c>
      <c r="B1107" s="165">
        <f>SUBTOTAL(3,(B1109:B1151))</f>
        <v>43</v>
      </c>
      <c r="C1107" s="128"/>
      <c r="D1107" s="128"/>
      <c r="E1107"/>
      <c r="F1107" s="74"/>
      <c r="H1107"/>
      <c r="I1107"/>
    </row>
    <row r="1108" ht="47.25" spans="1:11">
      <c r="A1108" s="96" t="s">
        <v>79</v>
      </c>
      <c r="B1108" s="166" t="s">
        <v>98</v>
      </c>
      <c r="C1108" s="98" t="s">
        <v>99</v>
      </c>
      <c r="D1108" s="99" t="s">
        <v>100</v>
      </c>
      <c r="E1108" s="82" t="s">
        <v>101</v>
      </c>
      <c r="F1108" s="58" t="s">
        <v>102</v>
      </c>
      <c r="G1108" s="56" t="s">
        <v>103</v>
      </c>
      <c r="H1108" s="59" t="s">
        <v>104</v>
      </c>
      <c r="I1108" s="59" t="s">
        <v>105</v>
      </c>
      <c r="J1108" s="84" t="s">
        <v>106</v>
      </c>
      <c r="K1108" s="85" t="s">
        <v>107</v>
      </c>
    </row>
    <row r="1109" spans="1:11">
      <c r="A1109" s="60">
        <v>1</v>
      </c>
      <c r="B1109" s="160" t="s">
        <v>905</v>
      </c>
      <c r="C1109" s="167" t="s">
        <v>32</v>
      </c>
      <c r="D1109" s="63" t="s">
        <v>244</v>
      </c>
      <c r="E1109" s="64">
        <v>8770.33333333333</v>
      </c>
      <c r="F1109" s="65" t="s">
        <v>261</v>
      </c>
      <c r="G1109" s="101">
        <f>IF(BD!$E1109="","",(E1109/(Tabla32[[#This Row],[Magnitud
1 en U]]*Tabla32[[#This Row],[Magnitud
2 en U]])))</f>
        <v>0.626452380952381</v>
      </c>
      <c r="H1109" s="67">
        <v>140</v>
      </c>
      <c r="I1109" s="67">
        <v>100</v>
      </c>
      <c r="J1109" s="91" t="str">
        <f t="shared" ref="J1109:J1151" si="30">IFERROR(CONCATENATE(LEFT(C1109,1),MID(C1109,SEARCH("_",C1109)+1,2),TEXT(A1109,"000")),"")</f>
        <v>STE001</v>
      </c>
      <c r="K1109" s="92"/>
    </row>
    <row r="1110" spans="1:11">
      <c r="A1110" s="60">
        <f t="shared" ref="A1110:A1151" si="31">A1109+1</f>
        <v>2</v>
      </c>
      <c r="B1110" s="72" t="s">
        <v>33</v>
      </c>
      <c r="C1110" s="167" t="s">
        <v>32</v>
      </c>
      <c r="D1110" s="63" t="s">
        <v>244</v>
      </c>
      <c r="E1110" s="64">
        <v>28016</v>
      </c>
      <c r="F1110" s="65" t="s">
        <v>261</v>
      </c>
      <c r="G1110" s="101">
        <f>IF(BD!$E1110="","",(E1110/(Tabla32[[#This Row],[Magnitud
1 en U]]*Tabla32[[#This Row],[Magnitud
2 en U]])))</f>
        <v>2.00114285714286</v>
      </c>
      <c r="H1110" s="67">
        <v>140</v>
      </c>
      <c r="I1110" s="67">
        <v>100</v>
      </c>
      <c r="J1110" s="91" t="str">
        <f t="shared" si="30"/>
        <v>STE002</v>
      </c>
      <c r="K1110" s="92"/>
    </row>
    <row r="1111" spans="1:11">
      <c r="A1111" s="60">
        <f t="shared" si="31"/>
        <v>3</v>
      </c>
      <c r="B1111" s="61" t="s">
        <v>906</v>
      </c>
      <c r="C1111" s="167" t="s">
        <v>32</v>
      </c>
      <c r="D1111" s="63" t="s">
        <v>258</v>
      </c>
      <c r="E1111" s="64">
        <v>28016</v>
      </c>
      <c r="F1111" s="65" t="s">
        <v>261</v>
      </c>
      <c r="G1111" s="101">
        <f>IF(BD!$E1111="","",(E1111/(Tabla32[[#This Row],[Magnitud
1 en U]]*Tabla32[[#This Row],[Magnitud
2 en U]])))</f>
        <v>2.00114285714286</v>
      </c>
      <c r="H1111" s="67">
        <v>140</v>
      </c>
      <c r="I1111" s="67">
        <v>100</v>
      </c>
      <c r="J1111" s="91" t="str">
        <f t="shared" si="30"/>
        <v>STE003</v>
      </c>
      <c r="K1111" s="92"/>
    </row>
    <row r="1112" spans="1:11">
      <c r="A1112" s="60">
        <f t="shared" si="31"/>
        <v>4</v>
      </c>
      <c r="B1112" s="61" t="s">
        <v>907</v>
      </c>
      <c r="C1112" s="167" t="s">
        <v>32</v>
      </c>
      <c r="D1112" s="63" t="s">
        <v>258</v>
      </c>
      <c r="E1112" s="64">
        <v>10317</v>
      </c>
      <c r="F1112" s="65" t="s">
        <v>261</v>
      </c>
      <c r="G1112" s="101">
        <f>IF(BD!$E1112="","",(E1112/(Tabla32[[#This Row],[Magnitud
1 en U]]*Tabla32[[#This Row],[Magnitud
2 en U]])))</f>
        <v>0.6878</v>
      </c>
      <c r="H1112" s="67">
        <v>150</v>
      </c>
      <c r="I1112" s="67">
        <v>100</v>
      </c>
      <c r="J1112" s="91" t="str">
        <f t="shared" si="30"/>
        <v>STE004</v>
      </c>
      <c r="K1112" s="92"/>
    </row>
    <row r="1113" spans="1:11">
      <c r="A1113" s="60">
        <f t="shared" si="31"/>
        <v>5</v>
      </c>
      <c r="B1113" s="160" t="s">
        <v>908</v>
      </c>
      <c r="C1113" s="167" t="s">
        <v>32</v>
      </c>
      <c r="D1113" s="63" t="s">
        <v>244</v>
      </c>
      <c r="E1113" s="64">
        <v>10200</v>
      </c>
      <c r="F1113" s="65" t="s">
        <v>261</v>
      </c>
      <c r="G1113" s="101">
        <f>IF(BD!$E1113="","",(E1113/(Tabla32[[#This Row],[Magnitud
1 en U]]*Tabla32[[#This Row],[Magnitud
2 en U]])))</f>
        <v>0.728571428571429</v>
      </c>
      <c r="H1113" s="67">
        <v>140</v>
      </c>
      <c r="I1113" s="67">
        <v>100</v>
      </c>
      <c r="J1113" s="91" t="str">
        <f t="shared" si="30"/>
        <v>STE005</v>
      </c>
      <c r="K1113" s="92"/>
    </row>
    <row r="1114" spans="1:11">
      <c r="A1114" s="60">
        <f t="shared" si="31"/>
        <v>6</v>
      </c>
      <c r="B1114" s="160" t="s">
        <v>909</v>
      </c>
      <c r="C1114" s="167" t="s">
        <v>32</v>
      </c>
      <c r="D1114" s="63" t="s">
        <v>244</v>
      </c>
      <c r="E1114" s="64">
        <v>39999.47</v>
      </c>
      <c r="F1114" s="65" t="s">
        <v>261</v>
      </c>
      <c r="G1114" s="101">
        <f>IF(BD!$E1114="","",(E1114/(Tabla32[[#This Row],[Magnitud
1 en U]]*Tabla32[[#This Row],[Magnitud
2 en U]])))</f>
        <v>2.857105</v>
      </c>
      <c r="H1114" s="67">
        <v>140</v>
      </c>
      <c r="I1114" s="67">
        <v>100</v>
      </c>
      <c r="J1114" s="91" t="str">
        <f t="shared" si="30"/>
        <v>STE006</v>
      </c>
      <c r="K1114" s="92"/>
    </row>
    <row r="1115" spans="1:11">
      <c r="A1115" s="60">
        <f t="shared" si="31"/>
        <v>7</v>
      </c>
      <c r="B1115" s="72" t="s">
        <v>910</v>
      </c>
      <c r="C1115" s="167" t="s">
        <v>32</v>
      </c>
      <c r="D1115" s="63" t="s">
        <v>258</v>
      </c>
      <c r="E1115" s="64">
        <v>10200</v>
      </c>
      <c r="F1115" s="65" t="s">
        <v>261</v>
      </c>
      <c r="G1115" s="101">
        <f>IF(BD!$E1115="","",(E1115/(Tabla32[[#This Row],[Magnitud
1 en U]]*Tabla32[[#This Row],[Magnitud
2 en U]])))</f>
        <v>0.728571428571429</v>
      </c>
      <c r="H1115" s="67">
        <v>140</v>
      </c>
      <c r="I1115" s="67">
        <v>100</v>
      </c>
      <c r="J1115" s="91" t="str">
        <f t="shared" si="30"/>
        <v>STE007</v>
      </c>
      <c r="K1115" s="92"/>
    </row>
    <row r="1116" spans="1:11">
      <c r="A1116" s="60">
        <f t="shared" si="31"/>
        <v>8</v>
      </c>
      <c r="B1116" s="61" t="s">
        <v>911</v>
      </c>
      <c r="C1116" s="167" t="s">
        <v>32</v>
      </c>
      <c r="D1116" s="63" t="s">
        <v>261</v>
      </c>
      <c r="E1116" s="64">
        <v>28550</v>
      </c>
      <c r="F1116" s="65" t="s">
        <v>261</v>
      </c>
      <c r="G1116" s="101">
        <f>IF(BD!$E1116="","",(E1116/(Tabla32[[#This Row],[Magnitud
1 en U]]*Tabla32[[#This Row],[Magnitud
2 en U]])))</f>
        <v>2.03928571428571</v>
      </c>
      <c r="H1116" s="67">
        <v>140</v>
      </c>
      <c r="I1116" s="67">
        <v>100</v>
      </c>
      <c r="J1116" s="91" t="str">
        <f t="shared" si="30"/>
        <v>STE008</v>
      </c>
      <c r="K1116" s="92"/>
    </row>
    <row r="1117" spans="1:11">
      <c r="A1117" s="60">
        <f t="shared" si="31"/>
        <v>9</v>
      </c>
      <c r="B1117" s="160" t="s">
        <v>912</v>
      </c>
      <c r="C1117" s="167" t="s">
        <v>32</v>
      </c>
      <c r="D1117" s="63" t="s">
        <v>244</v>
      </c>
      <c r="E1117" s="64">
        <v>34999.09</v>
      </c>
      <c r="F1117" s="65" t="s">
        <v>261</v>
      </c>
      <c r="G1117" s="101">
        <f>IF(BD!$E1117="","",(E1117/(Tabla32[[#This Row],[Magnitud
1 en U]]*Tabla32[[#This Row],[Magnitud
2 en U]])))</f>
        <v>2.499935</v>
      </c>
      <c r="H1117" s="67">
        <v>140</v>
      </c>
      <c r="I1117" s="67">
        <v>100</v>
      </c>
      <c r="J1117" s="91" t="str">
        <f t="shared" si="30"/>
        <v>STE009</v>
      </c>
      <c r="K1117" s="92"/>
    </row>
    <row r="1118" spans="1:11">
      <c r="A1118" s="60">
        <f t="shared" si="31"/>
        <v>10</v>
      </c>
      <c r="B1118" s="168" t="s">
        <v>913</v>
      </c>
      <c r="C1118" s="167" t="s">
        <v>32</v>
      </c>
      <c r="D1118" s="105" t="s">
        <v>244</v>
      </c>
      <c r="E1118" s="106">
        <v>24999.52</v>
      </c>
      <c r="F1118" s="65" t="s">
        <v>261</v>
      </c>
      <c r="G1118" s="101">
        <f>IF(BD!$E1118="","",(E1118/(Tabla32[[#This Row],[Magnitud
1 en U]]*Tabla32[[#This Row],[Magnitud
2 en U]])))</f>
        <v>1.78568</v>
      </c>
      <c r="H1118" s="67">
        <v>140</v>
      </c>
      <c r="I1118" s="67">
        <v>100</v>
      </c>
      <c r="J1118" s="91" t="str">
        <f t="shared" si="30"/>
        <v>STE010</v>
      </c>
      <c r="K1118" s="92"/>
    </row>
    <row r="1119" spans="1:11">
      <c r="A1119" s="60">
        <f t="shared" si="31"/>
        <v>11</v>
      </c>
      <c r="B1119" s="169" t="s">
        <v>914</v>
      </c>
      <c r="C1119" s="167" t="s">
        <v>32</v>
      </c>
      <c r="D1119" s="105" t="s">
        <v>244</v>
      </c>
      <c r="E1119" s="106">
        <v>13269</v>
      </c>
      <c r="F1119" s="65" t="s">
        <v>261</v>
      </c>
      <c r="G1119" s="101">
        <f>IF(BD!$E1119="","",(E1119/(Tabla32[[#This Row],[Magnitud
1 en U]]*Tabla32[[#This Row],[Magnitud
2 en U]])))</f>
        <v>0.947785714285714</v>
      </c>
      <c r="H1119" s="67">
        <v>140</v>
      </c>
      <c r="I1119" s="67">
        <v>100</v>
      </c>
      <c r="J1119" s="91" t="str">
        <f t="shared" si="30"/>
        <v>STE011</v>
      </c>
      <c r="K1119" s="92"/>
    </row>
    <row r="1120" spans="1:11">
      <c r="A1120" s="68">
        <f t="shared" si="31"/>
        <v>12</v>
      </c>
      <c r="B1120" s="170" t="s">
        <v>915</v>
      </c>
      <c r="C1120" s="167" t="s">
        <v>32</v>
      </c>
      <c r="D1120" s="105" t="s">
        <v>244</v>
      </c>
      <c r="E1120" s="106"/>
      <c r="F1120" s="65" t="s">
        <v>916</v>
      </c>
      <c r="G1120" s="101">
        <f>IF(BD!$E1145="","",(E1120/(Tabla32[[#This Row],[Magnitud
1 en U]]*Tabla32[[#This Row],[Magnitud
2 en U]])))</f>
        <v>0</v>
      </c>
      <c r="H1120" s="67">
        <v>140</v>
      </c>
      <c r="I1120" s="67">
        <v>100</v>
      </c>
      <c r="J1120" s="91" t="str">
        <f t="shared" si="30"/>
        <v>STE012</v>
      </c>
      <c r="K1120" s="92"/>
    </row>
    <row r="1121" spans="1:11">
      <c r="A1121" s="68">
        <f t="shared" si="31"/>
        <v>13</v>
      </c>
      <c r="B1121" s="170" t="s">
        <v>917</v>
      </c>
      <c r="C1121" s="167" t="s">
        <v>32</v>
      </c>
      <c r="D1121" s="105" t="s">
        <v>244</v>
      </c>
      <c r="E1121" s="106"/>
      <c r="F1121" s="65" t="s">
        <v>918</v>
      </c>
      <c r="G1121" s="101">
        <f>IF(BD!$E1146="","",(E1121/(Tabla32[[#This Row],[Magnitud
1 en U]]*Tabla32[[#This Row],[Magnitud
2 en U]])))</f>
        <v>0</v>
      </c>
      <c r="H1121" s="67">
        <v>140</v>
      </c>
      <c r="I1121" s="67">
        <v>100</v>
      </c>
      <c r="J1121" s="91" t="str">
        <f t="shared" si="30"/>
        <v>STE013</v>
      </c>
      <c r="K1121" s="92"/>
    </row>
    <row r="1122" spans="1:11">
      <c r="A1122" s="68">
        <f t="shared" si="31"/>
        <v>14</v>
      </c>
      <c r="B1122" s="170" t="s">
        <v>919</v>
      </c>
      <c r="C1122" s="167" t="s">
        <v>32</v>
      </c>
      <c r="D1122" s="105" t="s">
        <v>244</v>
      </c>
      <c r="E1122" s="106"/>
      <c r="F1122" s="65" t="s">
        <v>920</v>
      </c>
      <c r="G1122" s="101">
        <f>IF(BD!$E1147="","",(E1122/(Tabla32[[#This Row],[Magnitud
1 en U]]*Tabla32[[#This Row],[Magnitud
2 en U]])))</f>
        <v>0</v>
      </c>
      <c r="H1122" s="67">
        <v>140</v>
      </c>
      <c r="I1122" s="67">
        <v>100</v>
      </c>
      <c r="J1122" s="91" t="str">
        <f t="shared" si="30"/>
        <v>STE014</v>
      </c>
      <c r="K1122" s="92"/>
    </row>
    <row r="1123" ht="30" customHeight="1" spans="1:11">
      <c r="A1123" s="68">
        <f t="shared" si="31"/>
        <v>15</v>
      </c>
      <c r="B1123" s="170" t="s">
        <v>921</v>
      </c>
      <c r="C1123" s="167" t="s">
        <v>32</v>
      </c>
      <c r="D1123" s="105" t="s">
        <v>244</v>
      </c>
      <c r="E1123" s="106"/>
      <c r="F1123" s="65" t="s">
        <v>922</v>
      </c>
      <c r="G1123" s="101">
        <f>IF(BD!$E1148="","",(E1123/(Tabla32[[#This Row],[Magnitud
1 en U]]*Tabla32[[#This Row],[Magnitud
2 en U]])))</f>
        <v>0</v>
      </c>
      <c r="H1123" s="67">
        <v>140</v>
      </c>
      <c r="I1123" s="67">
        <v>100</v>
      </c>
      <c r="J1123" s="91" t="str">
        <f t="shared" si="30"/>
        <v>STE015</v>
      </c>
      <c r="K1123" s="92"/>
    </row>
    <row r="1124" spans="1:11">
      <c r="A1124" s="68">
        <f t="shared" si="31"/>
        <v>16</v>
      </c>
      <c r="B1124" s="170" t="s">
        <v>923</v>
      </c>
      <c r="C1124" s="167" t="s">
        <v>32</v>
      </c>
      <c r="D1124" s="105" t="s">
        <v>244</v>
      </c>
      <c r="E1124" s="106"/>
      <c r="F1124" s="65" t="s">
        <v>924</v>
      </c>
      <c r="G1124" s="101">
        <f>IF(BD!$E1149="","",(E1124/(Tabla32[[#This Row],[Magnitud
1 en U]]*Tabla32[[#This Row],[Magnitud
2 en U]])))</f>
        <v>0</v>
      </c>
      <c r="H1124" s="67">
        <v>140</v>
      </c>
      <c r="I1124" s="67">
        <v>100</v>
      </c>
      <c r="J1124" s="91" t="str">
        <f t="shared" si="30"/>
        <v>STE016</v>
      </c>
      <c r="K1124" s="92"/>
    </row>
    <row r="1125" spans="1:11">
      <c r="A1125" s="68">
        <f t="shared" si="31"/>
        <v>17</v>
      </c>
      <c r="B1125" s="170" t="s">
        <v>925</v>
      </c>
      <c r="C1125" s="167" t="s">
        <v>32</v>
      </c>
      <c r="D1125" s="105" t="s">
        <v>244</v>
      </c>
      <c r="E1125" s="106"/>
      <c r="F1125" s="65" t="s">
        <v>926</v>
      </c>
      <c r="G1125" s="101">
        <f>IF(BD!$E1150="","",(E1125/(Tabla32[[#This Row],[Magnitud
1 en U]]*Tabla32[[#This Row],[Magnitud
2 en U]])))</f>
        <v>0</v>
      </c>
      <c r="H1125" s="67">
        <v>140</v>
      </c>
      <c r="I1125" s="67">
        <v>100</v>
      </c>
      <c r="J1125" s="91" t="str">
        <f t="shared" si="30"/>
        <v>STE017</v>
      </c>
      <c r="K1125" s="92"/>
    </row>
    <row r="1126" spans="1:11">
      <c r="A1126" s="60">
        <f t="shared" si="31"/>
        <v>18</v>
      </c>
      <c r="B1126" s="169" t="s">
        <v>927</v>
      </c>
      <c r="C1126" s="167" t="s">
        <v>32</v>
      </c>
      <c r="D1126" s="105" t="s">
        <v>244</v>
      </c>
      <c r="E1126" s="106">
        <v>20059.83</v>
      </c>
      <c r="F1126" s="65" t="s">
        <v>261</v>
      </c>
      <c r="G1126" s="101" t="str">
        <f>IF(BD!$E1120="","",(E1126/(Tabla32[[#This Row],[Magnitud
1 en U]]*Tabla32[[#This Row],[Magnitud
2 en U]])))</f>
        <v/>
      </c>
      <c r="H1126" s="67">
        <v>140</v>
      </c>
      <c r="I1126" s="67">
        <v>100</v>
      </c>
      <c r="J1126" s="91" t="str">
        <f t="shared" si="30"/>
        <v>STE018</v>
      </c>
      <c r="K1126" s="92"/>
    </row>
    <row r="1127" ht="30" spans="1:11">
      <c r="A1127" s="60">
        <f t="shared" si="31"/>
        <v>19</v>
      </c>
      <c r="B1127" s="169" t="s">
        <v>928</v>
      </c>
      <c r="C1127" s="167" t="s">
        <v>32</v>
      </c>
      <c r="D1127" s="105" t="s">
        <v>244</v>
      </c>
      <c r="E1127" s="106">
        <v>31945</v>
      </c>
      <c r="F1127" s="65" t="s">
        <v>261</v>
      </c>
      <c r="G1127" s="101" t="str">
        <f>IF(BD!$E1121="","",(E1127/(Tabla32[[#This Row],[Magnitud
1 en U]]*Tabla32[[#This Row],[Magnitud
2 en U]])))</f>
        <v/>
      </c>
      <c r="H1127" s="67">
        <v>140</v>
      </c>
      <c r="I1127" s="67">
        <v>100</v>
      </c>
      <c r="J1127" s="91" t="str">
        <f t="shared" si="30"/>
        <v>STE019</v>
      </c>
      <c r="K1127" s="92"/>
    </row>
    <row r="1128" ht="30" spans="1:11">
      <c r="A1128" s="60">
        <f t="shared" si="31"/>
        <v>20</v>
      </c>
      <c r="B1128" s="169" t="s">
        <v>929</v>
      </c>
      <c r="C1128" s="167" t="s">
        <v>32</v>
      </c>
      <c r="D1128" s="105" t="s">
        <v>244</v>
      </c>
      <c r="E1128" s="106">
        <v>59308.5</v>
      </c>
      <c r="F1128" s="65" t="s">
        <v>261</v>
      </c>
      <c r="G1128" s="101" t="str">
        <f>IF(BD!$E1122="","",(E1128/(Tabla32[[#This Row],[Magnitud
1 en U]]*Tabla32[[#This Row],[Magnitud
2 en U]])))</f>
        <v/>
      </c>
      <c r="H1128" s="67">
        <v>140</v>
      </c>
      <c r="I1128" s="67">
        <v>100</v>
      </c>
      <c r="J1128" s="91" t="str">
        <f t="shared" si="30"/>
        <v>STE020</v>
      </c>
      <c r="K1128" s="92"/>
    </row>
    <row r="1129" spans="1:11">
      <c r="A1129" s="60">
        <f t="shared" si="31"/>
        <v>21</v>
      </c>
      <c r="B1129" s="169" t="s">
        <v>930</v>
      </c>
      <c r="C1129" s="167" t="s">
        <v>32</v>
      </c>
      <c r="D1129" s="105" t="s">
        <v>244</v>
      </c>
      <c r="E1129" s="106">
        <v>22911.76</v>
      </c>
      <c r="F1129" s="65" t="s">
        <v>261</v>
      </c>
      <c r="G1129" s="101" t="str">
        <f>IF(BD!$E1123="","",(E1129/(Tabla32[[#This Row],[Magnitud
1 en U]]*Tabla32[[#This Row],[Magnitud
2 en U]])))</f>
        <v/>
      </c>
      <c r="H1129" s="67">
        <v>140</v>
      </c>
      <c r="I1129" s="67">
        <v>100</v>
      </c>
      <c r="J1129" s="91" t="str">
        <f t="shared" si="30"/>
        <v>STE021</v>
      </c>
      <c r="K1129" s="92"/>
    </row>
    <row r="1130" ht="30" spans="1:11">
      <c r="A1130" s="60">
        <f t="shared" si="31"/>
        <v>22</v>
      </c>
      <c r="B1130" s="168" t="s">
        <v>931</v>
      </c>
      <c r="C1130" s="167" t="s">
        <v>32</v>
      </c>
      <c r="D1130" s="105" t="s">
        <v>244</v>
      </c>
      <c r="E1130" s="106">
        <v>39358.5</v>
      </c>
      <c r="F1130" s="65" t="s">
        <v>261</v>
      </c>
      <c r="G1130" s="101" t="str">
        <f>IF(BD!$E1124="","",(E1130/(Tabla32[[#This Row],[Magnitud
1 en U]]*Tabla32[[#This Row],[Magnitud
2 en U]])))</f>
        <v/>
      </c>
      <c r="H1130" s="67">
        <v>140</v>
      </c>
      <c r="I1130" s="67">
        <v>100</v>
      </c>
      <c r="J1130" s="91" t="str">
        <f t="shared" si="30"/>
        <v>STE022</v>
      </c>
      <c r="K1130" s="92"/>
    </row>
    <row r="1131" spans="1:11">
      <c r="A1131" s="60">
        <f t="shared" si="31"/>
        <v>23</v>
      </c>
      <c r="B1131" s="169" t="s">
        <v>932</v>
      </c>
      <c r="C1131" s="167" t="s">
        <v>32</v>
      </c>
      <c r="D1131" s="105" t="s">
        <v>244</v>
      </c>
      <c r="E1131" s="106">
        <v>34666.66</v>
      </c>
      <c r="F1131" s="65" t="s">
        <v>261</v>
      </c>
      <c r="G1131" s="101" t="str">
        <f>IF(BD!$E1125="","",(E1131/(Tabla32[[#This Row],[Magnitud
1 en U]]*Tabla32[[#This Row],[Magnitud
2 en U]])))</f>
        <v/>
      </c>
      <c r="H1131" s="67">
        <v>140</v>
      </c>
      <c r="I1131" s="67">
        <v>100</v>
      </c>
      <c r="J1131" s="91" t="str">
        <f t="shared" si="30"/>
        <v>STE023</v>
      </c>
      <c r="K1131" s="92"/>
    </row>
    <row r="1132" spans="1:11">
      <c r="A1132" s="60">
        <f t="shared" si="31"/>
        <v>24</v>
      </c>
      <c r="B1132" s="169" t="s">
        <v>933</v>
      </c>
      <c r="C1132" s="167" t="s">
        <v>32</v>
      </c>
      <c r="D1132" s="105" t="s">
        <v>261</v>
      </c>
      <c r="E1132" s="106">
        <v>3550</v>
      </c>
      <c r="F1132" s="65" t="s">
        <v>261</v>
      </c>
      <c r="G1132" s="101">
        <f>IF(BD!$E1126="","",(E1132/(Tabla32[[#This Row],[Magnitud
1 en U]]*Tabla32[[#This Row],[Magnitud
2 en U]])))</f>
        <v>0.236666666666667</v>
      </c>
      <c r="H1132" s="67">
        <v>150</v>
      </c>
      <c r="I1132" s="67">
        <v>100</v>
      </c>
      <c r="J1132" s="91" t="str">
        <f t="shared" si="30"/>
        <v>STE024</v>
      </c>
      <c r="K1132" s="92"/>
    </row>
    <row r="1133" spans="1:11">
      <c r="A1133" s="60">
        <f t="shared" si="31"/>
        <v>25</v>
      </c>
      <c r="B1133" s="168" t="s">
        <v>934</v>
      </c>
      <c r="C1133" s="167" t="s">
        <v>32</v>
      </c>
      <c r="D1133" s="105" t="s">
        <v>244</v>
      </c>
      <c r="E1133" s="106">
        <v>16591.6</v>
      </c>
      <c r="F1133" s="65" t="s">
        <v>261</v>
      </c>
      <c r="G1133" s="101">
        <f>IF(BD!$E1127="","",(E1133/(Tabla32[[#This Row],[Magnitud
1 en U]]*Tabla32[[#This Row],[Magnitud
2 en U]])))</f>
        <v>1.18511428571429</v>
      </c>
      <c r="H1133" s="67">
        <v>140</v>
      </c>
      <c r="I1133" s="67">
        <v>100</v>
      </c>
      <c r="J1133" s="91" t="str">
        <f t="shared" si="30"/>
        <v>STE025</v>
      </c>
      <c r="K1133" s="92"/>
    </row>
    <row r="1134" spans="1:11">
      <c r="A1134" s="60">
        <f t="shared" si="31"/>
        <v>26</v>
      </c>
      <c r="B1134" s="171" t="s">
        <v>935</v>
      </c>
      <c r="C1134" s="167" t="s">
        <v>32</v>
      </c>
      <c r="D1134" s="105" t="s">
        <v>244</v>
      </c>
      <c r="E1134" s="106">
        <v>16813.51</v>
      </c>
      <c r="F1134" s="65" t="s">
        <v>261</v>
      </c>
      <c r="G1134" s="101">
        <f>IF(BD!$E1128="","",(E1134/(Tabla32[[#This Row],[Magnitud
1 en U]]*Tabla32[[#This Row],[Magnitud
2 en U]])))</f>
        <v>1.200965</v>
      </c>
      <c r="H1134" s="67">
        <v>140</v>
      </c>
      <c r="I1134" s="67">
        <v>100</v>
      </c>
      <c r="J1134" s="91" t="str">
        <f t="shared" si="30"/>
        <v>STE026</v>
      </c>
      <c r="K1134" s="92"/>
    </row>
    <row r="1135" spans="1:11">
      <c r="A1135" s="60">
        <f t="shared" si="31"/>
        <v>27</v>
      </c>
      <c r="B1135" s="171" t="s">
        <v>936</v>
      </c>
      <c r="C1135" s="167" t="s">
        <v>32</v>
      </c>
      <c r="D1135" s="105" t="s">
        <v>244</v>
      </c>
      <c r="E1135" s="106">
        <v>19744.004</v>
      </c>
      <c r="F1135" s="65" t="s">
        <v>261</v>
      </c>
      <c r="G1135" s="101">
        <f>IF(BD!$E1129="","",(E1135/(Tabla32[[#This Row],[Magnitud
1 en U]]*Tabla32[[#This Row],[Magnitud
2 en U]])))</f>
        <v>1.410286</v>
      </c>
      <c r="H1135" s="67">
        <v>140</v>
      </c>
      <c r="I1135" s="67">
        <v>100</v>
      </c>
      <c r="J1135" s="91" t="str">
        <f t="shared" si="30"/>
        <v>STE027</v>
      </c>
      <c r="K1135" s="92"/>
    </row>
    <row r="1136" spans="1:11">
      <c r="A1136" s="60">
        <f t="shared" si="31"/>
        <v>28</v>
      </c>
      <c r="B1136" s="168" t="s">
        <v>937</v>
      </c>
      <c r="C1136" s="167" t="s">
        <v>32</v>
      </c>
      <c r="D1136" s="105" t="s">
        <v>244</v>
      </c>
      <c r="E1136" s="106">
        <v>9500</v>
      </c>
      <c r="F1136" s="65" t="s">
        <v>261</v>
      </c>
      <c r="G1136" s="101">
        <f>IF(BD!$E1130="","",(E1136/(Tabla32[[#This Row],[Magnitud
1 en U]]*Tabla32[[#This Row],[Magnitud
2 en U]])))</f>
        <v>0.678571428571429</v>
      </c>
      <c r="H1136" s="67">
        <v>140</v>
      </c>
      <c r="I1136" s="67">
        <v>100</v>
      </c>
      <c r="J1136" s="91" t="str">
        <f t="shared" si="30"/>
        <v>STE028</v>
      </c>
      <c r="K1136" s="92"/>
    </row>
    <row r="1137" spans="1:11">
      <c r="A1137" s="60">
        <f t="shared" si="31"/>
        <v>29</v>
      </c>
      <c r="B1137" s="171" t="s">
        <v>938</v>
      </c>
      <c r="C1137" s="167" t="s">
        <v>32</v>
      </c>
      <c r="D1137" s="105" t="s">
        <v>244</v>
      </c>
      <c r="E1137" s="106">
        <v>7511.994</v>
      </c>
      <c r="F1137" s="65" t="s">
        <v>261</v>
      </c>
      <c r="G1137" s="101">
        <f>IF(BD!$E1131="","",(E1137/(Tabla32[[#This Row],[Magnitud
1 en U]]*Tabla32[[#This Row],[Magnitud
2 en U]])))</f>
        <v>0.536571</v>
      </c>
      <c r="H1137" s="67">
        <v>140</v>
      </c>
      <c r="I1137" s="67">
        <v>100</v>
      </c>
      <c r="J1137" s="91" t="str">
        <f t="shared" si="30"/>
        <v>STE029</v>
      </c>
      <c r="K1137" s="92"/>
    </row>
    <row r="1138" ht="30" spans="1:11">
      <c r="A1138" s="60">
        <f t="shared" si="31"/>
        <v>30</v>
      </c>
      <c r="B1138" s="168" t="s">
        <v>939</v>
      </c>
      <c r="C1138" s="167" t="s">
        <v>32</v>
      </c>
      <c r="D1138" s="105" t="s">
        <v>244</v>
      </c>
      <c r="E1138" s="106">
        <v>28016</v>
      </c>
      <c r="F1138" s="65" t="s">
        <v>261</v>
      </c>
      <c r="G1138" s="101">
        <f>IF(BD!$E1132="","",(E1138/(Tabla32[[#This Row],[Magnitud
1 en U]]*Tabla32[[#This Row],[Magnitud
2 en U]])))</f>
        <v>2.00114285714286</v>
      </c>
      <c r="H1138" s="67">
        <v>140</v>
      </c>
      <c r="I1138" s="67">
        <v>100</v>
      </c>
      <c r="J1138" s="91" t="str">
        <f t="shared" si="30"/>
        <v>STE030</v>
      </c>
      <c r="K1138" s="92"/>
    </row>
    <row r="1139" spans="1:11">
      <c r="A1139" s="60">
        <f t="shared" si="31"/>
        <v>31</v>
      </c>
      <c r="B1139" s="171" t="s">
        <v>940</v>
      </c>
      <c r="C1139" s="167" t="s">
        <v>32</v>
      </c>
      <c r="D1139" s="105" t="s">
        <v>244</v>
      </c>
      <c r="E1139" s="106">
        <v>25200</v>
      </c>
      <c r="F1139" s="65" t="s">
        <v>261</v>
      </c>
      <c r="G1139" s="101">
        <f>IF(BD!$E1133="","",(E1139/(Tabla32[[#This Row],[Magnitud
1 en U]]*Tabla32[[#This Row],[Magnitud
2 en U]])))</f>
        <v>1.8</v>
      </c>
      <c r="H1139" s="67">
        <v>140</v>
      </c>
      <c r="I1139" s="67">
        <v>100</v>
      </c>
      <c r="J1139" s="91" t="str">
        <f t="shared" si="30"/>
        <v>STE031</v>
      </c>
      <c r="K1139" s="92"/>
    </row>
    <row r="1140" spans="1:11">
      <c r="A1140" s="60">
        <f t="shared" si="31"/>
        <v>32</v>
      </c>
      <c r="B1140" s="160" t="s">
        <v>941</v>
      </c>
      <c r="C1140" s="167" t="s">
        <v>32</v>
      </c>
      <c r="D1140" s="63" t="s">
        <v>244</v>
      </c>
      <c r="E1140" s="64">
        <v>6970.59</v>
      </c>
      <c r="F1140" s="65" t="s">
        <v>261</v>
      </c>
      <c r="G1140" s="101">
        <f>IF(BD!$E1134="","",(E1140/(Tabla32[[#This Row],[Magnitud
1 en U]]*Tabla32[[#This Row],[Magnitud
2 en U]])))</f>
        <v>0.497899285714286</v>
      </c>
      <c r="H1140" s="67">
        <v>140</v>
      </c>
      <c r="I1140" s="67">
        <v>100</v>
      </c>
      <c r="J1140" s="91" t="str">
        <f t="shared" si="30"/>
        <v>STE032</v>
      </c>
      <c r="K1140" s="92"/>
    </row>
    <row r="1141" spans="1:11">
      <c r="A1141" s="68">
        <f t="shared" si="31"/>
        <v>33</v>
      </c>
      <c r="B1141" s="124" t="s">
        <v>942</v>
      </c>
      <c r="C1141" s="167" t="s">
        <v>32</v>
      </c>
      <c r="D1141" s="63" t="s">
        <v>244</v>
      </c>
      <c r="E1141" s="64"/>
      <c r="F1141" s="65" t="s">
        <v>943</v>
      </c>
      <c r="G1141" s="101">
        <f>IF(BD!$E1151="","",(E1141/(Tabla32[[#This Row],[Magnitud
1 en U]]*Tabla32[[#This Row],[Magnitud
2 en U]])))</f>
        <v>0</v>
      </c>
      <c r="H1141" s="67">
        <v>140</v>
      </c>
      <c r="I1141" s="67">
        <v>100</v>
      </c>
      <c r="J1141" s="91" t="str">
        <f t="shared" si="30"/>
        <v>STE033</v>
      </c>
      <c r="K1141" s="92"/>
    </row>
    <row r="1142" spans="1:11">
      <c r="A1142" s="60">
        <f t="shared" si="31"/>
        <v>34</v>
      </c>
      <c r="B1142" s="172" t="s">
        <v>944</v>
      </c>
      <c r="C1142" s="167" t="s">
        <v>32</v>
      </c>
      <c r="D1142" s="105" t="s">
        <v>244</v>
      </c>
      <c r="E1142" s="106">
        <v>8770.33333333333</v>
      </c>
      <c r="F1142" s="65" t="s">
        <v>261</v>
      </c>
      <c r="G1142" s="101">
        <f>IF(BD!$E1135="","",(E1142/(Tabla32[[#This Row],[Magnitud
1 en U]]*Tabla32[[#This Row],[Magnitud
2 en U]])))</f>
        <v>0.626452380952381</v>
      </c>
      <c r="H1142" s="107">
        <v>140</v>
      </c>
      <c r="I1142" s="67">
        <v>100</v>
      </c>
      <c r="J1142" s="91" t="str">
        <f t="shared" si="30"/>
        <v>STE034</v>
      </c>
      <c r="K1142" s="92"/>
    </row>
    <row r="1143" spans="1:11">
      <c r="A1143" s="60">
        <f t="shared" si="31"/>
        <v>35</v>
      </c>
      <c r="B1143" s="160" t="s">
        <v>945</v>
      </c>
      <c r="C1143" s="167" t="s">
        <v>32</v>
      </c>
      <c r="D1143" s="63" t="s">
        <v>244</v>
      </c>
      <c r="E1143" s="64">
        <v>44000</v>
      </c>
      <c r="F1143" s="65" t="s">
        <v>261</v>
      </c>
      <c r="G1143" s="101">
        <f>IF(BD!$E1136="","",(E1143/(Tabla32[[#This Row],[Magnitud
1 en U]]*Tabla32[[#This Row],[Magnitud
2 en U]])))</f>
        <v>3.14285714285714</v>
      </c>
      <c r="H1143" s="107">
        <v>140</v>
      </c>
      <c r="I1143" s="103">
        <v>100</v>
      </c>
      <c r="J1143" s="91" t="str">
        <f t="shared" si="30"/>
        <v>STE035</v>
      </c>
      <c r="K1143" s="92"/>
    </row>
    <row r="1144" spans="1:11">
      <c r="A1144" s="60">
        <f t="shared" si="31"/>
        <v>36</v>
      </c>
      <c r="B1144" s="61" t="s">
        <v>946</v>
      </c>
      <c r="C1144" s="167" t="s">
        <v>32</v>
      </c>
      <c r="D1144" s="63" t="s">
        <v>258</v>
      </c>
      <c r="E1144" s="64">
        <v>18500</v>
      </c>
      <c r="F1144" s="65" t="s">
        <v>261</v>
      </c>
      <c r="G1144" s="101">
        <f>IF(BD!$E1137="","",(E1144/(Tabla32[[#This Row],[Magnitud
1 en U]]*Tabla32[[#This Row],[Magnitud
2 en U]])))</f>
        <v>1.32142857142857</v>
      </c>
      <c r="H1144" s="107">
        <v>140</v>
      </c>
      <c r="I1144" s="67">
        <v>100</v>
      </c>
      <c r="J1144" s="91" t="str">
        <f t="shared" si="30"/>
        <v>STE036</v>
      </c>
      <c r="K1144" s="92"/>
    </row>
    <row r="1145" spans="1:11">
      <c r="A1145" s="60">
        <f t="shared" si="31"/>
        <v>37</v>
      </c>
      <c r="B1145" s="61" t="s">
        <v>947</v>
      </c>
      <c r="C1145" s="167" t="s">
        <v>32</v>
      </c>
      <c r="D1145" s="63" t="s">
        <v>258</v>
      </c>
      <c r="E1145" s="64">
        <v>39100</v>
      </c>
      <c r="F1145" s="65" t="s">
        <v>261</v>
      </c>
      <c r="G1145" s="101">
        <f>IF(BD!$E1138="","",(E1145/(Tabla32[[#This Row],[Magnitud
1 en U]]*Tabla32[[#This Row],[Magnitud
2 en U]])))</f>
        <v>2.79285714285714</v>
      </c>
      <c r="H1145" s="107">
        <v>140</v>
      </c>
      <c r="I1145" s="67">
        <v>100</v>
      </c>
      <c r="J1145" s="91" t="str">
        <f t="shared" si="30"/>
        <v>STE037</v>
      </c>
      <c r="K1145" s="92"/>
    </row>
    <row r="1146" spans="1:11">
      <c r="A1146" s="60">
        <f t="shared" si="31"/>
        <v>38</v>
      </c>
      <c r="B1146" s="149" t="s">
        <v>948</v>
      </c>
      <c r="C1146" s="167" t="s">
        <v>32</v>
      </c>
      <c r="D1146" s="63" t="s">
        <v>258</v>
      </c>
      <c r="E1146" s="122">
        <v>11950</v>
      </c>
      <c r="F1146" s="65" t="s">
        <v>261</v>
      </c>
      <c r="G1146" s="101">
        <f>IF(BD!$E1139="","",(E1146/(Tabla32[[#This Row],[Magnitud
1 en U]]*Tabla32[[#This Row],[Magnitud
2 en U]])))</f>
        <v>0.853571428571429</v>
      </c>
      <c r="H1146" s="107">
        <v>140</v>
      </c>
      <c r="I1146" s="67">
        <v>100</v>
      </c>
      <c r="J1146" s="91" t="str">
        <f t="shared" si="30"/>
        <v>STE038</v>
      </c>
      <c r="K1146" s="92"/>
    </row>
    <row r="1147" ht="30" spans="1:11">
      <c r="A1147" s="60">
        <f t="shared" si="31"/>
        <v>39</v>
      </c>
      <c r="B1147" s="173" t="s">
        <v>949</v>
      </c>
      <c r="C1147" s="167" t="s">
        <v>32</v>
      </c>
      <c r="D1147" s="63" t="s">
        <v>244</v>
      </c>
      <c r="E1147" s="122">
        <v>5194</v>
      </c>
      <c r="F1147" s="65" t="s">
        <v>261</v>
      </c>
      <c r="G1147" s="101">
        <f>IF(BD!$E1140="","",(E1147/(Tabla32[[#This Row],[Magnitud
1 en U]]*Tabla32[[#This Row],[Magnitud
2 en U]])))</f>
        <v>0.371</v>
      </c>
      <c r="H1147" s="107">
        <v>140</v>
      </c>
      <c r="I1147" s="67">
        <v>100</v>
      </c>
      <c r="J1147" s="91" t="str">
        <f t="shared" si="30"/>
        <v>STE039</v>
      </c>
      <c r="K1147" s="92"/>
    </row>
    <row r="1148" ht="30" spans="1:11">
      <c r="A1148" s="60">
        <f t="shared" si="31"/>
        <v>40</v>
      </c>
      <c r="B1148" s="173" t="s">
        <v>950</v>
      </c>
      <c r="C1148" s="167" t="s">
        <v>32</v>
      </c>
      <c r="D1148" s="63" t="s">
        <v>258</v>
      </c>
      <c r="E1148" s="122">
        <v>39358.5</v>
      </c>
      <c r="F1148" s="65" t="s">
        <v>261</v>
      </c>
      <c r="G1148" s="101" t="str">
        <f>IF(BD!$E1141="","",(E1148/(Tabla32[[#This Row],[Magnitud
1 en U]]*Tabla32[[#This Row],[Magnitud
2 en U]])))</f>
        <v/>
      </c>
      <c r="H1148" s="107">
        <v>140</v>
      </c>
      <c r="I1148" s="67">
        <v>100</v>
      </c>
      <c r="J1148" s="91" t="str">
        <f t="shared" si="30"/>
        <v>STE040</v>
      </c>
      <c r="K1148" s="92"/>
    </row>
    <row r="1149" ht="30" spans="1:11">
      <c r="A1149" s="60">
        <f t="shared" si="31"/>
        <v>41</v>
      </c>
      <c r="B1149" s="173" t="s">
        <v>951</v>
      </c>
      <c r="C1149" s="167" t="s">
        <v>32</v>
      </c>
      <c r="D1149" s="63" t="s">
        <v>258</v>
      </c>
      <c r="E1149" s="122">
        <v>31945</v>
      </c>
      <c r="F1149" s="65" t="s">
        <v>261</v>
      </c>
      <c r="G1149" s="101">
        <f>IF(BD!$E1142="","",(E1149/(Tabla32[[#This Row],[Magnitud
1 en U]]*Tabla32[[#This Row],[Magnitud
2 en U]])))</f>
        <v>2.28178571428571</v>
      </c>
      <c r="H1149" s="107">
        <v>140</v>
      </c>
      <c r="I1149" s="67">
        <v>100</v>
      </c>
      <c r="J1149" s="91" t="str">
        <f t="shared" si="30"/>
        <v>STE041</v>
      </c>
      <c r="K1149" s="92"/>
    </row>
    <row r="1150" ht="30" spans="1:11">
      <c r="A1150" s="60">
        <f t="shared" si="31"/>
        <v>42</v>
      </c>
      <c r="B1150" s="173" t="s">
        <v>952</v>
      </c>
      <c r="C1150" s="167" t="s">
        <v>32</v>
      </c>
      <c r="D1150" s="63" t="s">
        <v>258</v>
      </c>
      <c r="E1150" s="122">
        <v>59308.5</v>
      </c>
      <c r="F1150" s="65" t="s">
        <v>261</v>
      </c>
      <c r="G1150" s="101">
        <f>IF(BD!$E1143="","",(E1150/(Tabla32[[#This Row],[Magnitud
1 en U]]*Tabla32[[#This Row],[Magnitud
2 en U]])))</f>
        <v>4.23632142857143</v>
      </c>
      <c r="H1150" s="107">
        <v>140</v>
      </c>
      <c r="I1150" s="67">
        <v>100</v>
      </c>
      <c r="J1150" s="91" t="str">
        <f t="shared" si="30"/>
        <v>STE042</v>
      </c>
      <c r="K1150" s="92"/>
    </row>
    <row r="1151" spans="1:11">
      <c r="A1151" s="68">
        <f t="shared" si="31"/>
        <v>43</v>
      </c>
      <c r="B1151" s="173" t="s">
        <v>953</v>
      </c>
      <c r="C1151" s="167" t="s">
        <v>32</v>
      </c>
      <c r="D1151" s="63" t="s">
        <v>244</v>
      </c>
      <c r="E1151" s="122">
        <v>0</v>
      </c>
      <c r="F1151" s="65" t="s">
        <v>261</v>
      </c>
      <c r="G1151" s="101">
        <f>IF(BD!$E1144="","",(E1151/(Tabla32[[#This Row],[Magnitud
1 en U]]*Tabla32[[#This Row],[Magnitud
2 en U]])))</f>
        <v>0</v>
      </c>
      <c r="H1151" s="107">
        <v>150</v>
      </c>
      <c r="I1151" s="67">
        <v>100</v>
      </c>
      <c r="J1151" s="180" t="str">
        <f t="shared" si="30"/>
        <v>STE043</v>
      </c>
      <c r="K1151" s="36"/>
    </row>
    <row r="1152" spans="1:9">
      <c r="A1152" s="174"/>
      <c r="B1152" s="113"/>
      <c r="C1152" s="175"/>
      <c r="D1152" s="176"/>
      <c r="E1152" s="177"/>
      <c r="G1152" s="178"/>
      <c r="H1152" s="179"/>
      <c r="I1152" s="179"/>
    </row>
    <row r="1153" spans="1:9">
      <c r="A1153" s="174"/>
      <c r="B1153" s="113"/>
      <c r="C1153" s="175"/>
      <c r="D1153" s="176"/>
      <c r="E1153" s="177"/>
      <c r="G1153" s="178"/>
      <c r="H1153" s="179"/>
      <c r="I1153" s="179"/>
    </row>
    <row r="1154" spans="1:9">
      <c r="A1154" s="174"/>
      <c r="B1154" s="113"/>
      <c r="C1154" s="175"/>
      <c r="D1154" s="176"/>
      <c r="E1154" s="177"/>
      <c r="G1154" s="178"/>
      <c r="H1154" s="179"/>
      <c r="I1154" s="179"/>
    </row>
    <row r="1155" spans="1:9">
      <c r="A1155" s="174"/>
      <c r="B1155" s="113"/>
      <c r="C1155" s="175"/>
      <c r="D1155" s="176"/>
      <c r="E1155" s="177"/>
      <c r="G1155" s="178"/>
      <c r="H1155" s="179"/>
      <c r="I1155" s="179"/>
    </row>
    <row r="1156" spans="1:9">
      <c r="A1156" s="174"/>
      <c r="B1156" s="113"/>
      <c r="C1156" s="175"/>
      <c r="D1156" s="176"/>
      <c r="E1156" s="177"/>
      <c r="G1156" s="178"/>
      <c r="H1156" s="179"/>
      <c r="I1156" s="179"/>
    </row>
    <row r="1157" spans="1:9">
      <c r="A1157" s="174"/>
      <c r="B1157" s="113"/>
      <c r="C1157" s="175"/>
      <c r="D1157" s="176"/>
      <c r="E1157" s="177"/>
      <c r="G1157" s="178"/>
      <c r="H1157" s="179"/>
      <c r="I1157" s="179"/>
    </row>
    <row r="1158" spans="1:9">
      <c r="A1158" s="174"/>
      <c r="B1158" s="113"/>
      <c r="C1158" s="175"/>
      <c r="D1158" s="176"/>
      <c r="E1158" s="177"/>
      <c r="G1158" s="178"/>
      <c r="H1158" s="179"/>
      <c r="I1158" s="179"/>
    </row>
    <row r="1159" ht="18" customHeight="1" spans="1:9">
      <c r="A1159" s="174"/>
      <c r="B1159" s="113"/>
      <c r="C1159" s="175"/>
      <c r="D1159" s="176"/>
      <c r="E1159" s="177"/>
      <c r="G1159" s="178"/>
      <c r="H1159" s="179"/>
      <c r="I1159" s="179"/>
    </row>
    <row r="1160" spans="1:9">
      <c r="A1160" s="174"/>
      <c r="B1160" s="113"/>
      <c r="C1160" s="175"/>
      <c r="D1160" s="176"/>
      <c r="E1160" s="177"/>
      <c r="G1160" s="178"/>
      <c r="H1160" s="179"/>
      <c r="I1160" s="179"/>
    </row>
    <row r="1161" spans="1:9">
      <c r="A1161" s="174"/>
      <c r="B1161" s="113"/>
      <c r="C1161" s="175"/>
      <c r="D1161" s="176"/>
      <c r="E1161" s="177"/>
      <c r="G1161" s="178"/>
      <c r="H1161" s="179"/>
      <c r="I1161" s="179"/>
    </row>
    <row r="1162" spans="1:9">
      <c r="A1162" s="174"/>
      <c r="B1162" s="113"/>
      <c r="C1162" s="175"/>
      <c r="D1162" s="176"/>
      <c r="E1162" s="177"/>
      <c r="G1162" s="178"/>
      <c r="H1162" s="179"/>
      <c r="I1162" s="179"/>
    </row>
    <row r="1163" ht="30" customHeight="1" spans="1:9">
      <c r="A1163" s="174"/>
      <c r="B1163" s="113"/>
      <c r="C1163" s="175"/>
      <c r="D1163" s="176"/>
      <c r="E1163" s="177"/>
      <c r="G1163" s="178"/>
      <c r="H1163" s="179"/>
      <c r="I1163" s="179"/>
    </row>
    <row r="1164" spans="1:9">
      <c r="A1164" s="174"/>
      <c r="B1164" s="113"/>
      <c r="C1164" s="175"/>
      <c r="D1164" s="176"/>
      <c r="E1164" s="177"/>
      <c r="G1164" s="178"/>
      <c r="H1164" s="179"/>
      <c r="I1164" s="179"/>
    </row>
    <row r="1165" ht="15.75" spans="1:10">
      <c r="A1165" s="25"/>
      <c r="B1165" s="75" t="s">
        <v>126</v>
      </c>
      <c r="C1165" s="25"/>
      <c r="D1165" s="25"/>
      <c r="E1165" s="25"/>
      <c r="F1165" s="76"/>
      <c r="G1165" s="25"/>
      <c r="H1165" s="25"/>
      <c r="I1165" s="25"/>
      <c r="J1165" s="25"/>
    </row>
    <row r="1166" ht="15.75" spans="2:9">
      <c r="B1166"/>
      <c r="C1166" s="181"/>
      <c r="D1166" s="153"/>
      <c r="E1166"/>
      <c r="F1166" s="74"/>
      <c r="H1166"/>
      <c r="I1166"/>
    </row>
    <row r="1167" ht="24" spans="1:9">
      <c r="A1167" s="182" t="s">
        <v>96</v>
      </c>
      <c r="B1167" s="183">
        <f>SUBTOTAL(3,(B1169:B1230))</f>
        <v>62</v>
      </c>
      <c r="E1167"/>
      <c r="F1167" s="74"/>
      <c r="H1167"/>
      <c r="I1167"/>
    </row>
    <row r="1168" ht="47.25" spans="1:11">
      <c r="A1168" s="184" t="s">
        <v>79</v>
      </c>
      <c r="B1168" s="185" t="s">
        <v>98</v>
      </c>
      <c r="C1168" s="80" t="s">
        <v>99</v>
      </c>
      <c r="D1168" s="81" t="s">
        <v>100</v>
      </c>
      <c r="E1168" s="82" t="s">
        <v>101</v>
      </c>
      <c r="F1168" s="58" t="s">
        <v>102</v>
      </c>
      <c r="G1168" s="56" t="s">
        <v>103</v>
      </c>
      <c r="H1168" s="59" t="s">
        <v>104</v>
      </c>
      <c r="I1168" s="59" t="s">
        <v>105</v>
      </c>
      <c r="J1168" s="84" t="s">
        <v>106</v>
      </c>
      <c r="K1168" s="85" t="s">
        <v>107</v>
      </c>
    </row>
    <row r="1169" spans="1:11">
      <c r="A1169" s="186">
        <v>1</v>
      </c>
      <c r="B1169" s="187" t="s">
        <v>954</v>
      </c>
      <c r="C1169" s="83" t="s">
        <v>34</v>
      </c>
      <c r="D1169" s="63" t="s">
        <v>247</v>
      </c>
      <c r="E1169" s="64"/>
      <c r="F1169" s="65" t="s">
        <v>261</v>
      </c>
      <c r="G1169" s="66" t="str">
        <f>IF(BD!$E1221="","",(E1169/(H1169*I1169)))</f>
        <v/>
      </c>
      <c r="H1169" s="67">
        <v>1</v>
      </c>
      <c r="I1169" s="67">
        <v>100</v>
      </c>
      <c r="J1169" s="91" t="str">
        <f t="shared" ref="J1169:J1200" si="32">CONCATENATE(LEFT(C1169,1),"_",TEXT(A1169,"000"))</f>
        <v>S_001</v>
      </c>
      <c r="K1169" s="92"/>
    </row>
    <row r="1170" spans="1:11">
      <c r="A1170" s="186">
        <v>2</v>
      </c>
      <c r="B1170" s="187" t="s">
        <v>955</v>
      </c>
      <c r="C1170" s="83" t="s">
        <v>34</v>
      </c>
      <c r="D1170" s="63" t="s">
        <v>247</v>
      </c>
      <c r="E1170" s="64"/>
      <c r="F1170" s="65" t="s">
        <v>261</v>
      </c>
      <c r="G1170" s="66" t="str">
        <f>IF(BD!$E1222="","",(E1170/(H1170*I1170)))</f>
        <v/>
      </c>
      <c r="H1170" s="67">
        <v>1</v>
      </c>
      <c r="I1170" s="67">
        <v>100</v>
      </c>
      <c r="J1170" s="91" t="str">
        <f t="shared" si="32"/>
        <v>S_002</v>
      </c>
      <c r="K1170" s="92"/>
    </row>
    <row r="1171" spans="1:11">
      <c r="A1171" s="186">
        <f>A1170+1</f>
        <v>3</v>
      </c>
      <c r="B1171" s="187" t="s">
        <v>956</v>
      </c>
      <c r="C1171" s="83" t="s">
        <v>34</v>
      </c>
      <c r="D1171" s="63" t="s">
        <v>247</v>
      </c>
      <c r="E1171" s="64"/>
      <c r="F1171" s="65" t="s">
        <v>261</v>
      </c>
      <c r="G1171" s="66" t="str">
        <f>IF(BD!$E1223="","",(E1171/(H1171*I1171)))</f>
        <v/>
      </c>
      <c r="H1171" s="67">
        <v>1</v>
      </c>
      <c r="I1171" s="67">
        <v>100</v>
      </c>
      <c r="J1171" s="91" t="str">
        <f t="shared" si="32"/>
        <v>S_003</v>
      </c>
      <c r="K1171" s="92"/>
    </row>
    <row r="1172" spans="1:11">
      <c r="A1172" s="186">
        <f>A1171+1</f>
        <v>4</v>
      </c>
      <c r="B1172" s="187" t="s">
        <v>957</v>
      </c>
      <c r="C1172" s="83" t="s">
        <v>34</v>
      </c>
      <c r="D1172" s="63" t="s">
        <v>247</v>
      </c>
      <c r="E1172" s="64"/>
      <c r="F1172" s="65" t="s">
        <v>261</v>
      </c>
      <c r="G1172" s="66">
        <f>IF(BD!$E1224="","",(E1172/(H1172*I1172)))</f>
        <v>0</v>
      </c>
      <c r="H1172" s="67">
        <v>1</v>
      </c>
      <c r="I1172" s="67">
        <v>100</v>
      </c>
      <c r="J1172" s="91" t="str">
        <f t="shared" si="32"/>
        <v>S_004</v>
      </c>
      <c r="K1172" s="92"/>
    </row>
    <row r="1173" spans="1:11">
      <c r="A1173" s="186">
        <f>A1172+1</f>
        <v>5</v>
      </c>
      <c r="B1173" s="187" t="s">
        <v>958</v>
      </c>
      <c r="C1173" s="83" t="s">
        <v>34</v>
      </c>
      <c r="D1173" s="63" t="s">
        <v>247</v>
      </c>
      <c r="E1173" s="64"/>
      <c r="F1173" s="65" t="s">
        <v>261</v>
      </c>
      <c r="G1173" s="66">
        <f>IF(BD!$E1225="","",(E1173/(H1173*I1173)))</f>
        <v>0</v>
      </c>
      <c r="H1173" s="67">
        <v>1</v>
      </c>
      <c r="I1173" s="67">
        <v>100</v>
      </c>
      <c r="J1173" s="91" t="str">
        <f t="shared" si="32"/>
        <v>S_005</v>
      </c>
      <c r="K1173" s="92"/>
    </row>
    <row r="1174" spans="1:11">
      <c r="A1174" s="186">
        <f>A1173+1</f>
        <v>6</v>
      </c>
      <c r="B1174" s="187" t="s">
        <v>959</v>
      </c>
      <c r="C1174" s="83" t="s">
        <v>34</v>
      </c>
      <c r="D1174" s="63" t="s">
        <v>247</v>
      </c>
      <c r="E1174" s="64"/>
      <c r="F1174" s="65" t="s">
        <v>261</v>
      </c>
      <c r="G1174" s="66">
        <f>IF(BD!$E1226="","",(E1174/(H1174*I1174)))</f>
        <v>0</v>
      </c>
      <c r="H1174" s="67">
        <v>1</v>
      </c>
      <c r="I1174" s="67">
        <v>100</v>
      </c>
      <c r="J1174" s="91" t="str">
        <f t="shared" si="32"/>
        <v>S_006</v>
      </c>
      <c r="K1174" s="92"/>
    </row>
    <row r="1175" spans="1:11">
      <c r="A1175" s="188">
        <f>A1174+1</f>
        <v>7</v>
      </c>
      <c r="B1175" s="187" t="s">
        <v>960</v>
      </c>
      <c r="C1175" s="83" t="s">
        <v>34</v>
      </c>
      <c r="D1175" s="63" t="s">
        <v>247</v>
      </c>
      <c r="E1175" s="64"/>
      <c r="F1175" s="65" t="s">
        <v>261</v>
      </c>
      <c r="G1175" s="66" t="str">
        <f>IF(BD!$E1227="","",(E1175/(H1175*I1175)))</f>
        <v/>
      </c>
      <c r="H1175" s="67">
        <v>1</v>
      </c>
      <c r="I1175" s="67">
        <v>100</v>
      </c>
      <c r="J1175" s="91" t="str">
        <f t="shared" si="32"/>
        <v>S_007</v>
      </c>
      <c r="K1175" s="92"/>
    </row>
    <row r="1176" ht="30" spans="1:11">
      <c r="A1176" s="188">
        <f t="shared" ref="A1176:A1230" si="33">A1175+1</f>
        <v>8</v>
      </c>
      <c r="B1176" s="189" t="s">
        <v>961</v>
      </c>
      <c r="C1176" s="83" t="s">
        <v>34</v>
      </c>
      <c r="D1176" s="63" t="s">
        <v>247</v>
      </c>
      <c r="E1176" s="64">
        <v>49000</v>
      </c>
      <c r="F1176" s="65" t="s">
        <v>247</v>
      </c>
      <c r="G1176" s="66">
        <v>49000</v>
      </c>
      <c r="H1176" s="190">
        <v>1</v>
      </c>
      <c r="I1176" s="190">
        <v>1</v>
      </c>
      <c r="J1176" s="91" t="str">
        <f t="shared" si="32"/>
        <v>S_008</v>
      </c>
      <c r="K1176" s="92"/>
    </row>
    <row r="1177" spans="1:11">
      <c r="A1177" s="188">
        <f t="shared" si="33"/>
        <v>9</v>
      </c>
      <c r="B1177" s="191" t="s">
        <v>962</v>
      </c>
      <c r="C1177" s="83" t="s">
        <v>34</v>
      </c>
      <c r="D1177" s="63" t="s">
        <v>247</v>
      </c>
      <c r="E1177" s="122"/>
      <c r="F1177" s="65" t="s">
        <v>261</v>
      </c>
      <c r="G1177" s="192" t="str">
        <f>IF(BD!$E1228="","",(E1177/(H1177*I1177)))</f>
        <v/>
      </c>
      <c r="H1177" s="67">
        <v>1</v>
      </c>
      <c r="I1177" s="67">
        <v>100</v>
      </c>
      <c r="J1177" s="91" t="str">
        <f t="shared" si="32"/>
        <v>S_009</v>
      </c>
      <c r="K1177" s="92"/>
    </row>
    <row r="1178" spans="1:11">
      <c r="A1178" s="188">
        <f t="shared" si="33"/>
        <v>10</v>
      </c>
      <c r="B1178" s="191" t="s">
        <v>963</v>
      </c>
      <c r="C1178" s="83" t="s">
        <v>34</v>
      </c>
      <c r="D1178" s="63" t="s">
        <v>247</v>
      </c>
      <c r="E1178" s="122"/>
      <c r="F1178" s="65" t="s">
        <v>261</v>
      </c>
      <c r="G1178" s="192" t="str">
        <f>IF(BD!$E1229="","",(E1178/(H1178*I1178)))</f>
        <v/>
      </c>
      <c r="H1178" s="67">
        <v>1</v>
      </c>
      <c r="I1178" s="67">
        <v>100</v>
      </c>
      <c r="J1178" s="91" t="str">
        <f t="shared" si="32"/>
        <v>S_010</v>
      </c>
      <c r="K1178" s="92"/>
    </row>
    <row r="1179" spans="1:11">
      <c r="A1179" s="188">
        <f t="shared" si="33"/>
        <v>11</v>
      </c>
      <c r="B1179" s="189" t="s">
        <v>964</v>
      </c>
      <c r="C1179" s="83" t="s">
        <v>34</v>
      </c>
      <c r="D1179" s="63" t="s">
        <v>180</v>
      </c>
      <c r="E1179" s="122"/>
      <c r="F1179" s="65" t="s">
        <v>180</v>
      </c>
      <c r="G1179" s="192" t="str">
        <f>IF(BD!$E1182="","",(E1179/(H1179*I1179)))</f>
        <v/>
      </c>
      <c r="H1179" s="67">
        <v>1</v>
      </c>
      <c r="I1179" s="67">
        <v>1</v>
      </c>
      <c r="J1179" s="91" t="str">
        <f t="shared" si="32"/>
        <v>S_011</v>
      </c>
      <c r="K1179" s="92"/>
    </row>
    <row r="1180" spans="1:11">
      <c r="A1180" s="188">
        <f t="shared" si="33"/>
        <v>12</v>
      </c>
      <c r="B1180" s="189" t="s">
        <v>965</v>
      </c>
      <c r="C1180" s="83" t="s">
        <v>34</v>
      </c>
      <c r="D1180" s="63" t="s">
        <v>180</v>
      </c>
      <c r="E1180" s="122"/>
      <c r="F1180" s="65" t="s">
        <v>180</v>
      </c>
      <c r="G1180" s="192" t="str">
        <f>IF(BD!$E1181="","",(E1180/(H1180*I1180)))</f>
        <v/>
      </c>
      <c r="H1180" s="67">
        <v>1</v>
      </c>
      <c r="I1180" s="67">
        <v>1</v>
      </c>
      <c r="J1180" s="91" t="str">
        <f t="shared" si="32"/>
        <v>S_012</v>
      </c>
      <c r="K1180" s="92"/>
    </row>
    <row r="1181" spans="1:11">
      <c r="A1181" s="188">
        <f t="shared" si="33"/>
        <v>13</v>
      </c>
      <c r="B1181" s="189" t="s">
        <v>966</v>
      </c>
      <c r="C1181" s="83" t="s">
        <v>34</v>
      </c>
      <c r="D1181" s="63" t="s">
        <v>180</v>
      </c>
      <c r="E1181" s="122"/>
      <c r="F1181" s="65" t="s">
        <v>180</v>
      </c>
      <c r="G1181" s="192" t="str">
        <f>IF(BD!$E1187="","",(E1181/(H1181*I1181)))</f>
        <v/>
      </c>
      <c r="H1181" s="67">
        <v>1</v>
      </c>
      <c r="I1181" s="67">
        <v>1</v>
      </c>
      <c r="J1181" s="91" t="str">
        <f t="shared" si="32"/>
        <v>S_013</v>
      </c>
      <c r="K1181" s="92"/>
    </row>
    <row r="1182" spans="1:11">
      <c r="A1182" s="188">
        <f t="shared" si="33"/>
        <v>14</v>
      </c>
      <c r="B1182" s="189" t="s">
        <v>967</v>
      </c>
      <c r="C1182" s="83" t="s">
        <v>34</v>
      </c>
      <c r="D1182" s="63" t="s">
        <v>180</v>
      </c>
      <c r="E1182" s="122"/>
      <c r="F1182" s="65" t="s">
        <v>180</v>
      </c>
      <c r="G1182" s="192" t="str">
        <f>IF(BD!$E1201="","",(E1182/(H1182*I1182)))</f>
        <v/>
      </c>
      <c r="H1182" s="67">
        <v>1</v>
      </c>
      <c r="I1182" s="67">
        <v>1</v>
      </c>
      <c r="J1182" s="91" t="str">
        <f t="shared" si="32"/>
        <v>S_014</v>
      </c>
      <c r="K1182" s="92"/>
    </row>
    <row r="1183" spans="1:11">
      <c r="A1183" s="188">
        <f t="shared" si="33"/>
        <v>15</v>
      </c>
      <c r="B1183" s="189" t="s">
        <v>968</v>
      </c>
      <c r="C1183" s="83" t="s">
        <v>34</v>
      </c>
      <c r="D1183" s="63" t="s">
        <v>180</v>
      </c>
      <c r="E1183" s="122"/>
      <c r="F1183" s="65" t="s">
        <v>180</v>
      </c>
      <c r="G1183" s="192" t="str">
        <f>IF(BD!$E1214="","",(E1183/(H1183*I1183)))</f>
        <v/>
      </c>
      <c r="H1183" s="67">
        <v>1</v>
      </c>
      <c r="I1183" s="67">
        <v>1</v>
      </c>
      <c r="J1183" s="91" t="str">
        <f t="shared" si="32"/>
        <v>S_015</v>
      </c>
      <c r="K1183" s="92"/>
    </row>
    <row r="1184" spans="1:11">
      <c r="A1184" s="188">
        <f t="shared" si="33"/>
        <v>16</v>
      </c>
      <c r="B1184" s="189" t="s">
        <v>969</v>
      </c>
      <c r="C1184" s="83" t="s">
        <v>34</v>
      </c>
      <c r="D1184" s="63" t="s">
        <v>180</v>
      </c>
      <c r="E1184" s="122"/>
      <c r="F1184" s="65" t="s">
        <v>180</v>
      </c>
      <c r="G1184" s="192" t="str">
        <f>IF(BD!$E1213="","",(E1184/(H1184*I1184)))</f>
        <v/>
      </c>
      <c r="H1184" s="67">
        <v>1</v>
      </c>
      <c r="I1184" s="67">
        <v>1</v>
      </c>
      <c r="J1184" s="91" t="str">
        <f t="shared" si="32"/>
        <v>S_016</v>
      </c>
      <c r="K1184" s="92"/>
    </row>
    <row r="1185" spans="1:11">
      <c r="A1185" s="188">
        <f t="shared" si="33"/>
        <v>17</v>
      </c>
      <c r="B1185" s="189" t="s">
        <v>970</v>
      </c>
      <c r="C1185" s="83" t="s">
        <v>34</v>
      </c>
      <c r="D1185" s="63" t="s">
        <v>180</v>
      </c>
      <c r="E1185" s="122"/>
      <c r="F1185" s="65" t="s">
        <v>180</v>
      </c>
      <c r="G1185" s="192" t="str">
        <f>IF(BD!$E1209="","",(E1185/(H1185*I1185)))</f>
        <v/>
      </c>
      <c r="H1185" s="67">
        <v>1</v>
      </c>
      <c r="I1185" s="67">
        <v>1</v>
      </c>
      <c r="J1185" s="91" t="str">
        <f t="shared" si="32"/>
        <v>S_017</v>
      </c>
      <c r="K1185" s="92"/>
    </row>
    <row r="1186" spans="1:11">
      <c r="A1186" s="188">
        <f t="shared" si="33"/>
        <v>18</v>
      </c>
      <c r="B1186" s="189" t="s">
        <v>971</v>
      </c>
      <c r="C1186" s="83" t="s">
        <v>34</v>
      </c>
      <c r="D1186" s="63" t="s">
        <v>180</v>
      </c>
      <c r="E1186" s="122"/>
      <c r="F1186" s="65" t="s">
        <v>180</v>
      </c>
      <c r="G1186" s="192" t="str">
        <f>IF(BD!$E1198="","",(E1186/(H1186*I1186)))</f>
        <v/>
      </c>
      <c r="H1186" s="67">
        <v>1</v>
      </c>
      <c r="I1186" s="67">
        <v>1</v>
      </c>
      <c r="J1186" s="91" t="str">
        <f t="shared" si="32"/>
        <v>S_018</v>
      </c>
      <c r="K1186" s="92"/>
    </row>
    <row r="1187" spans="1:11">
      <c r="A1187" s="188">
        <f t="shared" si="33"/>
        <v>19</v>
      </c>
      <c r="B1187" s="189" t="s">
        <v>972</v>
      </c>
      <c r="C1187" s="83" t="s">
        <v>34</v>
      </c>
      <c r="D1187" s="63" t="s">
        <v>180</v>
      </c>
      <c r="E1187" s="122"/>
      <c r="F1187" s="65" t="s">
        <v>180</v>
      </c>
      <c r="G1187" s="192" t="str">
        <f>IF(BD!$E1186="","",(E1187/(H1187*I1187)))</f>
        <v/>
      </c>
      <c r="H1187" s="67">
        <v>1</v>
      </c>
      <c r="I1187" s="67">
        <v>1</v>
      </c>
      <c r="J1187" s="91" t="str">
        <f t="shared" si="32"/>
        <v>S_019</v>
      </c>
      <c r="K1187" s="92"/>
    </row>
    <row r="1188" spans="1:11">
      <c r="A1188" s="188">
        <f t="shared" si="33"/>
        <v>20</v>
      </c>
      <c r="B1188" s="189" t="s">
        <v>973</v>
      </c>
      <c r="C1188" s="83" t="s">
        <v>34</v>
      </c>
      <c r="D1188" s="63" t="s">
        <v>180</v>
      </c>
      <c r="E1188" s="122"/>
      <c r="F1188" s="65" t="s">
        <v>180</v>
      </c>
      <c r="G1188" s="192" t="str">
        <f>IF(BD!$E1211="","",(E1188/(H1188*I1188)))</f>
        <v/>
      </c>
      <c r="H1188" s="67">
        <v>1</v>
      </c>
      <c r="I1188" s="67">
        <v>1</v>
      </c>
      <c r="J1188" s="91" t="str">
        <f t="shared" si="32"/>
        <v>S_020</v>
      </c>
      <c r="K1188" s="92"/>
    </row>
    <row r="1189" spans="1:11">
      <c r="A1189" s="188">
        <f t="shared" si="33"/>
        <v>21</v>
      </c>
      <c r="B1189" s="189" t="s">
        <v>974</v>
      </c>
      <c r="C1189" s="83" t="s">
        <v>34</v>
      </c>
      <c r="D1189" s="63" t="s">
        <v>180</v>
      </c>
      <c r="E1189" s="122"/>
      <c r="F1189" s="65" t="s">
        <v>180</v>
      </c>
      <c r="G1189" s="192" t="str">
        <f>IF(BD!$E1191="","",(E1189/(H1189*I1189)))</f>
        <v/>
      </c>
      <c r="H1189" s="67">
        <v>1</v>
      </c>
      <c r="I1189" s="67">
        <v>1</v>
      </c>
      <c r="J1189" s="91" t="str">
        <f t="shared" si="32"/>
        <v>S_021</v>
      </c>
      <c r="K1189" s="92"/>
    </row>
    <row r="1190" spans="1:11">
      <c r="A1190" s="188">
        <f t="shared" si="33"/>
        <v>22</v>
      </c>
      <c r="B1190" s="189" t="s">
        <v>975</v>
      </c>
      <c r="C1190" s="83" t="s">
        <v>34</v>
      </c>
      <c r="D1190" s="63" t="s">
        <v>180</v>
      </c>
      <c r="E1190" s="122"/>
      <c r="F1190" s="65" t="s">
        <v>180</v>
      </c>
      <c r="G1190" s="192" t="str">
        <f>IF(BD!$E1210="","",(E1190/(H1190*I1190)))</f>
        <v/>
      </c>
      <c r="H1190" s="67">
        <v>1</v>
      </c>
      <c r="I1190" s="67">
        <v>1</v>
      </c>
      <c r="J1190" s="91" t="str">
        <f t="shared" si="32"/>
        <v>S_022</v>
      </c>
      <c r="K1190" s="92"/>
    </row>
    <row r="1191" spans="1:11">
      <c r="A1191" s="188">
        <f t="shared" si="33"/>
        <v>23</v>
      </c>
      <c r="B1191" s="189" t="s">
        <v>976</v>
      </c>
      <c r="C1191" s="83" t="s">
        <v>34</v>
      </c>
      <c r="D1191" s="63" t="s">
        <v>180</v>
      </c>
      <c r="E1191" s="122"/>
      <c r="F1191" s="65" t="s">
        <v>180</v>
      </c>
      <c r="G1191" s="192" t="str">
        <f>IF(BD!$E1217="","",(E1191/(H1191*I1191)))</f>
        <v/>
      </c>
      <c r="H1191" s="67">
        <v>1</v>
      </c>
      <c r="I1191" s="67">
        <v>1</v>
      </c>
      <c r="J1191" s="91" t="str">
        <f t="shared" si="32"/>
        <v>S_023</v>
      </c>
      <c r="K1191" s="92"/>
    </row>
    <row r="1192" spans="1:11">
      <c r="A1192" s="188">
        <f t="shared" si="33"/>
        <v>24</v>
      </c>
      <c r="B1192" s="189" t="s">
        <v>977</v>
      </c>
      <c r="C1192" s="83" t="s">
        <v>34</v>
      </c>
      <c r="D1192" s="63" t="s">
        <v>180</v>
      </c>
      <c r="E1192" s="122"/>
      <c r="F1192" s="65" t="s">
        <v>180</v>
      </c>
      <c r="G1192" s="192" t="str">
        <f>IF(BD!$E1215="","",(E1192/(H1192*I1192)))</f>
        <v/>
      </c>
      <c r="H1192" s="67">
        <v>1</v>
      </c>
      <c r="I1192" s="67">
        <v>1</v>
      </c>
      <c r="J1192" s="91" t="str">
        <f t="shared" si="32"/>
        <v>S_024</v>
      </c>
      <c r="K1192" s="92"/>
    </row>
    <row r="1193" spans="1:11">
      <c r="A1193" s="188">
        <f t="shared" si="33"/>
        <v>25</v>
      </c>
      <c r="B1193" s="189" t="s">
        <v>978</v>
      </c>
      <c r="C1193" s="83" t="s">
        <v>34</v>
      </c>
      <c r="D1193" s="63" t="s">
        <v>180</v>
      </c>
      <c r="E1193" s="122"/>
      <c r="F1193" s="65" t="s">
        <v>180</v>
      </c>
      <c r="G1193" s="192" t="str">
        <f>IF(BD!$E1218="","",(E1193/(H1193*I1193)))</f>
        <v/>
      </c>
      <c r="H1193" s="67">
        <v>1</v>
      </c>
      <c r="I1193" s="67">
        <v>1</v>
      </c>
      <c r="J1193" s="91" t="str">
        <f t="shared" si="32"/>
        <v>S_025</v>
      </c>
      <c r="K1193" s="92"/>
    </row>
    <row r="1194" spans="1:11">
      <c r="A1194" s="188">
        <f t="shared" si="33"/>
        <v>26</v>
      </c>
      <c r="B1194" s="189" t="s">
        <v>979</v>
      </c>
      <c r="C1194" s="83" t="s">
        <v>34</v>
      </c>
      <c r="D1194" s="63" t="s">
        <v>180</v>
      </c>
      <c r="E1194" s="122"/>
      <c r="F1194" s="65" t="s">
        <v>180</v>
      </c>
      <c r="G1194" s="192" t="str">
        <f>IF(BD!$E1194="","",(E1194/(H1194*I1194)))</f>
        <v/>
      </c>
      <c r="H1194" s="67">
        <v>1</v>
      </c>
      <c r="I1194" s="67">
        <v>1</v>
      </c>
      <c r="J1194" s="91" t="str">
        <f t="shared" si="32"/>
        <v>S_026</v>
      </c>
      <c r="K1194" s="92"/>
    </row>
    <row r="1195" spans="1:11">
      <c r="A1195" s="188">
        <f t="shared" si="33"/>
        <v>27</v>
      </c>
      <c r="B1195" s="189" t="s">
        <v>980</v>
      </c>
      <c r="C1195" s="83" t="s">
        <v>34</v>
      </c>
      <c r="D1195" s="63" t="s">
        <v>180</v>
      </c>
      <c r="E1195" s="122"/>
      <c r="F1195" s="65" t="s">
        <v>180</v>
      </c>
      <c r="G1195" s="192" t="str">
        <f>IF(BD!$E1193="","",(E1195/(H1195*I1195)))</f>
        <v/>
      </c>
      <c r="H1195" s="67">
        <v>1</v>
      </c>
      <c r="I1195" s="67">
        <v>1</v>
      </c>
      <c r="J1195" s="91" t="str">
        <f t="shared" si="32"/>
        <v>S_027</v>
      </c>
      <c r="K1195" s="92"/>
    </row>
    <row r="1196" spans="1:11">
      <c r="A1196" s="188">
        <f t="shared" si="33"/>
        <v>28</v>
      </c>
      <c r="B1196" s="189" t="s">
        <v>981</v>
      </c>
      <c r="C1196" s="83" t="s">
        <v>34</v>
      </c>
      <c r="D1196" s="63" t="s">
        <v>180</v>
      </c>
      <c r="E1196" s="122"/>
      <c r="F1196" s="65" t="s">
        <v>180</v>
      </c>
      <c r="G1196" s="192">
        <f>IF(BD!$E1176="","",(E1196/(H1196*I1196)))</f>
        <v>0</v>
      </c>
      <c r="H1196" s="67">
        <v>1</v>
      </c>
      <c r="I1196" s="67">
        <v>1</v>
      </c>
      <c r="J1196" s="91" t="str">
        <f t="shared" si="32"/>
        <v>S_028</v>
      </c>
      <c r="K1196" s="92"/>
    </row>
    <row r="1197" spans="1:11">
      <c r="A1197" s="188">
        <f t="shared" si="33"/>
        <v>29</v>
      </c>
      <c r="B1197" s="189" t="s">
        <v>982</v>
      </c>
      <c r="C1197" s="83" t="s">
        <v>34</v>
      </c>
      <c r="D1197" s="63" t="s">
        <v>180</v>
      </c>
      <c r="E1197" s="122"/>
      <c r="F1197" s="65" t="s">
        <v>180</v>
      </c>
      <c r="G1197" s="192" t="str">
        <f>IF(BD!$E1175="","",(E1197/(H1197*I1197)))</f>
        <v/>
      </c>
      <c r="H1197" s="67">
        <v>1</v>
      </c>
      <c r="I1197" s="67">
        <v>1</v>
      </c>
      <c r="J1197" s="91" t="str">
        <f t="shared" si="32"/>
        <v>S_029</v>
      </c>
      <c r="K1197" s="92"/>
    </row>
    <row r="1198" spans="1:11">
      <c r="A1198" s="188">
        <f t="shared" si="33"/>
        <v>30</v>
      </c>
      <c r="B1198" s="189" t="s">
        <v>983</v>
      </c>
      <c r="C1198" s="83" t="s">
        <v>34</v>
      </c>
      <c r="D1198" s="63" t="s">
        <v>180</v>
      </c>
      <c r="E1198" s="122"/>
      <c r="F1198" s="65" t="s">
        <v>180</v>
      </c>
      <c r="G1198" s="192" t="str">
        <f>IF(BD!$E1178="","",(E1198/(H1198*I1198)))</f>
        <v/>
      </c>
      <c r="H1198" s="67">
        <v>1</v>
      </c>
      <c r="I1198" s="67">
        <v>1</v>
      </c>
      <c r="J1198" s="91" t="str">
        <f t="shared" si="32"/>
        <v>S_030</v>
      </c>
      <c r="K1198" s="92"/>
    </row>
    <row r="1199" spans="1:11">
      <c r="A1199" s="188">
        <f t="shared" si="33"/>
        <v>31</v>
      </c>
      <c r="B1199" s="189" t="s">
        <v>984</v>
      </c>
      <c r="C1199" s="83" t="s">
        <v>34</v>
      </c>
      <c r="D1199" s="63" t="s">
        <v>180</v>
      </c>
      <c r="E1199" s="122"/>
      <c r="F1199" s="65" t="s">
        <v>180</v>
      </c>
      <c r="G1199" s="192" t="str">
        <f>IF(BD!$E1199="","",(E1199/(H1199*I1199)))</f>
        <v/>
      </c>
      <c r="H1199" s="67">
        <v>1</v>
      </c>
      <c r="I1199" s="67">
        <v>1</v>
      </c>
      <c r="J1199" s="91" t="str">
        <f t="shared" si="32"/>
        <v>S_031</v>
      </c>
      <c r="K1199" s="92"/>
    </row>
    <row r="1200" spans="1:11">
      <c r="A1200" s="188">
        <f t="shared" si="33"/>
        <v>32</v>
      </c>
      <c r="B1200" s="189" t="s">
        <v>985</v>
      </c>
      <c r="C1200" s="83" t="s">
        <v>34</v>
      </c>
      <c r="D1200" s="63" t="s">
        <v>180</v>
      </c>
      <c r="E1200" s="122"/>
      <c r="F1200" s="65" t="s">
        <v>180</v>
      </c>
      <c r="G1200" s="192" t="str">
        <f>IF(BD!$E1208="","",(E1200/(H1200*I1200)))</f>
        <v/>
      </c>
      <c r="H1200" s="67">
        <v>1</v>
      </c>
      <c r="I1200" s="67">
        <v>1</v>
      </c>
      <c r="J1200" s="91" t="str">
        <f t="shared" si="32"/>
        <v>S_032</v>
      </c>
      <c r="K1200" s="92"/>
    </row>
    <row r="1201" spans="1:11">
      <c r="A1201" s="188">
        <f t="shared" si="33"/>
        <v>33</v>
      </c>
      <c r="B1201" s="189" t="s">
        <v>986</v>
      </c>
      <c r="C1201" s="83" t="s">
        <v>34</v>
      </c>
      <c r="D1201" s="63" t="s">
        <v>180</v>
      </c>
      <c r="E1201" s="122"/>
      <c r="F1201" s="65" t="s">
        <v>180</v>
      </c>
      <c r="G1201" s="192" t="str">
        <f>IF(BD!$E1207="","",(E1201/(H1201*I1201)))</f>
        <v/>
      </c>
      <c r="H1201" s="67">
        <v>1</v>
      </c>
      <c r="I1201" s="67">
        <v>1</v>
      </c>
      <c r="J1201" s="91" t="str">
        <f t="shared" ref="J1201:J1230" si="34">CONCATENATE(LEFT(C1201,1),"_",TEXT(A1201,"000"))</f>
        <v>S_033</v>
      </c>
      <c r="K1201" s="92"/>
    </row>
    <row r="1202" spans="1:11">
      <c r="A1202" s="188">
        <f t="shared" si="33"/>
        <v>34</v>
      </c>
      <c r="B1202" s="189" t="s">
        <v>987</v>
      </c>
      <c r="C1202" s="83" t="s">
        <v>34</v>
      </c>
      <c r="D1202" s="63" t="s">
        <v>180</v>
      </c>
      <c r="E1202" s="122"/>
      <c r="F1202" s="65" t="s">
        <v>180</v>
      </c>
      <c r="G1202" s="192" t="str">
        <f>IF(BD!$E1179="","",(E1202/(H1202*I1202)))</f>
        <v/>
      </c>
      <c r="H1202" s="67">
        <v>1</v>
      </c>
      <c r="I1202" s="67">
        <v>1</v>
      </c>
      <c r="J1202" s="91" t="str">
        <f t="shared" si="34"/>
        <v>S_034</v>
      </c>
      <c r="K1202" s="92"/>
    </row>
    <row r="1203" spans="1:11">
      <c r="A1203" s="188">
        <f t="shared" si="33"/>
        <v>35</v>
      </c>
      <c r="B1203" s="189" t="s">
        <v>35</v>
      </c>
      <c r="C1203" s="83" t="s">
        <v>34</v>
      </c>
      <c r="D1203" s="63" t="s">
        <v>180</v>
      </c>
      <c r="E1203" s="122"/>
      <c r="F1203" s="65" t="s">
        <v>180</v>
      </c>
      <c r="G1203" s="192" t="str">
        <f>IF(BD!$E1177="","",(E1203/(H1203*I1203)))</f>
        <v/>
      </c>
      <c r="H1203" s="67">
        <v>1</v>
      </c>
      <c r="I1203" s="67">
        <v>1</v>
      </c>
      <c r="J1203" s="91" t="str">
        <f t="shared" si="34"/>
        <v>S_035</v>
      </c>
      <c r="K1203" s="92"/>
    </row>
    <row r="1204" spans="1:11">
      <c r="A1204" s="188">
        <f t="shared" si="33"/>
        <v>36</v>
      </c>
      <c r="B1204" s="189" t="s">
        <v>988</v>
      </c>
      <c r="C1204" s="83" t="s">
        <v>34</v>
      </c>
      <c r="D1204" s="63" t="s">
        <v>180</v>
      </c>
      <c r="E1204" s="122"/>
      <c r="F1204" s="65" t="s">
        <v>180</v>
      </c>
      <c r="G1204" s="192" t="str">
        <f>IF(BD!$E1180="","",(E1204/(H1204*I1204)))</f>
        <v/>
      </c>
      <c r="H1204" s="67">
        <v>1</v>
      </c>
      <c r="I1204" s="67">
        <v>1</v>
      </c>
      <c r="J1204" s="91" t="str">
        <f t="shared" si="34"/>
        <v>S_036</v>
      </c>
      <c r="K1204" s="92"/>
    </row>
    <row r="1205" ht="30" spans="1:11">
      <c r="A1205" s="188">
        <f t="shared" si="33"/>
        <v>37</v>
      </c>
      <c r="B1205" s="189" t="s">
        <v>989</v>
      </c>
      <c r="C1205" s="83" t="s">
        <v>34</v>
      </c>
      <c r="D1205" s="63" t="s">
        <v>180</v>
      </c>
      <c r="E1205" s="122">
        <v>14150</v>
      </c>
      <c r="F1205" s="65" t="s">
        <v>180</v>
      </c>
      <c r="G1205" s="192" t="str">
        <f>IF(BD!$E1169="","",(E1205/(H1205*I1205)))</f>
        <v/>
      </c>
      <c r="H1205" s="67">
        <v>1</v>
      </c>
      <c r="I1205" s="67">
        <v>1</v>
      </c>
      <c r="J1205" s="91" t="str">
        <f t="shared" si="34"/>
        <v>S_037</v>
      </c>
      <c r="K1205" s="92"/>
    </row>
    <row r="1206" ht="30" spans="1:11">
      <c r="A1206" s="188">
        <f t="shared" si="33"/>
        <v>38</v>
      </c>
      <c r="B1206" s="189" t="s">
        <v>990</v>
      </c>
      <c r="C1206" s="83" t="s">
        <v>34</v>
      </c>
      <c r="D1206" s="63" t="s">
        <v>180</v>
      </c>
      <c r="E1206" s="122">
        <v>16000</v>
      </c>
      <c r="F1206" s="65" t="s">
        <v>180</v>
      </c>
      <c r="G1206" s="192" t="str">
        <f>IF(BD!$E1170="","",(E1206/(H1206*I1206)))</f>
        <v/>
      </c>
      <c r="H1206" s="67">
        <v>1</v>
      </c>
      <c r="I1206" s="67">
        <v>1</v>
      </c>
      <c r="J1206" s="91" t="str">
        <f t="shared" si="34"/>
        <v>S_038</v>
      </c>
      <c r="K1206" s="92"/>
    </row>
    <row r="1207" spans="1:11">
      <c r="A1207" s="188">
        <f t="shared" si="33"/>
        <v>39</v>
      </c>
      <c r="B1207" s="189" t="s">
        <v>991</v>
      </c>
      <c r="C1207" s="83" t="s">
        <v>34</v>
      </c>
      <c r="D1207" s="63" t="s">
        <v>180</v>
      </c>
      <c r="E1207" s="122"/>
      <c r="F1207" s="65" t="s">
        <v>180</v>
      </c>
      <c r="G1207" s="192" t="str">
        <f>IF(BD!$E1183="","",(E1207/(H1207*I1207)))</f>
        <v/>
      </c>
      <c r="H1207" s="67">
        <v>1</v>
      </c>
      <c r="I1207" s="67">
        <v>1</v>
      </c>
      <c r="J1207" s="91" t="str">
        <f t="shared" si="34"/>
        <v>S_039</v>
      </c>
      <c r="K1207" s="92"/>
    </row>
    <row r="1208" spans="1:11">
      <c r="A1208" s="188">
        <f t="shared" si="33"/>
        <v>40</v>
      </c>
      <c r="B1208" s="189" t="s">
        <v>992</v>
      </c>
      <c r="C1208" s="83" t="s">
        <v>34</v>
      </c>
      <c r="D1208" s="63" t="s">
        <v>180</v>
      </c>
      <c r="E1208" s="122"/>
      <c r="F1208" s="65" t="s">
        <v>180</v>
      </c>
      <c r="G1208" s="192" t="str">
        <f>IF(BD!$E1192="","",(E1208/(H1208*I1208)))</f>
        <v/>
      </c>
      <c r="H1208" s="67">
        <v>1</v>
      </c>
      <c r="I1208" s="67">
        <v>1</v>
      </c>
      <c r="J1208" s="91" t="str">
        <f t="shared" si="34"/>
        <v>S_040</v>
      </c>
      <c r="K1208" s="92"/>
    </row>
    <row r="1209" spans="1:11">
      <c r="A1209" s="188">
        <f t="shared" si="33"/>
        <v>41</v>
      </c>
      <c r="B1209" s="189" t="s">
        <v>993</v>
      </c>
      <c r="C1209" s="83" t="s">
        <v>34</v>
      </c>
      <c r="D1209" s="63" t="s">
        <v>180</v>
      </c>
      <c r="E1209" s="122"/>
      <c r="F1209" s="65" t="s">
        <v>180</v>
      </c>
      <c r="G1209" s="192" t="str">
        <f>IF(BD!$E1184="","",(E1209/(H1209*I1209)))</f>
        <v/>
      </c>
      <c r="H1209" s="67">
        <v>1</v>
      </c>
      <c r="I1209" s="67">
        <v>1</v>
      </c>
      <c r="J1209" s="91" t="str">
        <f t="shared" si="34"/>
        <v>S_041</v>
      </c>
      <c r="K1209" s="92"/>
    </row>
    <row r="1210" spans="1:11">
      <c r="A1210" s="188">
        <f t="shared" si="33"/>
        <v>42</v>
      </c>
      <c r="B1210" s="189" t="s">
        <v>994</v>
      </c>
      <c r="C1210" s="83" t="s">
        <v>34</v>
      </c>
      <c r="D1210" s="63" t="s">
        <v>180</v>
      </c>
      <c r="E1210" s="122"/>
      <c r="F1210" s="65" t="s">
        <v>180</v>
      </c>
      <c r="G1210" s="192" t="str">
        <f>IF(BD!$E1195="","",(E1210/(H1210*I1210)))</f>
        <v/>
      </c>
      <c r="H1210" s="67">
        <v>1</v>
      </c>
      <c r="I1210" s="67">
        <v>1</v>
      </c>
      <c r="J1210" s="91" t="str">
        <f t="shared" si="34"/>
        <v>S_042</v>
      </c>
      <c r="K1210" s="92"/>
    </row>
    <row r="1211" spans="1:11">
      <c r="A1211" s="188">
        <f t="shared" si="33"/>
        <v>43</v>
      </c>
      <c r="B1211" s="189" t="s">
        <v>995</v>
      </c>
      <c r="C1211" s="83" t="s">
        <v>34</v>
      </c>
      <c r="D1211" s="63" t="s">
        <v>180</v>
      </c>
      <c r="E1211" s="122"/>
      <c r="F1211" s="65" t="s">
        <v>180</v>
      </c>
      <c r="G1211" s="192">
        <f>IF(BD!$E1206="","",(E1211/(H1211*I1211)))</f>
        <v>0</v>
      </c>
      <c r="H1211" s="67">
        <v>1</v>
      </c>
      <c r="I1211" s="67">
        <v>1</v>
      </c>
      <c r="J1211" s="91" t="str">
        <f t="shared" si="34"/>
        <v>S_043</v>
      </c>
      <c r="K1211" s="92"/>
    </row>
    <row r="1212" spans="1:11">
      <c r="A1212" s="188">
        <f t="shared" si="33"/>
        <v>44</v>
      </c>
      <c r="B1212" s="189" t="s">
        <v>996</v>
      </c>
      <c r="C1212" s="83" t="s">
        <v>34</v>
      </c>
      <c r="D1212" s="63" t="s">
        <v>180</v>
      </c>
      <c r="E1212" s="122"/>
      <c r="F1212" s="65" t="s">
        <v>180</v>
      </c>
      <c r="G1212" s="192">
        <f>IF(BD!$E1205="","",(E1212/(H1212*I1212)))</f>
        <v>0</v>
      </c>
      <c r="H1212" s="67">
        <v>1</v>
      </c>
      <c r="I1212" s="67">
        <v>1</v>
      </c>
      <c r="J1212" s="91" t="str">
        <f t="shared" si="34"/>
        <v>S_044</v>
      </c>
      <c r="K1212" s="92"/>
    </row>
    <row r="1213" spans="1:11">
      <c r="A1213" s="188">
        <f t="shared" si="33"/>
        <v>45</v>
      </c>
      <c r="B1213" s="189" t="s">
        <v>997</v>
      </c>
      <c r="C1213" s="83" t="s">
        <v>34</v>
      </c>
      <c r="D1213" s="63" t="s">
        <v>180</v>
      </c>
      <c r="E1213" s="122"/>
      <c r="F1213" s="65" t="s">
        <v>180</v>
      </c>
      <c r="G1213" s="192" t="str">
        <f>IF(BD!$E1185="","",(E1213/(H1213*I1213)))</f>
        <v/>
      </c>
      <c r="H1213" s="67">
        <v>1</v>
      </c>
      <c r="I1213" s="67">
        <v>1</v>
      </c>
      <c r="J1213" s="91" t="str">
        <f t="shared" si="34"/>
        <v>S_045</v>
      </c>
      <c r="K1213" s="92"/>
    </row>
    <row r="1214" spans="1:11">
      <c r="A1214" s="188">
        <f t="shared" si="33"/>
        <v>46</v>
      </c>
      <c r="B1214" s="189" t="s">
        <v>998</v>
      </c>
      <c r="C1214" s="83" t="s">
        <v>34</v>
      </c>
      <c r="D1214" s="63" t="s">
        <v>180</v>
      </c>
      <c r="E1214" s="122"/>
      <c r="F1214" s="65" t="s">
        <v>180</v>
      </c>
      <c r="G1214" s="192" t="str">
        <f>IF(BD!$E1212="","",(E1214/(H1214*I1214)))</f>
        <v/>
      </c>
      <c r="H1214" s="67">
        <v>1</v>
      </c>
      <c r="I1214" s="67">
        <v>1</v>
      </c>
      <c r="J1214" s="91" t="str">
        <f t="shared" si="34"/>
        <v>S_046</v>
      </c>
      <c r="K1214" s="92"/>
    </row>
    <row r="1215" spans="1:11">
      <c r="A1215" s="188">
        <f t="shared" si="33"/>
        <v>47</v>
      </c>
      <c r="B1215" s="189" t="s">
        <v>999</v>
      </c>
      <c r="C1215" s="83" t="s">
        <v>34</v>
      </c>
      <c r="D1215" s="63" t="s">
        <v>180</v>
      </c>
      <c r="E1215" s="122"/>
      <c r="F1215" s="65" t="s">
        <v>180</v>
      </c>
      <c r="G1215" s="192" t="str">
        <f>IF(BD!$E1197="","",(E1215/(H1215*I1215)))</f>
        <v/>
      </c>
      <c r="H1215" s="67">
        <v>1</v>
      </c>
      <c r="I1215" s="67">
        <v>1</v>
      </c>
      <c r="J1215" s="91" t="str">
        <f t="shared" si="34"/>
        <v>S_047</v>
      </c>
      <c r="K1215" s="92"/>
    </row>
    <row r="1216" spans="1:11">
      <c r="A1216" s="188">
        <f t="shared" si="33"/>
        <v>48</v>
      </c>
      <c r="B1216" s="189" t="s">
        <v>1000</v>
      </c>
      <c r="C1216" s="83" t="s">
        <v>34</v>
      </c>
      <c r="D1216" s="63" t="s">
        <v>180</v>
      </c>
      <c r="E1216" s="122"/>
      <c r="F1216" s="65" t="s">
        <v>180</v>
      </c>
      <c r="G1216" s="192" t="str">
        <f>IF(BD!$E1196="","",(E1216/(H1216*I1216)))</f>
        <v/>
      </c>
      <c r="H1216" s="67">
        <v>1</v>
      </c>
      <c r="I1216" s="67">
        <v>1</v>
      </c>
      <c r="J1216" s="91" t="str">
        <f t="shared" si="34"/>
        <v>S_048</v>
      </c>
      <c r="K1216" s="92"/>
    </row>
    <row r="1217" ht="30" spans="1:11">
      <c r="A1217" s="188">
        <f t="shared" si="33"/>
        <v>49</v>
      </c>
      <c r="B1217" s="189" t="s">
        <v>1001</v>
      </c>
      <c r="C1217" s="83" t="s">
        <v>34</v>
      </c>
      <c r="D1217" s="63" t="s">
        <v>180</v>
      </c>
      <c r="E1217" s="122"/>
      <c r="F1217" s="65" t="s">
        <v>180</v>
      </c>
      <c r="G1217" s="192" t="str">
        <f>IF(BD!$E1200="","",(E1217/(H1217*I1217)))</f>
        <v/>
      </c>
      <c r="H1217" s="67">
        <v>1</v>
      </c>
      <c r="I1217" s="67">
        <v>1</v>
      </c>
      <c r="J1217" s="91" t="str">
        <f t="shared" si="34"/>
        <v>S_049</v>
      </c>
      <c r="K1217" s="92"/>
    </row>
    <row r="1218" spans="1:11">
      <c r="A1218" s="188">
        <f t="shared" si="33"/>
        <v>50</v>
      </c>
      <c r="B1218" s="189" t="s">
        <v>1002</v>
      </c>
      <c r="C1218" s="83" t="s">
        <v>34</v>
      </c>
      <c r="D1218" s="63" t="s">
        <v>180</v>
      </c>
      <c r="E1218" s="122"/>
      <c r="F1218" s="65" t="s">
        <v>180</v>
      </c>
      <c r="G1218" s="192" t="str">
        <f>IF(BD!$E1188="","",(E1218/(H1218*I1218)))</f>
        <v/>
      </c>
      <c r="H1218" s="67">
        <v>1</v>
      </c>
      <c r="I1218" s="67">
        <v>1</v>
      </c>
      <c r="J1218" s="91" t="str">
        <f t="shared" si="34"/>
        <v>S_050</v>
      </c>
      <c r="K1218" s="92"/>
    </row>
    <row r="1219" spans="1:11">
      <c r="A1219" s="188">
        <f t="shared" si="33"/>
        <v>51</v>
      </c>
      <c r="B1219" s="189" t="s">
        <v>1003</v>
      </c>
      <c r="C1219" s="83" t="s">
        <v>34</v>
      </c>
      <c r="D1219" s="63" t="s">
        <v>180</v>
      </c>
      <c r="E1219" s="122"/>
      <c r="F1219" s="65" t="s">
        <v>180</v>
      </c>
      <c r="G1219" s="192" t="str">
        <f>IF(BD!$E1189="","",(E1219/(H1219*I1219)))</f>
        <v/>
      </c>
      <c r="H1219" s="67">
        <v>1</v>
      </c>
      <c r="I1219" s="67">
        <v>1</v>
      </c>
      <c r="J1219" s="91" t="str">
        <f t="shared" si="34"/>
        <v>S_051</v>
      </c>
      <c r="K1219" s="92"/>
    </row>
    <row r="1220" spans="1:11">
      <c r="A1220" s="188">
        <f t="shared" si="33"/>
        <v>52</v>
      </c>
      <c r="B1220" s="189" t="s">
        <v>1004</v>
      </c>
      <c r="C1220" s="83" t="s">
        <v>34</v>
      </c>
      <c r="D1220" s="63" t="s">
        <v>180</v>
      </c>
      <c r="E1220" s="122"/>
      <c r="F1220" s="65" t="s">
        <v>180</v>
      </c>
      <c r="G1220" s="192" t="str">
        <f>IF(BD!$E1190="","",(E1220/(H1220*I1220)))</f>
        <v/>
      </c>
      <c r="H1220" s="67">
        <v>1</v>
      </c>
      <c r="I1220" s="67">
        <v>1</v>
      </c>
      <c r="J1220" s="91" t="str">
        <f t="shared" si="34"/>
        <v>S_052</v>
      </c>
      <c r="K1220" s="92"/>
    </row>
    <row r="1221" spans="1:11">
      <c r="A1221" s="188">
        <f t="shared" si="33"/>
        <v>53</v>
      </c>
      <c r="B1221" s="193" t="s">
        <v>1005</v>
      </c>
      <c r="C1221" s="83" t="s">
        <v>34</v>
      </c>
      <c r="D1221" s="63" t="s">
        <v>180</v>
      </c>
      <c r="E1221" s="122"/>
      <c r="F1221" s="65" t="s">
        <v>180</v>
      </c>
      <c r="G1221" s="192" t="str">
        <f>IF(BD!$E1219="","",(E1221/(H1221*I1221)))</f>
        <v/>
      </c>
      <c r="H1221" s="67">
        <v>1</v>
      </c>
      <c r="I1221" s="67">
        <v>1</v>
      </c>
      <c r="J1221" s="91" t="str">
        <f t="shared" si="34"/>
        <v>S_053</v>
      </c>
      <c r="K1221" s="92"/>
    </row>
    <row r="1222" spans="1:11">
      <c r="A1222" s="188">
        <f t="shared" si="33"/>
        <v>54</v>
      </c>
      <c r="B1222" s="193" t="s">
        <v>1006</v>
      </c>
      <c r="C1222" s="83" t="s">
        <v>34</v>
      </c>
      <c r="D1222" s="63" t="s">
        <v>180</v>
      </c>
      <c r="E1222" s="64"/>
      <c r="F1222" s="65" t="s">
        <v>180</v>
      </c>
      <c r="G1222" s="66" t="str">
        <f>IF(BD!$E1220="","",(E1222/(H1222*I1222)))</f>
        <v/>
      </c>
      <c r="H1222" s="67">
        <v>1</v>
      </c>
      <c r="I1222" s="67">
        <v>1</v>
      </c>
      <c r="J1222" s="91" t="str">
        <f t="shared" si="34"/>
        <v>S_054</v>
      </c>
      <c r="K1222" s="92"/>
    </row>
    <row r="1223" spans="1:11">
      <c r="A1223" s="188">
        <f t="shared" si="33"/>
        <v>55</v>
      </c>
      <c r="B1223" s="155" t="s">
        <v>1007</v>
      </c>
      <c r="C1223" s="83" t="s">
        <v>34</v>
      </c>
      <c r="D1223" s="63" t="s">
        <v>180</v>
      </c>
      <c r="E1223" s="122"/>
      <c r="F1223" s="65" t="s">
        <v>180</v>
      </c>
      <c r="G1223" s="192" t="str">
        <f>IF(BD!$E1216="","",(E1223/(H1223*I1223)))</f>
        <v/>
      </c>
      <c r="H1223" s="67">
        <v>1</v>
      </c>
      <c r="I1223" s="67">
        <v>1</v>
      </c>
      <c r="J1223" s="91" t="str">
        <f t="shared" si="34"/>
        <v>S_055</v>
      </c>
      <c r="K1223" s="92"/>
    </row>
    <row r="1224" ht="30" spans="1:11">
      <c r="A1224" s="188">
        <f t="shared" si="33"/>
        <v>56</v>
      </c>
      <c r="B1224" s="155" t="s">
        <v>1008</v>
      </c>
      <c r="C1224" s="83" t="s">
        <v>34</v>
      </c>
      <c r="D1224" s="63" t="s">
        <v>180</v>
      </c>
      <c r="E1224" s="122">
        <v>18633.3</v>
      </c>
      <c r="F1224" s="65" t="s">
        <v>180</v>
      </c>
      <c r="G1224" s="192" t="str">
        <f>IF(BD!$E1171="","",(E1224/(H1224*I1224)))</f>
        <v/>
      </c>
      <c r="H1224" s="67">
        <v>1</v>
      </c>
      <c r="I1224" s="67">
        <v>1</v>
      </c>
      <c r="J1224" s="91" t="str">
        <f t="shared" si="34"/>
        <v>S_056</v>
      </c>
      <c r="K1224" s="92"/>
    </row>
    <row r="1225" ht="30" spans="1:11">
      <c r="A1225" s="188">
        <f t="shared" si="33"/>
        <v>57</v>
      </c>
      <c r="B1225" s="155" t="s">
        <v>1009</v>
      </c>
      <c r="C1225" s="83" t="s">
        <v>34</v>
      </c>
      <c r="D1225" s="63" t="s">
        <v>180</v>
      </c>
      <c r="E1225" s="122">
        <v>8550</v>
      </c>
      <c r="F1225" s="65" t="s">
        <v>180</v>
      </c>
      <c r="G1225" s="192" t="str">
        <f>IF(BD!$E1172="","",(E1225/(H1225*I1225)))</f>
        <v/>
      </c>
      <c r="H1225" s="67">
        <v>1</v>
      </c>
      <c r="I1225" s="67">
        <v>1</v>
      </c>
      <c r="J1225" s="91" t="str">
        <f t="shared" si="34"/>
        <v>S_057</v>
      </c>
      <c r="K1225" s="92"/>
    </row>
    <row r="1226" ht="30" spans="1:11">
      <c r="A1226" s="188">
        <f t="shared" si="33"/>
        <v>58</v>
      </c>
      <c r="B1226" s="155" t="s">
        <v>1010</v>
      </c>
      <c r="C1226" s="83" t="s">
        <v>34</v>
      </c>
      <c r="D1226" s="63" t="s">
        <v>180</v>
      </c>
      <c r="E1226" s="122">
        <v>14000</v>
      </c>
      <c r="F1226" s="65" t="s">
        <v>180</v>
      </c>
      <c r="G1226" s="192" t="str">
        <f>IF(BD!$E1173="","",(E1226/(H1226*I1226)))</f>
        <v/>
      </c>
      <c r="H1226" s="67">
        <v>1</v>
      </c>
      <c r="I1226" s="67">
        <v>1</v>
      </c>
      <c r="J1226" s="91" t="str">
        <f t="shared" si="34"/>
        <v>S_058</v>
      </c>
      <c r="K1226" s="92"/>
    </row>
    <row r="1227" spans="1:11">
      <c r="A1227" s="188">
        <f t="shared" si="33"/>
        <v>59</v>
      </c>
      <c r="B1227" s="155" t="s">
        <v>1011</v>
      </c>
      <c r="C1227" s="83" t="s">
        <v>34</v>
      </c>
      <c r="D1227" s="63" t="s">
        <v>180</v>
      </c>
      <c r="E1227" s="122"/>
      <c r="F1227" s="65" t="s">
        <v>180</v>
      </c>
      <c r="G1227" s="192" t="str">
        <f>IF(BD!$E1204="","",(E1227/(H1227*I1227)))</f>
        <v/>
      </c>
      <c r="H1227" s="67">
        <v>1</v>
      </c>
      <c r="I1227" s="67">
        <v>1</v>
      </c>
      <c r="J1227" s="91" t="str">
        <f t="shared" si="34"/>
        <v>S_059</v>
      </c>
      <c r="K1227" s="92"/>
    </row>
    <row r="1228" spans="1:11">
      <c r="A1228" s="188">
        <f t="shared" si="33"/>
        <v>60</v>
      </c>
      <c r="B1228" s="155" t="s">
        <v>1012</v>
      </c>
      <c r="C1228" s="83" t="s">
        <v>34</v>
      </c>
      <c r="D1228" s="63" t="s">
        <v>180</v>
      </c>
      <c r="E1228" s="122"/>
      <c r="F1228" s="65" t="s">
        <v>180</v>
      </c>
      <c r="G1228" s="192" t="str">
        <f>IF(BD!$E1203="","",(E1228/(H1228*I1228)))</f>
        <v/>
      </c>
      <c r="H1228" s="67">
        <v>1</v>
      </c>
      <c r="I1228" s="67">
        <v>1</v>
      </c>
      <c r="J1228" s="91" t="str">
        <f t="shared" si="34"/>
        <v>S_060</v>
      </c>
      <c r="K1228" s="92"/>
    </row>
    <row r="1229" spans="1:11">
      <c r="A1229" s="188">
        <f t="shared" si="33"/>
        <v>61</v>
      </c>
      <c r="B1229" s="155" t="s">
        <v>1013</v>
      </c>
      <c r="C1229" s="83" t="s">
        <v>34</v>
      </c>
      <c r="D1229" s="63" t="s">
        <v>180</v>
      </c>
      <c r="E1229" s="122"/>
      <c r="F1229" s="65" t="s">
        <v>180</v>
      </c>
      <c r="G1229" s="192" t="str">
        <f>IF(BD!$E1202="","",(E1229/(H1229*I1229)))</f>
        <v/>
      </c>
      <c r="H1229" s="67">
        <v>1</v>
      </c>
      <c r="I1229" s="67">
        <v>1</v>
      </c>
      <c r="J1229" s="91" t="str">
        <f t="shared" si="34"/>
        <v>S_061</v>
      </c>
      <c r="K1229" s="92"/>
    </row>
    <row r="1230" ht="30" spans="1:11">
      <c r="A1230" s="188">
        <f t="shared" si="33"/>
        <v>62</v>
      </c>
      <c r="B1230" s="155" t="s">
        <v>1014</v>
      </c>
      <c r="C1230" s="83" t="s">
        <v>34</v>
      </c>
      <c r="D1230" s="63" t="s">
        <v>180</v>
      </c>
      <c r="E1230" s="122">
        <v>24800</v>
      </c>
      <c r="F1230" s="65" t="s">
        <v>180</v>
      </c>
      <c r="G1230" s="192" t="str">
        <f>IF(BD!$E1174="","",(E1230/(H1230*I1230)))</f>
        <v/>
      </c>
      <c r="H1230" s="67">
        <v>1</v>
      </c>
      <c r="I1230" s="67">
        <v>1</v>
      </c>
      <c r="J1230" s="180" t="str">
        <f t="shared" si="34"/>
        <v>S_062</v>
      </c>
      <c r="K1230" s="36"/>
    </row>
    <row r="1231" spans="1:10">
      <c r="A1231" s="119"/>
      <c r="B1231" s="155"/>
      <c r="C1231" s="194"/>
      <c r="D1231" s="195"/>
      <c r="E1231" s="196"/>
      <c r="F1231" s="197"/>
      <c r="G1231" s="198"/>
      <c r="H1231" s="199"/>
      <c r="I1231" s="199"/>
      <c r="J1231" s="19"/>
    </row>
    <row r="1232" spans="1:10">
      <c r="A1232" s="119"/>
      <c r="B1232" s="155"/>
      <c r="C1232" s="194"/>
      <c r="D1232" s="195"/>
      <c r="E1232" s="196"/>
      <c r="F1232" s="197"/>
      <c r="G1232" s="198"/>
      <c r="H1232" s="199"/>
      <c r="I1232" s="199"/>
      <c r="J1232" s="19"/>
    </row>
    <row r="1233" spans="1:10">
      <c r="A1233" s="119"/>
      <c r="B1233" s="155"/>
      <c r="C1233" s="194"/>
      <c r="D1233" s="195"/>
      <c r="E1233" s="196"/>
      <c r="F1233" s="197"/>
      <c r="G1233" s="198"/>
      <c r="H1233" s="199"/>
      <c r="I1233" s="199"/>
      <c r="J1233" s="19"/>
    </row>
    <row r="1234" spans="1:10">
      <c r="A1234" s="119"/>
      <c r="B1234" s="155"/>
      <c r="C1234" s="194"/>
      <c r="D1234" s="195"/>
      <c r="E1234" s="196"/>
      <c r="F1234" s="197"/>
      <c r="G1234" s="198"/>
      <c r="H1234" s="199"/>
      <c r="I1234" s="199"/>
      <c r="J1234" s="19"/>
    </row>
    <row r="1235" spans="1:10">
      <c r="A1235" s="119"/>
      <c r="B1235" s="155"/>
      <c r="C1235" s="194"/>
      <c r="D1235" s="195"/>
      <c r="E1235" s="196"/>
      <c r="F1235" s="197"/>
      <c r="G1235" s="198"/>
      <c r="H1235" s="199"/>
      <c r="I1235" s="199"/>
      <c r="J1235" s="19"/>
    </row>
    <row r="1236" spans="1:10">
      <c r="A1236" s="119"/>
      <c r="B1236" s="155"/>
      <c r="C1236" s="194"/>
      <c r="D1236" s="195"/>
      <c r="E1236" s="196"/>
      <c r="F1236" s="197"/>
      <c r="G1236" s="198"/>
      <c r="H1236" s="199"/>
      <c r="I1236" s="199"/>
      <c r="J1236" s="19"/>
    </row>
    <row r="1237" spans="1:10">
      <c r="A1237" s="119"/>
      <c r="B1237" s="155"/>
      <c r="C1237" s="194"/>
      <c r="D1237" s="195"/>
      <c r="E1237" s="196"/>
      <c r="F1237" s="197"/>
      <c r="G1237" s="198"/>
      <c r="H1237" s="199"/>
      <c r="I1237" s="199"/>
      <c r="J1237" s="19"/>
    </row>
    <row r="1238" spans="1:10">
      <c r="A1238" s="119"/>
      <c r="B1238" s="155"/>
      <c r="C1238" s="194"/>
      <c r="D1238" s="195"/>
      <c r="E1238" s="196"/>
      <c r="F1238" s="197"/>
      <c r="G1238" s="198"/>
      <c r="H1238" s="199"/>
      <c r="I1238" s="199"/>
      <c r="J1238" s="19"/>
    </row>
    <row r="1239" spans="1:10">
      <c r="A1239" s="119"/>
      <c r="B1239" s="155"/>
      <c r="C1239" s="194"/>
      <c r="D1239" s="195"/>
      <c r="E1239" s="196"/>
      <c r="F1239" s="197"/>
      <c r="G1239" s="198"/>
      <c r="H1239" s="199"/>
      <c r="I1239" s="199"/>
      <c r="J1239" s="19"/>
    </row>
    <row r="1240" spans="1:10">
      <c r="A1240" s="119"/>
      <c r="B1240" s="155"/>
      <c r="C1240" s="194"/>
      <c r="D1240" s="195"/>
      <c r="E1240" s="196"/>
      <c r="F1240" s="197"/>
      <c r="G1240" s="198"/>
      <c r="H1240" s="199"/>
      <c r="I1240" s="199"/>
      <c r="J1240" s="19"/>
    </row>
    <row r="1241" spans="1:10">
      <c r="A1241" s="119"/>
      <c r="B1241" s="155"/>
      <c r="C1241" s="194"/>
      <c r="D1241" s="195"/>
      <c r="E1241" s="196"/>
      <c r="F1241" s="197"/>
      <c r="G1241" s="198"/>
      <c r="H1241" s="199"/>
      <c r="I1241" s="199"/>
      <c r="J1241" s="19"/>
    </row>
    <row r="1242" spans="1:10">
      <c r="A1242" s="119"/>
      <c r="B1242" s="155"/>
      <c r="C1242" s="194"/>
      <c r="D1242" s="195"/>
      <c r="E1242" s="196"/>
      <c r="F1242" s="197"/>
      <c r="G1242" s="198"/>
      <c r="H1242" s="199"/>
      <c r="I1242" s="199"/>
      <c r="J1242" s="19"/>
    </row>
    <row r="1243" spans="1:10">
      <c r="A1243" s="119"/>
      <c r="B1243" s="155"/>
      <c r="C1243" s="194"/>
      <c r="D1243" s="195"/>
      <c r="E1243" s="196"/>
      <c r="F1243" s="197"/>
      <c r="G1243" s="198"/>
      <c r="H1243" s="199"/>
      <c r="I1243" s="199"/>
      <c r="J1243" s="19"/>
    </row>
    <row r="1244" spans="1:10">
      <c r="A1244" s="119"/>
      <c r="B1244" s="155"/>
      <c r="C1244" s="194"/>
      <c r="D1244" s="195"/>
      <c r="E1244" s="196"/>
      <c r="F1244" s="197"/>
      <c r="G1244" s="198"/>
      <c r="H1244" s="199"/>
      <c r="I1244" s="199"/>
      <c r="J1244" s="19"/>
    </row>
    <row r="1245" spans="1:10">
      <c r="A1245" s="119"/>
      <c r="B1245" s="155"/>
      <c r="C1245" s="194"/>
      <c r="D1245" s="195"/>
      <c r="E1245" s="196"/>
      <c r="F1245" s="197"/>
      <c r="G1245" s="198"/>
      <c r="H1245" s="199"/>
      <c r="I1245" s="199"/>
      <c r="J1245" s="19"/>
    </row>
    <row r="1246" spans="1:10">
      <c r="A1246" s="119"/>
      <c r="B1246" s="155"/>
      <c r="C1246" s="194"/>
      <c r="D1246" s="195"/>
      <c r="E1246" s="196"/>
      <c r="F1246" s="197"/>
      <c r="G1246" s="198"/>
      <c r="H1246" s="199"/>
      <c r="I1246" s="199"/>
      <c r="J1246" s="19"/>
    </row>
    <row r="1247" spans="1:10">
      <c r="A1247" s="119"/>
      <c r="B1247" s="155"/>
      <c r="C1247" s="194"/>
      <c r="D1247" s="195"/>
      <c r="E1247" s="196"/>
      <c r="F1247" s="197"/>
      <c r="G1247" s="198"/>
      <c r="H1247" s="199"/>
      <c r="I1247" s="199"/>
      <c r="J1247" s="19"/>
    </row>
    <row r="1248" spans="1:10">
      <c r="A1248" s="119"/>
      <c r="B1248" s="155"/>
      <c r="C1248" s="194"/>
      <c r="D1248" s="195"/>
      <c r="E1248" s="196"/>
      <c r="F1248" s="197"/>
      <c r="G1248" s="198"/>
      <c r="H1248" s="199"/>
      <c r="I1248" s="199"/>
      <c r="J1248" s="19"/>
    </row>
    <row r="1249" spans="1:10">
      <c r="A1249" s="119"/>
      <c r="B1249" s="155"/>
      <c r="C1249" s="194"/>
      <c r="D1249" s="195"/>
      <c r="E1249" s="196"/>
      <c r="F1249" s="197"/>
      <c r="G1249" s="198"/>
      <c r="H1249" s="199"/>
      <c r="I1249" s="199"/>
      <c r="J1249" s="19"/>
    </row>
    <row r="1250" spans="1:10">
      <c r="A1250" s="119"/>
      <c r="B1250" s="155"/>
      <c r="C1250" s="194"/>
      <c r="D1250" s="195"/>
      <c r="E1250" s="196"/>
      <c r="F1250" s="197"/>
      <c r="G1250" s="198"/>
      <c r="H1250" s="199"/>
      <c r="I1250" s="199"/>
      <c r="J1250" s="19"/>
    </row>
    <row r="1251" spans="1:10">
      <c r="A1251" s="119"/>
      <c r="B1251" s="155"/>
      <c r="C1251" s="194"/>
      <c r="D1251" s="195"/>
      <c r="E1251" s="196"/>
      <c r="F1251" s="197"/>
      <c r="G1251" s="198"/>
      <c r="H1251" s="199"/>
      <c r="I1251" s="199"/>
      <c r="J1251" s="19"/>
    </row>
    <row r="1252" spans="1:10">
      <c r="A1252" s="119"/>
      <c r="B1252" s="155"/>
      <c r="C1252" s="194"/>
      <c r="D1252" s="195"/>
      <c r="E1252" s="196"/>
      <c r="F1252" s="197"/>
      <c r="G1252" s="198"/>
      <c r="H1252" s="199"/>
      <c r="I1252" s="199"/>
      <c r="J1252" s="19"/>
    </row>
    <row r="1253" spans="1:10">
      <c r="A1253" s="119"/>
      <c r="B1253" s="155"/>
      <c r="C1253" s="194"/>
      <c r="D1253" s="195"/>
      <c r="E1253" s="196"/>
      <c r="F1253" s="197"/>
      <c r="G1253" s="198"/>
      <c r="H1253" s="199"/>
      <c r="I1253" s="199"/>
      <c r="J1253" s="19"/>
    </row>
    <row r="1254" spans="1:10">
      <c r="A1254" s="119"/>
      <c r="B1254" s="155"/>
      <c r="C1254" s="194"/>
      <c r="D1254" s="195"/>
      <c r="E1254" s="196"/>
      <c r="F1254" s="197"/>
      <c r="G1254" s="198"/>
      <c r="H1254" s="199"/>
      <c r="I1254" s="199"/>
      <c r="J1254" s="19"/>
    </row>
    <row r="1255" spans="1:10">
      <c r="A1255" s="119"/>
      <c r="B1255" s="155"/>
      <c r="C1255" s="194"/>
      <c r="D1255" s="195"/>
      <c r="E1255" s="196"/>
      <c r="F1255" s="197"/>
      <c r="G1255" s="198"/>
      <c r="H1255" s="199"/>
      <c r="I1255" s="199"/>
      <c r="J1255" s="19"/>
    </row>
    <row r="1256" spans="1:10">
      <c r="A1256" s="119"/>
      <c r="B1256" s="155"/>
      <c r="C1256" s="194"/>
      <c r="D1256" s="195"/>
      <c r="E1256" s="196"/>
      <c r="F1256" s="197"/>
      <c r="G1256" s="198"/>
      <c r="H1256" s="199"/>
      <c r="I1256" s="199"/>
      <c r="J1256" s="19"/>
    </row>
    <row r="1257" spans="1:10">
      <c r="A1257" s="119"/>
      <c r="B1257" s="155"/>
      <c r="C1257" s="194"/>
      <c r="D1257" s="195"/>
      <c r="E1257" s="196"/>
      <c r="F1257" s="197"/>
      <c r="G1257" s="198"/>
      <c r="H1257" s="199"/>
      <c r="I1257" s="199"/>
      <c r="J1257" s="19"/>
    </row>
    <row r="1258" spans="1:10">
      <c r="A1258" s="119"/>
      <c r="B1258" s="155"/>
      <c r="C1258" s="194"/>
      <c r="D1258" s="195"/>
      <c r="E1258" s="196"/>
      <c r="F1258" s="197"/>
      <c r="G1258" s="198"/>
      <c r="H1258" s="199"/>
      <c r="I1258" s="199"/>
      <c r="J1258" s="19"/>
    </row>
    <row r="1259" spans="1:10">
      <c r="A1259" s="119"/>
      <c r="B1259" s="155"/>
      <c r="C1259" s="194"/>
      <c r="D1259" s="195"/>
      <c r="E1259" s="196"/>
      <c r="F1259" s="197"/>
      <c r="G1259" s="198"/>
      <c r="H1259" s="199"/>
      <c r="I1259" s="199"/>
      <c r="J1259" s="19"/>
    </row>
    <row r="1260" spans="1:10">
      <c r="A1260" s="119"/>
      <c r="B1260" s="155"/>
      <c r="C1260" s="194"/>
      <c r="D1260" s="195"/>
      <c r="E1260" s="196"/>
      <c r="F1260" s="197"/>
      <c r="G1260" s="198"/>
      <c r="H1260" s="199"/>
      <c r="I1260" s="199"/>
      <c r="J1260" s="19"/>
    </row>
    <row r="1261" spans="1:10">
      <c r="A1261" s="119"/>
      <c r="B1261" s="155"/>
      <c r="C1261" s="194"/>
      <c r="D1261" s="195"/>
      <c r="E1261" s="196"/>
      <c r="F1261" s="197"/>
      <c r="G1261" s="198"/>
      <c r="H1261" s="199"/>
      <c r="I1261" s="199"/>
      <c r="J1261" s="19"/>
    </row>
    <row r="1262" spans="1:10">
      <c r="A1262" s="119"/>
      <c r="B1262" s="155"/>
      <c r="C1262" s="194"/>
      <c r="D1262" s="195"/>
      <c r="E1262" s="196"/>
      <c r="F1262" s="197"/>
      <c r="G1262" s="198"/>
      <c r="H1262" s="199"/>
      <c r="I1262" s="199"/>
      <c r="J1262" s="19"/>
    </row>
    <row r="1263" spans="1:10">
      <c r="A1263" s="119"/>
      <c r="B1263" s="155"/>
      <c r="C1263" s="194"/>
      <c r="D1263" s="195"/>
      <c r="E1263" s="196"/>
      <c r="F1263" s="197"/>
      <c r="G1263" s="198"/>
      <c r="H1263" s="199"/>
      <c r="I1263" s="199"/>
      <c r="J1263" s="19"/>
    </row>
    <row r="1264" spans="1:10">
      <c r="A1264" s="119"/>
      <c r="B1264" s="155"/>
      <c r="C1264" s="194"/>
      <c r="D1264" s="195"/>
      <c r="E1264" s="196"/>
      <c r="F1264" s="197"/>
      <c r="G1264" s="198"/>
      <c r="H1264" s="199"/>
      <c r="I1264" s="199"/>
      <c r="J1264" s="19"/>
    </row>
    <row r="1265" spans="1:10">
      <c r="A1265" s="119"/>
      <c r="B1265" s="155"/>
      <c r="C1265" s="194"/>
      <c r="D1265" s="195"/>
      <c r="E1265" s="196"/>
      <c r="F1265" s="197"/>
      <c r="G1265" s="198"/>
      <c r="H1265" s="199"/>
      <c r="I1265" s="199"/>
      <c r="J1265" s="19"/>
    </row>
    <row r="1266" spans="1:10">
      <c r="A1266" s="119"/>
      <c r="B1266" s="155"/>
      <c r="C1266" s="194"/>
      <c r="D1266" s="195"/>
      <c r="E1266" s="196"/>
      <c r="F1266" s="197"/>
      <c r="G1266" s="198"/>
      <c r="H1266" s="199"/>
      <c r="I1266" s="199"/>
      <c r="J1266" s="19"/>
    </row>
    <row r="1267" spans="1:10">
      <c r="A1267" s="119"/>
      <c r="B1267" s="155"/>
      <c r="C1267" s="194"/>
      <c r="D1267" s="195"/>
      <c r="E1267" s="196"/>
      <c r="F1267" s="197"/>
      <c r="G1267" s="198"/>
      <c r="H1267" s="199"/>
      <c r="I1267" s="199"/>
      <c r="J1267" s="19"/>
    </row>
    <row r="1268" spans="1:10">
      <c r="A1268" s="119"/>
      <c r="B1268" s="155"/>
      <c r="C1268" s="194"/>
      <c r="D1268" s="195"/>
      <c r="E1268" s="196"/>
      <c r="F1268" s="197"/>
      <c r="G1268" s="198"/>
      <c r="H1268" s="199"/>
      <c r="I1268" s="199"/>
      <c r="J1268" s="19"/>
    </row>
    <row r="1269" spans="2:9">
      <c r="B1269"/>
      <c r="C1269"/>
      <c r="D1269"/>
      <c r="E1269"/>
      <c r="F1269" s="74"/>
      <c r="H1269"/>
      <c r="I1269"/>
    </row>
    <row r="1270" spans="2:9">
      <c r="B1270"/>
      <c r="C1270"/>
      <c r="D1270"/>
      <c r="E1270"/>
      <c r="F1270" s="74"/>
      <c r="H1270"/>
      <c r="I1270"/>
    </row>
    <row r="1271" spans="2:9">
      <c r="B1271"/>
      <c r="C1271"/>
      <c r="D1271"/>
      <c r="E1271"/>
      <c r="F1271" s="74"/>
      <c r="H1271"/>
      <c r="I1271"/>
    </row>
    <row r="1272" ht="15.75" spans="1:10">
      <c r="A1272" s="25"/>
      <c r="B1272" s="75" t="s">
        <v>126</v>
      </c>
      <c r="C1272" s="25"/>
      <c r="D1272" s="25"/>
      <c r="E1272" s="25"/>
      <c r="F1272" s="76"/>
      <c r="G1272" s="25"/>
      <c r="H1272" s="25"/>
      <c r="I1272" s="25"/>
      <c r="J1272" s="25"/>
    </row>
    <row r="1273" spans="2:9">
      <c r="B1273"/>
      <c r="C1273"/>
      <c r="D1273"/>
      <c r="E1273"/>
      <c r="F1273" s="74"/>
      <c r="H1273"/>
      <c r="I1273"/>
    </row>
    <row r="1274" ht="15.75" spans="3:9">
      <c r="C1274"/>
      <c r="D1274"/>
      <c r="E1274"/>
      <c r="F1274" s="74"/>
      <c r="H1274"/>
      <c r="I1274"/>
    </row>
    <row r="1275" ht="28.5" customHeight="1" spans="1:9">
      <c r="A1275" s="200" t="s">
        <v>96</v>
      </c>
      <c r="B1275" s="201">
        <f>SUBTOTAL(3,(B1277:B1316))</f>
        <v>40</v>
      </c>
      <c r="C1275" s="128"/>
      <c r="D1275" s="128"/>
      <c r="E1275"/>
      <c r="F1275" s="74"/>
      <c r="H1275"/>
      <c r="I1275"/>
    </row>
    <row r="1276" ht="47.25" spans="1:11">
      <c r="A1276" s="184" t="s">
        <v>79</v>
      </c>
      <c r="B1276" s="202" t="s">
        <v>98</v>
      </c>
      <c r="C1276" s="203" t="s">
        <v>99</v>
      </c>
      <c r="D1276" s="204" t="s">
        <v>100</v>
      </c>
      <c r="E1276" s="82" t="s">
        <v>101</v>
      </c>
      <c r="F1276" s="58" t="s">
        <v>102</v>
      </c>
      <c r="G1276" s="56" t="s">
        <v>103</v>
      </c>
      <c r="H1276" s="59" t="s">
        <v>104</v>
      </c>
      <c r="I1276" s="59" t="s">
        <v>105</v>
      </c>
      <c r="J1276" s="84" t="s">
        <v>106</v>
      </c>
      <c r="K1276" s="85" t="s">
        <v>107</v>
      </c>
    </row>
    <row r="1277" ht="30" spans="1:11">
      <c r="A1277" s="186">
        <v>1</v>
      </c>
      <c r="B1277" s="193" t="s">
        <v>1015</v>
      </c>
      <c r="C1277" s="118" t="s">
        <v>1016</v>
      </c>
      <c r="D1277" s="63" t="s">
        <v>115</v>
      </c>
      <c r="E1277" s="64">
        <v>88750</v>
      </c>
      <c r="F1277" s="65" t="s">
        <v>115</v>
      </c>
      <c r="G1277" s="66">
        <f>IF(BD!$E1277="","",(E1277/(H1277*I1277)))</f>
        <v>88750</v>
      </c>
      <c r="H1277" s="190">
        <v>1</v>
      </c>
      <c r="I1277" s="190">
        <v>1</v>
      </c>
      <c r="J1277" s="91" t="str">
        <f t="shared" ref="J1277:J1301" si="35">CONCATENATE(LEFT(C1277,1),"_",TEXT(A1277,"000"))</f>
        <v>H_001</v>
      </c>
      <c r="K1277" s="92"/>
    </row>
    <row r="1278" ht="30" spans="1:11">
      <c r="A1278" s="186">
        <f>A1277+1</f>
        <v>2</v>
      </c>
      <c r="B1278" s="193" t="s">
        <v>1017</v>
      </c>
      <c r="C1278" s="118" t="s">
        <v>1016</v>
      </c>
      <c r="D1278" s="63" t="s">
        <v>115</v>
      </c>
      <c r="E1278" s="64">
        <v>18000</v>
      </c>
      <c r="F1278" s="65" t="s">
        <v>115</v>
      </c>
      <c r="G1278" s="66">
        <f>IF(BD!$E1278="","",(E1278/(H1278*I1278)))</f>
        <v>18000</v>
      </c>
      <c r="H1278" s="190">
        <v>1</v>
      </c>
      <c r="I1278" s="190">
        <v>1</v>
      </c>
      <c r="J1278" s="91" t="str">
        <f t="shared" si="35"/>
        <v>H_002</v>
      </c>
      <c r="K1278" s="92"/>
    </row>
    <row r="1279" ht="30" spans="1:11">
      <c r="A1279" s="186">
        <f t="shared" ref="A1279:A1316" si="36">A1278+1</f>
        <v>3</v>
      </c>
      <c r="B1279" s="193" t="s">
        <v>1018</v>
      </c>
      <c r="C1279" s="118" t="s">
        <v>1016</v>
      </c>
      <c r="D1279" s="63" t="s">
        <v>115</v>
      </c>
      <c r="E1279" s="64">
        <v>48900</v>
      </c>
      <c r="F1279" s="65" t="s">
        <v>115</v>
      </c>
      <c r="G1279" s="66">
        <f>IF(BD!$E1279="","",(E1279/(H1279*I1279)))</f>
        <v>48900</v>
      </c>
      <c r="H1279" s="190">
        <v>1</v>
      </c>
      <c r="I1279" s="190">
        <v>1</v>
      </c>
      <c r="J1279" s="91" t="str">
        <f t="shared" si="35"/>
        <v>H_003</v>
      </c>
      <c r="K1279" s="92"/>
    </row>
    <row r="1280" ht="30" spans="1:11">
      <c r="A1280" s="186">
        <f t="shared" si="36"/>
        <v>4</v>
      </c>
      <c r="B1280" s="193" t="s">
        <v>1019</v>
      </c>
      <c r="C1280" s="118" t="s">
        <v>1016</v>
      </c>
      <c r="D1280" s="63" t="s">
        <v>115</v>
      </c>
      <c r="E1280" s="64">
        <v>5150</v>
      </c>
      <c r="F1280" s="65" t="s">
        <v>115</v>
      </c>
      <c r="G1280" s="66">
        <f>IF(BD!$E1280="","",(E1280/(H1280*I1280)))</f>
        <v>5150</v>
      </c>
      <c r="H1280" s="190">
        <v>1</v>
      </c>
      <c r="I1280" s="190">
        <v>1</v>
      </c>
      <c r="J1280" s="91" t="str">
        <f t="shared" si="35"/>
        <v>H_004</v>
      </c>
      <c r="K1280" s="92"/>
    </row>
    <row r="1281" ht="30" spans="1:11">
      <c r="A1281" s="186">
        <f t="shared" si="36"/>
        <v>5</v>
      </c>
      <c r="B1281" s="193" t="s">
        <v>1020</v>
      </c>
      <c r="C1281" s="118" t="s">
        <v>1016</v>
      </c>
      <c r="D1281" s="63" t="s">
        <v>115</v>
      </c>
      <c r="E1281" s="64">
        <v>6400</v>
      </c>
      <c r="F1281" s="65" t="s">
        <v>115</v>
      </c>
      <c r="G1281" s="66">
        <f>IF(BD!$E1281="","",(E1281/(H1281*I1281)))</f>
        <v>6400</v>
      </c>
      <c r="H1281" s="190">
        <v>1</v>
      </c>
      <c r="I1281" s="190">
        <v>1</v>
      </c>
      <c r="J1281" s="91" t="str">
        <f t="shared" si="35"/>
        <v>H_005</v>
      </c>
      <c r="K1281" s="92"/>
    </row>
    <row r="1282" ht="30" spans="1:11">
      <c r="A1282" s="186">
        <f t="shared" si="36"/>
        <v>6</v>
      </c>
      <c r="B1282" s="193" t="s">
        <v>1021</v>
      </c>
      <c r="C1282" s="118" t="s">
        <v>1016</v>
      </c>
      <c r="D1282" s="63" t="s">
        <v>180</v>
      </c>
      <c r="E1282" s="64">
        <v>61500</v>
      </c>
      <c r="F1282" s="65" t="s">
        <v>180</v>
      </c>
      <c r="G1282" s="66">
        <f>IF(BD!$E1282="","",(E1282/(H1282*I1282)))</f>
        <v>61500</v>
      </c>
      <c r="H1282" s="190">
        <v>1</v>
      </c>
      <c r="I1282" s="190">
        <v>1</v>
      </c>
      <c r="J1282" s="91" t="str">
        <f t="shared" si="35"/>
        <v>H_006</v>
      </c>
      <c r="K1282" s="92"/>
    </row>
    <row r="1283" ht="45" spans="1:11">
      <c r="A1283" s="186">
        <f t="shared" si="36"/>
        <v>7</v>
      </c>
      <c r="B1283" s="193" t="s">
        <v>1022</v>
      </c>
      <c r="C1283" s="118" t="s">
        <v>1016</v>
      </c>
      <c r="D1283" s="63" t="s">
        <v>115</v>
      </c>
      <c r="E1283" s="64">
        <v>48683.375</v>
      </c>
      <c r="F1283" s="65" t="s">
        <v>115</v>
      </c>
      <c r="G1283" s="66">
        <f>IF(BD!$E1283="","",(E1283/(H1283*I1283)))</f>
        <v>48683.375</v>
      </c>
      <c r="H1283" s="190">
        <v>1</v>
      </c>
      <c r="I1283" s="190">
        <v>1</v>
      </c>
      <c r="J1283" s="91" t="str">
        <f t="shared" si="35"/>
        <v>H_007</v>
      </c>
      <c r="K1283" s="92"/>
    </row>
    <row r="1284" ht="30" spans="1:11">
      <c r="A1284" s="186">
        <f t="shared" si="36"/>
        <v>8</v>
      </c>
      <c r="B1284" s="187" t="s">
        <v>1023</v>
      </c>
      <c r="C1284" s="118" t="s">
        <v>1016</v>
      </c>
      <c r="D1284" s="63" t="s">
        <v>180</v>
      </c>
      <c r="E1284" s="64"/>
      <c r="F1284" s="63" t="s">
        <v>180</v>
      </c>
      <c r="G1284" s="66">
        <f>IF(BD!$E1304="","",(E1284/(H1284*I1284)))</f>
        <v>0</v>
      </c>
      <c r="H1284" s="190">
        <v>1</v>
      </c>
      <c r="I1284" s="190">
        <v>1</v>
      </c>
      <c r="J1284" s="91" t="str">
        <f t="shared" si="35"/>
        <v>H_008</v>
      </c>
      <c r="K1284" s="92"/>
    </row>
    <row r="1285" ht="30" spans="1:11">
      <c r="A1285" s="186">
        <f t="shared" si="36"/>
        <v>9</v>
      </c>
      <c r="B1285" s="187" t="s">
        <v>1024</v>
      </c>
      <c r="C1285" s="118" t="s">
        <v>1016</v>
      </c>
      <c r="D1285" s="63" t="s">
        <v>180</v>
      </c>
      <c r="E1285" s="64"/>
      <c r="F1285" s="63" t="s">
        <v>180</v>
      </c>
      <c r="G1285" s="66">
        <f>IF(BD!$E1306="","",(E1285/(H1285*I1285)))</f>
        <v>0</v>
      </c>
      <c r="H1285" s="190">
        <v>1</v>
      </c>
      <c r="I1285" s="190">
        <v>1</v>
      </c>
      <c r="J1285" s="91" t="str">
        <f t="shared" si="35"/>
        <v>H_009</v>
      </c>
      <c r="K1285" s="92"/>
    </row>
    <row r="1286" ht="30" spans="1:11">
      <c r="A1286" s="186">
        <f t="shared" si="36"/>
        <v>10</v>
      </c>
      <c r="B1286" s="187" t="s">
        <v>1025</v>
      </c>
      <c r="C1286" s="118" t="s">
        <v>1016</v>
      </c>
      <c r="D1286" s="63" t="s">
        <v>180</v>
      </c>
      <c r="E1286" s="64"/>
      <c r="F1286" s="63" t="s">
        <v>180</v>
      </c>
      <c r="G1286" s="66">
        <f>IF(BD!$E1308="","",(E1286/(H1286*I1286)))</f>
        <v>0</v>
      </c>
      <c r="H1286" s="190">
        <v>1</v>
      </c>
      <c r="I1286" s="190">
        <v>1</v>
      </c>
      <c r="J1286" s="91" t="str">
        <f t="shared" si="35"/>
        <v>H_010</v>
      </c>
      <c r="K1286" s="92"/>
    </row>
    <row r="1287" ht="30" spans="1:11">
      <c r="A1287" s="186">
        <f t="shared" si="36"/>
        <v>11</v>
      </c>
      <c r="B1287" s="187" t="s">
        <v>1026</v>
      </c>
      <c r="C1287" s="118" t="s">
        <v>1016</v>
      </c>
      <c r="D1287" s="63" t="s">
        <v>180</v>
      </c>
      <c r="E1287" s="64"/>
      <c r="F1287" s="63" t="s">
        <v>180</v>
      </c>
      <c r="G1287" s="66">
        <f>IF(BD!$E1302="","",(E1287/(H1287*I1287)))</f>
        <v>0</v>
      </c>
      <c r="H1287" s="190">
        <v>1</v>
      </c>
      <c r="I1287" s="190">
        <v>1</v>
      </c>
      <c r="J1287" s="91" t="str">
        <f t="shared" si="35"/>
        <v>H_011</v>
      </c>
      <c r="K1287" s="92"/>
    </row>
    <row r="1288" ht="30" spans="1:11">
      <c r="A1288" s="186">
        <f t="shared" si="36"/>
        <v>12</v>
      </c>
      <c r="B1288" s="187" t="s">
        <v>1027</v>
      </c>
      <c r="C1288" s="118" t="s">
        <v>1016</v>
      </c>
      <c r="D1288" s="63" t="s">
        <v>180</v>
      </c>
      <c r="E1288" s="64"/>
      <c r="F1288" s="63" t="s">
        <v>180</v>
      </c>
      <c r="G1288" s="66">
        <f>IF(BD!$E1307="","",(E1288/(H1288*I1288)))</f>
        <v>0</v>
      </c>
      <c r="H1288" s="190">
        <v>1</v>
      </c>
      <c r="I1288" s="190">
        <v>1</v>
      </c>
      <c r="J1288" s="91" t="str">
        <f t="shared" si="35"/>
        <v>H_012</v>
      </c>
      <c r="K1288" s="92"/>
    </row>
    <row r="1289" ht="30" spans="1:11">
      <c r="A1289" s="186">
        <f t="shared" si="36"/>
        <v>13</v>
      </c>
      <c r="B1289" s="187" t="s">
        <v>1028</v>
      </c>
      <c r="C1289" s="118" t="s">
        <v>1016</v>
      </c>
      <c r="D1289" s="63" t="s">
        <v>180</v>
      </c>
      <c r="E1289" s="64"/>
      <c r="F1289" s="63" t="s">
        <v>180</v>
      </c>
      <c r="G1289" s="66" t="str">
        <f>IF(BD!$E1300="","",(E1289/(H1289*I1289)))</f>
        <v/>
      </c>
      <c r="H1289" s="190">
        <v>1</v>
      </c>
      <c r="I1289" s="190">
        <v>1</v>
      </c>
      <c r="J1289" s="91" t="str">
        <f t="shared" si="35"/>
        <v>H_013</v>
      </c>
      <c r="K1289" s="92"/>
    </row>
    <row r="1290" ht="30" spans="1:11">
      <c r="A1290" s="186">
        <f t="shared" si="36"/>
        <v>14</v>
      </c>
      <c r="B1290" s="187" t="s">
        <v>1029</v>
      </c>
      <c r="C1290" s="118" t="s">
        <v>1016</v>
      </c>
      <c r="D1290" s="63" t="s">
        <v>180</v>
      </c>
      <c r="E1290" s="64"/>
      <c r="F1290" s="63" t="s">
        <v>180</v>
      </c>
      <c r="G1290" s="66">
        <f>IF(BD!$E1301="","",(E1290/(H1290*I1290)))</f>
        <v>0</v>
      </c>
      <c r="H1290" s="190">
        <v>1</v>
      </c>
      <c r="I1290" s="190">
        <v>1</v>
      </c>
      <c r="J1290" s="91" t="str">
        <f t="shared" si="35"/>
        <v>H_014</v>
      </c>
      <c r="K1290" s="92"/>
    </row>
    <row r="1291" ht="30" spans="1:11">
      <c r="A1291" s="186">
        <f t="shared" si="36"/>
        <v>15</v>
      </c>
      <c r="B1291" s="187" t="s">
        <v>1030</v>
      </c>
      <c r="C1291" s="118" t="s">
        <v>1016</v>
      </c>
      <c r="D1291" s="63" t="s">
        <v>180</v>
      </c>
      <c r="E1291" s="64"/>
      <c r="F1291" s="63" t="s">
        <v>180</v>
      </c>
      <c r="G1291" s="66" t="str">
        <f>IF(BD!$E1303="","",(E1291/(H1291*I1291)))</f>
        <v/>
      </c>
      <c r="H1291" s="190">
        <v>1</v>
      </c>
      <c r="I1291" s="190">
        <v>1</v>
      </c>
      <c r="J1291" s="91" t="str">
        <f t="shared" si="35"/>
        <v>H_015</v>
      </c>
      <c r="K1291" s="92"/>
    </row>
    <row r="1292" ht="30" spans="1:11">
      <c r="A1292" s="186">
        <f t="shared" si="36"/>
        <v>16</v>
      </c>
      <c r="B1292" s="187" t="s">
        <v>1031</v>
      </c>
      <c r="C1292" s="118" t="s">
        <v>1016</v>
      </c>
      <c r="D1292" s="63" t="s">
        <v>180</v>
      </c>
      <c r="E1292" s="64"/>
      <c r="F1292" s="63" t="s">
        <v>180</v>
      </c>
      <c r="G1292" s="66">
        <f>IF(BD!$E1305="","",(E1292/(H1292*I1292)))</f>
        <v>0</v>
      </c>
      <c r="H1292" s="190">
        <v>1</v>
      </c>
      <c r="I1292" s="190">
        <v>1</v>
      </c>
      <c r="J1292" s="91" t="str">
        <f t="shared" si="35"/>
        <v>H_016</v>
      </c>
      <c r="K1292" s="92"/>
    </row>
    <row r="1293" ht="30" spans="1:11">
      <c r="A1293" s="186">
        <f t="shared" si="36"/>
        <v>17</v>
      </c>
      <c r="B1293" s="187" t="s">
        <v>1032</v>
      </c>
      <c r="C1293" s="118" t="s">
        <v>1016</v>
      </c>
      <c r="D1293" s="63" t="s">
        <v>180</v>
      </c>
      <c r="E1293" s="64"/>
      <c r="F1293" s="63" t="s">
        <v>180</v>
      </c>
      <c r="G1293" s="66">
        <f>IF(BD!$E1309="","",(E1293/(H1293*I1293)))</f>
        <v>0</v>
      </c>
      <c r="H1293" s="190">
        <v>1</v>
      </c>
      <c r="I1293" s="190">
        <v>1</v>
      </c>
      <c r="J1293" s="91" t="str">
        <f t="shared" si="35"/>
        <v>H_017</v>
      </c>
      <c r="K1293" s="92"/>
    </row>
    <row r="1294" ht="30" spans="1:11">
      <c r="A1294" s="186">
        <f t="shared" si="36"/>
        <v>18</v>
      </c>
      <c r="B1294" s="187" t="s">
        <v>1033</v>
      </c>
      <c r="C1294" s="118" t="s">
        <v>1016</v>
      </c>
      <c r="D1294" s="63" t="s">
        <v>180</v>
      </c>
      <c r="E1294" s="64"/>
      <c r="F1294" s="63" t="s">
        <v>180</v>
      </c>
      <c r="G1294" s="66">
        <f>IF(BD!$E1312="","",(E1294/(H1294*I1294)))</f>
        <v>0</v>
      </c>
      <c r="H1294" s="190">
        <v>1</v>
      </c>
      <c r="I1294" s="190">
        <v>1</v>
      </c>
      <c r="J1294" s="91" t="str">
        <f t="shared" si="35"/>
        <v>H_018</v>
      </c>
      <c r="K1294" s="92"/>
    </row>
    <row r="1295" ht="30" spans="1:11">
      <c r="A1295" s="186">
        <f t="shared" si="36"/>
        <v>19</v>
      </c>
      <c r="B1295" s="187" t="s">
        <v>1034</v>
      </c>
      <c r="C1295" s="118" t="s">
        <v>1016</v>
      </c>
      <c r="D1295" s="63" t="s">
        <v>180</v>
      </c>
      <c r="E1295" s="64"/>
      <c r="F1295" s="63" t="s">
        <v>180</v>
      </c>
      <c r="G1295" s="66">
        <f>IF(BD!$E1313="","",(E1295/(H1295*I1295)))</f>
        <v>0</v>
      </c>
      <c r="H1295" s="190">
        <v>1</v>
      </c>
      <c r="I1295" s="190">
        <v>1</v>
      </c>
      <c r="J1295" s="91" t="str">
        <f t="shared" si="35"/>
        <v>H_019</v>
      </c>
      <c r="K1295" s="92"/>
    </row>
    <row r="1296" ht="30" spans="1:11">
      <c r="A1296" s="186">
        <f t="shared" si="36"/>
        <v>20</v>
      </c>
      <c r="B1296" s="187" t="s">
        <v>1035</v>
      </c>
      <c r="C1296" s="118" t="s">
        <v>1016</v>
      </c>
      <c r="D1296" s="63" t="s">
        <v>180</v>
      </c>
      <c r="E1296" s="64"/>
      <c r="F1296" s="63" t="s">
        <v>180</v>
      </c>
      <c r="G1296" s="66">
        <f>IF(BD!$E1311="","",(E1296/(H1296*I1296)))</f>
        <v>0</v>
      </c>
      <c r="H1296" s="205">
        <v>1</v>
      </c>
      <c r="I1296" s="205">
        <v>1</v>
      </c>
      <c r="J1296" s="91" t="str">
        <f t="shared" si="35"/>
        <v>H_020</v>
      </c>
      <c r="K1296" s="92"/>
    </row>
    <row r="1297" ht="30" spans="1:11">
      <c r="A1297" s="186">
        <f t="shared" si="36"/>
        <v>21</v>
      </c>
      <c r="B1297" s="193" t="s">
        <v>1036</v>
      </c>
      <c r="C1297" s="118" t="s">
        <v>1016</v>
      </c>
      <c r="D1297" s="63" t="s">
        <v>115</v>
      </c>
      <c r="E1297" s="64">
        <v>44533.3333333333</v>
      </c>
      <c r="F1297" s="65" t="s">
        <v>115</v>
      </c>
      <c r="G1297" s="66" t="str">
        <f>IF(BD!$E1284="","",(E1297/(H1297*I1297)))</f>
        <v/>
      </c>
      <c r="H1297" s="67">
        <v>1</v>
      </c>
      <c r="I1297" s="67">
        <v>1</v>
      </c>
      <c r="J1297" s="91" t="str">
        <f t="shared" si="35"/>
        <v>H_021</v>
      </c>
      <c r="K1297" s="92"/>
    </row>
    <row r="1298" spans="1:11">
      <c r="A1298" s="186">
        <f t="shared" si="36"/>
        <v>22</v>
      </c>
      <c r="B1298" s="193" t="s">
        <v>1037</v>
      </c>
      <c r="C1298" s="118" t="s">
        <v>1016</v>
      </c>
      <c r="D1298" s="206" t="s">
        <v>115</v>
      </c>
      <c r="E1298" s="64">
        <v>30900</v>
      </c>
      <c r="F1298" s="65" t="s">
        <v>115</v>
      </c>
      <c r="G1298" s="66" t="str">
        <f>IF(BD!$E1285="","",(E1298/(H1298*I1298)))</f>
        <v/>
      </c>
      <c r="H1298" s="207">
        <v>1</v>
      </c>
      <c r="I1298" s="207">
        <v>1</v>
      </c>
      <c r="J1298" s="91" t="str">
        <f t="shared" si="35"/>
        <v>H_022</v>
      </c>
      <c r="K1298" s="92"/>
    </row>
    <row r="1299" spans="1:11">
      <c r="A1299" s="186">
        <f t="shared" si="36"/>
        <v>23</v>
      </c>
      <c r="B1299" s="187" t="s">
        <v>1038</v>
      </c>
      <c r="C1299" s="120" t="s">
        <v>1016</v>
      </c>
      <c r="D1299" s="121" t="s">
        <v>115</v>
      </c>
      <c r="E1299" s="64"/>
      <c r="F1299" s="63" t="s">
        <v>115</v>
      </c>
      <c r="G1299" s="66">
        <f>IF(BD!$E1314="","",(E1299/(H1299*I1299)))</f>
        <v>0</v>
      </c>
      <c r="H1299" s="205">
        <v>1</v>
      </c>
      <c r="I1299" s="205">
        <v>1</v>
      </c>
      <c r="J1299" s="91" t="str">
        <f t="shared" si="35"/>
        <v>H_023</v>
      </c>
      <c r="K1299" s="92"/>
    </row>
    <row r="1300" spans="1:11">
      <c r="A1300" s="186">
        <f t="shared" si="36"/>
        <v>24</v>
      </c>
      <c r="B1300" s="187" t="s">
        <v>1039</v>
      </c>
      <c r="C1300" s="120" t="s">
        <v>1016</v>
      </c>
      <c r="D1300" s="121" t="s">
        <v>115</v>
      </c>
      <c r="E1300" s="122"/>
      <c r="F1300" s="63" t="s">
        <v>115</v>
      </c>
      <c r="G1300" s="192">
        <f>IF(BD!$E1315="","",(E1300/(H1300*I1300)))</f>
        <v>0</v>
      </c>
      <c r="H1300" s="205">
        <v>1</v>
      </c>
      <c r="I1300" s="205">
        <v>1</v>
      </c>
      <c r="J1300" s="91" t="str">
        <f t="shared" si="35"/>
        <v>H_024</v>
      </c>
      <c r="K1300" s="92"/>
    </row>
    <row r="1301" ht="30" spans="1:11">
      <c r="A1301" s="186">
        <f t="shared" si="36"/>
        <v>25</v>
      </c>
      <c r="B1301" s="193" t="s">
        <v>1040</v>
      </c>
      <c r="C1301" s="120" t="s">
        <v>1016</v>
      </c>
      <c r="D1301" s="121" t="s">
        <v>1041</v>
      </c>
      <c r="E1301" s="122">
        <v>44500</v>
      </c>
      <c r="F1301" s="65" t="s">
        <v>115</v>
      </c>
      <c r="G1301" s="192" t="str">
        <f>IF(BD!$E1286="","",(E1301/(H1301*I1301)))</f>
        <v/>
      </c>
      <c r="H1301" s="205">
        <v>1</v>
      </c>
      <c r="I1301" s="205">
        <v>1</v>
      </c>
      <c r="J1301" s="91" t="str">
        <f t="shared" si="35"/>
        <v>H_025</v>
      </c>
      <c r="K1301" s="92"/>
    </row>
    <row r="1302" spans="1:11">
      <c r="A1302" s="186">
        <f t="shared" si="36"/>
        <v>26</v>
      </c>
      <c r="B1302" s="193" t="s">
        <v>1042</v>
      </c>
      <c r="C1302" s="120" t="s">
        <v>1016</v>
      </c>
      <c r="D1302" s="121" t="s">
        <v>115</v>
      </c>
      <c r="E1302" s="122">
        <v>22370</v>
      </c>
      <c r="F1302" s="65" t="s">
        <v>115</v>
      </c>
      <c r="G1302" s="192" t="str">
        <f>IF(BD!$E1287="","",(E1302/(H1302*I1302)))</f>
        <v/>
      </c>
      <c r="H1302" s="205">
        <v>1</v>
      </c>
      <c r="I1302" s="205">
        <v>1</v>
      </c>
      <c r="J1302" s="91"/>
      <c r="K1302" s="92"/>
    </row>
    <row r="1303" spans="1:11">
      <c r="A1303" s="186">
        <f t="shared" si="36"/>
        <v>27</v>
      </c>
      <c r="B1303" s="187" t="s">
        <v>1043</v>
      </c>
      <c r="C1303" s="120" t="s">
        <v>1016</v>
      </c>
      <c r="D1303" s="121" t="s">
        <v>115</v>
      </c>
      <c r="E1303" s="122"/>
      <c r="F1303" s="63" t="s">
        <v>115</v>
      </c>
      <c r="G1303" s="192">
        <f>IF(BD!$E1316="","",(E1303/(H1303*I1303)))</f>
        <v>0</v>
      </c>
      <c r="H1303" s="205">
        <v>1</v>
      </c>
      <c r="I1303" s="205">
        <v>1</v>
      </c>
      <c r="J1303" s="91" t="str">
        <f t="shared" ref="J1303:J1308" si="37">CONCATENATE(LEFT(C1303,1),"_",TEXT(A1303,"000"))</f>
        <v>H_027</v>
      </c>
      <c r="K1303" s="92"/>
    </row>
    <row r="1304" spans="1:11">
      <c r="A1304" s="186">
        <f t="shared" si="36"/>
        <v>28</v>
      </c>
      <c r="B1304" s="193" t="s">
        <v>1044</v>
      </c>
      <c r="C1304" s="120" t="s">
        <v>1016</v>
      </c>
      <c r="D1304" s="121" t="s">
        <v>115</v>
      </c>
      <c r="E1304" s="122">
        <v>184100</v>
      </c>
      <c r="F1304" s="65" t="s">
        <v>115</v>
      </c>
      <c r="G1304" s="192" t="str">
        <f>IF(BD!$E1288="","",(E1304/(H1304*I1304)))</f>
        <v/>
      </c>
      <c r="H1304" s="207">
        <v>1</v>
      </c>
      <c r="I1304" s="207">
        <v>1</v>
      </c>
      <c r="J1304" s="91" t="str">
        <f t="shared" si="37"/>
        <v>H_028</v>
      </c>
      <c r="K1304" s="92"/>
    </row>
    <row r="1305" ht="30" spans="1:11">
      <c r="A1305" s="186">
        <f t="shared" si="36"/>
        <v>29</v>
      </c>
      <c r="B1305" s="193" t="s">
        <v>1045</v>
      </c>
      <c r="C1305" s="120" t="s">
        <v>1016</v>
      </c>
      <c r="D1305" s="121" t="s">
        <v>115</v>
      </c>
      <c r="E1305" s="122">
        <v>6333.3375</v>
      </c>
      <c r="F1305" s="65" t="s">
        <v>115</v>
      </c>
      <c r="G1305" s="192" t="e">
        <f>IF(BD!#REF!="","",(E1305/(H1305*I1305)))</f>
        <v>#REF!</v>
      </c>
      <c r="H1305" s="205">
        <v>1</v>
      </c>
      <c r="I1305" s="205">
        <v>1</v>
      </c>
      <c r="J1305" s="91" t="str">
        <f t="shared" si="37"/>
        <v>H_029</v>
      </c>
      <c r="K1305" s="92"/>
    </row>
    <row r="1306" ht="30" spans="1:11">
      <c r="A1306" s="186">
        <f t="shared" si="36"/>
        <v>30</v>
      </c>
      <c r="B1306" s="193" t="s">
        <v>1046</v>
      </c>
      <c r="C1306" s="120" t="s">
        <v>1016</v>
      </c>
      <c r="D1306" s="121" t="s">
        <v>115</v>
      </c>
      <c r="E1306" s="122">
        <v>17266.6</v>
      </c>
      <c r="F1306" s="65" t="s">
        <v>115</v>
      </c>
      <c r="G1306" s="192" t="str">
        <f>IF(BD!$E1289="","",(E1306/(H1306*I1306)))</f>
        <v/>
      </c>
      <c r="H1306" s="207">
        <v>1</v>
      </c>
      <c r="I1306" s="207">
        <v>1</v>
      </c>
      <c r="J1306" s="91" t="str">
        <f t="shared" si="37"/>
        <v>H_030</v>
      </c>
      <c r="K1306" s="92"/>
    </row>
    <row r="1307" ht="30" spans="1:11">
      <c r="A1307" s="186">
        <f t="shared" si="36"/>
        <v>31</v>
      </c>
      <c r="B1307" s="208" t="s">
        <v>1047</v>
      </c>
      <c r="C1307" s="120" t="s">
        <v>1016</v>
      </c>
      <c r="D1307" s="121" t="s">
        <v>115</v>
      </c>
      <c r="E1307" s="122">
        <v>6796.7</v>
      </c>
      <c r="F1307" s="65" t="s">
        <v>115</v>
      </c>
      <c r="G1307" s="192" t="str">
        <f>IF(BD!$E1290="","",(E1307/(H1307*I1307)))</f>
        <v/>
      </c>
      <c r="H1307" s="207">
        <v>1</v>
      </c>
      <c r="I1307" s="207">
        <v>1</v>
      </c>
      <c r="J1307" s="91" t="str">
        <f t="shared" si="37"/>
        <v>H_031</v>
      </c>
      <c r="K1307" s="92"/>
    </row>
    <row r="1308" spans="1:11">
      <c r="A1308" s="186">
        <f t="shared" si="36"/>
        <v>32</v>
      </c>
      <c r="B1308" s="193" t="s">
        <v>1048</v>
      </c>
      <c r="C1308" s="120" t="s">
        <v>1016</v>
      </c>
      <c r="D1308" s="121" t="s">
        <v>115</v>
      </c>
      <c r="E1308" s="122">
        <v>182666.666666667</v>
      </c>
      <c r="F1308" s="65" t="s">
        <v>115</v>
      </c>
      <c r="G1308" s="192" t="str">
        <f>IF(BD!$E1291="","",(E1308/(H1308*I1308)))</f>
        <v/>
      </c>
      <c r="H1308" s="207">
        <v>1</v>
      </c>
      <c r="I1308" s="207">
        <v>1</v>
      </c>
      <c r="J1308" s="91" t="str">
        <f t="shared" si="37"/>
        <v>H_032</v>
      </c>
      <c r="K1308" s="92"/>
    </row>
    <row r="1309" ht="30" spans="1:11">
      <c r="A1309" s="186">
        <f t="shared" si="36"/>
        <v>33</v>
      </c>
      <c r="B1309" s="208" t="s">
        <v>1049</v>
      </c>
      <c r="C1309" s="120" t="s">
        <v>1016</v>
      </c>
      <c r="D1309" s="121" t="s">
        <v>1041</v>
      </c>
      <c r="E1309" s="122">
        <v>2500</v>
      </c>
      <c r="F1309" s="65" t="s">
        <v>115</v>
      </c>
      <c r="G1309" s="192" t="str">
        <f>IF(BD!$E1292="","",(E1309/(H1309*I1309)))</f>
        <v/>
      </c>
      <c r="H1309" s="205">
        <v>1</v>
      </c>
      <c r="I1309" s="205">
        <v>1</v>
      </c>
      <c r="J1309" s="91"/>
      <c r="K1309" s="92"/>
    </row>
    <row r="1310" ht="30" spans="1:11">
      <c r="A1310" s="186">
        <f t="shared" si="36"/>
        <v>34</v>
      </c>
      <c r="B1310" s="193" t="s">
        <v>1050</v>
      </c>
      <c r="C1310" s="120" t="s">
        <v>1016</v>
      </c>
      <c r="D1310" s="121" t="s">
        <v>115</v>
      </c>
      <c r="E1310" s="122">
        <v>48330</v>
      </c>
      <c r="F1310" s="65" t="s">
        <v>115</v>
      </c>
      <c r="G1310" s="192" t="str">
        <f>IF(BD!$E1293="","",(E1310/(H1310*I1310)))</f>
        <v/>
      </c>
      <c r="H1310" s="205">
        <v>1</v>
      </c>
      <c r="I1310" s="205">
        <v>1</v>
      </c>
      <c r="J1310" s="91" t="str">
        <f t="shared" ref="J1310:J1316" si="38">CONCATENATE(LEFT(C1310,1),"_",TEXT(A1310,"000"))</f>
        <v>H_034</v>
      </c>
      <c r="K1310" s="92"/>
    </row>
    <row r="1311" ht="30" spans="1:11">
      <c r="A1311" s="186">
        <f t="shared" si="36"/>
        <v>35</v>
      </c>
      <c r="B1311" s="193" t="s">
        <v>1051</v>
      </c>
      <c r="C1311" s="120" t="s">
        <v>1016</v>
      </c>
      <c r="D1311" s="121" t="s">
        <v>1052</v>
      </c>
      <c r="E1311" s="122">
        <v>10166.7</v>
      </c>
      <c r="F1311" s="65" t="s">
        <v>1052</v>
      </c>
      <c r="G1311" s="192" t="str">
        <f>IF(BD!$E1294="","",(E1311/(H1311*I1311)))</f>
        <v/>
      </c>
      <c r="H1311" s="205">
        <v>1</v>
      </c>
      <c r="I1311" s="205">
        <v>1</v>
      </c>
      <c r="J1311" s="91" t="str">
        <f t="shared" si="38"/>
        <v>H_035</v>
      </c>
      <c r="K1311" s="92"/>
    </row>
    <row r="1312" spans="1:11">
      <c r="A1312" s="186">
        <f t="shared" si="36"/>
        <v>36</v>
      </c>
      <c r="B1312" s="193" t="s">
        <v>1053</v>
      </c>
      <c r="C1312" s="120" t="s">
        <v>1016</v>
      </c>
      <c r="D1312" s="121" t="s">
        <v>115</v>
      </c>
      <c r="E1312" s="122">
        <v>104388.75</v>
      </c>
      <c r="F1312" s="65" t="s">
        <v>115</v>
      </c>
      <c r="G1312" s="192" t="str">
        <f>IF(BD!$E1295="","",(E1312/(H1312*I1312)))</f>
        <v/>
      </c>
      <c r="H1312" s="207">
        <v>1</v>
      </c>
      <c r="I1312" s="207">
        <v>1</v>
      </c>
      <c r="J1312" s="91" t="str">
        <f t="shared" si="38"/>
        <v>H_036</v>
      </c>
      <c r="K1312" s="92"/>
    </row>
    <row r="1313" spans="1:11">
      <c r="A1313" s="186">
        <f t="shared" si="36"/>
        <v>37</v>
      </c>
      <c r="B1313" s="193" t="s">
        <v>1054</v>
      </c>
      <c r="C1313" s="120" t="s">
        <v>1016</v>
      </c>
      <c r="D1313" s="121" t="s">
        <v>115</v>
      </c>
      <c r="E1313" s="122">
        <v>79760</v>
      </c>
      <c r="F1313" s="65" t="s">
        <v>115</v>
      </c>
      <c r="G1313" s="192" t="e">
        <f>IF(BD!#REF!="","",(E1313/(H1313*I1313)))</f>
        <v>#REF!</v>
      </c>
      <c r="H1313" s="205">
        <v>1</v>
      </c>
      <c r="I1313" s="205">
        <v>1</v>
      </c>
      <c r="J1313" s="91" t="str">
        <f t="shared" si="38"/>
        <v>H_037</v>
      </c>
      <c r="K1313" s="92"/>
    </row>
    <row r="1314" ht="30" spans="1:11">
      <c r="A1314" s="186">
        <f t="shared" si="36"/>
        <v>38</v>
      </c>
      <c r="B1314" s="193" t="s">
        <v>1055</v>
      </c>
      <c r="C1314" s="120" t="s">
        <v>1016</v>
      </c>
      <c r="D1314" s="121" t="s">
        <v>212</v>
      </c>
      <c r="E1314" s="122">
        <v>62000</v>
      </c>
      <c r="F1314" s="209" t="s">
        <v>212</v>
      </c>
      <c r="G1314" s="192" t="str">
        <f>IF(BD!$E1296="","",(E1314/(H1314*I1314)))</f>
        <v/>
      </c>
      <c r="H1314" s="205">
        <v>1</v>
      </c>
      <c r="I1314" s="205">
        <v>1</v>
      </c>
      <c r="J1314" s="91" t="str">
        <f t="shared" si="38"/>
        <v>H_038</v>
      </c>
      <c r="K1314" s="92"/>
    </row>
    <row r="1315" ht="45" spans="1:11">
      <c r="A1315" s="186">
        <f t="shared" si="36"/>
        <v>39</v>
      </c>
      <c r="B1315" s="155" t="s">
        <v>1056</v>
      </c>
      <c r="C1315" s="120" t="s">
        <v>1016</v>
      </c>
      <c r="D1315" s="121" t="s">
        <v>115</v>
      </c>
      <c r="E1315" s="122">
        <v>152500</v>
      </c>
      <c r="F1315" s="209" t="s">
        <v>115</v>
      </c>
      <c r="G1315" s="192">
        <f>IF(BD!$E1297="","",(E1315/(H1315*I1315)))</f>
        <v>152500</v>
      </c>
      <c r="H1315" s="205">
        <v>1</v>
      </c>
      <c r="I1315" s="205">
        <v>1</v>
      </c>
      <c r="J1315" s="91" t="str">
        <f t="shared" si="38"/>
        <v>H_039</v>
      </c>
      <c r="K1315" s="92"/>
    </row>
    <row r="1316" ht="30" spans="1:11">
      <c r="A1316" s="186">
        <f t="shared" si="36"/>
        <v>40</v>
      </c>
      <c r="B1316" s="155" t="s">
        <v>1057</v>
      </c>
      <c r="C1316" s="120" t="s">
        <v>1016</v>
      </c>
      <c r="D1316" s="121" t="s">
        <v>115</v>
      </c>
      <c r="E1316" s="122">
        <v>432050</v>
      </c>
      <c r="F1316" s="209" t="s">
        <v>115</v>
      </c>
      <c r="G1316" s="192">
        <f>IF(BD!$E1298="","",(E1316/(H1316*I1316)))</f>
        <v>432050</v>
      </c>
      <c r="H1316" s="205">
        <v>1</v>
      </c>
      <c r="I1316" s="205">
        <v>1</v>
      </c>
      <c r="J1316" s="91" t="str">
        <f t="shared" si="38"/>
        <v>H_040</v>
      </c>
      <c r="K1316" s="36"/>
    </row>
    <row r="1317" spans="1:9">
      <c r="A1317" s="119"/>
      <c r="B1317"/>
      <c r="C1317"/>
      <c r="D1317"/>
      <c r="E1317"/>
      <c r="F1317" s="74"/>
      <c r="H1317"/>
      <c r="I1317"/>
    </row>
    <row r="1318" spans="1:9">
      <c r="A1318" s="119"/>
      <c r="B1318"/>
      <c r="C1318"/>
      <c r="D1318"/>
      <c r="E1318"/>
      <c r="F1318" s="74"/>
      <c r="H1318"/>
      <c r="I1318"/>
    </row>
    <row r="1319" spans="1:9">
      <c r="A1319" s="119"/>
      <c r="B1319"/>
      <c r="C1319"/>
      <c r="D1319"/>
      <c r="E1319"/>
      <c r="F1319" s="74"/>
      <c r="H1319"/>
      <c r="I1319"/>
    </row>
    <row r="1320" spans="1:9">
      <c r="A1320" s="119"/>
      <c r="B1320"/>
      <c r="C1320"/>
      <c r="D1320"/>
      <c r="E1320"/>
      <c r="F1320" s="74"/>
      <c r="H1320"/>
      <c r="I1320"/>
    </row>
    <row r="1321" spans="1:9">
      <c r="A1321" s="119"/>
      <c r="B1321"/>
      <c r="C1321"/>
      <c r="D1321"/>
      <c r="E1321"/>
      <c r="F1321" s="74"/>
      <c r="H1321"/>
      <c r="I1321"/>
    </row>
    <row r="1322" spans="1:9">
      <c r="A1322" s="119"/>
      <c r="B1322"/>
      <c r="C1322"/>
      <c r="D1322"/>
      <c r="E1322"/>
      <c r="F1322" s="74"/>
      <c r="H1322"/>
      <c r="I1322"/>
    </row>
    <row r="1323" spans="1:9">
      <c r="A1323" s="119"/>
      <c r="B1323"/>
      <c r="C1323"/>
      <c r="D1323"/>
      <c r="E1323"/>
      <c r="F1323" s="74"/>
      <c r="H1323"/>
      <c r="I1323"/>
    </row>
    <row r="1324" spans="1:9">
      <c r="A1324" s="119"/>
      <c r="B1324"/>
      <c r="C1324"/>
      <c r="D1324"/>
      <c r="E1324"/>
      <c r="F1324" s="74"/>
      <c r="H1324"/>
      <c r="I1324"/>
    </row>
    <row r="1325" spans="1:9">
      <c r="A1325" s="119"/>
      <c r="B1325"/>
      <c r="C1325"/>
      <c r="D1325"/>
      <c r="E1325"/>
      <c r="F1325" s="74"/>
      <c r="H1325"/>
      <c r="I1325"/>
    </row>
    <row r="1326" spans="1:9">
      <c r="A1326" s="119"/>
      <c r="B1326"/>
      <c r="C1326"/>
      <c r="D1326"/>
      <c r="E1326"/>
      <c r="F1326" s="74"/>
      <c r="H1326"/>
      <c r="I1326"/>
    </row>
    <row r="1327" ht="15.75" spans="1:10">
      <c r="A1327" s="210"/>
      <c r="B1327" s="75" t="s">
        <v>126</v>
      </c>
      <c r="C1327" s="25"/>
      <c r="D1327" s="25"/>
      <c r="E1327" s="25"/>
      <c r="F1327" s="76"/>
      <c r="G1327" s="25"/>
      <c r="H1327" s="25"/>
      <c r="I1327" s="25"/>
      <c r="J1327" s="25"/>
    </row>
    <row r="1328" spans="1:9">
      <c r="A1328" s="119"/>
      <c r="B1328"/>
      <c r="C1328"/>
      <c r="D1328"/>
      <c r="E1328"/>
      <c r="F1328" s="74"/>
      <c r="H1328"/>
      <c r="I1328"/>
    </row>
    <row r="1329" spans="1:9">
      <c r="A1329" s="119"/>
      <c r="B1329"/>
      <c r="C1329"/>
      <c r="D1329"/>
      <c r="E1329"/>
      <c r="F1329" s="74"/>
      <c r="H1329"/>
      <c r="I1329"/>
    </row>
    <row r="1330" ht="15.75" spans="1:9">
      <c r="A1330" s="119"/>
      <c r="B1330"/>
      <c r="C1330"/>
      <c r="D1330"/>
      <c r="E1330"/>
      <c r="F1330" s="74"/>
      <c r="H1330"/>
      <c r="I1330"/>
    </row>
    <row r="1331" ht="27" spans="1:9">
      <c r="A1331" s="188"/>
      <c r="B1331" s="211">
        <f>SUBTOTAL(3,B1333:B1374)</f>
        <v>42</v>
      </c>
      <c r="C1331" s="128"/>
      <c r="D1331" s="128"/>
      <c r="E1331"/>
      <c r="F1331" s="74"/>
      <c r="H1331"/>
      <c r="I1331"/>
    </row>
    <row r="1332" ht="47.25" spans="1:11">
      <c r="A1332" s="186" t="s">
        <v>1058</v>
      </c>
      <c r="B1332" s="212" t="s">
        <v>98</v>
      </c>
      <c r="C1332" s="98" t="s">
        <v>99</v>
      </c>
      <c r="D1332" s="99" t="s">
        <v>100</v>
      </c>
      <c r="E1332" s="82" t="s">
        <v>101</v>
      </c>
      <c r="F1332" s="58" t="s">
        <v>102</v>
      </c>
      <c r="G1332" s="56" t="s">
        <v>103</v>
      </c>
      <c r="H1332" s="59" t="s">
        <v>104</v>
      </c>
      <c r="I1332" s="59" t="s">
        <v>105</v>
      </c>
      <c r="J1332" s="215" t="s">
        <v>106</v>
      </c>
      <c r="K1332" s="85" t="s">
        <v>107</v>
      </c>
    </row>
    <row r="1333" spans="1:10">
      <c r="A1333" s="186">
        <f t="shared" ref="A1333:A1364" si="39">A1332+1</f>
        <v>220</v>
      </c>
      <c r="B1333" s="69" t="s">
        <v>1059</v>
      </c>
      <c r="C1333" s="118" t="s">
        <v>1060</v>
      </c>
      <c r="D1333" s="63" t="s">
        <v>115</v>
      </c>
      <c r="E1333" s="64">
        <v>343.33</v>
      </c>
      <c r="F1333" s="63" t="s">
        <v>115</v>
      </c>
      <c r="G1333" s="66">
        <f>IF(BD!$E1335="","",(E1333/(H1333*I1333)))</f>
        <v>343.33</v>
      </c>
      <c r="H1333" s="190">
        <v>1</v>
      </c>
      <c r="I1333" s="190">
        <v>1</v>
      </c>
      <c r="J1333" s="216" t="str">
        <f t="shared" ref="J1333:J1364" si="40">CONCATENATE(LEFT(C1333,1),MID(C1333,SEARCH("_",C1333)+1,2),TEXT(A1333,"000"))</f>
        <v>ICO220</v>
      </c>
    </row>
    <row r="1334" spans="1:10">
      <c r="A1334" s="186">
        <f t="shared" si="39"/>
        <v>221</v>
      </c>
      <c r="B1334" s="69" t="s">
        <v>1061</v>
      </c>
      <c r="C1334" s="118" t="s">
        <v>1060</v>
      </c>
      <c r="D1334" s="63" t="s">
        <v>115</v>
      </c>
      <c r="E1334" s="64">
        <v>343.33</v>
      </c>
      <c r="F1334" s="63" t="s">
        <v>115</v>
      </c>
      <c r="G1334" s="66">
        <f>IF(BD!$E1336="","",(E1334/(H1334*I1334)))</f>
        <v>343.33</v>
      </c>
      <c r="H1334" s="190">
        <v>1</v>
      </c>
      <c r="I1334" s="190">
        <v>1</v>
      </c>
      <c r="J1334" s="216" t="str">
        <f t="shared" si="40"/>
        <v>ICO221</v>
      </c>
    </row>
    <row r="1335" spans="1:10">
      <c r="A1335" s="186">
        <f t="shared" si="39"/>
        <v>222</v>
      </c>
      <c r="B1335" s="69" t="s">
        <v>1062</v>
      </c>
      <c r="C1335" s="118" t="s">
        <v>1060</v>
      </c>
      <c r="D1335" s="63" t="s">
        <v>115</v>
      </c>
      <c r="E1335" s="64">
        <v>343.33</v>
      </c>
      <c r="F1335" s="63" t="s">
        <v>115</v>
      </c>
      <c r="G1335" s="66">
        <f>IF(BD!$E1337="","",(E1335/(H1335*I1335)))</f>
        <v>343.33</v>
      </c>
      <c r="H1335" s="190">
        <v>1</v>
      </c>
      <c r="I1335" s="190">
        <v>1</v>
      </c>
      <c r="J1335" s="216" t="str">
        <f t="shared" si="40"/>
        <v>ICO222</v>
      </c>
    </row>
    <row r="1336" spans="1:10">
      <c r="A1336" s="186">
        <f t="shared" si="39"/>
        <v>223</v>
      </c>
      <c r="B1336" s="213" t="s">
        <v>1063</v>
      </c>
      <c r="C1336" s="118" t="s">
        <v>1060</v>
      </c>
      <c r="D1336" s="63" t="s">
        <v>115</v>
      </c>
      <c r="E1336" s="64">
        <v>343.33</v>
      </c>
      <c r="F1336" s="63" t="s">
        <v>115</v>
      </c>
      <c r="G1336" s="66">
        <f>IF(BD!$E1333="","",(E1336/(H1336*I1336)))</f>
        <v>343.33</v>
      </c>
      <c r="H1336" s="190">
        <v>1</v>
      </c>
      <c r="I1336" s="190">
        <v>1</v>
      </c>
      <c r="J1336" s="216" t="str">
        <f t="shared" si="40"/>
        <v>ICO223</v>
      </c>
    </row>
    <row r="1337" spans="1:10">
      <c r="A1337" s="186">
        <f t="shared" si="39"/>
        <v>224</v>
      </c>
      <c r="B1337" s="213" t="s">
        <v>1064</v>
      </c>
      <c r="C1337" s="118" t="s">
        <v>1060</v>
      </c>
      <c r="D1337" s="63" t="s">
        <v>115</v>
      </c>
      <c r="E1337" s="64">
        <v>343.33</v>
      </c>
      <c r="F1337" s="63" t="s">
        <v>115</v>
      </c>
      <c r="G1337" s="66">
        <f>IF(BD!$E1334="","",(E1337/(H1337*I1337)))</f>
        <v>343.33</v>
      </c>
      <c r="H1337" s="190">
        <v>1</v>
      </c>
      <c r="I1337" s="190">
        <v>1</v>
      </c>
      <c r="J1337" s="216" t="str">
        <f t="shared" si="40"/>
        <v>ICO224</v>
      </c>
    </row>
    <row r="1338" spans="1:10">
      <c r="A1338" s="186">
        <f t="shared" si="39"/>
        <v>225</v>
      </c>
      <c r="B1338" s="213" t="s">
        <v>1065</v>
      </c>
      <c r="C1338" s="118" t="s">
        <v>1060</v>
      </c>
      <c r="D1338" s="63" t="s">
        <v>115</v>
      </c>
      <c r="E1338" s="64">
        <v>343.33</v>
      </c>
      <c r="F1338" s="63" t="s">
        <v>115</v>
      </c>
      <c r="G1338" s="66">
        <f>IF(BD!$E1340="","",(E1338/(H1338*I1338)))</f>
        <v>343.33</v>
      </c>
      <c r="H1338" s="190">
        <v>1</v>
      </c>
      <c r="I1338" s="190">
        <v>1</v>
      </c>
      <c r="J1338" s="216" t="str">
        <f t="shared" si="40"/>
        <v>ICO225</v>
      </c>
    </row>
    <row r="1339" spans="1:10">
      <c r="A1339" s="186">
        <f t="shared" si="39"/>
        <v>226</v>
      </c>
      <c r="B1339" s="214" t="s">
        <v>1066</v>
      </c>
      <c r="C1339" s="118" t="s">
        <v>1060</v>
      </c>
      <c r="D1339" s="63" t="s">
        <v>115</v>
      </c>
      <c r="E1339" s="64">
        <v>343.33</v>
      </c>
      <c r="F1339" s="63" t="s">
        <v>115</v>
      </c>
      <c r="G1339" s="66">
        <f>IF(BD!$E1341="","",(E1339/(H1339*I1339)))</f>
        <v>343.33</v>
      </c>
      <c r="H1339" s="190">
        <v>1</v>
      </c>
      <c r="I1339" s="190">
        <v>1</v>
      </c>
      <c r="J1339" s="216" t="str">
        <f t="shared" si="40"/>
        <v>ICO226</v>
      </c>
    </row>
    <row r="1340" spans="1:10">
      <c r="A1340" s="186">
        <f t="shared" si="39"/>
        <v>227</v>
      </c>
      <c r="B1340" s="69" t="s">
        <v>1067</v>
      </c>
      <c r="C1340" s="118" t="s">
        <v>1060</v>
      </c>
      <c r="D1340" s="63" t="s">
        <v>115</v>
      </c>
      <c r="E1340" s="64">
        <v>343.33</v>
      </c>
      <c r="F1340" s="63" t="s">
        <v>115</v>
      </c>
      <c r="G1340" s="66">
        <f>IF(BD!$E1342="","",(E1340/(H1340*I1340)))</f>
        <v>343.33</v>
      </c>
      <c r="H1340" s="190">
        <v>1</v>
      </c>
      <c r="I1340" s="190">
        <v>1</v>
      </c>
      <c r="J1340" s="216" t="str">
        <f t="shared" si="40"/>
        <v>ICO227</v>
      </c>
    </row>
    <row r="1341" spans="1:10">
      <c r="A1341" s="186">
        <f t="shared" si="39"/>
        <v>228</v>
      </c>
      <c r="B1341" s="213" t="s">
        <v>1068</v>
      </c>
      <c r="C1341" s="118" t="s">
        <v>1060</v>
      </c>
      <c r="D1341" s="63" t="s">
        <v>115</v>
      </c>
      <c r="E1341" s="64">
        <v>343.33</v>
      </c>
      <c r="F1341" s="63" t="s">
        <v>115</v>
      </c>
      <c r="G1341" s="66">
        <f>IF(BD!$E1343="","",(E1341/(H1341*I1341)))</f>
        <v>343.33</v>
      </c>
      <c r="H1341" s="190">
        <v>1</v>
      </c>
      <c r="I1341" s="190">
        <v>1</v>
      </c>
      <c r="J1341" s="216" t="str">
        <f t="shared" si="40"/>
        <v>ICO228</v>
      </c>
    </row>
    <row r="1342" spans="1:10">
      <c r="A1342" s="186">
        <f t="shared" si="39"/>
        <v>229</v>
      </c>
      <c r="B1342" s="213" t="s">
        <v>1069</v>
      </c>
      <c r="C1342" s="118" t="s">
        <v>1060</v>
      </c>
      <c r="D1342" s="63" t="s">
        <v>115</v>
      </c>
      <c r="E1342" s="64">
        <v>343.33</v>
      </c>
      <c r="F1342" s="63" t="s">
        <v>115</v>
      </c>
      <c r="G1342" s="66">
        <f>IF(BD!$E1344="","",(E1342/(H1342*I1342)))</f>
        <v>343.33</v>
      </c>
      <c r="H1342" s="190">
        <v>1</v>
      </c>
      <c r="I1342" s="190">
        <v>1</v>
      </c>
      <c r="J1342" s="216" t="str">
        <f t="shared" si="40"/>
        <v>ICO229</v>
      </c>
    </row>
    <row r="1343" spans="1:10">
      <c r="A1343" s="186">
        <f t="shared" si="39"/>
        <v>230</v>
      </c>
      <c r="B1343" s="213" t="s">
        <v>1070</v>
      </c>
      <c r="C1343" s="118" t="s">
        <v>1060</v>
      </c>
      <c r="D1343" s="63" t="s">
        <v>115</v>
      </c>
      <c r="E1343" s="64">
        <v>343.33</v>
      </c>
      <c r="F1343" s="63" t="s">
        <v>115</v>
      </c>
      <c r="G1343" s="66">
        <f>IF(BD!$E1345="","",(E1343/(H1343*I1343)))</f>
        <v>343.33</v>
      </c>
      <c r="H1343" s="190">
        <v>1</v>
      </c>
      <c r="I1343" s="190">
        <v>1</v>
      </c>
      <c r="J1343" s="216" t="str">
        <f t="shared" si="40"/>
        <v>ICO230</v>
      </c>
    </row>
    <row r="1344" spans="1:10">
      <c r="A1344" s="186">
        <f t="shared" si="39"/>
        <v>231</v>
      </c>
      <c r="B1344" s="213" t="s">
        <v>1071</v>
      </c>
      <c r="C1344" s="118" t="s">
        <v>1060</v>
      </c>
      <c r="D1344" s="63" t="s">
        <v>115</v>
      </c>
      <c r="E1344" s="64">
        <v>343.33</v>
      </c>
      <c r="F1344" s="63" t="s">
        <v>115</v>
      </c>
      <c r="G1344" s="66">
        <f>IF(BD!$E1338="","",(E1344/(H1344*I1344)))</f>
        <v>343.33</v>
      </c>
      <c r="H1344" s="190">
        <v>1</v>
      </c>
      <c r="I1344" s="190">
        <v>1</v>
      </c>
      <c r="J1344" s="216" t="str">
        <f t="shared" si="40"/>
        <v>ICO231</v>
      </c>
    </row>
    <row r="1345" spans="1:10">
      <c r="A1345" s="186">
        <f t="shared" si="39"/>
        <v>232</v>
      </c>
      <c r="B1345" s="213" t="s">
        <v>1072</v>
      </c>
      <c r="C1345" s="118" t="s">
        <v>1060</v>
      </c>
      <c r="D1345" s="63" t="s">
        <v>115</v>
      </c>
      <c r="E1345" s="64">
        <v>343.33</v>
      </c>
      <c r="F1345" s="63" t="s">
        <v>115</v>
      </c>
      <c r="G1345" s="66">
        <f>IF(BD!$E1339="","",(E1345/(H1345*I1345)))</f>
        <v>343.33</v>
      </c>
      <c r="H1345" s="190">
        <v>1</v>
      </c>
      <c r="I1345" s="190">
        <v>1</v>
      </c>
      <c r="J1345" s="216" t="str">
        <f t="shared" si="40"/>
        <v>ICO232</v>
      </c>
    </row>
    <row r="1346" spans="1:10">
      <c r="A1346" s="186">
        <f t="shared" si="39"/>
        <v>233</v>
      </c>
      <c r="B1346" s="213" t="s">
        <v>1073</v>
      </c>
      <c r="C1346" s="118" t="s">
        <v>1060</v>
      </c>
      <c r="D1346" s="63" t="s">
        <v>115</v>
      </c>
      <c r="E1346" s="64">
        <v>343.33</v>
      </c>
      <c r="F1346" s="63" t="s">
        <v>115</v>
      </c>
      <c r="G1346" s="66">
        <f>IF(BD!$E1348="","",(E1346/(H1346*I1346)))</f>
        <v>343.33</v>
      </c>
      <c r="H1346" s="190">
        <v>1</v>
      </c>
      <c r="I1346" s="190">
        <v>1</v>
      </c>
      <c r="J1346" s="216" t="str">
        <f t="shared" si="40"/>
        <v>ICO233</v>
      </c>
    </row>
    <row r="1347" spans="1:10">
      <c r="A1347" s="186">
        <f t="shared" si="39"/>
        <v>234</v>
      </c>
      <c r="B1347" s="213" t="s">
        <v>1074</v>
      </c>
      <c r="C1347" s="118" t="s">
        <v>1060</v>
      </c>
      <c r="D1347" s="63" t="s">
        <v>115</v>
      </c>
      <c r="E1347" s="64">
        <v>343.33</v>
      </c>
      <c r="F1347" s="63" t="s">
        <v>115</v>
      </c>
      <c r="G1347" s="66">
        <f>IF(BD!$E1349="","",(E1347/(H1347*I1347)))</f>
        <v>343.33</v>
      </c>
      <c r="H1347" s="190">
        <v>1</v>
      </c>
      <c r="I1347" s="190">
        <v>1</v>
      </c>
      <c r="J1347" s="216" t="str">
        <f t="shared" si="40"/>
        <v>ICO234</v>
      </c>
    </row>
    <row r="1348" spans="1:10">
      <c r="A1348" s="186">
        <f t="shared" si="39"/>
        <v>235</v>
      </c>
      <c r="B1348" s="213" t="s">
        <v>1075</v>
      </c>
      <c r="C1348" s="118" t="s">
        <v>1060</v>
      </c>
      <c r="D1348" s="63" t="s">
        <v>115</v>
      </c>
      <c r="E1348" s="64">
        <v>343.33</v>
      </c>
      <c r="F1348" s="63" t="s">
        <v>115</v>
      </c>
      <c r="G1348" s="66">
        <f>IF(BD!$E1350="","",(E1348/(H1348*I1348)))</f>
        <v>343.33</v>
      </c>
      <c r="H1348" s="190">
        <v>1</v>
      </c>
      <c r="I1348" s="190">
        <v>1</v>
      </c>
      <c r="J1348" s="216" t="str">
        <f t="shared" si="40"/>
        <v>ICO235</v>
      </c>
    </row>
    <row r="1349" spans="1:10">
      <c r="A1349" s="186">
        <f t="shared" si="39"/>
        <v>236</v>
      </c>
      <c r="B1349" s="213" t="s">
        <v>1076</v>
      </c>
      <c r="C1349" s="118" t="s">
        <v>1060</v>
      </c>
      <c r="D1349" s="63" t="s">
        <v>115</v>
      </c>
      <c r="E1349" s="64">
        <v>343.33</v>
      </c>
      <c r="F1349" s="63" t="s">
        <v>115</v>
      </c>
      <c r="G1349" s="66">
        <f>IF(BD!$E1351="","",(E1349/(H1349*I1349)))</f>
        <v>343.33</v>
      </c>
      <c r="H1349" s="190">
        <v>1</v>
      </c>
      <c r="I1349" s="190">
        <v>1</v>
      </c>
      <c r="J1349" s="216" t="str">
        <f t="shared" si="40"/>
        <v>ICO236</v>
      </c>
    </row>
    <row r="1350" spans="1:10">
      <c r="A1350" s="186">
        <f t="shared" si="39"/>
        <v>237</v>
      </c>
      <c r="B1350" s="69" t="s">
        <v>1077</v>
      </c>
      <c r="C1350" s="118" t="s">
        <v>1060</v>
      </c>
      <c r="D1350" s="63" t="s">
        <v>115</v>
      </c>
      <c r="E1350" s="64">
        <v>343.33</v>
      </c>
      <c r="F1350" s="63" t="s">
        <v>115</v>
      </c>
      <c r="G1350" s="66">
        <f>IF(BD!$E1352="","",(E1350/(H1350*I1350)))</f>
        <v>343.33</v>
      </c>
      <c r="H1350" s="190">
        <v>1</v>
      </c>
      <c r="I1350" s="190">
        <v>1</v>
      </c>
      <c r="J1350" s="216" t="str">
        <f t="shared" si="40"/>
        <v>ICO237</v>
      </c>
    </row>
    <row r="1351" spans="1:10">
      <c r="A1351" s="186">
        <f t="shared" si="39"/>
        <v>238</v>
      </c>
      <c r="B1351" s="213" t="s">
        <v>1078</v>
      </c>
      <c r="C1351" s="118" t="s">
        <v>1060</v>
      </c>
      <c r="D1351" s="63" t="s">
        <v>115</v>
      </c>
      <c r="E1351" s="64">
        <v>343.33</v>
      </c>
      <c r="F1351" s="63" t="s">
        <v>115</v>
      </c>
      <c r="G1351" s="66">
        <f>IF(BD!$E1346="","",(E1351/(H1351*I1351)))</f>
        <v>343.33</v>
      </c>
      <c r="H1351" s="190">
        <v>1</v>
      </c>
      <c r="I1351" s="190">
        <v>1</v>
      </c>
      <c r="J1351" s="216" t="str">
        <f t="shared" si="40"/>
        <v>ICO238</v>
      </c>
    </row>
    <row r="1352" spans="1:10">
      <c r="A1352" s="186">
        <f t="shared" si="39"/>
        <v>239</v>
      </c>
      <c r="B1352" s="169" t="s">
        <v>1079</v>
      </c>
      <c r="C1352" s="118" t="s">
        <v>1060</v>
      </c>
      <c r="D1352" s="63" t="s">
        <v>115</v>
      </c>
      <c r="E1352" s="64">
        <v>343.33</v>
      </c>
      <c r="F1352" s="63" t="s">
        <v>115</v>
      </c>
      <c r="G1352" s="66">
        <f>IF(BD!$E1347="","",(E1352/(H1352*I1352)))</f>
        <v>343.33</v>
      </c>
      <c r="H1352" s="190">
        <v>1</v>
      </c>
      <c r="I1352" s="190">
        <v>1</v>
      </c>
      <c r="J1352" s="216" t="str">
        <f t="shared" si="40"/>
        <v>ICO239</v>
      </c>
    </row>
    <row r="1353" ht="30" spans="1:10">
      <c r="A1353" s="186">
        <f t="shared" si="39"/>
        <v>240</v>
      </c>
      <c r="B1353" s="169" t="s">
        <v>1080</v>
      </c>
      <c r="C1353" s="118" t="s">
        <v>1060</v>
      </c>
      <c r="D1353" s="63" t="s">
        <v>115</v>
      </c>
      <c r="E1353" s="64">
        <v>308.33</v>
      </c>
      <c r="F1353" s="63" t="s">
        <v>115</v>
      </c>
      <c r="G1353" s="66">
        <f>IF(BD!$E1353="","",(E1353/(H1353*I1353)))</f>
        <v>308.33</v>
      </c>
      <c r="H1353" s="190">
        <v>1</v>
      </c>
      <c r="I1353" s="190">
        <v>1</v>
      </c>
      <c r="J1353" s="216" t="str">
        <f t="shared" si="40"/>
        <v>ICO240</v>
      </c>
    </row>
    <row r="1354" ht="30" spans="1:10">
      <c r="A1354" s="186">
        <f t="shared" si="39"/>
        <v>241</v>
      </c>
      <c r="B1354" s="169" t="s">
        <v>1081</v>
      </c>
      <c r="C1354" s="118" t="s">
        <v>1060</v>
      </c>
      <c r="D1354" s="63" t="s">
        <v>1082</v>
      </c>
      <c r="E1354" s="64">
        <v>42631</v>
      </c>
      <c r="F1354" s="65" t="s">
        <v>1082</v>
      </c>
      <c r="G1354" s="66">
        <f>IF(BD!$E1357="","",(E1354/(H1354*I1354)))</f>
        <v>42631</v>
      </c>
      <c r="H1354" s="67">
        <v>1</v>
      </c>
      <c r="I1354" s="67">
        <v>1</v>
      </c>
      <c r="J1354" s="216" t="str">
        <f t="shared" si="40"/>
        <v>ICO241</v>
      </c>
    </row>
    <row r="1355" ht="30" spans="1:10">
      <c r="A1355" s="186">
        <f t="shared" si="39"/>
        <v>242</v>
      </c>
      <c r="B1355" s="169" t="s">
        <v>1083</v>
      </c>
      <c r="C1355" s="118" t="s">
        <v>1060</v>
      </c>
      <c r="D1355" s="63" t="s">
        <v>1084</v>
      </c>
      <c r="E1355" s="64">
        <v>6081.3</v>
      </c>
      <c r="F1355" s="65" t="s">
        <v>1084</v>
      </c>
      <c r="G1355" s="66">
        <f>IF(BD!$E1358="","",(E1355/(H1355*I1355)))</f>
        <v>6081.3</v>
      </c>
      <c r="H1355" s="67">
        <v>1</v>
      </c>
      <c r="I1355" s="67">
        <v>1</v>
      </c>
      <c r="J1355" s="216" t="str">
        <f t="shared" si="40"/>
        <v>ICO242</v>
      </c>
    </row>
    <row r="1356" ht="30" spans="1:10">
      <c r="A1356" s="186">
        <f t="shared" si="39"/>
        <v>243</v>
      </c>
      <c r="B1356" s="169" t="s">
        <v>1085</v>
      </c>
      <c r="C1356" s="118" t="s">
        <v>1060</v>
      </c>
      <c r="D1356" s="63" t="s">
        <v>1086</v>
      </c>
      <c r="E1356" s="64">
        <v>19776</v>
      </c>
      <c r="F1356" s="65" t="s">
        <v>1086</v>
      </c>
      <c r="G1356" s="66" t="str">
        <f>IF(BD!$E1359="","",(E1356/(H1356*I1356)))</f>
        <v/>
      </c>
      <c r="H1356" s="67">
        <v>1</v>
      </c>
      <c r="I1356" s="67">
        <v>1</v>
      </c>
      <c r="J1356" s="216" t="str">
        <f t="shared" si="40"/>
        <v>ICO243</v>
      </c>
    </row>
    <row r="1357" ht="30" spans="1:10">
      <c r="A1357" s="186">
        <f t="shared" si="39"/>
        <v>244</v>
      </c>
      <c r="B1357" s="168" t="s">
        <v>1087</v>
      </c>
      <c r="C1357" s="118" t="s">
        <v>1060</v>
      </c>
      <c r="D1357" s="63" t="s">
        <v>1084</v>
      </c>
      <c r="E1357" s="64">
        <v>16133.3</v>
      </c>
      <c r="F1357" s="65" t="s">
        <v>1084</v>
      </c>
      <c r="G1357" s="66">
        <f>IF(BD!$E1360="","",(E1357/(H1357*I1357)))</f>
        <v>16133.3</v>
      </c>
      <c r="H1357" s="67">
        <v>1</v>
      </c>
      <c r="I1357" s="67">
        <v>1</v>
      </c>
      <c r="J1357" s="216" t="str">
        <f t="shared" si="40"/>
        <v>ICO244</v>
      </c>
    </row>
    <row r="1358" ht="30" spans="1:10">
      <c r="A1358" s="186">
        <f t="shared" si="39"/>
        <v>245</v>
      </c>
      <c r="B1358" s="168" t="s">
        <v>1088</v>
      </c>
      <c r="C1358" s="118" t="s">
        <v>1060</v>
      </c>
      <c r="D1358" s="63" t="s">
        <v>1089</v>
      </c>
      <c r="E1358" s="64">
        <v>17300</v>
      </c>
      <c r="F1358" s="65" t="s">
        <v>1089</v>
      </c>
      <c r="G1358" s="66">
        <f>IF(BD!$E1361="","",(E1358/(H1358*I1358)))</f>
        <v>17300</v>
      </c>
      <c r="H1358" s="67">
        <v>1</v>
      </c>
      <c r="I1358" s="67">
        <v>1</v>
      </c>
      <c r="J1358" s="216" t="str">
        <f t="shared" si="40"/>
        <v>ICO245</v>
      </c>
    </row>
    <row r="1359" spans="1:10">
      <c r="A1359" s="186">
        <f t="shared" si="39"/>
        <v>246</v>
      </c>
      <c r="B1359" s="217" t="s">
        <v>1090</v>
      </c>
      <c r="C1359" s="118" t="s">
        <v>1060</v>
      </c>
      <c r="D1359" s="63" t="s">
        <v>115</v>
      </c>
      <c r="E1359" s="64"/>
      <c r="F1359" s="65" t="s">
        <v>115</v>
      </c>
      <c r="G1359" s="22"/>
      <c r="H1359" s="67">
        <v>1</v>
      </c>
      <c r="I1359" s="67">
        <v>1</v>
      </c>
      <c r="J1359" s="216" t="str">
        <f t="shared" si="40"/>
        <v>ICO246</v>
      </c>
    </row>
    <row r="1360" spans="1:10">
      <c r="A1360" s="186">
        <f t="shared" si="39"/>
        <v>247</v>
      </c>
      <c r="B1360" s="169" t="s">
        <v>1091</v>
      </c>
      <c r="C1360" s="118" t="s">
        <v>1060</v>
      </c>
      <c r="D1360" s="63" t="s">
        <v>1092</v>
      </c>
      <c r="E1360" s="64">
        <v>1583.15333333333</v>
      </c>
      <c r="F1360" s="65" t="s">
        <v>1092</v>
      </c>
      <c r="G1360" s="66" t="e">
        <f>IF(BD!#REF!="","",(E1360/(H1360*I1360)))</f>
        <v>#REF!</v>
      </c>
      <c r="H1360" s="67">
        <v>1</v>
      </c>
      <c r="I1360" s="67">
        <v>1</v>
      </c>
      <c r="J1360" s="216" t="str">
        <f t="shared" si="40"/>
        <v>ICO247</v>
      </c>
    </row>
    <row r="1361" spans="1:10">
      <c r="A1361" s="186">
        <f t="shared" si="39"/>
        <v>248</v>
      </c>
      <c r="B1361" s="169" t="s">
        <v>1093</v>
      </c>
      <c r="C1361" s="118" t="s">
        <v>1060</v>
      </c>
      <c r="D1361" s="63" t="s">
        <v>258</v>
      </c>
      <c r="E1361" s="64">
        <v>4180</v>
      </c>
      <c r="F1361" s="65" t="s">
        <v>258</v>
      </c>
      <c r="G1361" s="66">
        <f>IF(BD!$E1362="","",(E1361/(H1361*I1361)))</f>
        <v>4180</v>
      </c>
      <c r="H1361" s="67">
        <v>1</v>
      </c>
      <c r="I1361" s="67">
        <v>1</v>
      </c>
      <c r="J1361" s="216" t="str">
        <f t="shared" si="40"/>
        <v>ICO248</v>
      </c>
    </row>
    <row r="1362" spans="1:10">
      <c r="A1362" s="186">
        <f t="shared" si="39"/>
        <v>249</v>
      </c>
      <c r="B1362" s="168" t="s">
        <v>1094</v>
      </c>
      <c r="C1362" s="118" t="s">
        <v>1060</v>
      </c>
      <c r="D1362" s="63" t="s">
        <v>115</v>
      </c>
      <c r="E1362" s="64">
        <v>9522.50847457627</v>
      </c>
      <c r="F1362" s="65" t="s">
        <v>115</v>
      </c>
      <c r="G1362" s="66" t="e">
        <f>IF(BD!#REF!="","",(E1362/(H1362*I1362)))</f>
        <v>#REF!</v>
      </c>
      <c r="H1362" s="67">
        <v>1</v>
      </c>
      <c r="I1362" s="67">
        <v>1</v>
      </c>
      <c r="J1362" s="216" t="str">
        <f t="shared" si="40"/>
        <v>ICO249</v>
      </c>
    </row>
    <row r="1363" spans="1:10">
      <c r="A1363" s="186">
        <f t="shared" si="39"/>
        <v>250</v>
      </c>
      <c r="B1363" s="217" t="s">
        <v>1095</v>
      </c>
      <c r="C1363" s="118" t="s">
        <v>1060</v>
      </c>
      <c r="D1363" s="63" t="s">
        <v>222</v>
      </c>
      <c r="E1363" s="64"/>
      <c r="F1363" s="65" t="s">
        <v>115</v>
      </c>
      <c r="G1363" s="22"/>
      <c r="H1363" s="67">
        <v>1</v>
      </c>
      <c r="I1363" s="67">
        <v>1</v>
      </c>
      <c r="J1363" s="216" t="str">
        <f t="shared" si="40"/>
        <v>ICO250</v>
      </c>
    </row>
    <row r="1364" spans="1:10">
      <c r="A1364" s="186">
        <f t="shared" si="39"/>
        <v>251</v>
      </c>
      <c r="B1364" s="217" t="s">
        <v>1096</v>
      </c>
      <c r="C1364" s="118" t="s">
        <v>1060</v>
      </c>
      <c r="D1364" s="63" t="s">
        <v>222</v>
      </c>
      <c r="E1364" s="64"/>
      <c r="F1364" s="65" t="s">
        <v>115</v>
      </c>
      <c r="G1364" s="22"/>
      <c r="H1364" s="67">
        <v>1</v>
      </c>
      <c r="I1364" s="67">
        <v>1</v>
      </c>
      <c r="J1364" s="216" t="str">
        <f t="shared" si="40"/>
        <v>ICO251</v>
      </c>
    </row>
    <row r="1365" spans="1:10">
      <c r="A1365" s="186">
        <f t="shared" ref="A1365:A1396" si="41">A1364+1</f>
        <v>252</v>
      </c>
      <c r="B1365" s="218" t="s">
        <v>1097</v>
      </c>
      <c r="C1365" s="118" t="s">
        <v>1060</v>
      </c>
      <c r="D1365" s="219" t="s">
        <v>244</v>
      </c>
      <c r="E1365" s="64">
        <v>0</v>
      </c>
      <c r="F1365" s="65" t="s">
        <v>244</v>
      </c>
      <c r="G1365" s="66" t="e">
        <f>IF(BD!#REF!="","",(E1365/(H1365*I1365)))</f>
        <v>#REF!</v>
      </c>
      <c r="H1365" s="22">
        <v>1</v>
      </c>
      <c r="I1365" s="22">
        <v>1</v>
      </c>
      <c r="J1365" s="216" t="str">
        <f t="shared" ref="J1365:J1396" si="42">CONCATENATE(LEFT(C1365,1),MID(C1365,SEARCH("_",C1365)+1,2),TEXT(A1365,"000"))</f>
        <v>ICO252</v>
      </c>
    </row>
    <row r="1366" spans="1:10">
      <c r="A1366" s="186">
        <f t="shared" si="41"/>
        <v>253</v>
      </c>
      <c r="B1366" s="168" t="s">
        <v>1098</v>
      </c>
      <c r="C1366" s="118" t="s">
        <v>1060</v>
      </c>
      <c r="D1366" s="63" t="s">
        <v>115</v>
      </c>
      <c r="E1366" s="64">
        <v>4000</v>
      </c>
      <c r="F1366" s="65" t="s">
        <v>115</v>
      </c>
      <c r="G1366" s="66" t="e">
        <f>IF(BD!#REF!="","",(E1366/(H1366*I1366)))</f>
        <v>#REF!</v>
      </c>
      <c r="H1366" s="67">
        <v>1</v>
      </c>
      <c r="I1366" s="67">
        <v>1</v>
      </c>
      <c r="J1366" s="216" t="str">
        <f t="shared" si="42"/>
        <v>ICO253</v>
      </c>
    </row>
    <row r="1367" ht="30" spans="1:10">
      <c r="A1367" s="186">
        <f t="shared" si="41"/>
        <v>254</v>
      </c>
      <c r="B1367" s="220" t="s">
        <v>1099</v>
      </c>
      <c r="C1367" s="118" t="s">
        <v>1060</v>
      </c>
      <c r="D1367" s="63" t="s">
        <v>115</v>
      </c>
      <c r="E1367" s="64">
        <v>51000</v>
      </c>
      <c r="F1367" s="65" t="s">
        <v>115</v>
      </c>
      <c r="G1367" s="66" t="str">
        <f>IF(BD!$E1363="","",(E1367/(H1367*I1367)))</f>
        <v/>
      </c>
      <c r="H1367" s="67">
        <v>1</v>
      </c>
      <c r="I1367" s="67">
        <v>1</v>
      </c>
      <c r="J1367" s="216" t="str">
        <f t="shared" si="42"/>
        <v>ICO254</v>
      </c>
    </row>
    <row r="1368" ht="30" spans="1:10">
      <c r="A1368" s="186">
        <f t="shared" si="41"/>
        <v>255</v>
      </c>
      <c r="B1368" s="220" t="s">
        <v>1100</v>
      </c>
      <c r="C1368" s="118" t="s">
        <v>1060</v>
      </c>
      <c r="D1368" s="63" t="s">
        <v>115</v>
      </c>
      <c r="E1368" s="64">
        <v>1600</v>
      </c>
      <c r="F1368" s="65" t="s">
        <v>115</v>
      </c>
      <c r="G1368" s="66" t="str">
        <f>IF(BD!$E1364="","",(E1368/(H1368*I1368)))</f>
        <v/>
      </c>
      <c r="H1368" s="67">
        <v>1</v>
      </c>
      <c r="I1368" s="67">
        <v>1</v>
      </c>
      <c r="J1368" s="216" t="str">
        <f t="shared" si="42"/>
        <v>ICO255</v>
      </c>
    </row>
    <row r="1369" ht="30" spans="1:10">
      <c r="A1369" s="186">
        <f t="shared" si="41"/>
        <v>256</v>
      </c>
      <c r="B1369" s="168" t="s">
        <v>1101</v>
      </c>
      <c r="C1369" s="118" t="s">
        <v>1060</v>
      </c>
      <c r="D1369" s="63" t="s">
        <v>115</v>
      </c>
      <c r="E1369" s="64">
        <v>1233.66</v>
      </c>
      <c r="F1369" s="65" t="s">
        <v>115</v>
      </c>
      <c r="G1369" s="66">
        <f>IF(BD!$E1365="","",(E1369/(H1369*I1369)))</f>
        <v>1233.66</v>
      </c>
      <c r="H1369" s="67">
        <v>1</v>
      </c>
      <c r="I1369" s="67">
        <v>1</v>
      </c>
      <c r="J1369" s="216" t="str">
        <f t="shared" si="42"/>
        <v>ICO256</v>
      </c>
    </row>
    <row r="1370" ht="30" spans="1:10">
      <c r="A1370" s="186">
        <f t="shared" si="41"/>
        <v>257</v>
      </c>
      <c r="B1370" s="168" t="s">
        <v>1102</v>
      </c>
      <c r="C1370" s="118" t="s">
        <v>1060</v>
      </c>
      <c r="D1370" s="63" t="s">
        <v>115</v>
      </c>
      <c r="E1370" s="64">
        <v>500</v>
      </c>
      <c r="F1370" s="65" t="s">
        <v>115</v>
      </c>
      <c r="G1370" s="66">
        <f>IF(BD!$E1366="","",(E1370/(H1370*I1370)))</f>
        <v>500</v>
      </c>
      <c r="H1370" s="67">
        <v>1</v>
      </c>
      <c r="I1370" s="67">
        <v>1</v>
      </c>
      <c r="J1370" s="216" t="str">
        <f t="shared" si="42"/>
        <v>ICO257</v>
      </c>
    </row>
    <row r="1371" spans="1:10">
      <c r="A1371" s="186">
        <f t="shared" si="41"/>
        <v>258</v>
      </c>
      <c r="B1371" s="220" t="s">
        <v>1103</v>
      </c>
      <c r="C1371" s="118" t="s">
        <v>1060</v>
      </c>
      <c r="D1371" s="63" t="s">
        <v>115</v>
      </c>
      <c r="E1371" s="64">
        <v>5900</v>
      </c>
      <c r="F1371" s="65" t="s">
        <v>115</v>
      </c>
      <c r="G1371" s="66" t="e">
        <f>IF(BD!#REF!="","",(E1371/(H1371*I1371)))</f>
        <v>#REF!</v>
      </c>
      <c r="H1371" s="67">
        <v>1</v>
      </c>
      <c r="I1371" s="67">
        <v>1</v>
      </c>
      <c r="J1371" s="216" t="str">
        <f t="shared" si="42"/>
        <v>ICO258</v>
      </c>
    </row>
    <row r="1372" spans="1:10">
      <c r="A1372" s="186">
        <f t="shared" si="41"/>
        <v>259</v>
      </c>
      <c r="B1372" s="168" t="s">
        <v>1104</v>
      </c>
      <c r="C1372" s="118" t="s">
        <v>1060</v>
      </c>
      <c r="D1372" s="63" t="s">
        <v>115</v>
      </c>
      <c r="E1372" s="64">
        <v>5900</v>
      </c>
      <c r="F1372" s="65" t="s">
        <v>115</v>
      </c>
      <c r="G1372" s="66" t="e">
        <f>IF(BD!#REF!="","",(E1372/(H1372*I1372)))</f>
        <v>#REF!</v>
      </c>
      <c r="H1372" s="67">
        <v>1</v>
      </c>
      <c r="I1372" s="67">
        <v>1</v>
      </c>
      <c r="J1372" s="216" t="str">
        <f t="shared" si="42"/>
        <v>ICO259</v>
      </c>
    </row>
    <row r="1373" ht="17.25" customHeight="1" spans="1:10">
      <c r="A1373" s="186">
        <f t="shared" si="41"/>
        <v>260</v>
      </c>
      <c r="B1373" s="172" t="s">
        <v>1105</v>
      </c>
      <c r="C1373" s="118" t="s">
        <v>1060</v>
      </c>
      <c r="D1373" s="63" t="s">
        <v>115</v>
      </c>
      <c r="E1373" s="64">
        <v>288766.666666667</v>
      </c>
      <c r="F1373" s="65" t="s">
        <v>115</v>
      </c>
      <c r="G1373" s="66">
        <f>IF(BD!$E1367="","",(E1373/(H1373*I1373)))</f>
        <v>288766.666666667</v>
      </c>
      <c r="H1373" s="67">
        <v>1</v>
      </c>
      <c r="I1373" s="67">
        <v>1</v>
      </c>
      <c r="J1373" s="216" t="str">
        <f t="shared" si="42"/>
        <v>ICO260</v>
      </c>
    </row>
    <row r="1374" ht="30" spans="1:10">
      <c r="A1374" s="186">
        <f t="shared" si="41"/>
        <v>261</v>
      </c>
      <c r="B1374" s="220" t="s">
        <v>1106</v>
      </c>
      <c r="C1374" s="118" t="s">
        <v>1060</v>
      </c>
      <c r="D1374" s="221" t="s">
        <v>1107</v>
      </c>
      <c r="E1374" s="108">
        <v>23233.4</v>
      </c>
      <c r="F1374" s="109" t="s">
        <v>1107</v>
      </c>
      <c r="G1374" s="222">
        <f>IF(BD!$E1368="","",(E1374/(H1374*I1374)))</f>
        <v>23233.4</v>
      </c>
      <c r="H1374" s="110">
        <v>1</v>
      </c>
      <c r="I1374" s="110">
        <v>1</v>
      </c>
      <c r="J1374" s="216" t="str">
        <f t="shared" si="42"/>
        <v>ICO261</v>
      </c>
    </row>
    <row r="1375" ht="30" spans="1:10">
      <c r="A1375" s="186">
        <f t="shared" si="41"/>
        <v>262</v>
      </c>
      <c r="B1375" s="223" t="s">
        <v>1108</v>
      </c>
      <c r="C1375" s="224" t="s">
        <v>1060</v>
      </c>
      <c r="D1375" s="221" t="s">
        <v>115</v>
      </c>
      <c r="E1375" s="108">
        <v>219.5</v>
      </c>
      <c r="F1375" s="109" t="s">
        <v>115</v>
      </c>
      <c r="G1375" s="222">
        <f>IF(BD!$E1369="","",(E1375/(H1375*I1375)))</f>
        <v>219.5</v>
      </c>
      <c r="H1375" s="110">
        <v>1</v>
      </c>
      <c r="I1375" s="110">
        <v>1</v>
      </c>
      <c r="J1375" s="91" t="str">
        <f t="shared" si="42"/>
        <v>ICO262</v>
      </c>
    </row>
    <row r="1376" ht="30" spans="1:10">
      <c r="A1376" s="186">
        <f t="shared" si="41"/>
        <v>263</v>
      </c>
      <c r="B1376" s="223" t="s">
        <v>1109</v>
      </c>
      <c r="C1376" s="224" t="s">
        <v>1060</v>
      </c>
      <c r="D1376" s="221" t="s">
        <v>115</v>
      </c>
      <c r="E1376" s="108">
        <v>907</v>
      </c>
      <c r="F1376" s="109" t="s">
        <v>115</v>
      </c>
      <c r="G1376" s="222">
        <f>IF(BD!$E1370="","",(E1376/(H1376*I1376)))</f>
        <v>907</v>
      </c>
      <c r="H1376" s="110">
        <v>1</v>
      </c>
      <c r="I1376" s="110">
        <v>1</v>
      </c>
      <c r="J1376" s="91" t="str">
        <f t="shared" si="42"/>
        <v>ICO263</v>
      </c>
    </row>
    <row r="1377" spans="1:10">
      <c r="A1377" s="186">
        <f t="shared" si="41"/>
        <v>264</v>
      </c>
      <c r="B1377" s="225" t="s">
        <v>1110</v>
      </c>
      <c r="C1377" s="224" t="s">
        <v>1060</v>
      </c>
      <c r="D1377" s="63" t="s">
        <v>115</v>
      </c>
      <c r="E1377" s="108">
        <v>5333.34</v>
      </c>
      <c r="F1377" s="109" t="s">
        <v>115</v>
      </c>
      <c r="G1377" s="222">
        <f>IF(BD!$E1371="","",(E1377/(H1377*I1377)))</f>
        <v>5333.34</v>
      </c>
      <c r="H1377" s="110">
        <v>1</v>
      </c>
      <c r="I1377" s="110">
        <v>1</v>
      </c>
      <c r="J1377" s="91" t="str">
        <f t="shared" si="42"/>
        <v>ICO264</v>
      </c>
    </row>
    <row r="1378" ht="30" spans="1:10">
      <c r="A1378" s="186">
        <f t="shared" si="41"/>
        <v>265</v>
      </c>
      <c r="B1378" s="226" t="s">
        <v>1111</v>
      </c>
      <c r="C1378" s="224" t="s">
        <v>1060</v>
      </c>
      <c r="D1378" s="63" t="s">
        <v>247</v>
      </c>
      <c r="E1378" s="108">
        <v>867804</v>
      </c>
      <c r="F1378" s="109" t="s">
        <v>247</v>
      </c>
      <c r="G1378" s="222">
        <f>IF(BD!$E1372="","",(E1378/(H1378*I1378)))</f>
        <v>867804</v>
      </c>
      <c r="H1378" s="110">
        <v>1</v>
      </c>
      <c r="I1378" s="110">
        <v>1</v>
      </c>
      <c r="J1378" s="91" t="str">
        <f t="shared" si="42"/>
        <v>ICO265</v>
      </c>
    </row>
    <row r="1379" ht="30" spans="1:10">
      <c r="A1379" s="186">
        <f t="shared" si="41"/>
        <v>266</v>
      </c>
      <c r="B1379" s="155" t="s">
        <v>1112</v>
      </c>
      <c r="C1379" s="224" t="s">
        <v>1060</v>
      </c>
      <c r="D1379" s="63" t="s">
        <v>247</v>
      </c>
      <c r="E1379" s="108">
        <v>1097662</v>
      </c>
      <c r="F1379" s="109" t="s">
        <v>247</v>
      </c>
      <c r="G1379" s="222">
        <f>IF(BD!$E1373="","",(E1379/(H1379*I1379)))</f>
        <v>1097662</v>
      </c>
      <c r="H1379" s="110">
        <v>1</v>
      </c>
      <c r="I1379" s="110">
        <v>1</v>
      </c>
      <c r="J1379" s="91" t="str">
        <f t="shared" si="42"/>
        <v>ICO266</v>
      </c>
    </row>
    <row r="1380" spans="1:10">
      <c r="A1380" s="186">
        <f t="shared" si="41"/>
        <v>267</v>
      </c>
      <c r="B1380" s="225" t="s">
        <v>1113</v>
      </c>
      <c r="C1380" s="224" t="s">
        <v>1060</v>
      </c>
      <c r="D1380" s="63" t="s">
        <v>115</v>
      </c>
      <c r="E1380" s="108">
        <v>74866.6666666667</v>
      </c>
      <c r="F1380" s="109" t="s">
        <v>1082</v>
      </c>
      <c r="G1380" s="222">
        <f>IF(BD!$E1374="","",(E1380/(H1380*I1380)))</f>
        <v>74866.6666666667</v>
      </c>
      <c r="H1380" s="110">
        <v>1</v>
      </c>
      <c r="I1380" s="110">
        <v>1</v>
      </c>
      <c r="J1380" s="91" t="str">
        <f t="shared" si="42"/>
        <v>ICO267</v>
      </c>
    </row>
    <row r="1381" spans="1:10">
      <c r="A1381" s="186">
        <f t="shared" si="41"/>
        <v>268</v>
      </c>
      <c r="B1381" s="225" t="s">
        <v>1114</v>
      </c>
      <c r="C1381" s="224" t="s">
        <v>1060</v>
      </c>
      <c r="D1381" s="63" t="s">
        <v>462</v>
      </c>
      <c r="E1381" s="108">
        <v>74866.6666666667</v>
      </c>
      <c r="F1381" s="109" t="s">
        <v>1115</v>
      </c>
      <c r="G1381" s="222">
        <f>IF(BD!$E1375="","",(E1381/(H1381*I1381)))</f>
        <v>74866.6666666667</v>
      </c>
      <c r="H1381" s="110">
        <v>1</v>
      </c>
      <c r="I1381" s="110">
        <v>1</v>
      </c>
      <c r="J1381" s="91" t="str">
        <f t="shared" si="42"/>
        <v>ICO268</v>
      </c>
    </row>
    <row r="1382" spans="1:10">
      <c r="A1382" s="186">
        <f t="shared" si="41"/>
        <v>269</v>
      </c>
      <c r="B1382" s="155" t="s">
        <v>1116</v>
      </c>
      <c r="C1382" s="224" t="s">
        <v>1060</v>
      </c>
      <c r="D1382" s="63" t="s">
        <v>115</v>
      </c>
      <c r="E1382" s="108">
        <v>19073</v>
      </c>
      <c r="F1382" s="109" t="s">
        <v>115</v>
      </c>
      <c r="G1382" s="222">
        <f>IF(BD!$E1376="","",(E1382/(H1382*I1382)))</f>
        <v>19073</v>
      </c>
      <c r="H1382" s="110">
        <v>1</v>
      </c>
      <c r="I1382" s="110">
        <v>1</v>
      </c>
      <c r="J1382" s="91" t="str">
        <f t="shared" si="42"/>
        <v>ICO269</v>
      </c>
    </row>
    <row r="1383" ht="30" spans="1:10">
      <c r="A1383" s="186">
        <f t="shared" si="41"/>
        <v>270</v>
      </c>
      <c r="B1383" s="225" t="s">
        <v>1117</v>
      </c>
      <c r="C1383" s="224" t="s">
        <v>1060</v>
      </c>
      <c r="D1383" s="63" t="s">
        <v>115</v>
      </c>
      <c r="E1383" s="108">
        <v>866.665</v>
      </c>
      <c r="F1383" s="109" t="s">
        <v>115</v>
      </c>
      <c r="G1383" s="222">
        <f>IF(BD!$E1377="","",(E1383/(H1383*I1383)))</f>
        <v>866.665</v>
      </c>
      <c r="H1383" s="227">
        <v>1</v>
      </c>
      <c r="I1383" s="227">
        <v>1</v>
      </c>
      <c r="J1383" s="91" t="str">
        <f t="shared" si="42"/>
        <v>ICO270</v>
      </c>
    </row>
    <row r="1384" spans="1:10">
      <c r="A1384" s="186">
        <f t="shared" si="41"/>
        <v>271</v>
      </c>
      <c r="B1384" s="228" t="s">
        <v>1118</v>
      </c>
      <c r="C1384" s="224" t="s">
        <v>1060</v>
      </c>
      <c r="D1384" s="63" t="s">
        <v>222</v>
      </c>
      <c r="E1384" s="108"/>
      <c r="F1384" s="109" t="s">
        <v>115</v>
      </c>
      <c r="G1384" s="92"/>
      <c r="H1384" s="110">
        <v>1</v>
      </c>
      <c r="I1384" s="110">
        <v>1</v>
      </c>
      <c r="J1384" s="91" t="str">
        <f t="shared" si="42"/>
        <v>ICO271</v>
      </c>
    </row>
    <row r="1385" spans="1:10">
      <c r="A1385" s="186">
        <f t="shared" si="41"/>
        <v>272</v>
      </c>
      <c r="B1385" s="228" t="s">
        <v>1119</v>
      </c>
      <c r="C1385" s="224" t="s">
        <v>1060</v>
      </c>
      <c r="D1385" s="63" t="s">
        <v>222</v>
      </c>
      <c r="E1385" s="108"/>
      <c r="F1385" s="109" t="s">
        <v>115</v>
      </c>
      <c r="G1385" s="92"/>
      <c r="H1385" s="110">
        <v>1</v>
      </c>
      <c r="I1385" s="110">
        <v>1</v>
      </c>
      <c r="J1385" s="91" t="str">
        <f t="shared" si="42"/>
        <v>ICO272</v>
      </c>
    </row>
    <row r="1386" spans="1:10">
      <c r="A1386" s="186">
        <f t="shared" si="41"/>
        <v>273</v>
      </c>
      <c r="B1386" s="225" t="s">
        <v>1120</v>
      </c>
      <c r="C1386" s="224" t="s">
        <v>1060</v>
      </c>
      <c r="D1386" s="63" t="s">
        <v>1092</v>
      </c>
      <c r="E1386" s="108">
        <v>513.332857142857</v>
      </c>
      <c r="F1386" s="109" t="s">
        <v>1092</v>
      </c>
      <c r="G1386" s="222">
        <f>IF(BD!$E1378="","",(E1386/(H1386*I1386)))</f>
        <v>513.332857142857</v>
      </c>
      <c r="H1386" s="110">
        <v>1</v>
      </c>
      <c r="I1386" s="110">
        <v>1</v>
      </c>
      <c r="J1386" s="91" t="str">
        <f t="shared" si="42"/>
        <v>ICO273</v>
      </c>
    </row>
    <row r="1387" spans="1:10">
      <c r="A1387" s="186">
        <f t="shared" si="41"/>
        <v>274</v>
      </c>
      <c r="B1387" s="155" t="s">
        <v>1121</v>
      </c>
      <c r="C1387" s="224" t="s">
        <v>1060</v>
      </c>
      <c r="D1387" s="63" t="s">
        <v>115</v>
      </c>
      <c r="E1387" s="108">
        <v>19000</v>
      </c>
      <c r="F1387" s="109" t="s">
        <v>115</v>
      </c>
      <c r="G1387" s="222">
        <f>IF(BD!$E1379="","",(E1387/(H1387*I1387)))</f>
        <v>19000</v>
      </c>
      <c r="H1387" s="110">
        <v>1</v>
      </c>
      <c r="I1387" s="110">
        <v>1</v>
      </c>
      <c r="J1387" s="91" t="str">
        <f t="shared" si="42"/>
        <v>ICO274</v>
      </c>
    </row>
    <row r="1388" spans="1:10">
      <c r="A1388" s="186">
        <f t="shared" si="41"/>
        <v>275</v>
      </c>
      <c r="B1388" s="225" t="s">
        <v>1122</v>
      </c>
      <c r="C1388" s="224" t="s">
        <v>1060</v>
      </c>
      <c r="D1388" s="63" t="s">
        <v>115</v>
      </c>
      <c r="E1388" s="108">
        <v>3800</v>
      </c>
      <c r="F1388" s="109" t="s">
        <v>115</v>
      </c>
      <c r="G1388" s="222">
        <f>IF(BD!$E1380="","",(E1388/(H1388*I1388)))</f>
        <v>3800</v>
      </c>
      <c r="H1388" s="227">
        <v>1</v>
      </c>
      <c r="I1388" s="227">
        <v>1</v>
      </c>
      <c r="J1388" s="180" t="str">
        <f t="shared" si="42"/>
        <v>ICO275</v>
      </c>
    </row>
    <row r="1389" ht="30" spans="1:10">
      <c r="A1389" s="229">
        <f t="shared" si="41"/>
        <v>276</v>
      </c>
      <c r="B1389" s="225" t="s">
        <v>1123</v>
      </c>
      <c r="C1389" s="224" t="s">
        <v>1060</v>
      </c>
      <c r="D1389" s="63" t="s">
        <v>180</v>
      </c>
      <c r="E1389" s="108">
        <v>3200</v>
      </c>
      <c r="F1389" s="109" t="s">
        <v>180</v>
      </c>
      <c r="G1389" s="198">
        <f>IF(BD!$E1381="","",(E1389/(H1389*I1389)))</f>
        <v>3200</v>
      </c>
      <c r="H1389" s="227">
        <v>1</v>
      </c>
      <c r="I1389" s="227">
        <v>1</v>
      </c>
      <c r="J1389" s="180" t="str">
        <f t="shared" si="42"/>
        <v>ICO276</v>
      </c>
    </row>
    <row r="1390" spans="1:10">
      <c r="A1390" s="229">
        <f t="shared" si="41"/>
        <v>277</v>
      </c>
      <c r="B1390" s="228" t="s">
        <v>1124</v>
      </c>
      <c r="C1390" s="224" t="s">
        <v>1060</v>
      </c>
      <c r="D1390" s="63" t="s">
        <v>222</v>
      </c>
      <c r="E1390" s="108"/>
      <c r="F1390" s="109" t="s">
        <v>115</v>
      </c>
      <c r="H1390" s="110">
        <v>1</v>
      </c>
      <c r="I1390" s="110">
        <v>1</v>
      </c>
      <c r="J1390" s="180" t="str">
        <f t="shared" si="42"/>
        <v>ICO277</v>
      </c>
    </row>
    <row r="1391" spans="1:10">
      <c r="A1391" s="229">
        <f t="shared" si="41"/>
        <v>278</v>
      </c>
      <c r="B1391" s="226" t="s">
        <v>1125</v>
      </c>
      <c r="C1391" s="224" t="s">
        <v>1060</v>
      </c>
      <c r="D1391" s="63" t="s">
        <v>222</v>
      </c>
      <c r="E1391" s="108">
        <v>7200</v>
      </c>
      <c r="F1391" s="109" t="s">
        <v>1082</v>
      </c>
      <c r="G1391" s="198">
        <f>IF(BD!$E1382="","",(E1391/(H1391*I1391)))</f>
        <v>7200</v>
      </c>
      <c r="H1391" s="110">
        <v>1</v>
      </c>
      <c r="I1391" s="110">
        <v>1</v>
      </c>
      <c r="J1391" s="180" t="str">
        <f t="shared" si="42"/>
        <v>ICO278</v>
      </c>
    </row>
    <row r="1392" spans="1:10">
      <c r="A1392" s="229">
        <f t="shared" si="41"/>
        <v>279</v>
      </c>
      <c r="B1392" s="228" t="s">
        <v>1126</v>
      </c>
      <c r="C1392" s="224" t="s">
        <v>1060</v>
      </c>
      <c r="D1392" s="63" t="s">
        <v>222</v>
      </c>
      <c r="E1392" s="108"/>
      <c r="F1392" s="109" t="s">
        <v>115</v>
      </c>
      <c r="H1392" s="110">
        <v>1</v>
      </c>
      <c r="I1392" s="110">
        <v>1</v>
      </c>
      <c r="J1392" s="180" t="str">
        <f t="shared" si="42"/>
        <v>ICO279</v>
      </c>
    </row>
    <row r="1393" spans="1:10">
      <c r="A1393" s="229">
        <f t="shared" si="41"/>
        <v>280</v>
      </c>
      <c r="B1393" s="113" t="s">
        <v>1127</v>
      </c>
      <c r="C1393" s="224" t="s">
        <v>1060</v>
      </c>
      <c r="D1393" s="63" t="s">
        <v>115</v>
      </c>
      <c r="E1393" s="108">
        <v>6013.33</v>
      </c>
      <c r="F1393" s="109" t="s">
        <v>115</v>
      </c>
      <c r="G1393" s="198">
        <f>IF(BD!$E1383="","",(E1393/(H1393*I1393)))</f>
        <v>6013.33</v>
      </c>
      <c r="H1393" s="110">
        <v>1</v>
      </c>
      <c r="I1393" s="110">
        <v>1</v>
      </c>
      <c r="J1393" s="180" t="str">
        <f t="shared" si="42"/>
        <v>ICO280</v>
      </c>
    </row>
    <row r="1394" spans="1:10">
      <c r="A1394" s="229">
        <f t="shared" si="41"/>
        <v>281</v>
      </c>
      <c r="B1394" s="155" t="s">
        <v>1128</v>
      </c>
      <c r="C1394" s="224" t="s">
        <v>1060</v>
      </c>
      <c r="D1394" s="63" t="s">
        <v>115</v>
      </c>
      <c r="E1394" s="108">
        <v>1101.5</v>
      </c>
      <c r="F1394" s="109" t="s">
        <v>115</v>
      </c>
      <c r="G1394" s="198" t="str">
        <f>IF(BD!$E1384="","",(E1394/(H1394*I1394)))</f>
        <v/>
      </c>
      <c r="H1394" s="110">
        <v>1</v>
      </c>
      <c r="I1394" s="110">
        <v>1</v>
      </c>
      <c r="J1394" s="180" t="str">
        <f t="shared" si="42"/>
        <v>ICO281</v>
      </c>
    </row>
    <row r="1395" spans="1:10">
      <c r="A1395" s="229">
        <f t="shared" si="41"/>
        <v>282</v>
      </c>
      <c r="B1395" s="155" t="s">
        <v>1129</v>
      </c>
      <c r="C1395" s="224" t="s">
        <v>1060</v>
      </c>
      <c r="D1395" s="63" t="s">
        <v>115</v>
      </c>
      <c r="E1395" s="108">
        <v>11100</v>
      </c>
      <c r="F1395" s="109" t="s">
        <v>115</v>
      </c>
      <c r="G1395" s="198" t="str">
        <f>IF(BD!$E1385="","",(E1395/(H1395*I1395)))</f>
        <v/>
      </c>
      <c r="H1395" s="110">
        <v>1</v>
      </c>
      <c r="I1395" s="110">
        <v>1</v>
      </c>
      <c r="J1395" s="180" t="str">
        <f t="shared" si="42"/>
        <v>ICO282</v>
      </c>
    </row>
    <row r="1396" spans="1:10">
      <c r="A1396" s="230">
        <f t="shared" si="41"/>
        <v>283</v>
      </c>
      <c r="B1396" s="228" t="s">
        <v>1130</v>
      </c>
      <c r="C1396" s="224" t="s">
        <v>1060</v>
      </c>
      <c r="D1396" s="63" t="s">
        <v>222</v>
      </c>
      <c r="E1396" s="231"/>
      <c r="F1396" s="109" t="s">
        <v>115</v>
      </c>
      <c r="H1396" s="110">
        <v>1</v>
      </c>
      <c r="I1396" s="110">
        <v>1</v>
      </c>
      <c r="J1396" s="180" t="str">
        <f t="shared" si="42"/>
        <v>ICO283</v>
      </c>
    </row>
    <row r="1397" spans="2:9">
      <c r="B1397" s="232"/>
      <c r="C1397"/>
      <c r="D1397"/>
      <c r="E1397"/>
      <c r="F1397" s="74"/>
      <c r="H1397"/>
      <c r="I1397"/>
    </row>
    <row r="1398" spans="2:9">
      <c r="B1398" s="232"/>
      <c r="C1398"/>
      <c r="D1398"/>
      <c r="E1398"/>
      <c r="F1398" s="74"/>
      <c r="H1398"/>
      <c r="I1398"/>
    </row>
    <row r="1399" spans="2:9">
      <c r="B1399" s="232"/>
      <c r="C1399"/>
      <c r="D1399"/>
      <c r="E1399"/>
      <c r="F1399" s="74"/>
      <c r="H1399"/>
      <c r="I1399"/>
    </row>
    <row r="1400" spans="2:9">
      <c r="B1400" s="232"/>
      <c r="C1400"/>
      <c r="D1400"/>
      <c r="E1400"/>
      <c r="F1400" s="74"/>
      <c r="H1400"/>
      <c r="I1400"/>
    </row>
    <row r="1401" spans="2:9">
      <c r="B1401" s="232"/>
      <c r="C1401"/>
      <c r="D1401"/>
      <c r="E1401"/>
      <c r="F1401" s="74"/>
      <c r="H1401"/>
      <c r="I1401"/>
    </row>
    <row r="1402" spans="2:9">
      <c r="B1402"/>
      <c r="C1402"/>
      <c r="D1402"/>
      <c r="E1402"/>
      <c r="F1402" s="74"/>
      <c r="H1402"/>
      <c r="I1402"/>
    </row>
    <row r="1403" spans="2:9">
      <c r="B1403"/>
      <c r="C1403"/>
      <c r="D1403"/>
      <c r="E1403"/>
      <c r="F1403" s="74"/>
      <c r="H1403"/>
      <c r="I1403"/>
    </row>
    <row r="1404" spans="2:9">
      <c r="B1404"/>
      <c r="C1404"/>
      <c r="D1404"/>
      <c r="E1404"/>
      <c r="F1404" s="74"/>
      <c r="H1404"/>
      <c r="I1404"/>
    </row>
    <row r="1405" spans="2:9">
      <c r="B1405"/>
      <c r="C1405"/>
      <c r="D1405"/>
      <c r="E1405"/>
      <c r="F1405" s="74"/>
      <c r="H1405"/>
      <c r="I1405"/>
    </row>
    <row r="1406" spans="2:9">
      <c r="B1406"/>
      <c r="C1406"/>
      <c r="D1406"/>
      <c r="E1406"/>
      <c r="F1406" s="74"/>
      <c r="H1406"/>
      <c r="I1406"/>
    </row>
    <row r="1407" spans="2:9">
      <c r="B1407"/>
      <c r="C1407"/>
      <c r="D1407"/>
      <c r="E1407"/>
      <c r="F1407" s="74"/>
      <c r="H1407"/>
      <c r="I1407"/>
    </row>
    <row r="1408" spans="2:9">
      <c r="B1408"/>
      <c r="C1408"/>
      <c r="D1408"/>
      <c r="E1408"/>
      <c r="F1408" s="74"/>
      <c r="H1408"/>
      <c r="I1408"/>
    </row>
    <row r="1409" spans="2:9">
      <c r="B1409"/>
      <c r="C1409"/>
      <c r="D1409"/>
      <c r="E1409"/>
      <c r="F1409" s="74"/>
      <c r="H1409"/>
      <c r="I1409"/>
    </row>
    <row r="1410" spans="2:9">
      <c r="B1410"/>
      <c r="C1410"/>
      <c r="D1410"/>
      <c r="E1410"/>
      <c r="F1410" s="74"/>
      <c r="H1410"/>
      <c r="I1410"/>
    </row>
    <row r="1411" spans="2:9">
      <c r="B1411"/>
      <c r="C1411"/>
      <c r="D1411"/>
      <c r="E1411"/>
      <c r="F1411" s="74"/>
      <c r="H1411"/>
      <c r="I1411"/>
    </row>
    <row r="1412" spans="2:9">
      <c r="B1412"/>
      <c r="C1412"/>
      <c r="D1412"/>
      <c r="E1412"/>
      <c r="F1412" s="74"/>
      <c r="H1412"/>
      <c r="I1412"/>
    </row>
    <row r="1413" spans="2:9">
      <c r="B1413"/>
      <c r="C1413"/>
      <c r="D1413"/>
      <c r="E1413"/>
      <c r="F1413" s="74"/>
      <c r="H1413"/>
      <c r="I1413"/>
    </row>
    <row r="1414" ht="15.75" spans="1:10">
      <c r="A1414" s="25"/>
      <c r="B1414" s="75" t="s">
        <v>126</v>
      </c>
      <c r="C1414" s="25"/>
      <c r="D1414" s="25"/>
      <c r="E1414" s="25"/>
      <c r="F1414" s="76"/>
      <c r="G1414" s="25"/>
      <c r="H1414" s="25"/>
      <c r="I1414" s="25"/>
      <c r="J1414" s="25"/>
    </row>
    <row r="1415" spans="2:9">
      <c r="B1415"/>
      <c r="C1415"/>
      <c r="D1415"/>
      <c r="E1415"/>
      <c r="F1415" s="74"/>
      <c r="H1415"/>
      <c r="I1415"/>
    </row>
    <row r="1416" ht="26.25" spans="1:9">
      <c r="A1416" s="233" t="s">
        <v>96</v>
      </c>
      <c r="B1416" s="234">
        <f>SUBTOTAL(3,Tabla34[Material])</f>
        <v>82</v>
      </c>
      <c r="C1416" s="128"/>
      <c r="D1416" s="128"/>
      <c r="E1416"/>
      <c r="F1416" s="74"/>
      <c r="H1416"/>
      <c r="I1416"/>
    </row>
    <row r="1417" ht="47.25" spans="1:11">
      <c r="A1417" s="235" t="s">
        <v>79</v>
      </c>
      <c r="B1417" s="236" t="s">
        <v>98</v>
      </c>
      <c r="C1417" s="98" t="s">
        <v>99</v>
      </c>
      <c r="D1417" s="237" t="s">
        <v>100</v>
      </c>
      <c r="E1417" s="238" t="s">
        <v>101</v>
      </c>
      <c r="F1417" s="239" t="s">
        <v>102</v>
      </c>
      <c r="G1417" s="240" t="s">
        <v>103</v>
      </c>
      <c r="H1417" s="241" t="s">
        <v>104</v>
      </c>
      <c r="I1417" s="241" t="s">
        <v>105</v>
      </c>
      <c r="J1417" s="84" t="s">
        <v>106</v>
      </c>
      <c r="K1417" s="85" t="s">
        <v>107</v>
      </c>
    </row>
    <row r="1418" spans="1:11">
      <c r="A1418" s="60">
        <v>1</v>
      </c>
      <c r="B1418" s="242" t="s">
        <v>1131</v>
      </c>
      <c r="C1418" s="83" t="s">
        <v>61</v>
      </c>
      <c r="D1418" s="243" t="s">
        <v>1132</v>
      </c>
      <c r="E1418" s="64">
        <v>35093.5333333333</v>
      </c>
      <c r="F1418" s="65" t="s">
        <v>1132</v>
      </c>
      <c r="G1418" s="66">
        <f>IF(BD!$E1418="","",(E1418/(H1418*I1418)))</f>
        <v>2924.46111111111</v>
      </c>
      <c r="H1418" s="67">
        <v>12</v>
      </c>
      <c r="I1418" s="67">
        <v>1</v>
      </c>
      <c r="J1418" s="91" t="str">
        <f t="shared" ref="J1418:J1449" si="43">CONCATENATE(LEFT(C1418,1),MID(C1418,SEARCH("_",C1418)+1,2),TEXT(A1418,"000"))</f>
        <v>PP001</v>
      </c>
      <c r="K1418" s="92"/>
    </row>
    <row r="1419" spans="1:11">
      <c r="A1419" s="60">
        <f t="shared" ref="A1419:A1450" si="44">A1418+1</f>
        <v>2</v>
      </c>
      <c r="B1419" s="242" t="s">
        <v>1133</v>
      </c>
      <c r="C1419" s="83" t="s">
        <v>61</v>
      </c>
      <c r="D1419" s="244" t="s">
        <v>115</v>
      </c>
      <c r="E1419" s="64">
        <v>3146.625</v>
      </c>
      <c r="F1419" s="65" t="s">
        <v>115</v>
      </c>
      <c r="G1419" s="66">
        <f>IF(BD!$E1419="","",(E1419/(H1419*I1419)))</f>
        <v>3146.625</v>
      </c>
      <c r="H1419" s="67">
        <v>1</v>
      </c>
      <c r="I1419" s="67">
        <v>1</v>
      </c>
      <c r="J1419" s="91" t="str">
        <f t="shared" si="43"/>
        <v>PP002</v>
      </c>
      <c r="K1419" s="92"/>
    </row>
    <row r="1420" spans="1:11">
      <c r="A1420" s="60">
        <f t="shared" si="44"/>
        <v>3</v>
      </c>
      <c r="B1420" s="61" t="s">
        <v>1134</v>
      </c>
      <c r="C1420" s="83" t="s">
        <v>61</v>
      </c>
      <c r="D1420" s="63" t="s">
        <v>115</v>
      </c>
      <c r="E1420" s="64">
        <v>8731.53333333333</v>
      </c>
      <c r="F1420" s="65" t="s">
        <v>115</v>
      </c>
      <c r="G1420" s="66">
        <f>IF(BD!$E1420="","",(E1420/(H1420*I1420)))</f>
        <v>8731.53333333333</v>
      </c>
      <c r="H1420" s="67">
        <v>1</v>
      </c>
      <c r="I1420" s="67">
        <v>1</v>
      </c>
      <c r="J1420" s="91" t="str">
        <f t="shared" si="43"/>
        <v>PP003</v>
      </c>
      <c r="K1420" s="92"/>
    </row>
    <row r="1421" spans="1:11">
      <c r="A1421" s="60">
        <f t="shared" si="44"/>
        <v>4</v>
      </c>
      <c r="B1421" s="242" t="s">
        <v>1135</v>
      </c>
      <c r="C1421" s="83" t="s">
        <v>61</v>
      </c>
      <c r="D1421" s="63" t="s">
        <v>115</v>
      </c>
      <c r="E1421" s="64">
        <v>5376.625</v>
      </c>
      <c r="F1421" s="65" t="s">
        <v>115</v>
      </c>
      <c r="G1421" s="66">
        <f>IF(BD!$E1421="","",(E1421/(H1421*I1421)))</f>
        <v>5376.625</v>
      </c>
      <c r="H1421" s="67">
        <v>1</v>
      </c>
      <c r="I1421" s="67">
        <v>1</v>
      </c>
      <c r="J1421" s="91" t="str">
        <f t="shared" si="43"/>
        <v>PP004</v>
      </c>
      <c r="K1421" s="92"/>
    </row>
    <row r="1422" spans="1:11">
      <c r="A1422" s="60">
        <f t="shared" si="44"/>
        <v>5</v>
      </c>
      <c r="B1422" s="242" t="s">
        <v>1136</v>
      </c>
      <c r="C1422" s="83" t="s">
        <v>61</v>
      </c>
      <c r="D1422" s="63" t="s">
        <v>115</v>
      </c>
      <c r="E1422" s="64">
        <v>7039.5</v>
      </c>
      <c r="F1422" s="65" t="s">
        <v>115</v>
      </c>
      <c r="G1422" s="66">
        <f>IF(BD!$E1422="","",(E1422/(H1422*I1422)))</f>
        <v>7039.5</v>
      </c>
      <c r="H1422" s="67">
        <v>1</v>
      </c>
      <c r="I1422" s="67">
        <v>1</v>
      </c>
      <c r="J1422" s="91" t="str">
        <f t="shared" si="43"/>
        <v>PP005</v>
      </c>
      <c r="K1422" s="92"/>
    </row>
    <row r="1423" spans="1:11">
      <c r="A1423" s="60">
        <f t="shared" si="44"/>
        <v>6</v>
      </c>
      <c r="B1423" s="242" t="s">
        <v>1137</v>
      </c>
      <c r="C1423" s="83" t="s">
        <v>61</v>
      </c>
      <c r="D1423" s="63" t="s">
        <v>115</v>
      </c>
      <c r="E1423" s="64">
        <v>13260</v>
      </c>
      <c r="F1423" s="65" t="s">
        <v>115</v>
      </c>
      <c r="G1423" s="66">
        <f>IF(BD!$E1423="","",(E1423/(H1423*I1423)))</f>
        <v>13260</v>
      </c>
      <c r="H1423" s="67">
        <v>1</v>
      </c>
      <c r="I1423" s="67">
        <v>1</v>
      </c>
      <c r="J1423" s="91" t="str">
        <f t="shared" si="43"/>
        <v>PP006</v>
      </c>
      <c r="K1423" s="92"/>
    </row>
    <row r="1424" spans="1:11">
      <c r="A1424" s="60">
        <f t="shared" si="44"/>
        <v>7</v>
      </c>
      <c r="B1424" s="242" t="s">
        <v>1138</v>
      </c>
      <c r="C1424" s="83" t="s">
        <v>61</v>
      </c>
      <c r="D1424" s="63" t="s">
        <v>115</v>
      </c>
      <c r="E1424" s="64">
        <v>5136.2</v>
      </c>
      <c r="F1424" s="65" t="s">
        <v>115</v>
      </c>
      <c r="G1424" s="66">
        <f>IF(BD!$E1424="","",(E1424/(H1424*I1424)))</f>
        <v>5136.2</v>
      </c>
      <c r="H1424" s="67">
        <v>1</v>
      </c>
      <c r="I1424" s="67">
        <v>1</v>
      </c>
      <c r="J1424" s="91" t="str">
        <f t="shared" si="43"/>
        <v>PP007</v>
      </c>
      <c r="K1424" s="92"/>
    </row>
    <row r="1425" spans="1:11">
      <c r="A1425" s="60">
        <f t="shared" si="44"/>
        <v>8</v>
      </c>
      <c r="B1425" s="242" t="s">
        <v>1139</v>
      </c>
      <c r="C1425" s="83" t="s">
        <v>61</v>
      </c>
      <c r="D1425" s="63" t="s">
        <v>115</v>
      </c>
      <c r="E1425" s="64">
        <v>5628.6</v>
      </c>
      <c r="F1425" s="65" t="s">
        <v>115</v>
      </c>
      <c r="G1425" s="66">
        <f>IF(BD!$E1425="","",(E1425/(H1425*I1425)))</f>
        <v>5628.6</v>
      </c>
      <c r="H1425" s="67">
        <v>1</v>
      </c>
      <c r="I1425" s="67">
        <v>1</v>
      </c>
      <c r="J1425" s="91" t="str">
        <f t="shared" si="43"/>
        <v>PP008</v>
      </c>
      <c r="K1425" s="92"/>
    </row>
    <row r="1426" spans="1:11">
      <c r="A1426" s="60">
        <f t="shared" si="44"/>
        <v>9</v>
      </c>
      <c r="B1426" s="61" t="s">
        <v>1140</v>
      </c>
      <c r="C1426" s="83" t="s">
        <v>61</v>
      </c>
      <c r="D1426" s="63" t="s">
        <v>115</v>
      </c>
      <c r="E1426" s="245">
        <v>7204.6</v>
      </c>
      <c r="F1426" s="65" t="s">
        <v>115</v>
      </c>
      <c r="G1426" s="66">
        <f>IF(BD!$E1426="","",(E1426/(H1426*I1426)))</f>
        <v>7204.6</v>
      </c>
      <c r="H1426" s="67">
        <v>1</v>
      </c>
      <c r="I1426" s="67">
        <v>1</v>
      </c>
      <c r="J1426" s="91" t="str">
        <f t="shared" si="43"/>
        <v>PP009</v>
      </c>
      <c r="K1426" s="92"/>
    </row>
    <row r="1427" spans="1:11">
      <c r="A1427" s="60">
        <f t="shared" si="44"/>
        <v>10</v>
      </c>
      <c r="B1427" s="242" t="s">
        <v>1141</v>
      </c>
      <c r="C1427" s="83" t="s">
        <v>61</v>
      </c>
      <c r="D1427" s="63" t="s">
        <v>115</v>
      </c>
      <c r="E1427" s="245">
        <v>12510</v>
      </c>
      <c r="F1427" s="65" t="s">
        <v>115</v>
      </c>
      <c r="G1427" s="66">
        <f>IF(BD!$E1427="","",(E1427/(H1427*I1427)))</f>
        <v>12510</v>
      </c>
      <c r="H1427" s="67">
        <v>1</v>
      </c>
      <c r="I1427" s="67">
        <v>1</v>
      </c>
      <c r="J1427" s="91" t="str">
        <f t="shared" si="43"/>
        <v>PP010</v>
      </c>
      <c r="K1427" s="92"/>
    </row>
    <row r="1428" spans="1:11">
      <c r="A1428" s="60">
        <f t="shared" si="44"/>
        <v>11</v>
      </c>
      <c r="B1428" s="242" t="s">
        <v>1142</v>
      </c>
      <c r="C1428" s="83" t="s">
        <v>61</v>
      </c>
      <c r="D1428" s="63" t="s">
        <v>115</v>
      </c>
      <c r="E1428" s="245">
        <v>8789</v>
      </c>
      <c r="F1428" s="65" t="s">
        <v>115</v>
      </c>
      <c r="G1428" s="66">
        <f>IF(BD!$E1428="","",(E1428/(H1428*I1428)))</f>
        <v>8789</v>
      </c>
      <c r="H1428" s="67">
        <v>1</v>
      </c>
      <c r="I1428" s="67">
        <v>1</v>
      </c>
      <c r="J1428" s="91" t="str">
        <f t="shared" si="43"/>
        <v>PP011</v>
      </c>
      <c r="K1428" s="92"/>
    </row>
    <row r="1429" spans="1:11">
      <c r="A1429" s="60">
        <f t="shared" si="44"/>
        <v>12</v>
      </c>
      <c r="B1429" s="242" t="s">
        <v>1143</v>
      </c>
      <c r="C1429" s="83" t="s">
        <v>61</v>
      </c>
      <c r="D1429" s="63" t="s">
        <v>115</v>
      </c>
      <c r="E1429" s="245">
        <v>20643.5</v>
      </c>
      <c r="F1429" s="65" t="s">
        <v>115</v>
      </c>
      <c r="G1429" s="66">
        <f>IF(BD!$E1429="","",(E1429/(H1429*I1429)))</f>
        <v>20643.5</v>
      </c>
      <c r="H1429" s="67">
        <v>1</v>
      </c>
      <c r="I1429" s="67">
        <v>1</v>
      </c>
      <c r="J1429" s="91" t="str">
        <f t="shared" si="43"/>
        <v>PP012</v>
      </c>
      <c r="K1429" s="92"/>
    </row>
    <row r="1430" spans="1:11">
      <c r="A1430" s="60">
        <f t="shared" si="44"/>
        <v>13</v>
      </c>
      <c r="B1430" s="242" t="s">
        <v>1144</v>
      </c>
      <c r="C1430" s="83" t="s">
        <v>61</v>
      </c>
      <c r="D1430" s="63" t="s">
        <v>115</v>
      </c>
      <c r="E1430" s="245">
        <v>2006</v>
      </c>
      <c r="F1430" s="65" t="s">
        <v>115</v>
      </c>
      <c r="G1430" s="66">
        <f>IF(BD!$E1430="","",(E1430/(H1430*I1430)))</f>
        <v>2006</v>
      </c>
      <c r="H1430" s="67">
        <v>1</v>
      </c>
      <c r="I1430" s="67">
        <v>1</v>
      </c>
      <c r="J1430" s="91" t="str">
        <f t="shared" si="43"/>
        <v>PP013</v>
      </c>
      <c r="K1430" s="92"/>
    </row>
    <row r="1431" spans="1:11">
      <c r="A1431" s="60">
        <f t="shared" si="44"/>
        <v>14</v>
      </c>
      <c r="B1431" s="242" t="s">
        <v>1145</v>
      </c>
      <c r="C1431" s="83" t="s">
        <v>61</v>
      </c>
      <c r="D1431" s="63" t="s">
        <v>115</v>
      </c>
      <c r="E1431" s="245">
        <v>36293.5</v>
      </c>
      <c r="F1431" s="65" t="s">
        <v>115</v>
      </c>
      <c r="G1431" s="66">
        <f>IF(BD!$E1431="","",(E1431/(H1431*I1431)))</f>
        <v>36293.5</v>
      </c>
      <c r="H1431" s="67">
        <v>1</v>
      </c>
      <c r="I1431" s="67">
        <v>1</v>
      </c>
      <c r="J1431" s="91" t="str">
        <f t="shared" si="43"/>
        <v>PP014</v>
      </c>
      <c r="K1431" s="92"/>
    </row>
    <row r="1432" spans="1:11">
      <c r="A1432" s="60">
        <f t="shared" si="44"/>
        <v>15</v>
      </c>
      <c r="B1432" s="61" t="s">
        <v>1146</v>
      </c>
      <c r="C1432" s="83" t="s">
        <v>61</v>
      </c>
      <c r="D1432" s="63" t="s">
        <v>115</v>
      </c>
      <c r="E1432" s="245">
        <v>9613.33333333333</v>
      </c>
      <c r="F1432" s="65" t="s">
        <v>115</v>
      </c>
      <c r="G1432" s="66">
        <f>IF(BD!$E1432="","",(E1432/(H1432*I1432)))</f>
        <v>9613.33333333333</v>
      </c>
      <c r="H1432" s="67">
        <v>1</v>
      </c>
      <c r="I1432" s="67">
        <v>1</v>
      </c>
      <c r="J1432" s="91" t="str">
        <f t="shared" si="43"/>
        <v>PP015</v>
      </c>
      <c r="K1432" s="92"/>
    </row>
    <row r="1433" spans="1:11">
      <c r="A1433" s="60">
        <f t="shared" si="44"/>
        <v>16</v>
      </c>
      <c r="B1433" s="61" t="s">
        <v>1147</v>
      </c>
      <c r="C1433" s="83" t="s">
        <v>61</v>
      </c>
      <c r="D1433" s="63" t="s">
        <v>115</v>
      </c>
      <c r="E1433" s="245">
        <v>76295</v>
      </c>
      <c r="F1433" s="65" t="s">
        <v>115</v>
      </c>
      <c r="G1433" s="66">
        <f>IF(BD!$E1433="","",(E1433/(H1433*I1433)))</f>
        <v>76295</v>
      </c>
      <c r="H1433" s="67">
        <v>1</v>
      </c>
      <c r="I1433" s="67">
        <v>1</v>
      </c>
      <c r="J1433" s="91" t="str">
        <f t="shared" si="43"/>
        <v>PP016</v>
      </c>
      <c r="K1433" s="92"/>
    </row>
    <row r="1434" spans="1:11">
      <c r="A1434" s="60">
        <f t="shared" si="44"/>
        <v>17</v>
      </c>
      <c r="B1434" s="61" t="s">
        <v>1148</v>
      </c>
      <c r="C1434" s="83" t="s">
        <v>61</v>
      </c>
      <c r="D1434" s="63" t="s">
        <v>115</v>
      </c>
      <c r="E1434" s="245">
        <v>3326.46</v>
      </c>
      <c r="F1434" s="65" t="s">
        <v>115</v>
      </c>
      <c r="G1434" s="66">
        <f>IF(BD!$E1434="","",(E1434/(H1434*I1434)))</f>
        <v>3326.46</v>
      </c>
      <c r="H1434" s="67">
        <v>1</v>
      </c>
      <c r="I1434" s="67">
        <v>1</v>
      </c>
      <c r="J1434" s="91" t="str">
        <f t="shared" si="43"/>
        <v>PP017</v>
      </c>
      <c r="K1434" s="92"/>
    </row>
    <row r="1435" ht="30" spans="1:11">
      <c r="A1435" s="60">
        <f t="shared" si="44"/>
        <v>18</v>
      </c>
      <c r="B1435" s="61" t="s">
        <v>1149</v>
      </c>
      <c r="C1435" s="83" t="s">
        <v>61</v>
      </c>
      <c r="D1435" s="63" t="s">
        <v>115</v>
      </c>
      <c r="E1435" s="245">
        <v>61667.5</v>
      </c>
      <c r="F1435" s="65" t="s">
        <v>115</v>
      </c>
      <c r="G1435" s="66">
        <f>IF(BD!$E1435="","",(E1435/(H1435*I1435)))</f>
        <v>61667.5</v>
      </c>
      <c r="H1435" s="67">
        <v>1</v>
      </c>
      <c r="I1435" s="67">
        <v>1</v>
      </c>
      <c r="J1435" s="91" t="str">
        <f t="shared" si="43"/>
        <v>PP018</v>
      </c>
      <c r="K1435" s="92"/>
    </row>
    <row r="1436" ht="30" spans="1:11">
      <c r="A1436" s="60">
        <f t="shared" si="44"/>
        <v>19</v>
      </c>
      <c r="B1436" s="61" t="s">
        <v>1150</v>
      </c>
      <c r="C1436" s="83" t="s">
        <v>61</v>
      </c>
      <c r="D1436" s="63" t="s">
        <v>115</v>
      </c>
      <c r="E1436" s="64">
        <v>720750</v>
      </c>
      <c r="F1436" s="65" t="s">
        <v>115</v>
      </c>
      <c r="G1436" s="66">
        <f>IF(BD!$E1436="","",(E1436/(H1436*I1436)))</f>
        <v>720750</v>
      </c>
      <c r="H1436" s="67">
        <v>1</v>
      </c>
      <c r="I1436" s="67">
        <v>1</v>
      </c>
      <c r="J1436" s="91" t="str">
        <f t="shared" si="43"/>
        <v>PP019</v>
      </c>
      <c r="K1436" s="92"/>
    </row>
    <row r="1437" spans="1:11">
      <c r="A1437" s="60">
        <f t="shared" si="44"/>
        <v>20</v>
      </c>
      <c r="B1437" s="242" t="s">
        <v>1151</v>
      </c>
      <c r="C1437" s="83" t="s">
        <v>61</v>
      </c>
      <c r="D1437" s="63" t="s">
        <v>1092</v>
      </c>
      <c r="E1437" s="64">
        <v>3215</v>
      </c>
      <c r="F1437" s="65" t="s">
        <v>1092</v>
      </c>
      <c r="G1437" s="66">
        <f>IF(BD!$E1437="","",(E1437/(H1437*I1437)))</f>
        <v>3215</v>
      </c>
      <c r="H1437" s="67">
        <v>1</v>
      </c>
      <c r="I1437" s="67">
        <v>1</v>
      </c>
      <c r="J1437" s="91" t="str">
        <f t="shared" si="43"/>
        <v>PP020</v>
      </c>
      <c r="K1437" s="92"/>
    </row>
    <row r="1438" spans="1:11">
      <c r="A1438" s="60">
        <f t="shared" si="44"/>
        <v>21</v>
      </c>
      <c r="B1438" s="242" t="s">
        <v>1152</v>
      </c>
      <c r="C1438" s="83" t="s">
        <v>61</v>
      </c>
      <c r="D1438" s="63" t="s">
        <v>1092</v>
      </c>
      <c r="E1438" s="64">
        <v>8300</v>
      </c>
      <c r="F1438" s="65" t="s">
        <v>1092</v>
      </c>
      <c r="G1438" s="66">
        <f>IF(BD!$E1438="","",(E1438/(H1438*I1438)))</f>
        <v>8300</v>
      </c>
      <c r="H1438" s="67">
        <v>1</v>
      </c>
      <c r="I1438" s="67">
        <v>1</v>
      </c>
      <c r="J1438" s="91" t="str">
        <f t="shared" si="43"/>
        <v>PP021</v>
      </c>
      <c r="K1438" s="92"/>
    </row>
    <row r="1439" spans="1:11">
      <c r="A1439" s="60">
        <f t="shared" si="44"/>
        <v>22</v>
      </c>
      <c r="B1439" s="242" t="s">
        <v>1153</v>
      </c>
      <c r="C1439" s="83" t="s">
        <v>61</v>
      </c>
      <c r="D1439" s="63" t="s">
        <v>1092</v>
      </c>
      <c r="E1439" s="64">
        <v>3276</v>
      </c>
      <c r="F1439" s="65" t="s">
        <v>1092</v>
      </c>
      <c r="G1439" s="66">
        <f>IF(BD!$E1439="","",(E1439/(H1439*I1439)))</f>
        <v>3276</v>
      </c>
      <c r="H1439" s="67">
        <v>1</v>
      </c>
      <c r="I1439" s="67">
        <v>1</v>
      </c>
      <c r="J1439" s="91" t="str">
        <f t="shared" si="43"/>
        <v>PP022</v>
      </c>
      <c r="K1439" s="92"/>
    </row>
    <row r="1440" spans="1:11">
      <c r="A1440" s="60">
        <f t="shared" si="44"/>
        <v>23</v>
      </c>
      <c r="B1440" s="242" t="s">
        <v>1154</v>
      </c>
      <c r="C1440" s="83" t="s">
        <v>61</v>
      </c>
      <c r="D1440" s="63" t="s">
        <v>115</v>
      </c>
      <c r="E1440" s="64">
        <v>34700</v>
      </c>
      <c r="F1440" s="65" t="s">
        <v>115</v>
      </c>
      <c r="G1440" s="66">
        <f>IF(BD!$E1440="","",(E1440/(H1440*I1440)))</f>
        <v>34700</v>
      </c>
      <c r="H1440" s="67">
        <v>1</v>
      </c>
      <c r="I1440" s="67">
        <v>1</v>
      </c>
      <c r="J1440" s="91" t="str">
        <f t="shared" si="43"/>
        <v>PP023</v>
      </c>
      <c r="K1440" s="92"/>
    </row>
    <row r="1441" spans="1:11">
      <c r="A1441" s="60">
        <f t="shared" si="44"/>
        <v>24</v>
      </c>
      <c r="B1441" s="242" t="s">
        <v>1155</v>
      </c>
      <c r="C1441" s="83" t="s">
        <v>61</v>
      </c>
      <c r="D1441" s="63" t="s">
        <v>115</v>
      </c>
      <c r="E1441" s="64">
        <v>16695</v>
      </c>
      <c r="F1441" s="65" t="s">
        <v>115</v>
      </c>
      <c r="G1441" s="66">
        <f>IF(BD!$E1441="","",(E1441/(H1441*I1441)))</f>
        <v>16695</v>
      </c>
      <c r="H1441" s="67">
        <v>1</v>
      </c>
      <c r="I1441" s="67">
        <v>1</v>
      </c>
      <c r="J1441" s="91" t="str">
        <f t="shared" si="43"/>
        <v>PP024</v>
      </c>
      <c r="K1441" s="92"/>
    </row>
    <row r="1442" spans="1:11">
      <c r="A1442" s="60">
        <f t="shared" si="44"/>
        <v>25</v>
      </c>
      <c r="B1442" s="242" t="s">
        <v>1156</v>
      </c>
      <c r="C1442" s="83" t="s">
        <v>61</v>
      </c>
      <c r="D1442" s="63" t="s">
        <v>115</v>
      </c>
      <c r="E1442" s="64">
        <v>20585</v>
      </c>
      <c r="F1442" s="65" t="s">
        <v>115</v>
      </c>
      <c r="G1442" s="66">
        <f>IF(BD!$E1442="","",(E1442/(H1442*I1442)))</f>
        <v>20585</v>
      </c>
      <c r="H1442" s="67">
        <v>1</v>
      </c>
      <c r="I1442" s="67">
        <v>1</v>
      </c>
      <c r="J1442" s="91" t="str">
        <f t="shared" si="43"/>
        <v>PP025</v>
      </c>
      <c r="K1442" s="92"/>
    </row>
    <row r="1443" spans="1:11">
      <c r="A1443" s="60">
        <f t="shared" si="44"/>
        <v>26</v>
      </c>
      <c r="B1443" s="242" t="s">
        <v>1157</v>
      </c>
      <c r="C1443" s="83" t="s">
        <v>61</v>
      </c>
      <c r="D1443" s="63" t="s">
        <v>115</v>
      </c>
      <c r="E1443" s="64">
        <v>2912.52</v>
      </c>
      <c r="F1443" s="65" t="s">
        <v>115</v>
      </c>
      <c r="G1443" s="66">
        <f>IF(BD!$E1443="","",(E1443/(H1443*I1443)))</f>
        <v>2912.52</v>
      </c>
      <c r="H1443" s="67">
        <v>1</v>
      </c>
      <c r="I1443" s="67">
        <v>1</v>
      </c>
      <c r="J1443" s="91" t="str">
        <f t="shared" si="43"/>
        <v>PP026</v>
      </c>
      <c r="K1443" s="92"/>
    </row>
    <row r="1444" spans="1:11">
      <c r="A1444" s="60">
        <f t="shared" si="44"/>
        <v>27</v>
      </c>
      <c r="B1444" s="242" t="s">
        <v>1158</v>
      </c>
      <c r="C1444" s="83" t="s">
        <v>61</v>
      </c>
      <c r="D1444" s="63" t="s">
        <v>115</v>
      </c>
      <c r="E1444" s="64">
        <v>18486</v>
      </c>
      <c r="F1444" s="65" t="s">
        <v>115</v>
      </c>
      <c r="G1444" s="66">
        <f>IF(BD!$E1444="","",(E1444/(H1444*I1444)))</f>
        <v>18486</v>
      </c>
      <c r="H1444" s="67">
        <v>1</v>
      </c>
      <c r="I1444" s="67">
        <v>1</v>
      </c>
      <c r="J1444" s="91" t="str">
        <f t="shared" si="43"/>
        <v>PP027</v>
      </c>
      <c r="K1444" s="92"/>
    </row>
    <row r="1445" spans="1:11">
      <c r="A1445" s="60">
        <f t="shared" si="44"/>
        <v>28</v>
      </c>
      <c r="B1445" s="242" t="s">
        <v>1159</v>
      </c>
      <c r="C1445" s="83" t="s">
        <v>61</v>
      </c>
      <c r="D1445" s="63" t="s">
        <v>115</v>
      </c>
      <c r="E1445" s="64">
        <v>18895</v>
      </c>
      <c r="F1445" s="65" t="s">
        <v>115</v>
      </c>
      <c r="G1445" s="66">
        <f>IF(BD!$E1445="","",(E1445/(H1445*I1445)))</f>
        <v>18895</v>
      </c>
      <c r="H1445" s="67">
        <v>1</v>
      </c>
      <c r="I1445" s="67">
        <v>1</v>
      </c>
      <c r="J1445" s="91" t="str">
        <f t="shared" si="43"/>
        <v>PP028</v>
      </c>
      <c r="K1445" s="92"/>
    </row>
    <row r="1446" spans="1:11">
      <c r="A1446" s="60">
        <f t="shared" si="44"/>
        <v>29</v>
      </c>
      <c r="B1446" s="242" t="s">
        <v>1160</v>
      </c>
      <c r="C1446" s="83" t="s">
        <v>61</v>
      </c>
      <c r="D1446" s="63" t="s">
        <v>115</v>
      </c>
      <c r="E1446" s="64">
        <v>35150</v>
      </c>
      <c r="F1446" s="65" t="s">
        <v>115</v>
      </c>
      <c r="G1446" s="66">
        <f>IF(BD!$E1446="","",(E1446/(H1446*I1446)))</f>
        <v>35150</v>
      </c>
      <c r="H1446" s="67">
        <v>1</v>
      </c>
      <c r="I1446" s="67">
        <v>1</v>
      </c>
      <c r="J1446" s="91" t="str">
        <f t="shared" si="43"/>
        <v>PP029</v>
      </c>
      <c r="K1446" s="92"/>
    </row>
    <row r="1447" spans="1:11">
      <c r="A1447" s="60">
        <f t="shared" si="44"/>
        <v>30</v>
      </c>
      <c r="B1447" s="242" t="s">
        <v>1161</v>
      </c>
      <c r="C1447" s="83" t="s">
        <v>61</v>
      </c>
      <c r="D1447" s="63" t="s">
        <v>1092</v>
      </c>
      <c r="E1447" s="64">
        <v>3145</v>
      </c>
      <c r="F1447" s="65" t="s">
        <v>261</v>
      </c>
      <c r="G1447" s="66">
        <f>IF(BD!$E1447="","",(E1447/(H1447*I1447)))</f>
        <v>0.449285714285714</v>
      </c>
      <c r="H1447" s="67">
        <v>70</v>
      </c>
      <c r="I1447" s="67">
        <v>100</v>
      </c>
      <c r="J1447" s="91" t="str">
        <f t="shared" si="43"/>
        <v>PP030</v>
      </c>
      <c r="K1447" s="92"/>
    </row>
    <row r="1448" spans="1:11">
      <c r="A1448" s="60">
        <f t="shared" si="44"/>
        <v>31</v>
      </c>
      <c r="B1448" s="242" t="s">
        <v>1162</v>
      </c>
      <c r="C1448" s="83" t="s">
        <v>61</v>
      </c>
      <c r="D1448" s="63" t="s">
        <v>115</v>
      </c>
      <c r="E1448" s="64">
        <v>8470</v>
      </c>
      <c r="F1448" s="65" t="s">
        <v>115</v>
      </c>
      <c r="G1448" s="66">
        <f>IF(BD!$E1448="","",(E1448/(H1448*I1448)))</f>
        <v>8470</v>
      </c>
      <c r="H1448" s="67">
        <v>1</v>
      </c>
      <c r="I1448" s="67">
        <v>1</v>
      </c>
      <c r="J1448" s="91" t="str">
        <f t="shared" si="43"/>
        <v>PP031</v>
      </c>
      <c r="K1448" s="92"/>
    </row>
    <row r="1449" spans="1:11">
      <c r="A1449" s="60">
        <f t="shared" si="44"/>
        <v>32</v>
      </c>
      <c r="B1449" s="242" t="s">
        <v>1163</v>
      </c>
      <c r="C1449" s="83" t="s">
        <v>61</v>
      </c>
      <c r="D1449" s="63" t="s">
        <v>115</v>
      </c>
      <c r="E1449" s="64">
        <v>2480</v>
      </c>
      <c r="F1449" s="65" t="s">
        <v>115</v>
      </c>
      <c r="G1449" s="66">
        <f>IF(BD!$E1449="","",(E1449/(H1449*I1449)))</f>
        <v>2480</v>
      </c>
      <c r="H1449" s="67">
        <v>1</v>
      </c>
      <c r="I1449" s="67">
        <v>1</v>
      </c>
      <c r="J1449" s="91" t="str">
        <f t="shared" si="43"/>
        <v>PP032</v>
      </c>
      <c r="K1449" s="92"/>
    </row>
    <row r="1450" spans="1:11">
      <c r="A1450" s="60">
        <f t="shared" si="44"/>
        <v>33</v>
      </c>
      <c r="B1450" s="242" t="s">
        <v>1164</v>
      </c>
      <c r="C1450" s="83" t="s">
        <v>61</v>
      </c>
      <c r="D1450" s="63" t="s">
        <v>115</v>
      </c>
      <c r="E1450" s="64">
        <v>100620</v>
      </c>
      <c r="F1450" s="65" t="s">
        <v>115</v>
      </c>
      <c r="G1450" s="66">
        <f>IF(BD!$E1450="","",(E1450/(H1450*I1450)))</f>
        <v>100620</v>
      </c>
      <c r="H1450" s="67">
        <v>1</v>
      </c>
      <c r="I1450" s="67">
        <v>1</v>
      </c>
      <c r="J1450" s="91" t="str">
        <f t="shared" ref="J1450:J1481" si="45">CONCATENATE(LEFT(C1450,1),MID(C1450,SEARCH("_",C1450)+1,2),TEXT(A1450,"000"))</f>
        <v>PP033</v>
      </c>
      <c r="K1450" s="92"/>
    </row>
    <row r="1451" spans="1:11">
      <c r="A1451" s="60">
        <f t="shared" ref="A1451:A1482" si="46">A1450+1</f>
        <v>34</v>
      </c>
      <c r="B1451" s="242" t="s">
        <v>1165</v>
      </c>
      <c r="C1451" s="83" t="s">
        <v>61</v>
      </c>
      <c r="D1451" s="63" t="s">
        <v>115</v>
      </c>
      <c r="E1451" s="64">
        <v>50245</v>
      </c>
      <c r="F1451" s="65" t="s">
        <v>115</v>
      </c>
      <c r="G1451" s="66">
        <f>IF(BD!$E1451="","",(E1451/(H1451*I1451)))</f>
        <v>50245</v>
      </c>
      <c r="H1451" s="67">
        <v>1</v>
      </c>
      <c r="I1451" s="67">
        <v>1</v>
      </c>
      <c r="J1451" s="91" t="str">
        <f t="shared" si="45"/>
        <v>PP034</v>
      </c>
      <c r="K1451" s="92"/>
    </row>
    <row r="1452" spans="1:11">
      <c r="A1452" s="60">
        <f t="shared" si="46"/>
        <v>35</v>
      </c>
      <c r="B1452" s="242" t="s">
        <v>1166</v>
      </c>
      <c r="C1452" s="83" t="s">
        <v>61</v>
      </c>
      <c r="D1452" s="63" t="s">
        <v>222</v>
      </c>
      <c r="E1452" s="64">
        <v>98275.6666666667</v>
      </c>
      <c r="F1452" s="65" t="s">
        <v>222</v>
      </c>
      <c r="G1452" s="66">
        <f>IF(BD!$E1452="","",(E1452/(H1452*I1452)))</f>
        <v>98275.6666666667</v>
      </c>
      <c r="H1452" s="67">
        <v>1</v>
      </c>
      <c r="I1452" s="67">
        <v>1</v>
      </c>
      <c r="J1452" s="91" t="str">
        <f t="shared" si="45"/>
        <v>PP035</v>
      </c>
      <c r="K1452" s="92"/>
    </row>
    <row r="1453" spans="1:11">
      <c r="A1453" s="60">
        <f t="shared" si="46"/>
        <v>36</v>
      </c>
      <c r="B1453" s="242" t="s">
        <v>1167</v>
      </c>
      <c r="C1453" s="83" t="s">
        <v>61</v>
      </c>
      <c r="D1453" s="63" t="s">
        <v>115</v>
      </c>
      <c r="E1453" s="64">
        <v>33709</v>
      </c>
      <c r="F1453" s="65" t="s">
        <v>115</v>
      </c>
      <c r="G1453" s="66">
        <f>IF(BD!$E1453="","",(E1453/(H1453*I1453)))</f>
        <v>33709</v>
      </c>
      <c r="H1453" s="67">
        <v>1</v>
      </c>
      <c r="I1453" s="67">
        <v>1</v>
      </c>
      <c r="J1453" s="91" t="str">
        <f t="shared" si="45"/>
        <v>PP036</v>
      </c>
      <c r="K1453" s="92"/>
    </row>
    <row r="1454" spans="1:11">
      <c r="A1454" s="60">
        <f t="shared" si="46"/>
        <v>37</v>
      </c>
      <c r="B1454" s="242" t="s">
        <v>1168</v>
      </c>
      <c r="C1454" s="83" t="s">
        <v>61</v>
      </c>
      <c r="D1454" s="63" t="s">
        <v>115</v>
      </c>
      <c r="E1454" s="64">
        <v>103948</v>
      </c>
      <c r="F1454" s="65" t="s">
        <v>115</v>
      </c>
      <c r="G1454" s="66">
        <f>IF(BD!$E1454="","",(E1454/(H1454*I1454)))</f>
        <v>103948</v>
      </c>
      <c r="H1454" s="67">
        <v>1</v>
      </c>
      <c r="I1454" s="67">
        <v>1</v>
      </c>
      <c r="J1454" s="91" t="str">
        <f t="shared" si="45"/>
        <v>PP037</v>
      </c>
      <c r="K1454" s="92"/>
    </row>
    <row r="1455" spans="1:11">
      <c r="A1455" s="60">
        <f t="shared" si="46"/>
        <v>38</v>
      </c>
      <c r="B1455" s="242" t="s">
        <v>1169</v>
      </c>
      <c r="C1455" s="83" t="s">
        <v>61</v>
      </c>
      <c r="D1455" s="63" t="s">
        <v>115</v>
      </c>
      <c r="E1455" s="64">
        <v>32370</v>
      </c>
      <c r="F1455" s="65" t="s">
        <v>115</v>
      </c>
      <c r="G1455" s="66">
        <f>IF(BD!$E1455="","",(E1455/(H1455*I1455)))</f>
        <v>32370</v>
      </c>
      <c r="H1455" s="67">
        <v>1</v>
      </c>
      <c r="I1455" s="67">
        <v>1</v>
      </c>
      <c r="J1455" s="91" t="str">
        <f t="shared" si="45"/>
        <v>PP038</v>
      </c>
      <c r="K1455" s="92"/>
    </row>
    <row r="1456" spans="1:11">
      <c r="A1456" s="60">
        <f t="shared" si="46"/>
        <v>39</v>
      </c>
      <c r="B1456" s="242" t="s">
        <v>1170</v>
      </c>
      <c r="C1456" s="83" t="s">
        <v>61</v>
      </c>
      <c r="D1456" s="63" t="s">
        <v>115</v>
      </c>
      <c r="E1456" s="64">
        <v>110153</v>
      </c>
      <c r="F1456" s="65" t="s">
        <v>115</v>
      </c>
      <c r="G1456" s="66">
        <f>IF(BD!$E1456="","",(E1456/(H1456*I1456)))</f>
        <v>110153</v>
      </c>
      <c r="H1456" s="67">
        <v>1</v>
      </c>
      <c r="I1456" s="67">
        <v>1</v>
      </c>
      <c r="J1456" s="91" t="str">
        <f t="shared" si="45"/>
        <v>PP039</v>
      </c>
      <c r="K1456" s="92"/>
    </row>
    <row r="1457" spans="1:11">
      <c r="A1457" s="60">
        <f t="shared" si="46"/>
        <v>40</v>
      </c>
      <c r="B1457" s="242" t="s">
        <v>1171</v>
      </c>
      <c r="C1457" s="83" t="s">
        <v>61</v>
      </c>
      <c r="D1457" s="63" t="s">
        <v>115</v>
      </c>
      <c r="E1457" s="64">
        <v>49830</v>
      </c>
      <c r="F1457" s="65" t="s">
        <v>115</v>
      </c>
      <c r="G1457" s="66">
        <f>IF(BD!$E1457="","",(E1457/(H1457*I1457)))</f>
        <v>49830</v>
      </c>
      <c r="H1457" s="67">
        <v>1</v>
      </c>
      <c r="I1457" s="67">
        <v>1</v>
      </c>
      <c r="J1457" s="91" t="str">
        <f t="shared" si="45"/>
        <v>PP040</v>
      </c>
      <c r="K1457" s="92"/>
    </row>
    <row r="1458" spans="1:11">
      <c r="A1458" s="60">
        <f t="shared" si="46"/>
        <v>41</v>
      </c>
      <c r="B1458" s="242" t="s">
        <v>1172</v>
      </c>
      <c r="C1458" s="83" t="s">
        <v>61</v>
      </c>
      <c r="D1458" s="63" t="s">
        <v>115</v>
      </c>
      <c r="E1458" s="64">
        <v>45846.5</v>
      </c>
      <c r="F1458" s="65" t="s">
        <v>115</v>
      </c>
      <c r="G1458" s="66">
        <f>IF(BD!$E1458="","",(E1458/(H1458*I1458)))</f>
        <v>45846.5</v>
      </c>
      <c r="H1458" s="67">
        <v>1</v>
      </c>
      <c r="I1458" s="67">
        <v>1</v>
      </c>
      <c r="J1458" s="91" t="str">
        <f t="shared" si="45"/>
        <v>PP041</v>
      </c>
      <c r="K1458" s="92"/>
    </row>
    <row r="1459" spans="1:11">
      <c r="A1459" s="60">
        <f t="shared" si="46"/>
        <v>42</v>
      </c>
      <c r="B1459" s="242" t="s">
        <v>1173</v>
      </c>
      <c r="C1459" s="83" t="s">
        <v>61</v>
      </c>
      <c r="D1459" s="63" t="s">
        <v>115</v>
      </c>
      <c r="E1459" s="64">
        <v>12830</v>
      </c>
      <c r="F1459" s="65" t="s">
        <v>115</v>
      </c>
      <c r="G1459" s="66">
        <f>IF(BD!$E1459="","",(E1459/(H1459*I1459)))</f>
        <v>12830</v>
      </c>
      <c r="H1459" s="67">
        <v>1</v>
      </c>
      <c r="I1459" s="67">
        <v>1</v>
      </c>
      <c r="J1459" s="91" t="str">
        <f t="shared" si="45"/>
        <v>PP042</v>
      </c>
      <c r="K1459" s="92"/>
    </row>
    <row r="1460" ht="25.5" customHeight="1" spans="1:11">
      <c r="A1460" s="60">
        <f t="shared" si="46"/>
        <v>43</v>
      </c>
      <c r="B1460" s="242" t="s">
        <v>1174</v>
      </c>
      <c r="C1460" s="83" t="s">
        <v>61</v>
      </c>
      <c r="D1460" s="63" t="s">
        <v>115</v>
      </c>
      <c r="E1460" s="64">
        <v>38888.5714285714</v>
      </c>
      <c r="F1460" s="65" t="s">
        <v>115</v>
      </c>
      <c r="G1460" s="66">
        <f>IF(BD!$E1460="","",(E1460/(H1460*I1460)))</f>
        <v>38888.5714285714</v>
      </c>
      <c r="H1460" s="67">
        <v>1</v>
      </c>
      <c r="I1460" s="67">
        <v>1</v>
      </c>
      <c r="J1460" s="91" t="str">
        <f t="shared" si="45"/>
        <v>PP043</v>
      </c>
      <c r="K1460" s="92"/>
    </row>
    <row r="1461" spans="1:11">
      <c r="A1461" s="60">
        <f t="shared" si="46"/>
        <v>44</v>
      </c>
      <c r="B1461" s="242" t="s">
        <v>1175</v>
      </c>
      <c r="C1461" s="83" t="s">
        <v>61</v>
      </c>
      <c r="D1461" s="63" t="s">
        <v>247</v>
      </c>
      <c r="E1461" s="64">
        <v>90973.6666666667</v>
      </c>
      <c r="F1461" s="65" t="s">
        <v>261</v>
      </c>
      <c r="G1461" s="66">
        <f>IF(BD!$E1461="","",(E1461/(H1461*I1461)))</f>
        <v>2.03739287527248</v>
      </c>
      <c r="H1461" s="67">
        <v>183</v>
      </c>
      <c r="I1461" s="67">
        <v>244</v>
      </c>
      <c r="J1461" s="91" t="str">
        <f t="shared" si="45"/>
        <v>PP044</v>
      </c>
      <c r="K1461" s="92"/>
    </row>
    <row r="1462" spans="1:11">
      <c r="A1462" s="60">
        <f t="shared" si="46"/>
        <v>45</v>
      </c>
      <c r="B1462" s="242" t="s">
        <v>1176</v>
      </c>
      <c r="C1462" s="83" t="s">
        <v>61</v>
      </c>
      <c r="D1462" s="63" t="s">
        <v>115</v>
      </c>
      <c r="E1462" s="64">
        <v>22475</v>
      </c>
      <c r="F1462" s="65" t="s">
        <v>115</v>
      </c>
      <c r="G1462" s="66">
        <f>IF(BD!$E1462="","",(E1462/(H1462*I1462)))</f>
        <v>22475</v>
      </c>
      <c r="H1462" s="67">
        <v>1</v>
      </c>
      <c r="I1462" s="67">
        <v>1</v>
      </c>
      <c r="J1462" s="91" t="str">
        <f t="shared" si="45"/>
        <v>PP045</v>
      </c>
      <c r="K1462" s="92"/>
    </row>
    <row r="1463" spans="1:11">
      <c r="A1463" s="60">
        <f t="shared" si="46"/>
        <v>46</v>
      </c>
      <c r="B1463" s="242" t="s">
        <v>1177</v>
      </c>
      <c r="C1463" s="83" t="s">
        <v>61</v>
      </c>
      <c r="D1463" s="63" t="s">
        <v>115</v>
      </c>
      <c r="E1463" s="64">
        <v>95966.7</v>
      </c>
      <c r="F1463" s="65" t="s">
        <v>115</v>
      </c>
      <c r="G1463" s="66">
        <f>IF(BD!$E1463="","",(E1463/(H1463*I1463)))</f>
        <v>95966.7</v>
      </c>
      <c r="H1463" s="190">
        <v>1</v>
      </c>
      <c r="I1463" s="190">
        <v>1</v>
      </c>
      <c r="J1463" s="91" t="str">
        <f t="shared" si="45"/>
        <v>PP046</v>
      </c>
      <c r="K1463" s="92"/>
    </row>
    <row r="1464" spans="1:11">
      <c r="A1464" s="60">
        <f t="shared" si="46"/>
        <v>47</v>
      </c>
      <c r="B1464" s="242" t="s">
        <v>1178</v>
      </c>
      <c r="C1464" s="83" t="s">
        <v>61</v>
      </c>
      <c r="D1464" s="63" t="s">
        <v>115</v>
      </c>
      <c r="E1464" s="64">
        <v>22654</v>
      </c>
      <c r="F1464" s="65" t="s">
        <v>115</v>
      </c>
      <c r="G1464" s="66">
        <f>IF(BD!$E1464="","",(E1464/(H1464*I1464)))</f>
        <v>22654</v>
      </c>
      <c r="H1464" s="67">
        <v>1</v>
      </c>
      <c r="I1464" s="67">
        <v>1</v>
      </c>
      <c r="J1464" s="91" t="str">
        <f t="shared" si="45"/>
        <v>PP047</v>
      </c>
      <c r="K1464" s="92"/>
    </row>
    <row r="1465" spans="1:11">
      <c r="A1465" s="60">
        <f t="shared" si="46"/>
        <v>48</v>
      </c>
      <c r="B1465" s="242" t="s">
        <v>1179</v>
      </c>
      <c r="C1465" s="83" t="s">
        <v>61</v>
      </c>
      <c r="D1465" s="63" t="s">
        <v>115</v>
      </c>
      <c r="E1465" s="64">
        <v>73154</v>
      </c>
      <c r="F1465" s="65" t="s">
        <v>115</v>
      </c>
      <c r="G1465" s="66">
        <f>IF(BD!$E1465="","",(E1465/(H1465*I1465)))</f>
        <v>73154</v>
      </c>
      <c r="H1465" s="67">
        <v>1</v>
      </c>
      <c r="I1465" s="67">
        <v>1</v>
      </c>
      <c r="J1465" s="91" t="str">
        <f t="shared" si="45"/>
        <v>PP048</v>
      </c>
      <c r="K1465" s="92"/>
    </row>
    <row r="1466" spans="1:11">
      <c r="A1466" s="60">
        <f t="shared" si="46"/>
        <v>49</v>
      </c>
      <c r="B1466" s="242" t="s">
        <v>1180</v>
      </c>
      <c r="C1466" s="83" t="s">
        <v>61</v>
      </c>
      <c r="D1466" s="63" t="s">
        <v>115</v>
      </c>
      <c r="E1466" s="64">
        <v>22053.5714285714</v>
      </c>
      <c r="F1466" s="65" t="s">
        <v>115</v>
      </c>
      <c r="G1466" s="66">
        <f>IF(BD!$E1466="","",(E1466/(H1466*I1466)))</f>
        <v>22053.5714285714</v>
      </c>
      <c r="H1466" s="67">
        <v>1</v>
      </c>
      <c r="I1466" s="67">
        <v>1</v>
      </c>
      <c r="J1466" s="91" t="str">
        <f t="shared" si="45"/>
        <v>PP049</v>
      </c>
      <c r="K1466" s="92"/>
    </row>
    <row r="1467" spans="1:11">
      <c r="A1467" s="60">
        <f t="shared" si="46"/>
        <v>50</v>
      </c>
      <c r="B1467" s="242" t="s">
        <v>1181</v>
      </c>
      <c r="C1467" s="83" t="s">
        <v>61</v>
      </c>
      <c r="D1467" s="63" t="s">
        <v>115</v>
      </c>
      <c r="E1467" s="64">
        <v>132350</v>
      </c>
      <c r="F1467" s="65" t="s">
        <v>115</v>
      </c>
      <c r="G1467" s="66">
        <f>IF(BD!$E1467="","",(E1467/(H1467*I1467)))</f>
        <v>132350</v>
      </c>
      <c r="H1467" s="67">
        <v>1</v>
      </c>
      <c r="I1467" s="67">
        <v>1</v>
      </c>
      <c r="J1467" s="91" t="str">
        <f t="shared" si="45"/>
        <v>PP050</v>
      </c>
      <c r="K1467" s="92"/>
    </row>
    <row r="1468" spans="1:11">
      <c r="A1468" s="60">
        <f t="shared" si="46"/>
        <v>51</v>
      </c>
      <c r="B1468" s="242" t="s">
        <v>1182</v>
      </c>
      <c r="C1468" s="83" t="s">
        <v>61</v>
      </c>
      <c r="D1468" s="63" t="s">
        <v>115</v>
      </c>
      <c r="E1468" s="64">
        <v>22518.5</v>
      </c>
      <c r="F1468" s="65" t="s">
        <v>115</v>
      </c>
      <c r="G1468" s="66">
        <f>IF(BD!$E1468="","",(E1468/(H1468*I1468)))</f>
        <v>22518.5</v>
      </c>
      <c r="H1468" s="67">
        <v>1</v>
      </c>
      <c r="I1468" s="67">
        <v>1</v>
      </c>
      <c r="J1468" s="91" t="str">
        <f t="shared" si="45"/>
        <v>PP051</v>
      </c>
      <c r="K1468" s="92"/>
    </row>
    <row r="1469" spans="1:11">
      <c r="A1469" s="60">
        <f t="shared" si="46"/>
        <v>52</v>
      </c>
      <c r="B1469" s="242" t="s">
        <v>1183</v>
      </c>
      <c r="C1469" s="83" t="s">
        <v>61</v>
      </c>
      <c r="D1469" s="63" t="s">
        <v>115</v>
      </c>
      <c r="E1469" s="64">
        <v>2242.6</v>
      </c>
      <c r="F1469" s="65" t="s">
        <v>115</v>
      </c>
      <c r="G1469" s="66">
        <f>IF(BD!$E1469="","",(E1469/(H1469*I1469)))</f>
        <v>2242.6</v>
      </c>
      <c r="H1469" s="67">
        <v>1</v>
      </c>
      <c r="I1469" s="67">
        <v>1</v>
      </c>
      <c r="J1469" s="91" t="str">
        <f t="shared" si="45"/>
        <v>PP052</v>
      </c>
      <c r="K1469" s="92"/>
    </row>
    <row r="1470" spans="1:11">
      <c r="A1470" s="60">
        <f t="shared" si="46"/>
        <v>53</v>
      </c>
      <c r="B1470" s="242" t="s">
        <v>1184</v>
      </c>
      <c r="C1470" s="83" t="s">
        <v>61</v>
      </c>
      <c r="D1470" s="63" t="s">
        <v>115</v>
      </c>
      <c r="E1470" s="64">
        <v>1875.65</v>
      </c>
      <c r="F1470" s="65" t="s">
        <v>115</v>
      </c>
      <c r="G1470" s="66">
        <f>IF(BD!$E1470="","",(E1470/(H1470*I1470)))</f>
        <v>1875.65</v>
      </c>
      <c r="H1470" s="67">
        <v>1</v>
      </c>
      <c r="I1470" s="67">
        <v>1</v>
      </c>
      <c r="J1470" s="91" t="str">
        <f t="shared" si="45"/>
        <v>PP053</v>
      </c>
      <c r="K1470" s="92"/>
    </row>
    <row r="1471" ht="45" spans="1:11">
      <c r="A1471" s="60">
        <f t="shared" si="46"/>
        <v>54</v>
      </c>
      <c r="B1471" s="242" t="s">
        <v>1185</v>
      </c>
      <c r="C1471" s="83" t="s">
        <v>61</v>
      </c>
      <c r="D1471" s="63" t="s">
        <v>214</v>
      </c>
      <c r="E1471" s="64">
        <v>3130</v>
      </c>
      <c r="F1471" s="65" t="s">
        <v>214</v>
      </c>
      <c r="G1471" s="66">
        <f>IF(BD!$E1471="","",(E1471/(H1471*I1471)))</f>
        <v>3130</v>
      </c>
      <c r="H1471" s="67">
        <v>1</v>
      </c>
      <c r="I1471" s="67">
        <v>1</v>
      </c>
      <c r="J1471" s="91" t="str">
        <f t="shared" si="45"/>
        <v>PP054</v>
      </c>
      <c r="K1471" s="92"/>
    </row>
    <row r="1472" ht="45" spans="1:11">
      <c r="A1472" s="60">
        <f t="shared" si="46"/>
        <v>55</v>
      </c>
      <c r="B1472" s="242" t="s">
        <v>1186</v>
      </c>
      <c r="C1472" s="83" t="s">
        <v>61</v>
      </c>
      <c r="D1472" s="63" t="s">
        <v>214</v>
      </c>
      <c r="E1472" s="64">
        <v>5010</v>
      </c>
      <c r="F1472" s="65" t="s">
        <v>214</v>
      </c>
      <c r="G1472" s="66">
        <f>IF(BD!$E1472="","",(E1472/(H1472*I1472)))</f>
        <v>5010</v>
      </c>
      <c r="H1472" s="67">
        <v>1</v>
      </c>
      <c r="I1472" s="67">
        <v>1</v>
      </c>
      <c r="J1472" s="91" t="str">
        <f t="shared" si="45"/>
        <v>PP055</v>
      </c>
      <c r="K1472" s="92"/>
    </row>
    <row r="1473" spans="1:11">
      <c r="A1473" s="60">
        <f t="shared" si="46"/>
        <v>56</v>
      </c>
      <c r="B1473" s="242" t="s">
        <v>1187</v>
      </c>
      <c r="C1473" s="83" t="s">
        <v>61</v>
      </c>
      <c r="D1473" s="63" t="s">
        <v>115</v>
      </c>
      <c r="E1473" s="64">
        <v>37950</v>
      </c>
      <c r="F1473" s="65" t="s">
        <v>115</v>
      </c>
      <c r="G1473" s="66">
        <f>IF(BD!$E1473="","",(E1473/(H1473*I1473)))</f>
        <v>37950</v>
      </c>
      <c r="H1473" s="67">
        <v>1</v>
      </c>
      <c r="I1473" s="67">
        <v>1</v>
      </c>
      <c r="J1473" s="91" t="str">
        <f t="shared" si="45"/>
        <v>PP056</v>
      </c>
      <c r="K1473" s="92"/>
    </row>
    <row r="1474" spans="1:11">
      <c r="A1474" s="60">
        <f t="shared" si="46"/>
        <v>57</v>
      </c>
      <c r="B1474" s="242" t="s">
        <v>1188</v>
      </c>
      <c r="C1474" s="83" t="s">
        <v>61</v>
      </c>
      <c r="D1474" s="63" t="s">
        <v>1189</v>
      </c>
      <c r="E1474" s="64">
        <v>17375</v>
      </c>
      <c r="F1474" s="65" t="s">
        <v>1189</v>
      </c>
      <c r="G1474" s="66">
        <f>IF(BD!$E1474="","",(E1474/(H1474*I1474)))</f>
        <v>17375</v>
      </c>
      <c r="H1474" s="67">
        <v>1</v>
      </c>
      <c r="I1474" s="67">
        <v>1</v>
      </c>
      <c r="J1474" s="91" t="str">
        <f t="shared" si="45"/>
        <v>PP057</v>
      </c>
      <c r="K1474" s="92"/>
    </row>
    <row r="1475" spans="1:11">
      <c r="A1475" s="60">
        <f t="shared" si="46"/>
        <v>58</v>
      </c>
      <c r="B1475" s="242" t="s">
        <v>1190</v>
      </c>
      <c r="C1475" s="83" t="s">
        <v>61</v>
      </c>
      <c r="D1475" s="63" t="s">
        <v>258</v>
      </c>
      <c r="E1475" s="64">
        <v>107770</v>
      </c>
      <c r="F1475" s="65" t="s">
        <v>258</v>
      </c>
      <c r="G1475" s="66">
        <f>IF(BD!$E1475="","",(E1475/(H1475*I1475)))</f>
        <v>5388.5</v>
      </c>
      <c r="H1475" s="67">
        <v>20</v>
      </c>
      <c r="I1475" s="67">
        <v>1</v>
      </c>
      <c r="J1475" s="91" t="str">
        <f t="shared" si="45"/>
        <v>PP058</v>
      </c>
      <c r="K1475" s="92"/>
    </row>
    <row r="1476" spans="1:11">
      <c r="A1476" s="60">
        <f t="shared" si="46"/>
        <v>59</v>
      </c>
      <c r="B1476" s="242" t="s">
        <v>1191</v>
      </c>
      <c r="C1476" s="83" t="s">
        <v>61</v>
      </c>
      <c r="D1476" s="63" t="s">
        <v>115</v>
      </c>
      <c r="E1476" s="64">
        <v>2670.76666666667</v>
      </c>
      <c r="F1476" s="65" t="s">
        <v>115</v>
      </c>
      <c r="G1476" s="66">
        <f>IF(BD!$E1476="","",(E1476/(H1476*I1476)))</f>
        <v>2670.76666666667</v>
      </c>
      <c r="H1476" s="67">
        <v>1</v>
      </c>
      <c r="I1476" s="67">
        <v>1</v>
      </c>
      <c r="J1476" s="91" t="str">
        <f t="shared" si="45"/>
        <v>PP059</v>
      </c>
      <c r="K1476" s="92"/>
    </row>
    <row r="1477" spans="1:11">
      <c r="A1477" s="60">
        <f t="shared" si="46"/>
        <v>60</v>
      </c>
      <c r="B1477" s="242" t="s">
        <v>1192</v>
      </c>
      <c r="C1477" s="83" t="s">
        <v>61</v>
      </c>
      <c r="D1477" s="63" t="s">
        <v>214</v>
      </c>
      <c r="E1477" s="64">
        <v>21800</v>
      </c>
      <c r="F1477" s="65" t="s">
        <v>214</v>
      </c>
      <c r="G1477" s="66">
        <f>IF(BD!$E1477="","",(E1477/(H1477*I1477)))</f>
        <v>436</v>
      </c>
      <c r="H1477" s="67">
        <v>50</v>
      </c>
      <c r="I1477" s="67">
        <v>1</v>
      </c>
      <c r="J1477" s="91" t="str">
        <f t="shared" si="45"/>
        <v>PP060</v>
      </c>
      <c r="K1477" s="92"/>
    </row>
    <row r="1478" spans="1:11">
      <c r="A1478" s="60">
        <f t="shared" si="46"/>
        <v>61</v>
      </c>
      <c r="B1478" s="242" t="s">
        <v>1193</v>
      </c>
      <c r="C1478" s="83" t="s">
        <v>61</v>
      </c>
      <c r="D1478" s="63" t="s">
        <v>1092</v>
      </c>
      <c r="E1478" s="64">
        <v>9196.36666666667</v>
      </c>
      <c r="F1478" s="65" t="s">
        <v>261</v>
      </c>
      <c r="G1478" s="66">
        <f>IF(BD!$E1478="","",(E1478/(H1478*I1478)))</f>
        <v>1.31376666666667</v>
      </c>
      <c r="H1478" s="67">
        <v>70</v>
      </c>
      <c r="I1478" s="67">
        <v>100</v>
      </c>
      <c r="J1478" s="91" t="str">
        <f t="shared" si="45"/>
        <v>PP061</v>
      </c>
      <c r="K1478" s="92"/>
    </row>
    <row r="1479" spans="1:11">
      <c r="A1479" s="60">
        <f t="shared" si="46"/>
        <v>62</v>
      </c>
      <c r="B1479" s="242" t="s">
        <v>1194</v>
      </c>
      <c r="C1479" s="83" t="s">
        <v>61</v>
      </c>
      <c r="D1479" s="63" t="s">
        <v>1092</v>
      </c>
      <c r="E1479" s="64">
        <v>9275</v>
      </c>
      <c r="F1479" s="65" t="s">
        <v>1092</v>
      </c>
      <c r="G1479" s="66">
        <f>IF(BD!$E1479="","",(E1479/(H1479*I1479)))</f>
        <v>9275</v>
      </c>
      <c r="H1479" s="67">
        <v>1</v>
      </c>
      <c r="I1479" s="67">
        <v>1</v>
      </c>
      <c r="J1479" s="91" t="str">
        <f t="shared" si="45"/>
        <v>PP062</v>
      </c>
      <c r="K1479" s="92"/>
    </row>
    <row r="1480" spans="1:11">
      <c r="A1480" s="60">
        <f t="shared" si="46"/>
        <v>63</v>
      </c>
      <c r="B1480" s="242" t="s">
        <v>1195</v>
      </c>
      <c r="C1480" s="83" t="s">
        <v>61</v>
      </c>
      <c r="D1480" s="63" t="s">
        <v>115</v>
      </c>
      <c r="E1480" s="64">
        <v>46106.7</v>
      </c>
      <c r="F1480" s="65" t="s">
        <v>115</v>
      </c>
      <c r="G1480" s="66">
        <f>IF(BD!$E1480="","",(E1480/(H1480*I1480)))</f>
        <v>46106.7</v>
      </c>
      <c r="H1480" s="67">
        <v>1</v>
      </c>
      <c r="I1480" s="67">
        <v>1</v>
      </c>
      <c r="J1480" s="91" t="str">
        <f t="shared" si="45"/>
        <v>PP063</v>
      </c>
      <c r="K1480" s="92"/>
    </row>
    <row r="1481" spans="1:11">
      <c r="A1481" s="60">
        <f t="shared" si="46"/>
        <v>64</v>
      </c>
      <c r="B1481" s="242" t="s">
        <v>1196</v>
      </c>
      <c r="C1481" s="83" t="s">
        <v>61</v>
      </c>
      <c r="D1481" s="63" t="s">
        <v>258</v>
      </c>
      <c r="E1481" s="64">
        <v>38155</v>
      </c>
      <c r="F1481" s="65" t="s">
        <v>258</v>
      </c>
      <c r="G1481" s="66">
        <f>IF(BD!$E1481="","",(E1481/(H1481*I1481)))</f>
        <v>763.1</v>
      </c>
      <c r="H1481" s="67">
        <v>50</v>
      </c>
      <c r="I1481" s="67">
        <v>1</v>
      </c>
      <c r="J1481" s="91" t="str">
        <f t="shared" si="45"/>
        <v>PP064</v>
      </c>
      <c r="K1481" s="92"/>
    </row>
    <row r="1482" spans="1:11">
      <c r="A1482" s="60">
        <f t="shared" si="46"/>
        <v>65</v>
      </c>
      <c r="B1482" s="242" t="s">
        <v>1197</v>
      </c>
      <c r="C1482" s="83" t="s">
        <v>61</v>
      </c>
      <c r="D1482" s="63" t="s">
        <v>1092</v>
      </c>
      <c r="E1482" s="64">
        <v>189.5</v>
      </c>
      <c r="F1482" s="65" t="s">
        <v>1092</v>
      </c>
      <c r="G1482" s="66">
        <f>IF(BD!$E1482="","",(E1482/(H1482*I1482)))</f>
        <v>189.5</v>
      </c>
      <c r="H1482" s="67">
        <v>1</v>
      </c>
      <c r="I1482" s="67">
        <v>1</v>
      </c>
      <c r="J1482" s="91" t="str">
        <f t="shared" ref="J1482:J1499" si="47">CONCATENATE(LEFT(C1482,1),MID(C1482,SEARCH("_",C1482)+1,2),TEXT(A1482,"000"))</f>
        <v>PP065</v>
      </c>
      <c r="K1482" s="92"/>
    </row>
    <row r="1483" spans="1:11">
      <c r="A1483" s="60">
        <f t="shared" ref="A1483:A1499" si="48">A1482+1</f>
        <v>66</v>
      </c>
      <c r="B1483" s="242" t="s">
        <v>1198</v>
      </c>
      <c r="C1483" s="83" t="s">
        <v>61</v>
      </c>
      <c r="D1483" s="63" t="s">
        <v>115</v>
      </c>
      <c r="E1483" s="64">
        <v>13585</v>
      </c>
      <c r="F1483" s="65" t="s">
        <v>115</v>
      </c>
      <c r="G1483" s="66">
        <f>IF(BD!$E1483="","",(E1483/(H1483*I1483)))</f>
        <v>13585</v>
      </c>
      <c r="H1483" s="67">
        <v>1</v>
      </c>
      <c r="I1483" s="67">
        <v>1</v>
      </c>
      <c r="J1483" s="91" t="str">
        <f t="shared" si="47"/>
        <v>PP066</v>
      </c>
      <c r="K1483" s="92"/>
    </row>
    <row r="1484" spans="1:11">
      <c r="A1484" s="60">
        <f t="shared" si="48"/>
        <v>67</v>
      </c>
      <c r="B1484" s="242" t="s">
        <v>1199</v>
      </c>
      <c r="C1484" s="83" t="s">
        <v>61</v>
      </c>
      <c r="D1484" s="63" t="s">
        <v>1200</v>
      </c>
      <c r="E1484" s="64">
        <v>5850</v>
      </c>
      <c r="F1484" s="65" t="s">
        <v>1200</v>
      </c>
      <c r="G1484" s="66">
        <f>IF(BD!$E1484="","",(E1484/(H1484*I1484)))</f>
        <v>5850</v>
      </c>
      <c r="H1484" s="67">
        <v>1</v>
      </c>
      <c r="I1484" s="67">
        <v>1</v>
      </c>
      <c r="J1484" s="91" t="str">
        <f t="shared" si="47"/>
        <v>PP067</v>
      </c>
      <c r="K1484" s="92"/>
    </row>
    <row r="1485" spans="1:11">
      <c r="A1485" s="60">
        <f t="shared" si="48"/>
        <v>68</v>
      </c>
      <c r="B1485" s="242" t="s">
        <v>1201</v>
      </c>
      <c r="C1485" s="83" t="s">
        <v>61</v>
      </c>
      <c r="D1485" s="63" t="s">
        <v>115</v>
      </c>
      <c r="E1485" s="64">
        <v>25650</v>
      </c>
      <c r="F1485" s="65" t="s">
        <v>115</v>
      </c>
      <c r="G1485" s="66">
        <f>IF(BD!$E1485="","",(E1485/(H1485*I1485)))</f>
        <v>25650</v>
      </c>
      <c r="H1485" s="67">
        <v>1</v>
      </c>
      <c r="I1485" s="67">
        <v>1</v>
      </c>
      <c r="J1485" s="91" t="str">
        <f t="shared" si="47"/>
        <v>PP068</v>
      </c>
      <c r="K1485" s="92"/>
    </row>
    <row r="1486" spans="1:11">
      <c r="A1486" s="60">
        <f t="shared" si="48"/>
        <v>69</v>
      </c>
      <c r="B1486" s="242" t="s">
        <v>1202</v>
      </c>
      <c r="C1486" s="83" t="s">
        <v>61</v>
      </c>
      <c r="D1486" s="63" t="s">
        <v>115</v>
      </c>
      <c r="E1486" s="64">
        <v>2760</v>
      </c>
      <c r="F1486" s="65" t="s">
        <v>115</v>
      </c>
      <c r="G1486" s="66">
        <f>IF(BD!$E1486="","",(E1486/(H1486*I1486)))</f>
        <v>2760</v>
      </c>
      <c r="H1486" s="67">
        <v>1</v>
      </c>
      <c r="I1486" s="67">
        <v>1</v>
      </c>
      <c r="J1486" s="91" t="str">
        <f t="shared" si="47"/>
        <v>PP069</v>
      </c>
      <c r="K1486" s="92"/>
    </row>
    <row r="1487" spans="1:11">
      <c r="A1487" s="60">
        <f t="shared" si="48"/>
        <v>70</v>
      </c>
      <c r="B1487" s="242" t="s">
        <v>1203</v>
      </c>
      <c r="C1487" s="83" t="s">
        <v>61</v>
      </c>
      <c r="D1487" s="63" t="s">
        <v>115</v>
      </c>
      <c r="E1487" s="64">
        <v>109000</v>
      </c>
      <c r="F1487" s="65" t="s">
        <v>115</v>
      </c>
      <c r="G1487" s="66">
        <f>IF(BD!$E1487="","",(E1487/(H1487*I1487)))</f>
        <v>109000</v>
      </c>
      <c r="H1487" s="67">
        <v>1</v>
      </c>
      <c r="I1487" s="67">
        <v>1</v>
      </c>
      <c r="J1487" s="91" t="str">
        <f t="shared" si="47"/>
        <v>PP070</v>
      </c>
      <c r="K1487" s="92"/>
    </row>
    <row r="1488" spans="1:11">
      <c r="A1488" s="60">
        <f t="shared" si="48"/>
        <v>71</v>
      </c>
      <c r="B1488" s="242" t="s">
        <v>1204</v>
      </c>
      <c r="C1488" s="83" t="s">
        <v>61</v>
      </c>
      <c r="D1488" s="63" t="s">
        <v>115</v>
      </c>
      <c r="E1488" s="64">
        <v>758.332335329341</v>
      </c>
      <c r="F1488" s="65" t="s">
        <v>115</v>
      </c>
      <c r="G1488" s="66">
        <f>IF(BD!$E1488="","",(E1488/(H1488*I1488)))</f>
        <v>758.332335329341</v>
      </c>
      <c r="H1488" s="67">
        <v>1</v>
      </c>
      <c r="I1488" s="67">
        <v>1</v>
      </c>
      <c r="J1488" s="91" t="str">
        <f t="shared" si="47"/>
        <v>PP071</v>
      </c>
      <c r="K1488" s="92"/>
    </row>
    <row r="1489" spans="1:11">
      <c r="A1489" s="60">
        <f t="shared" si="48"/>
        <v>72</v>
      </c>
      <c r="B1489" s="242" t="s">
        <v>1205</v>
      </c>
      <c r="C1489" s="83" t="s">
        <v>61</v>
      </c>
      <c r="D1489" s="63" t="s">
        <v>115</v>
      </c>
      <c r="E1489" s="64">
        <v>2233.3</v>
      </c>
      <c r="F1489" s="65" t="s">
        <v>115</v>
      </c>
      <c r="G1489" s="66">
        <f>IF(BD!$E1489="","",(E1489/(H1489*I1489)))</f>
        <v>2233.3</v>
      </c>
      <c r="H1489" s="67">
        <v>1</v>
      </c>
      <c r="I1489" s="67">
        <v>1</v>
      </c>
      <c r="J1489" s="91" t="str">
        <f t="shared" si="47"/>
        <v>PP072</v>
      </c>
      <c r="K1489" s="92"/>
    </row>
    <row r="1490" spans="1:11">
      <c r="A1490" s="60">
        <f t="shared" si="48"/>
        <v>73</v>
      </c>
      <c r="B1490" s="242" t="s">
        <v>1206</v>
      </c>
      <c r="C1490" s="83" t="s">
        <v>61</v>
      </c>
      <c r="D1490" s="63" t="s">
        <v>115</v>
      </c>
      <c r="E1490" s="64">
        <v>17680</v>
      </c>
      <c r="F1490" s="65" t="s">
        <v>115</v>
      </c>
      <c r="G1490" s="66">
        <f>IF(BD!$E1490="","",(E1490/(H1490*I1490)))</f>
        <v>17680</v>
      </c>
      <c r="H1490" s="67">
        <v>1</v>
      </c>
      <c r="I1490" s="67">
        <v>1</v>
      </c>
      <c r="J1490" s="91" t="str">
        <f t="shared" si="47"/>
        <v>PP073</v>
      </c>
      <c r="K1490" s="92"/>
    </row>
    <row r="1491" spans="1:11">
      <c r="A1491" s="60">
        <f t="shared" si="48"/>
        <v>74</v>
      </c>
      <c r="B1491" s="242" t="s">
        <v>1207</v>
      </c>
      <c r="C1491" s="83" t="s">
        <v>61</v>
      </c>
      <c r="D1491" s="63" t="s">
        <v>115</v>
      </c>
      <c r="E1491" s="64">
        <v>16710</v>
      </c>
      <c r="F1491" s="65" t="s">
        <v>115</v>
      </c>
      <c r="G1491" s="66">
        <f>IF(BD!$E1491="","",(E1491/(H1491*I1491)))</f>
        <v>16710</v>
      </c>
      <c r="H1491" s="67">
        <v>1</v>
      </c>
      <c r="I1491" s="67">
        <v>1</v>
      </c>
      <c r="J1491" s="91" t="str">
        <f t="shared" si="47"/>
        <v>PP074</v>
      </c>
      <c r="K1491" s="92"/>
    </row>
    <row r="1492" ht="30" spans="1:11">
      <c r="A1492" s="60">
        <f t="shared" si="48"/>
        <v>75</v>
      </c>
      <c r="B1492" s="61" t="s">
        <v>1208</v>
      </c>
      <c r="C1492" s="83" t="s">
        <v>61</v>
      </c>
      <c r="D1492" s="63" t="s">
        <v>115</v>
      </c>
      <c r="E1492" s="64">
        <v>1270000</v>
      </c>
      <c r="F1492" s="65" t="s">
        <v>115</v>
      </c>
      <c r="G1492" s="66">
        <f>IF(BD!$E1499="","",(E1492/(H1492*I1492)))</f>
        <v>1270000</v>
      </c>
      <c r="H1492" s="67">
        <v>1</v>
      </c>
      <c r="I1492" s="67">
        <v>1</v>
      </c>
      <c r="J1492" s="91" t="str">
        <f t="shared" si="47"/>
        <v>PP075</v>
      </c>
      <c r="K1492" s="92"/>
    </row>
    <row r="1493" spans="1:11">
      <c r="A1493" s="60">
        <f t="shared" si="48"/>
        <v>76</v>
      </c>
      <c r="B1493" s="242" t="s">
        <v>1209</v>
      </c>
      <c r="C1493" s="83" t="s">
        <v>61</v>
      </c>
      <c r="D1493" s="63" t="s">
        <v>115</v>
      </c>
      <c r="E1493" s="64">
        <v>4120</v>
      </c>
      <c r="F1493" s="65" t="s">
        <v>115</v>
      </c>
      <c r="G1493" s="66">
        <f>IF(BD!$E1492="","",(E1493/(H1493*I1493)))</f>
        <v>4120</v>
      </c>
      <c r="H1493" s="67">
        <v>1</v>
      </c>
      <c r="I1493" s="67">
        <v>1</v>
      </c>
      <c r="J1493" s="91" t="str">
        <f t="shared" si="47"/>
        <v>PP076</v>
      </c>
      <c r="K1493" s="92"/>
    </row>
    <row r="1494" ht="30" spans="1:11">
      <c r="A1494" s="60">
        <f t="shared" si="48"/>
        <v>77</v>
      </c>
      <c r="B1494" s="242" t="s">
        <v>1210</v>
      </c>
      <c r="C1494" s="83" t="s">
        <v>61</v>
      </c>
      <c r="D1494" s="63" t="s">
        <v>222</v>
      </c>
      <c r="E1494" s="64">
        <v>45500</v>
      </c>
      <c r="F1494" s="65" t="s">
        <v>222</v>
      </c>
      <c r="G1494" s="66">
        <f>IF(BD!$E1493="","",(E1494/(H1494*I1494)))</f>
        <v>45500</v>
      </c>
      <c r="H1494" s="67">
        <v>1</v>
      </c>
      <c r="I1494" s="67">
        <v>1</v>
      </c>
      <c r="J1494" s="91" t="str">
        <f t="shared" si="47"/>
        <v>PP077</v>
      </c>
      <c r="K1494" s="92"/>
    </row>
    <row r="1495" spans="1:11">
      <c r="A1495" s="60">
        <f t="shared" si="48"/>
        <v>78</v>
      </c>
      <c r="B1495" s="242" t="s">
        <v>1211</v>
      </c>
      <c r="C1495" s="83" t="s">
        <v>61</v>
      </c>
      <c r="D1495" s="63" t="s">
        <v>222</v>
      </c>
      <c r="E1495" s="64">
        <v>44156.6666666667</v>
      </c>
      <c r="F1495" s="65" t="s">
        <v>222</v>
      </c>
      <c r="G1495" s="66">
        <f>IF(BD!$E1494="","",(E1495/(H1495*I1495)))</f>
        <v>44156.6666666667</v>
      </c>
      <c r="H1495" s="67">
        <v>1</v>
      </c>
      <c r="I1495" s="67">
        <v>1</v>
      </c>
      <c r="J1495" s="91" t="str">
        <f t="shared" si="47"/>
        <v>PP078</v>
      </c>
      <c r="K1495" s="92"/>
    </row>
    <row r="1496" spans="1:11">
      <c r="A1496" s="60">
        <f t="shared" si="48"/>
        <v>79</v>
      </c>
      <c r="B1496" s="242" t="s">
        <v>1212</v>
      </c>
      <c r="C1496" s="83" t="s">
        <v>61</v>
      </c>
      <c r="D1496" s="63" t="s">
        <v>222</v>
      </c>
      <c r="E1496" s="64">
        <v>43333.3333333333</v>
      </c>
      <c r="F1496" s="65" t="s">
        <v>222</v>
      </c>
      <c r="G1496" s="66">
        <f>IF(BD!$E1495="","",(E1496/(H1496*I1496)))</f>
        <v>43333.3333333333</v>
      </c>
      <c r="H1496" s="67">
        <v>1</v>
      </c>
      <c r="I1496" s="67">
        <v>1</v>
      </c>
      <c r="J1496" s="91" t="str">
        <f t="shared" si="47"/>
        <v>PP079</v>
      </c>
      <c r="K1496" s="92"/>
    </row>
    <row r="1497" spans="1:11">
      <c r="A1497" s="60">
        <f t="shared" si="48"/>
        <v>80</v>
      </c>
      <c r="B1497" s="242" t="s">
        <v>1213</v>
      </c>
      <c r="C1497" s="83" t="s">
        <v>61</v>
      </c>
      <c r="D1497" s="63" t="s">
        <v>115</v>
      </c>
      <c r="E1497" s="64">
        <v>2860</v>
      </c>
      <c r="F1497" s="65" t="s">
        <v>115</v>
      </c>
      <c r="G1497" s="66">
        <f>IF(BD!$E1496="","",(E1497/(H1497*I1497)))</f>
        <v>2860</v>
      </c>
      <c r="H1497" s="67">
        <v>1</v>
      </c>
      <c r="I1497" s="67">
        <v>1</v>
      </c>
      <c r="J1497" s="91" t="str">
        <f t="shared" si="47"/>
        <v>PP080</v>
      </c>
      <c r="K1497" s="92"/>
    </row>
    <row r="1498" spans="1:11">
      <c r="A1498" s="60">
        <f t="shared" si="48"/>
        <v>81</v>
      </c>
      <c r="B1498" s="246" t="s">
        <v>1214</v>
      </c>
      <c r="C1498" s="83" t="s">
        <v>61</v>
      </c>
      <c r="D1498" s="221" t="s">
        <v>115</v>
      </c>
      <c r="E1498" s="108">
        <v>212420</v>
      </c>
      <c r="F1498" s="109" t="s">
        <v>115</v>
      </c>
      <c r="G1498" s="66">
        <f>IF(BD!$E1497="","",(E1498/(H1498*I1498)))</f>
        <v>212420</v>
      </c>
      <c r="H1498" s="67">
        <v>1</v>
      </c>
      <c r="I1498" s="67">
        <v>1</v>
      </c>
      <c r="J1498" s="91" t="str">
        <f t="shared" si="47"/>
        <v>PP081</v>
      </c>
      <c r="K1498" s="92"/>
    </row>
    <row r="1499" spans="1:11">
      <c r="A1499" s="60">
        <f t="shared" si="48"/>
        <v>82</v>
      </c>
      <c r="B1499" s="242" t="s">
        <v>1215</v>
      </c>
      <c r="C1499" s="83" t="s">
        <v>61</v>
      </c>
      <c r="D1499" s="63" t="s">
        <v>115</v>
      </c>
      <c r="E1499" s="64">
        <v>245960</v>
      </c>
      <c r="F1499" s="65" t="s">
        <v>115</v>
      </c>
      <c r="G1499" s="66">
        <f>IF(BD!$E1498="","",(E1499/(H1499*I1499)))</f>
        <v>245960</v>
      </c>
      <c r="H1499" s="67">
        <v>1</v>
      </c>
      <c r="I1499" s="67">
        <v>1</v>
      </c>
      <c r="J1499" s="91" t="str">
        <f t="shared" si="47"/>
        <v>PP082</v>
      </c>
      <c r="K1499" s="92"/>
    </row>
    <row r="1500" spans="2:9">
      <c r="B1500"/>
      <c r="C1500"/>
      <c r="D1500"/>
      <c r="E1500"/>
      <c r="F1500" s="74"/>
      <c r="H1500"/>
      <c r="I1500"/>
    </row>
    <row r="1501" spans="2:9">
      <c r="B1501"/>
      <c r="C1501"/>
      <c r="D1501"/>
      <c r="E1501"/>
      <c r="F1501" s="74"/>
      <c r="H1501"/>
      <c r="I1501"/>
    </row>
    <row r="1502" spans="2:9">
      <c r="B1502"/>
      <c r="C1502"/>
      <c r="D1502"/>
      <c r="E1502"/>
      <c r="F1502" s="74"/>
      <c r="H1502"/>
      <c r="I1502"/>
    </row>
    <row r="1503" spans="2:9">
      <c r="B1503"/>
      <c r="C1503"/>
      <c r="D1503"/>
      <c r="E1503"/>
      <c r="F1503" s="74"/>
      <c r="H1503"/>
      <c r="I1503"/>
    </row>
    <row r="1504" spans="2:9">
      <c r="B1504"/>
      <c r="C1504"/>
      <c r="D1504"/>
      <c r="E1504"/>
      <c r="F1504" s="74"/>
      <c r="H1504"/>
      <c r="I1504"/>
    </row>
    <row r="1505" spans="2:9">
      <c r="B1505"/>
      <c r="C1505"/>
      <c r="D1505"/>
      <c r="E1505"/>
      <c r="F1505" s="74"/>
      <c r="H1505"/>
      <c r="I1505"/>
    </row>
    <row r="1506" spans="2:9">
      <c r="B1506"/>
      <c r="C1506"/>
      <c r="D1506"/>
      <c r="E1506"/>
      <c r="F1506" s="74"/>
      <c r="H1506"/>
      <c r="I1506"/>
    </row>
    <row r="1507" ht="15.75" spans="1:10">
      <c r="A1507" s="25"/>
      <c r="B1507" s="75" t="s">
        <v>126</v>
      </c>
      <c r="C1507" s="25"/>
      <c r="D1507" s="25"/>
      <c r="E1507" s="25"/>
      <c r="F1507" s="76"/>
      <c r="G1507" s="25"/>
      <c r="H1507" s="25"/>
      <c r="I1507" s="25"/>
      <c r="J1507" s="25"/>
    </row>
    <row r="1508" spans="2:9">
      <c r="B1508"/>
      <c r="C1508"/>
      <c r="D1508"/>
      <c r="E1508"/>
      <c r="F1508" s="74"/>
      <c r="H1508"/>
      <c r="I1508"/>
    </row>
    <row r="1510" ht="28.5" customHeight="1" spans="1:9">
      <c r="A1510" s="247" t="s">
        <v>96</v>
      </c>
      <c r="B1510" s="248">
        <f>SUBTOTAL(3,(B1512:B1597))</f>
        <v>86</v>
      </c>
      <c r="C1510" s="128"/>
      <c r="D1510" s="128"/>
      <c r="E1510"/>
      <c r="F1510" s="74"/>
      <c r="H1510"/>
      <c r="I1510"/>
    </row>
    <row r="1511" ht="47.25" spans="1:11">
      <c r="A1511" s="249" t="s">
        <v>79</v>
      </c>
      <c r="B1511" s="250" t="s">
        <v>98</v>
      </c>
      <c r="C1511" s="251" t="s">
        <v>99</v>
      </c>
      <c r="D1511" s="99" t="s">
        <v>100</v>
      </c>
      <c r="E1511" s="57" t="s">
        <v>101</v>
      </c>
      <c r="F1511" s="252" t="s">
        <v>102</v>
      </c>
      <c r="G1511" s="253" t="s">
        <v>103</v>
      </c>
      <c r="H1511" s="254" t="s">
        <v>104</v>
      </c>
      <c r="I1511" s="254" t="s">
        <v>105</v>
      </c>
      <c r="J1511" s="263" t="s">
        <v>106</v>
      </c>
      <c r="K1511" s="264" t="s">
        <v>107</v>
      </c>
    </row>
    <row r="1512" spans="1:10">
      <c r="A1512" s="186">
        <v>1</v>
      </c>
      <c r="B1512" s="255" t="s">
        <v>1216</v>
      </c>
      <c r="C1512" s="256" t="s">
        <v>1217</v>
      </c>
      <c r="D1512" s="257" t="s">
        <v>109</v>
      </c>
      <c r="E1512" s="258"/>
      <c r="F1512" s="259" t="s">
        <v>109</v>
      </c>
      <c r="G1512" s="22"/>
      <c r="H1512" s="219"/>
      <c r="I1512" s="219"/>
      <c r="J1512" s="36"/>
    </row>
    <row r="1513" spans="1:10">
      <c r="A1513" s="186">
        <f>A1512+1</f>
        <v>2</v>
      </c>
      <c r="B1513" s="255" t="s">
        <v>1218</v>
      </c>
      <c r="C1513" s="256" t="s">
        <v>1217</v>
      </c>
      <c r="D1513" s="260" t="s">
        <v>109</v>
      </c>
      <c r="E1513" s="258"/>
      <c r="F1513" s="261" t="s">
        <v>109</v>
      </c>
      <c r="G1513" s="86"/>
      <c r="H1513" s="262"/>
      <c r="I1513" s="262"/>
      <c r="J1513" s="180"/>
    </row>
    <row r="1514" spans="1:10">
      <c r="A1514" s="186">
        <f t="shared" ref="A1514:A1577" si="49">A1513+1</f>
        <v>3</v>
      </c>
      <c r="B1514" s="255" t="s">
        <v>1219</v>
      </c>
      <c r="C1514" s="256" t="s">
        <v>1217</v>
      </c>
      <c r="D1514" s="260" t="s">
        <v>1220</v>
      </c>
      <c r="E1514" s="258"/>
      <c r="F1514" s="261" t="s">
        <v>1220</v>
      </c>
      <c r="G1514" s="86"/>
      <c r="H1514" s="262"/>
      <c r="I1514" s="262"/>
      <c r="J1514" s="180"/>
    </row>
    <row r="1515" spans="1:10">
      <c r="A1515" s="186">
        <f t="shared" si="49"/>
        <v>4</v>
      </c>
      <c r="B1515" s="255" t="s">
        <v>1221</v>
      </c>
      <c r="C1515" s="256" t="s">
        <v>1217</v>
      </c>
      <c r="D1515" s="257" t="s">
        <v>109</v>
      </c>
      <c r="E1515" s="258"/>
      <c r="F1515" s="259" t="s">
        <v>109</v>
      </c>
      <c r="G1515" s="22"/>
      <c r="H1515" s="219"/>
      <c r="I1515" s="219"/>
      <c r="J1515" s="36"/>
    </row>
    <row r="1516" spans="1:10">
      <c r="A1516" s="186">
        <f t="shared" si="49"/>
        <v>5</v>
      </c>
      <c r="B1516" s="255" t="s">
        <v>1222</v>
      </c>
      <c r="C1516" s="256" t="s">
        <v>1217</v>
      </c>
      <c r="D1516" s="260" t="s">
        <v>109</v>
      </c>
      <c r="E1516" s="258"/>
      <c r="F1516" s="261" t="s">
        <v>109</v>
      </c>
      <c r="G1516" s="86"/>
      <c r="H1516" s="262"/>
      <c r="I1516" s="262"/>
      <c r="J1516" s="180"/>
    </row>
    <row r="1517" spans="1:10">
      <c r="A1517" s="186">
        <f t="shared" si="49"/>
        <v>6</v>
      </c>
      <c r="B1517" s="255" t="s">
        <v>1223</v>
      </c>
      <c r="C1517" s="256" t="s">
        <v>1217</v>
      </c>
      <c r="D1517" s="260" t="s">
        <v>109</v>
      </c>
      <c r="E1517" s="258"/>
      <c r="F1517" s="261" t="s">
        <v>109</v>
      </c>
      <c r="G1517" s="86"/>
      <c r="H1517" s="262"/>
      <c r="I1517" s="262"/>
      <c r="J1517" s="180"/>
    </row>
    <row r="1518" spans="1:10">
      <c r="A1518" s="186">
        <f t="shared" si="49"/>
        <v>7</v>
      </c>
      <c r="B1518" s="255" t="s">
        <v>1224</v>
      </c>
      <c r="C1518" s="256" t="s">
        <v>1217</v>
      </c>
      <c r="D1518" s="257" t="s">
        <v>109</v>
      </c>
      <c r="E1518" s="258"/>
      <c r="F1518" s="259" t="s">
        <v>109</v>
      </c>
      <c r="G1518" s="22"/>
      <c r="H1518" s="219"/>
      <c r="I1518" s="219"/>
      <c r="J1518" s="36"/>
    </row>
    <row r="1519" spans="1:10">
      <c r="A1519" s="186">
        <f t="shared" si="49"/>
        <v>8</v>
      </c>
      <c r="B1519" s="255" t="s">
        <v>1225</v>
      </c>
      <c r="C1519" s="256" t="s">
        <v>1217</v>
      </c>
      <c r="D1519" s="257" t="s">
        <v>110</v>
      </c>
      <c r="E1519" s="258"/>
      <c r="F1519" s="259" t="s">
        <v>110</v>
      </c>
      <c r="G1519" s="22"/>
      <c r="H1519" s="219"/>
      <c r="I1519" s="219"/>
      <c r="J1519" s="36"/>
    </row>
    <row r="1520" spans="1:10">
      <c r="A1520" s="186">
        <f t="shared" si="49"/>
        <v>9</v>
      </c>
      <c r="B1520" s="255" t="s">
        <v>1226</v>
      </c>
      <c r="C1520" s="256" t="s">
        <v>1217</v>
      </c>
      <c r="D1520" s="260" t="s">
        <v>482</v>
      </c>
      <c r="E1520" s="258"/>
      <c r="F1520" s="261" t="s">
        <v>482</v>
      </c>
      <c r="G1520" s="86"/>
      <c r="H1520" s="262"/>
      <c r="I1520" s="262"/>
      <c r="J1520" s="180"/>
    </row>
    <row r="1521" spans="1:10">
      <c r="A1521" s="186">
        <f t="shared" si="49"/>
        <v>10</v>
      </c>
      <c r="B1521" s="255" t="s">
        <v>1227</v>
      </c>
      <c r="C1521" s="256" t="s">
        <v>1217</v>
      </c>
      <c r="D1521" s="257" t="s">
        <v>1220</v>
      </c>
      <c r="E1521" s="258"/>
      <c r="F1521" s="259" t="s">
        <v>1220</v>
      </c>
      <c r="G1521" s="22"/>
      <c r="H1521" s="219"/>
      <c r="I1521" s="219"/>
      <c r="J1521" s="36"/>
    </row>
    <row r="1522" spans="1:10">
      <c r="A1522" s="186">
        <f t="shared" si="49"/>
        <v>11</v>
      </c>
      <c r="B1522" s="255" t="s">
        <v>1228</v>
      </c>
      <c r="C1522" s="256" t="s">
        <v>1217</v>
      </c>
      <c r="D1522" s="257" t="s">
        <v>109</v>
      </c>
      <c r="E1522" s="258"/>
      <c r="F1522" s="259" t="s">
        <v>109</v>
      </c>
      <c r="G1522" s="22"/>
      <c r="H1522" s="219"/>
      <c r="I1522" s="219"/>
      <c r="J1522" s="36"/>
    </row>
    <row r="1523" spans="1:10">
      <c r="A1523" s="186">
        <f t="shared" si="49"/>
        <v>12</v>
      </c>
      <c r="B1523" s="255" t="s">
        <v>1229</v>
      </c>
      <c r="C1523" s="256" t="s">
        <v>1217</v>
      </c>
      <c r="D1523" s="260" t="s">
        <v>1220</v>
      </c>
      <c r="E1523" s="258"/>
      <c r="F1523" s="261" t="s">
        <v>1220</v>
      </c>
      <c r="G1523" s="22"/>
      <c r="H1523" s="219"/>
      <c r="I1523" s="219"/>
      <c r="J1523" s="36"/>
    </row>
    <row r="1524" spans="1:10">
      <c r="A1524" s="186">
        <f t="shared" si="49"/>
        <v>13</v>
      </c>
      <c r="B1524" s="255" t="s">
        <v>1230</v>
      </c>
      <c r="C1524" s="256" t="s">
        <v>1217</v>
      </c>
      <c r="D1524" s="257" t="s">
        <v>110</v>
      </c>
      <c r="E1524" s="258"/>
      <c r="F1524" s="259" t="s">
        <v>110</v>
      </c>
      <c r="G1524" s="22"/>
      <c r="H1524" s="219"/>
      <c r="I1524" s="219"/>
      <c r="J1524" s="36"/>
    </row>
    <row r="1525" spans="1:10">
      <c r="A1525" s="186">
        <f t="shared" si="49"/>
        <v>14</v>
      </c>
      <c r="B1525" s="255" t="s">
        <v>1231</v>
      </c>
      <c r="C1525" s="256" t="s">
        <v>1217</v>
      </c>
      <c r="D1525" s="257" t="s">
        <v>109</v>
      </c>
      <c r="E1525" s="258"/>
      <c r="F1525" s="259" t="s">
        <v>109</v>
      </c>
      <c r="G1525" s="22"/>
      <c r="H1525" s="219"/>
      <c r="I1525" s="219"/>
      <c r="J1525" s="36"/>
    </row>
    <row r="1526" spans="1:10">
      <c r="A1526" s="186">
        <f t="shared" si="49"/>
        <v>15</v>
      </c>
      <c r="B1526" s="255" t="s">
        <v>1232</v>
      </c>
      <c r="C1526" s="256" t="s">
        <v>1217</v>
      </c>
      <c r="D1526" s="260" t="s">
        <v>109</v>
      </c>
      <c r="E1526" s="258"/>
      <c r="F1526" s="261" t="s">
        <v>109</v>
      </c>
      <c r="G1526" s="86"/>
      <c r="H1526" s="262"/>
      <c r="I1526" s="262"/>
      <c r="J1526" s="180"/>
    </row>
    <row r="1527" spans="1:10">
      <c r="A1527" s="186">
        <f t="shared" si="49"/>
        <v>16</v>
      </c>
      <c r="B1527" s="255" t="s">
        <v>1233</v>
      </c>
      <c r="C1527" s="256" t="s">
        <v>1217</v>
      </c>
      <c r="D1527" s="260" t="s">
        <v>109</v>
      </c>
      <c r="E1527" s="258"/>
      <c r="F1527" s="261" t="s">
        <v>109</v>
      </c>
      <c r="G1527" s="86"/>
      <c r="H1527" s="262"/>
      <c r="I1527" s="262"/>
      <c r="J1527" s="180"/>
    </row>
    <row r="1528" spans="1:10">
      <c r="A1528" s="186">
        <f t="shared" si="49"/>
        <v>17</v>
      </c>
      <c r="B1528" s="255" t="s">
        <v>1234</v>
      </c>
      <c r="C1528" s="256" t="s">
        <v>1217</v>
      </c>
      <c r="D1528" s="260" t="s">
        <v>482</v>
      </c>
      <c r="E1528" s="258"/>
      <c r="F1528" s="261" t="s">
        <v>482</v>
      </c>
      <c r="G1528" s="86"/>
      <c r="H1528" s="262"/>
      <c r="I1528" s="262"/>
      <c r="J1528" s="180"/>
    </row>
    <row r="1529" spans="1:10">
      <c r="A1529" s="186">
        <f t="shared" si="49"/>
        <v>18</v>
      </c>
      <c r="B1529" s="255" t="s">
        <v>1235</v>
      </c>
      <c r="C1529" s="256" t="s">
        <v>1217</v>
      </c>
      <c r="D1529" s="260" t="s">
        <v>109</v>
      </c>
      <c r="E1529" s="258"/>
      <c r="F1529" s="261" t="s">
        <v>109</v>
      </c>
      <c r="G1529" s="86"/>
      <c r="H1529" s="262"/>
      <c r="I1529" s="262"/>
      <c r="J1529" s="180"/>
    </row>
    <row r="1530" spans="1:10">
      <c r="A1530" s="186">
        <f t="shared" si="49"/>
        <v>19</v>
      </c>
      <c r="B1530" s="255" t="s">
        <v>1236</v>
      </c>
      <c r="C1530" s="256" t="s">
        <v>1217</v>
      </c>
      <c r="D1530" s="260" t="s">
        <v>482</v>
      </c>
      <c r="E1530" s="258"/>
      <c r="F1530" s="261" t="s">
        <v>482</v>
      </c>
      <c r="G1530" s="86"/>
      <c r="H1530" s="262"/>
      <c r="I1530" s="262"/>
      <c r="J1530" s="180"/>
    </row>
    <row r="1531" spans="1:10">
      <c r="A1531" s="186">
        <f t="shared" si="49"/>
        <v>20</v>
      </c>
      <c r="B1531" s="255" t="s">
        <v>1237</v>
      </c>
      <c r="C1531" s="256" t="s">
        <v>1217</v>
      </c>
      <c r="D1531" s="260" t="s">
        <v>1052</v>
      </c>
      <c r="E1531" s="258"/>
      <c r="F1531" s="261" t="s">
        <v>1052</v>
      </c>
      <c r="G1531" s="86"/>
      <c r="H1531" s="262"/>
      <c r="I1531" s="262"/>
      <c r="J1531" s="180"/>
    </row>
    <row r="1532" spans="1:10">
      <c r="A1532" s="186">
        <f t="shared" si="49"/>
        <v>21</v>
      </c>
      <c r="B1532" s="255" t="s">
        <v>1238</v>
      </c>
      <c r="C1532" s="256" t="s">
        <v>1217</v>
      </c>
      <c r="D1532" s="260" t="s">
        <v>482</v>
      </c>
      <c r="E1532" s="258"/>
      <c r="F1532" s="261" t="s">
        <v>482</v>
      </c>
      <c r="G1532" s="86"/>
      <c r="H1532" s="262"/>
      <c r="I1532" s="262"/>
      <c r="J1532" s="180"/>
    </row>
    <row r="1533" spans="1:10">
      <c r="A1533" s="186">
        <f t="shared" si="49"/>
        <v>22</v>
      </c>
      <c r="B1533" s="255" t="s">
        <v>1239</v>
      </c>
      <c r="C1533" s="256" t="s">
        <v>1217</v>
      </c>
      <c r="D1533" s="260" t="s">
        <v>110</v>
      </c>
      <c r="E1533" s="258"/>
      <c r="F1533" s="261" t="s">
        <v>110</v>
      </c>
      <c r="G1533" s="86"/>
      <c r="H1533" s="262"/>
      <c r="I1533" s="262"/>
      <c r="J1533" s="180"/>
    </row>
    <row r="1534" spans="1:10">
      <c r="A1534" s="186">
        <f t="shared" si="49"/>
        <v>23</v>
      </c>
      <c r="B1534" s="255" t="s">
        <v>1240</v>
      </c>
      <c r="C1534" s="256" t="s">
        <v>1217</v>
      </c>
      <c r="D1534" s="260" t="s">
        <v>1052</v>
      </c>
      <c r="E1534" s="258"/>
      <c r="F1534" s="261" t="s">
        <v>1052</v>
      </c>
      <c r="G1534" s="86"/>
      <c r="H1534" s="262"/>
      <c r="I1534" s="262"/>
      <c r="J1534" s="180"/>
    </row>
    <row r="1535" spans="1:10">
      <c r="A1535" s="186">
        <f t="shared" si="49"/>
        <v>24</v>
      </c>
      <c r="B1535" s="255" t="s">
        <v>1241</v>
      </c>
      <c r="C1535" s="256" t="s">
        <v>1217</v>
      </c>
      <c r="D1535" s="257" t="s">
        <v>482</v>
      </c>
      <c r="E1535" s="258"/>
      <c r="F1535" s="259" t="s">
        <v>482</v>
      </c>
      <c r="G1535" s="22"/>
      <c r="H1535" s="219"/>
      <c r="I1535" s="219"/>
      <c r="J1535" s="36"/>
    </row>
    <row r="1536" spans="1:10">
      <c r="A1536" s="186">
        <f t="shared" si="49"/>
        <v>25</v>
      </c>
      <c r="B1536" s="255" t="s">
        <v>1242</v>
      </c>
      <c r="C1536" s="256" t="s">
        <v>1217</v>
      </c>
      <c r="D1536" s="257" t="s">
        <v>482</v>
      </c>
      <c r="E1536" s="258"/>
      <c r="F1536" s="259" t="s">
        <v>482</v>
      </c>
      <c r="G1536" s="22"/>
      <c r="H1536" s="219"/>
      <c r="I1536" s="219"/>
      <c r="J1536" s="36"/>
    </row>
    <row r="1537" spans="1:10">
      <c r="A1537" s="186">
        <f t="shared" si="49"/>
        <v>26</v>
      </c>
      <c r="B1537" s="255" t="s">
        <v>1243</v>
      </c>
      <c r="C1537" s="256" t="s">
        <v>1217</v>
      </c>
      <c r="D1537" s="260" t="s">
        <v>482</v>
      </c>
      <c r="E1537" s="258"/>
      <c r="F1537" s="261" t="s">
        <v>482</v>
      </c>
      <c r="G1537" s="86"/>
      <c r="H1537" s="262"/>
      <c r="I1537" s="262"/>
      <c r="J1537" s="180"/>
    </row>
    <row r="1538" spans="1:10">
      <c r="A1538" s="186">
        <f t="shared" si="49"/>
        <v>27</v>
      </c>
      <c r="B1538" s="255" t="s">
        <v>1244</v>
      </c>
      <c r="C1538" s="256" t="s">
        <v>1217</v>
      </c>
      <c r="D1538" s="260" t="s">
        <v>482</v>
      </c>
      <c r="E1538" s="258"/>
      <c r="F1538" s="261" t="s">
        <v>482</v>
      </c>
      <c r="G1538" s="86"/>
      <c r="H1538" s="262"/>
      <c r="I1538" s="262"/>
      <c r="J1538" s="180"/>
    </row>
    <row r="1539" spans="1:10">
      <c r="A1539" s="186">
        <f t="shared" si="49"/>
        <v>28</v>
      </c>
      <c r="B1539" s="255" t="s">
        <v>1245</v>
      </c>
      <c r="C1539" s="256" t="s">
        <v>1217</v>
      </c>
      <c r="D1539" s="257" t="s">
        <v>482</v>
      </c>
      <c r="E1539" s="258"/>
      <c r="F1539" s="259" t="s">
        <v>482</v>
      </c>
      <c r="G1539" s="22"/>
      <c r="H1539" s="219"/>
      <c r="I1539" s="219"/>
      <c r="J1539" s="36"/>
    </row>
    <row r="1540" spans="1:10">
      <c r="A1540" s="186">
        <f t="shared" si="49"/>
        <v>29</v>
      </c>
      <c r="B1540" s="255" t="s">
        <v>1246</v>
      </c>
      <c r="C1540" s="256" t="s">
        <v>1217</v>
      </c>
      <c r="D1540" s="260" t="s">
        <v>1052</v>
      </c>
      <c r="E1540" s="258"/>
      <c r="F1540" s="261" t="s">
        <v>1052</v>
      </c>
      <c r="G1540" s="86"/>
      <c r="H1540" s="262"/>
      <c r="I1540" s="262"/>
      <c r="J1540" s="180"/>
    </row>
    <row r="1541" spans="1:10">
      <c r="A1541" s="186">
        <f t="shared" si="49"/>
        <v>30</v>
      </c>
      <c r="B1541" s="255" t="s">
        <v>1247</v>
      </c>
      <c r="C1541" s="256" t="s">
        <v>1217</v>
      </c>
      <c r="D1541" s="260" t="s">
        <v>109</v>
      </c>
      <c r="E1541" s="258"/>
      <c r="F1541" s="261" t="s">
        <v>109</v>
      </c>
      <c r="G1541" s="86"/>
      <c r="H1541" s="262"/>
      <c r="I1541" s="262"/>
      <c r="J1541" s="180"/>
    </row>
    <row r="1542" spans="1:10">
      <c r="A1542" s="186">
        <f t="shared" si="49"/>
        <v>31</v>
      </c>
      <c r="B1542" s="255" t="s">
        <v>1248</v>
      </c>
      <c r="C1542" s="256" t="s">
        <v>1217</v>
      </c>
      <c r="D1542" s="260" t="s">
        <v>109</v>
      </c>
      <c r="E1542" s="258"/>
      <c r="F1542" s="261" t="s">
        <v>109</v>
      </c>
      <c r="G1542" s="86"/>
      <c r="H1542" s="262"/>
      <c r="I1542" s="262"/>
      <c r="J1542" s="180"/>
    </row>
    <row r="1543" spans="1:10">
      <c r="A1543" s="186">
        <f t="shared" si="49"/>
        <v>32</v>
      </c>
      <c r="B1543" s="255" t="s">
        <v>1249</v>
      </c>
      <c r="C1543" s="256" t="s">
        <v>1217</v>
      </c>
      <c r="D1543" s="260" t="s">
        <v>1220</v>
      </c>
      <c r="E1543" s="258"/>
      <c r="F1543" s="261" t="s">
        <v>1220</v>
      </c>
      <c r="G1543" s="86"/>
      <c r="H1543" s="262"/>
      <c r="I1543" s="262"/>
      <c r="J1543" s="180"/>
    </row>
    <row r="1544" spans="1:10">
      <c r="A1544" s="186">
        <f t="shared" si="49"/>
        <v>33</v>
      </c>
      <c r="B1544" s="255" t="s">
        <v>1250</v>
      </c>
      <c r="C1544" s="256" t="s">
        <v>1217</v>
      </c>
      <c r="D1544" s="257" t="s">
        <v>109</v>
      </c>
      <c r="E1544" s="258"/>
      <c r="F1544" s="259" t="s">
        <v>109</v>
      </c>
      <c r="G1544" s="22"/>
      <c r="H1544" s="219"/>
      <c r="I1544" s="219"/>
      <c r="J1544" s="36"/>
    </row>
    <row r="1545" spans="1:10">
      <c r="A1545" s="186">
        <f t="shared" si="49"/>
        <v>34</v>
      </c>
      <c r="B1545" s="255" t="s">
        <v>1251</v>
      </c>
      <c r="C1545" s="256" t="s">
        <v>1217</v>
      </c>
      <c r="D1545" s="260" t="s">
        <v>110</v>
      </c>
      <c r="E1545" s="258"/>
      <c r="F1545" s="261" t="s">
        <v>110</v>
      </c>
      <c r="G1545" s="86"/>
      <c r="H1545" s="262"/>
      <c r="I1545" s="262"/>
      <c r="J1545" s="180"/>
    </row>
    <row r="1546" spans="1:10">
      <c r="A1546" s="186">
        <f t="shared" si="49"/>
        <v>35</v>
      </c>
      <c r="B1546" s="255" t="s">
        <v>1252</v>
      </c>
      <c r="C1546" s="256" t="s">
        <v>1217</v>
      </c>
      <c r="D1546" s="257" t="s">
        <v>109</v>
      </c>
      <c r="E1546" s="258"/>
      <c r="F1546" s="259" t="s">
        <v>109</v>
      </c>
      <c r="G1546" s="22"/>
      <c r="H1546" s="219"/>
      <c r="I1546" s="219"/>
      <c r="J1546" s="36"/>
    </row>
    <row r="1547" spans="1:10">
      <c r="A1547" s="186">
        <f t="shared" si="49"/>
        <v>36</v>
      </c>
      <c r="B1547" s="255" t="s">
        <v>1253</v>
      </c>
      <c r="C1547" s="256" t="s">
        <v>1217</v>
      </c>
      <c r="D1547" s="257" t="s">
        <v>482</v>
      </c>
      <c r="E1547" s="258"/>
      <c r="F1547" s="259" t="s">
        <v>482</v>
      </c>
      <c r="G1547" s="22"/>
      <c r="H1547" s="219"/>
      <c r="I1547" s="219"/>
      <c r="J1547" s="36"/>
    </row>
    <row r="1548" spans="1:10">
      <c r="A1548" s="186">
        <f t="shared" si="49"/>
        <v>37</v>
      </c>
      <c r="B1548" s="255" t="s">
        <v>1254</v>
      </c>
      <c r="C1548" s="256" t="s">
        <v>1217</v>
      </c>
      <c r="D1548" s="260" t="s">
        <v>109</v>
      </c>
      <c r="E1548" s="258"/>
      <c r="F1548" s="261" t="s">
        <v>109</v>
      </c>
      <c r="G1548" s="86"/>
      <c r="H1548" s="262"/>
      <c r="I1548" s="262"/>
      <c r="J1548" s="180"/>
    </row>
    <row r="1549" spans="1:10">
      <c r="A1549" s="186">
        <f t="shared" si="49"/>
        <v>38</v>
      </c>
      <c r="B1549" s="255" t="s">
        <v>1255</v>
      </c>
      <c r="C1549" s="256" t="s">
        <v>1217</v>
      </c>
      <c r="D1549" s="260" t="s">
        <v>109</v>
      </c>
      <c r="E1549" s="258"/>
      <c r="F1549" s="261" t="s">
        <v>109</v>
      </c>
      <c r="G1549" s="86"/>
      <c r="H1549" s="262"/>
      <c r="I1549" s="262"/>
      <c r="J1549" s="180"/>
    </row>
    <row r="1550" spans="1:10">
      <c r="A1550" s="186">
        <f t="shared" si="49"/>
        <v>39</v>
      </c>
      <c r="B1550" s="255" t="s">
        <v>1256</v>
      </c>
      <c r="C1550" s="256" t="s">
        <v>1217</v>
      </c>
      <c r="D1550" s="260" t="s">
        <v>110</v>
      </c>
      <c r="E1550" s="258"/>
      <c r="F1550" s="261" t="s">
        <v>110</v>
      </c>
      <c r="G1550" s="86"/>
      <c r="H1550" s="262"/>
      <c r="I1550" s="262"/>
      <c r="J1550" s="180"/>
    </row>
    <row r="1551" spans="1:10">
      <c r="A1551" s="186">
        <f t="shared" si="49"/>
        <v>40</v>
      </c>
      <c r="B1551" s="255" t="s">
        <v>1257</v>
      </c>
      <c r="C1551" s="256" t="s">
        <v>1217</v>
      </c>
      <c r="D1551" s="257" t="s">
        <v>482</v>
      </c>
      <c r="E1551" s="258"/>
      <c r="F1551" s="259" t="s">
        <v>482</v>
      </c>
      <c r="G1551" s="22"/>
      <c r="H1551" s="219"/>
      <c r="I1551" s="219"/>
      <c r="J1551" s="36"/>
    </row>
    <row r="1552" spans="1:10">
      <c r="A1552" s="186">
        <f t="shared" si="49"/>
        <v>41</v>
      </c>
      <c r="B1552" s="255" t="s">
        <v>1258</v>
      </c>
      <c r="C1552" s="256" t="s">
        <v>1217</v>
      </c>
      <c r="D1552" s="257" t="s">
        <v>1052</v>
      </c>
      <c r="E1552" s="258"/>
      <c r="F1552" s="259" t="s">
        <v>1052</v>
      </c>
      <c r="G1552" s="22"/>
      <c r="H1552" s="219"/>
      <c r="I1552" s="219"/>
      <c r="J1552" s="36"/>
    </row>
    <row r="1553" spans="1:10">
      <c r="A1553" s="186">
        <f t="shared" si="49"/>
        <v>42</v>
      </c>
      <c r="B1553" s="255" t="s">
        <v>1259</v>
      </c>
      <c r="C1553" s="256" t="s">
        <v>1217</v>
      </c>
      <c r="D1553" s="257" t="s">
        <v>1260</v>
      </c>
      <c r="E1553" s="258"/>
      <c r="F1553" s="259" t="s">
        <v>1260</v>
      </c>
      <c r="G1553" s="22"/>
      <c r="H1553" s="219"/>
      <c r="I1553" s="219"/>
      <c r="J1553" s="36"/>
    </row>
    <row r="1554" spans="1:10">
      <c r="A1554" s="186">
        <f t="shared" si="49"/>
        <v>43</v>
      </c>
      <c r="B1554" s="255" t="s">
        <v>1261</v>
      </c>
      <c r="C1554" s="256" t="s">
        <v>1217</v>
      </c>
      <c r="D1554" s="260" t="s">
        <v>109</v>
      </c>
      <c r="E1554" s="258"/>
      <c r="F1554" s="261" t="s">
        <v>109</v>
      </c>
      <c r="G1554" s="86"/>
      <c r="H1554" s="262"/>
      <c r="I1554" s="262"/>
      <c r="J1554" s="180"/>
    </row>
    <row r="1555" spans="1:10">
      <c r="A1555" s="186">
        <f t="shared" si="49"/>
        <v>44</v>
      </c>
      <c r="B1555" s="255" t="s">
        <v>1262</v>
      </c>
      <c r="C1555" s="256" t="s">
        <v>1217</v>
      </c>
      <c r="D1555" s="257" t="s">
        <v>1052</v>
      </c>
      <c r="E1555" s="258"/>
      <c r="F1555" s="259" t="s">
        <v>1052</v>
      </c>
      <c r="G1555" s="22"/>
      <c r="H1555" s="219"/>
      <c r="I1555" s="219"/>
      <c r="J1555" s="36"/>
    </row>
    <row r="1556" spans="1:10">
      <c r="A1556" s="186">
        <f t="shared" si="49"/>
        <v>45</v>
      </c>
      <c r="B1556" s="255" t="s">
        <v>1263</v>
      </c>
      <c r="C1556" s="256" t="s">
        <v>1217</v>
      </c>
      <c r="D1556" s="260" t="s">
        <v>1052</v>
      </c>
      <c r="E1556" s="258"/>
      <c r="F1556" s="261" t="s">
        <v>1052</v>
      </c>
      <c r="G1556" s="86"/>
      <c r="H1556" s="262"/>
      <c r="I1556" s="262"/>
      <c r="J1556" s="180"/>
    </row>
    <row r="1557" spans="1:10">
      <c r="A1557" s="186">
        <f t="shared" si="49"/>
        <v>46</v>
      </c>
      <c r="B1557" s="255" t="s">
        <v>1264</v>
      </c>
      <c r="C1557" s="256" t="s">
        <v>1217</v>
      </c>
      <c r="D1557" s="257" t="s">
        <v>110</v>
      </c>
      <c r="E1557" s="258"/>
      <c r="F1557" s="259" t="s">
        <v>110</v>
      </c>
      <c r="G1557" s="22"/>
      <c r="H1557" s="219"/>
      <c r="I1557" s="219"/>
      <c r="J1557" s="36"/>
    </row>
    <row r="1558" spans="1:10">
      <c r="A1558" s="186">
        <f t="shared" si="49"/>
        <v>47</v>
      </c>
      <c r="B1558" s="255" t="s">
        <v>1265</v>
      </c>
      <c r="C1558" s="256" t="s">
        <v>1217</v>
      </c>
      <c r="D1558" s="260" t="s">
        <v>109</v>
      </c>
      <c r="E1558" s="258"/>
      <c r="F1558" s="261" t="s">
        <v>109</v>
      </c>
      <c r="G1558" s="86"/>
      <c r="H1558" s="262"/>
      <c r="I1558" s="262"/>
      <c r="J1558" s="180"/>
    </row>
    <row r="1559" ht="25.5" spans="1:10">
      <c r="A1559" s="186">
        <f t="shared" si="49"/>
        <v>48</v>
      </c>
      <c r="B1559" s="255" t="s">
        <v>1266</v>
      </c>
      <c r="C1559" s="256" t="s">
        <v>1217</v>
      </c>
      <c r="D1559" s="260" t="s">
        <v>1041</v>
      </c>
      <c r="E1559" s="258">
        <v>205766.7</v>
      </c>
      <c r="F1559" s="261" t="s">
        <v>1041</v>
      </c>
      <c r="G1559" s="265">
        <v>205766.7</v>
      </c>
      <c r="H1559" s="266">
        <v>1</v>
      </c>
      <c r="I1559" s="266">
        <v>1</v>
      </c>
      <c r="J1559" s="180"/>
    </row>
    <row r="1560" spans="1:10">
      <c r="A1560" s="186">
        <f t="shared" si="49"/>
        <v>49</v>
      </c>
      <c r="B1560" s="255" t="s">
        <v>1267</v>
      </c>
      <c r="C1560" s="256" t="s">
        <v>1217</v>
      </c>
      <c r="D1560" s="260" t="s">
        <v>1052</v>
      </c>
      <c r="E1560" s="258"/>
      <c r="F1560" s="261" t="s">
        <v>1052</v>
      </c>
      <c r="G1560" s="86"/>
      <c r="H1560" s="262"/>
      <c r="I1560" s="262"/>
      <c r="J1560" s="180"/>
    </row>
    <row r="1561" spans="1:10">
      <c r="A1561" s="186">
        <f t="shared" si="49"/>
        <v>50</v>
      </c>
      <c r="B1561" s="255" t="s">
        <v>1268</v>
      </c>
      <c r="C1561" s="256" t="s">
        <v>1217</v>
      </c>
      <c r="D1561" s="257" t="s">
        <v>109</v>
      </c>
      <c r="E1561" s="258"/>
      <c r="F1561" s="259" t="s">
        <v>109</v>
      </c>
      <c r="G1561" s="22"/>
      <c r="H1561" s="219"/>
      <c r="I1561" s="219"/>
      <c r="J1561" s="36"/>
    </row>
    <row r="1562" spans="1:10">
      <c r="A1562" s="186">
        <f t="shared" si="49"/>
        <v>51</v>
      </c>
      <c r="B1562" s="255" t="s">
        <v>1269</v>
      </c>
      <c r="C1562" s="256" t="s">
        <v>1217</v>
      </c>
      <c r="D1562" s="260" t="s">
        <v>482</v>
      </c>
      <c r="E1562" s="258"/>
      <c r="F1562" s="261" t="s">
        <v>482</v>
      </c>
      <c r="G1562" s="86"/>
      <c r="H1562" s="262"/>
      <c r="I1562" s="262"/>
      <c r="J1562" s="180"/>
    </row>
    <row r="1563" spans="1:10">
      <c r="A1563" s="186">
        <f t="shared" si="49"/>
        <v>52</v>
      </c>
      <c r="B1563" s="255" t="s">
        <v>1270</v>
      </c>
      <c r="C1563" s="256" t="s">
        <v>1217</v>
      </c>
      <c r="D1563" s="257" t="s">
        <v>482</v>
      </c>
      <c r="E1563" s="258"/>
      <c r="F1563" s="259" t="s">
        <v>482</v>
      </c>
      <c r="G1563" s="22"/>
      <c r="H1563" s="219"/>
      <c r="I1563" s="219"/>
      <c r="J1563" s="36"/>
    </row>
    <row r="1564" spans="1:10">
      <c r="A1564" s="186">
        <f t="shared" si="49"/>
        <v>53</v>
      </c>
      <c r="B1564" s="255" t="s">
        <v>1271</v>
      </c>
      <c r="C1564" s="256" t="s">
        <v>1217</v>
      </c>
      <c r="D1564" s="260" t="s">
        <v>482</v>
      </c>
      <c r="E1564" s="258"/>
      <c r="F1564" s="261" t="s">
        <v>482</v>
      </c>
      <c r="G1564" s="86"/>
      <c r="H1564" s="262"/>
      <c r="I1564" s="262"/>
      <c r="J1564" s="180"/>
    </row>
    <row r="1565" spans="1:10">
      <c r="A1565" s="186">
        <f t="shared" si="49"/>
        <v>54</v>
      </c>
      <c r="B1565" s="255" t="s">
        <v>1272</v>
      </c>
      <c r="C1565" s="256" t="s">
        <v>1217</v>
      </c>
      <c r="D1565" s="260" t="s">
        <v>109</v>
      </c>
      <c r="E1565" s="258"/>
      <c r="F1565" s="261" t="s">
        <v>109</v>
      </c>
      <c r="G1565" s="86"/>
      <c r="H1565" s="262"/>
      <c r="I1565" s="262"/>
      <c r="J1565" s="180"/>
    </row>
    <row r="1566" spans="1:10">
      <c r="A1566" s="186">
        <f t="shared" si="49"/>
        <v>55</v>
      </c>
      <c r="B1566" s="255" t="s">
        <v>1273</v>
      </c>
      <c r="C1566" s="256" t="s">
        <v>1217</v>
      </c>
      <c r="D1566" s="260" t="s">
        <v>482</v>
      </c>
      <c r="E1566" s="258"/>
      <c r="F1566" s="261" t="s">
        <v>482</v>
      </c>
      <c r="G1566" s="86"/>
      <c r="H1566" s="262"/>
      <c r="I1566" s="262"/>
      <c r="J1566" s="180"/>
    </row>
    <row r="1567" spans="1:10">
      <c r="A1567" s="186">
        <f t="shared" si="49"/>
        <v>56</v>
      </c>
      <c r="B1567" s="255" t="s">
        <v>1274</v>
      </c>
      <c r="C1567" s="256" t="s">
        <v>1217</v>
      </c>
      <c r="D1567" s="260" t="s">
        <v>109</v>
      </c>
      <c r="E1567" s="258"/>
      <c r="F1567" s="261" t="s">
        <v>109</v>
      </c>
      <c r="G1567" s="86"/>
      <c r="H1567" s="262"/>
      <c r="I1567" s="262"/>
      <c r="J1567" s="180"/>
    </row>
    <row r="1568" spans="1:10">
      <c r="A1568" s="186">
        <f t="shared" si="49"/>
        <v>57</v>
      </c>
      <c r="B1568" s="255" t="s">
        <v>1275</v>
      </c>
      <c r="C1568" s="256" t="s">
        <v>1217</v>
      </c>
      <c r="D1568" s="257" t="s">
        <v>482</v>
      </c>
      <c r="E1568" s="258"/>
      <c r="F1568" s="259" t="s">
        <v>482</v>
      </c>
      <c r="G1568" s="22"/>
      <c r="H1568" s="219"/>
      <c r="I1568" s="219"/>
      <c r="J1568" s="36"/>
    </row>
    <row r="1569" spans="1:10">
      <c r="A1569" s="186">
        <f t="shared" si="49"/>
        <v>58</v>
      </c>
      <c r="B1569" s="255" t="s">
        <v>1276</v>
      </c>
      <c r="C1569" s="256" t="s">
        <v>1217</v>
      </c>
      <c r="D1569" s="257" t="s">
        <v>110</v>
      </c>
      <c r="E1569" s="258"/>
      <c r="F1569" s="259" t="s">
        <v>110</v>
      </c>
      <c r="G1569" s="22"/>
      <c r="H1569" s="219"/>
      <c r="I1569" s="219"/>
      <c r="J1569" s="36"/>
    </row>
    <row r="1570" spans="1:10">
      <c r="A1570" s="186">
        <f t="shared" si="49"/>
        <v>59</v>
      </c>
      <c r="B1570" s="255" t="s">
        <v>1277</v>
      </c>
      <c r="C1570" s="256" t="s">
        <v>1217</v>
      </c>
      <c r="D1570" s="257" t="s">
        <v>109</v>
      </c>
      <c r="E1570" s="258"/>
      <c r="F1570" s="259" t="s">
        <v>109</v>
      </c>
      <c r="G1570" s="22"/>
      <c r="H1570" s="219"/>
      <c r="I1570" s="219"/>
      <c r="J1570" s="36"/>
    </row>
    <row r="1571" spans="1:10">
      <c r="A1571" s="186">
        <f t="shared" si="49"/>
        <v>60</v>
      </c>
      <c r="B1571" s="255" t="s">
        <v>1278</v>
      </c>
      <c r="C1571" s="256" t="s">
        <v>1217</v>
      </c>
      <c r="D1571" s="257" t="s">
        <v>109</v>
      </c>
      <c r="E1571" s="258"/>
      <c r="F1571" s="259" t="s">
        <v>109</v>
      </c>
      <c r="G1571" s="22"/>
      <c r="H1571" s="219"/>
      <c r="I1571" s="219"/>
      <c r="J1571" s="36"/>
    </row>
    <row r="1572" spans="1:10">
      <c r="A1572" s="186">
        <f t="shared" si="49"/>
        <v>61</v>
      </c>
      <c r="B1572" s="255" t="s">
        <v>1279</v>
      </c>
      <c r="C1572" s="256" t="s">
        <v>1217</v>
      </c>
      <c r="D1572" s="257" t="s">
        <v>110</v>
      </c>
      <c r="E1572" s="258"/>
      <c r="F1572" s="259" t="s">
        <v>110</v>
      </c>
      <c r="G1572" s="22"/>
      <c r="H1572" s="219"/>
      <c r="I1572" s="219"/>
      <c r="J1572" s="36"/>
    </row>
    <row r="1573" spans="1:10">
      <c r="A1573" s="186">
        <f t="shared" si="49"/>
        <v>62</v>
      </c>
      <c r="B1573" s="255" t="s">
        <v>1280</v>
      </c>
      <c r="C1573" s="256" t="s">
        <v>1217</v>
      </c>
      <c r="D1573" s="260" t="s">
        <v>109</v>
      </c>
      <c r="E1573" s="258"/>
      <c r="F1573" s="261" t="s">
        <v>109</v>
      </c>
      <c r="G1573" s="86"/>
      <c r="H1573" s="262"/>
      <c r="I1573" s="262"/>
      <c r="J1573" s="180"/>
    </row>
    <row r="1574" spans="1:10">
      <c r="A1574" s="186">
        <f t="shared" si="49"/>
        <v>63</v>
      </c>
      <c r="B1574" s="255" t="s">
        <v>1281</v>
      </c>
      <c r="C1574" s="256" t="s">
        <v>1217</v>
      </c>
      <c r="D1574" s="260" t="s">
        <v>1220</v>
      </c>
      <c r="E1574" s="258"/>
      <c r="F1574" s="261" t="s">
        <v>1220</v>
      </c>
      <c r="G1574" s="22"/>
      <c r="H1574" s="219"/>
      <c r="I1574" s="219"/>
      <c r="J1574" s="36"/>
    </row>
    <row r="1575" spans="1:10">
      <c r="A1575" s="186">
        <f t="shared" si="49"/>
        <v>64</v>
      </c>
      <c r="B1575" s="255" t="s">
        <v>1282</v>
      </c>
      <c r="C1575" s="256" t="s">
        <v>1217</v>
      </c>
      <c r="D1575" s="260" t="s">
        <v>1220</v>
      </c>
      <c r="E1575" s="258"/>
      <c r="F1575" s="261" t="s">
        <v>1220</v>
      </c>
      <c r="G1575" s="86"/>
      <c r="H1575" s="262"/>
      <c r="I1575" s="262"/>
      <c r="J1575" s="180"/>
    </row>
    <row r="1576" spans="1:10">
      <c r="A1576" s="186">
        <f t="shared" si="49"/>
        <v>65</v>
      </c>
      <c r="B1576" s="255" t="s">
        <v>1283</v>
      </c>
      <c r="C1576" s="256" t="s">
        <v>1217</v>
      </c>
      <c r="D1576" s="257" t="s">
        <v>482</v>
      </c>
      <c r="E1576" s="258"/>
      <c r="F1576" s="259" t="s">
        <v>482</v>
      </c>
      <c r="G1576" s="22"/>
      <c r="H1576" s="219"/>
      <c r="I1576" s="219"/>
      <c r="J1576" s="36"/>
    </row>
    <row r="1577" spans="1:10">
      <c r="A1577" s="186">
        <f t="shared" si="49"/>
        <v>66</v>
      </c>
      <c r="B1577" s="255" t="s">
        <v>1284</v>
      </c>
      <c r="C1577" s="256" t="s">
        <v>1217</v>
      </c>
      <c r="D1577" s="257" t="s">
        <v>109</v>
      </c>
      <c r="E1577" s="258"/>
      <c r="F1577" s="259" t="s">
        <v>109</v>
      </c>
      <c r="G1577" s="22"/>
      <c r="H1577" s="219"/>
      <c r="I1577" s="219"/>
      <c r="J1577" s="36"/>
    </row>
    <row r="1578" spans="1:10">
      <c r="A1578" s="186">
        <f t="shared" ref="A1578:A1597" si="50">A1577+1</f>
        <v>67</v>
      </c>
      <c r="B1578" s="255" t="s">
        <v>1285</v>
      </c>
      <c r="C1578" s="256" t="s">
        <v>1217</v>
      </c>
      <c r="D1578" s="257" t="s">
        <v>110</v>
      </c>
      <c r="E1578" s="258"/>
      <c r="F1578" s="259" t="s">
        <v>110</v>
      </c>
      <c r="G1578" s="22"/>
      <c r="H1578" s="219"/>
      <c r="I1578" s="219"/>
      <c r="J1578" s="36"/>
    </row>
    <row r="1579" spans="1:10">
      <c r="A1579" s="186">
        <f t="shared" si="50"/>
        <v>68</v>
      </c>
      <c r="B1579" s="255" t="s">
        <v>1286</v>
      </c>
      <c r="C1579" s="256" t="s">
        <v>1217</v>
      </c>
      <c r="D1579" s="257" t="s">
        <v>110</v>
      </c>
      <c r="E1579" s="258"/>
      <c r="F1579" s="259" t="s">
        <v>110</v>
      </c>
      <c r="G1579" s="22"/>
      <c r="H1579" s="219"/>
      <c r="I1579" s="219"/>
      <c r="J1579" s="36"/>
    </row>
    <row r="1580" spans="1:10">
      <c r="A1580" s="186">
        <f t="shared" si="50"/>
        <v>69</v>
      </c>
      <c r="B1580" s="255" t="s">
        <v>1287</v>
      </c>
      <c r="C1580" s="256" t="s">
        <v>1217</v>
      </c>
      <c r="D1580" s="257" t="s">
        <v>110</v>
      </c>
      <c r="E1580" s="258"/>
      <c r="F1580" s="259" t="s">
        <v>110</v>
      </c>
      <c r="G1580" s="22"/>
      <c r="H1580" s="219"/>
      <c r="I1580" s="219"/>
      <c r="J1580" s="36"/>
    </row>
    <row r="1581" spans="1:10">
      <c r="A1581" s="186">
        <f t="shared" si="50"/>
        <v>70</v>
      </c>
      <c r="B1581" s="255" t="s">
        <v>1288</v>
      </c>
      <c r="C1581" s="256" t="s">
        <v>1217</v>
      </c>
      <c r="D1581" s="260" t="s">
        <v>110</v>
      </c>
      <c r="E1581" s="258"/>
      <c r="F1581" s="261" t="s">
        <v>110</v>
      </c>
      <c r="G1581" s="86"/>
      <c r="H1581" s="262"/>
      <c r="I1581" s="262"/>
      <c r="J1581" s="180"/>
    </row>
    <row r="1582" spans="1:10">
      <c r="A1582" s="186">
        <f t="shared" si="50"/>
        <v>71</v>
      </c>
      <c r="B1582" s="255" t="s">
        <v>1289</v>
      </c>
      <c r="C1582" s="256" t="s">
        <v>1217</v>
      </c>
      <c r="D1582" s="257" t="s">
        <v>110</v>
      </c>
      <c r="E1582" s="258"/>
      <c r="F1582" s="259" t="s">
        <v>110</v>
      </c>
      <c r="G1582" s="22"/>
      <c r="H1582" s="219"/>
      <c r="I1582" s="219"/>
      <c r="J1582" s="36"/>
    </row>
    <row r="1583" spans="1:10">
      <c r="A1583" s="186">
        <f t="shared" si="50"/>
        <v>72</v>
      </c>
      <c r="B1583" s="255" t="s">
        <v>1290</v>
      </c>
      <c r="C1583" s="256" t="s">
        <v>1217</v>
      </c>
      <c r="D1583" s="260" t="s">
        <v>110</v>
      </c>
      <c r="E1583" s="258"/>
      <c r="F1583" s="261" t="s">
        <v>110</v>
      </c>
      <c r="G1583" s="86"/>
      <c r="H1583" s="262"/>
      <c r="I1583" s="262"/>
      <c r="J1583" s="180"/>
    </row>
    <row r="1584" spans="1:10">
      <c r="A1584" s="186">
        <f t="shared" si="50"/>
        <v>73</v>
      </c>
      <c r="B1584" s="255" t="s">
        <v>1291</v>
      </c>
      <c r="C1584" s="256" t="s">
        <v>1217</v>
      </c>
      <c r="D1584" s="260" t="s">
        <v>110</v>
      </c>
      <c r="E1584" s="258"/>
      <c r="F1584" s="261" t="s">
        <v>110</v>
      </c>
      <c r="G1584" s="86"/>
      <c r="H1584" s="262"/>
      <c r="I1584" s="262"/>
      <c r="J1584" s="180"/>
    </row>
    <row r="1585" spans="1:10">
      <c r="A1585" s="186">
        <f t="shared" si="50"/>
        <v>74</v>
      </c>
      <c r="B1585" s="255" t="s">
        <v>1292</v>
      </c>
      <c r="C1585" s="256" t="s">
        <v>1217</v>
      </c>
      <c r="D1585" s="260" t="s">
        <v>110</v>
      </c>
      <c r="E1585" s="258"/>
      <c r="F1585" s="261" t="s">
        <v>110</v>
      </c>
      <c r="G1585" s="86"/>
      <c r="H1585" s="262"/>
      <c r="I1585" s="262"/>
      <c r="J1585" s="180"/>
    </row>
    <row r="1586" spans="1:10">
      <c r="A1586" s="186">
        <f t="shared" si="50"/>
        <v>75</v>
      </c>
      <c r="B1586" s="255" t="s">
        <v>1293</v>
      </c>
      <c r="C1586" s="256" t="s">
        <v>1217</v>
      </c>
      <c r="D1586" s="257" t="s">
        <v>110</v>
      </c>
      <c r="E1586" s="258"/>
      <c r="F1586" s="259" t="s">
        <v>110</v>
      </c>
      <c r="G1586" s="22"/>
      <c r="H1586" s="219"/>
      <c r="I1586" s="219"/>
      <c r="J1586" s="36"/>
    </row>
    <row r="1587" spans="1:10">
      <c r="A1587" s="186">
        <f t="shared" si="50"/>
        <v>76</v>
      </c>
      <c r="B1587" s="255" t="s">
        <v>1294</v>
      </c>
      <c r="C1587" s="256" t="s">
        <v>1217</v>
      </c>
      <c r="D1587" s="257" t="s">
        <v>110</v>
      </c>
      <c r="E1587" s="258"/>
      <c r="F1587" s="259" t="s">
        <v>110</v>
      </c>
      <c r="G1587" s="22"/>
      <c r="H1587" s="219"/>
      <c r="I1587" s="219"/>
      <c r="J1587" s="36"/>
    </row>
    <row r="1588" spans="1:10">
      <c r="A1588" s="186">
        <f t="shared" si="50"/>
        <v>77</v>
      </c>
      <c r="B1588" s="255" t="s">
        <v>1295</v>
      </c>
      <c r="C1588" s="256" t="s">
        <v>1217</v>
      </c>
      <c r="D1588" s="257" t="s">
        <v>109</v>
      </c>
      <c r="E1588" s="258"/>
      <c r="F1588" s="259" t="s">
        <v>109</v>
      </c>
      <c r="G1588" s="22"/>
      <c r="H1588" s="219"/>
      <c r="I1588" s="219"/>
      <c r="J1588" s="36"/>
    </row>
    <row r="1589" spans="1:10">
      <c r="A1589" s="186">
        <f t="shared" si="50"/>
        <v>78</v>
      </c>
      <c r="B1589" s="255" t="s">
        <v>1296</v>
      </c>
      <c r="C1589" s="256" t="s">
        <v>1217</v>
      </c>
      <c r="D1589" s="257" t="s">
        <v>110</v>
      </c>
      <c r="E1589" s="258"/>
      <c r="F1589" s="259" t="s">
        <v>110</v>
      </c>
      <c r="G1589" s="86"/>
      <c r="H1589" s="262"/>
      <c r="I1589" s="262"/>
      <c r="J1589" s="180"/>
    </row>
    <row r="1590" spans="1:10">
      <c r="A1590" s="186">
        <f t="shared" si="50"/>
        <v>79</v>
      </c>
      <c r="B1590" s="255" t="s">
        <v>1297</v>
      </c>
      <c r="C1590" s="256" t="s">
        <v>1217</v>
      </c>
      <c r="D1590" s="257" t="s">
        <v>110</v>
      </c>
      <c r="E1590" s="258"/>
      <c r="F1590" s="259" t="s">
        <v>110</v>
      </c>
      <c r="G1590" s="22"/>
      <c r="H1590" s="219"/>
      <c r="I1590" s="219"/>
      <c r="J1590" s="36"/>
    </row>
    <row r="1591" spans="1:10">
      <c r="A1591" s="186">
        <f t="shared" si="50"/>
        <v>80</v>
      </c>
      <c r="B1591" s="255" t="s">
        <v>1298</v>
      </c>
      <c r="C1591" s="256" t="s">
        <v>1217</v>
      </c>
      <c r="D1591" s="260" t="s">
        <v>110</v>
      </c>
      <c r="E1591" s="258"/>
      <c r="F1591" s="261" t="s">
        <v>110</v>
      </c>
      <c r="G1591" s="86"/>
      <c r="H1591" s="262"/>
      <c r="I1591" s="262"/>
      <c r="J1591" s="180"/>
    </row>
    <row r="1592" spans="1:10">
      <c r="A1592" s="186">
        <f t="shared" si="50"/>
        <v>81</v>
      </c>
      <c r="B1592" s="255" t="s">
        <v>1299</v>
      </c>
      <c r="C1592" s="256" t="s">
        <v>1217</v>
      </c>
      <c r="D1592" s="257" t="s">
        <v>482</v>
      </c>
      <c r="E1592" s="258"/>
      <c r="F1592" s="259" t="s">
        <v>482</v>
      </c>
      <c r="G1592" s="22"/>
      <c r="H1592" s="219"/>
      <c r="I1592" s="219"/>
      <c r="J1592" s="36"/>
    </row>
    <row r="1593" spans="1:10">
      <c r="A1593" s="186">
        <f t="shared" si="50"/>
        <v>82</v>
      </c>
      <c r="B1593" s="255" t="s">
        <v>1300</v>
      </c>
      <c r="C1593" s="256" t="s">
        <v>1217</v>
      </c>
      <c r="D1593" s="257" t="s">
        <v>110</v>
      </c>
      <c r="E1593" s="258"/>
      <c r="F1593" s="259" t="s">
        <v>110</v>
      </c>
      <c r="G1593" s="22"/>
      <c r="H1593" s="219"/>
      <c r="I1593" s="219"/>
      <c r="J1593" s="36"/>
    </row>
    <row r="1594" spans="1:10">
      <c r="A1594" s="186">
        <f t="shared" si="50"/>
        <v>83</v>
      </c>
      <c r="B1594" s="255" t="s">
        <v>1301</v>
      </c>
      <c r="C1594" s="256" t="s">
        <v>1217</v>
      </c>
      <c r="D1594" s="260" t="s">
        <v>482</v>
      </c>
      <c r="E1594" s="258"/>
      <c r="F1594" s="261" t="s">
        <v>482</v>
      </c>
      <c r="G1594" s="86"/>
      <c r="H1594" s="262"/>
      <c r="I1594" s="262"/>
      <c r="J1594" s="180"/>
    </row>
    <row r="1595" spans="1:10">
      <c r="A1595" s="186">
        <f t="shared" si="50"/>
        <v>84</v>
      </c>
      <c r="B1595" s="255" t="s">
        <v>1302</v>
      </c>
      <c r="C1595" s="256" t="s">
        <v>1217</v>
      </c>
      <c r="D1595" s="257" t="s">
        <v>482</v>
      </c>
      <c r="E1595" s="258"/>
      <c r="F1595" s="259" t="s">
        <v>482</v>
      </c>
      <c r="G1595" s="22"/>
      <c r="H1595" s="219"/>
      <c r="I1595" s="219"/>
      <c r="J1595" s="36"/>
    </row>
    <row r="1596" spans="1:10">
      <c r="A1596" s="186">
        <f t="shared" si="50"/>
        <v>85</v>
      </c>
      <c r="B1596" s="255" t="s">
        <v>1303</v>
      </c>
      <c r="C1596" s="256" t="s">
        <v>1217</v>
      </c>
      <c r="D1596" s="257" t="s">
        <v>482</v>
      </c>
      <c r="E1596" s="258"/>
      <c r="F1596" s="259" t="s">
        <v>482</v>
      </c>
      <c r="G1596" s="22"/>
      <c r="H1596" s="219"/>
      <c r="I1596" s="219"/>
      <c r="J1596" s="36"/>
    </row>
    <row r="1597" spans="1:10">
      <c r="A1597" s="186">
        <f t="shared" si="50"/>
        <v>86</v>
      </c>
      <c r="B1597" s="255" t="s">
        <v>1304</v>
      </c>
      <c r="C1597" s="256" t="s">
        <v>1217</v>
      </c>
      <c r="D1597" s="260" t="s">
        <v>110</v>
      </c>
      <c r="E1597" s="258"/>
      <c r="F1597" s="261" t="s">
        <v>110</v>
      </c>
      <c r="G1597" s="86"/>
      <c r="H1597" s="262"/>
      <c r="I1597" s="262"/>
      <c r="J1597" s="180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E3:F3"/>
    <mergeCell ref="C6:D6"/>
    <mergeCell ref="H6:I6"/>
    <mergeCell ref="C612:D612"/>
    <mergeCell ref="C658:D658"/>
    <mergeCell ref="C1107:D1107"/>
    <mergeCell ref="C1166:D1166"/>
    <mergeCell ref="C1275:D1275"/>
    <mergeCell ref="C1331:D1331"/>
    <mergeCell ref="C1416:D1416"/>
    <mergeCell ref="C1510:D1510"/>
    <mergeCell ref="A1:D3"/>
    <mergeCell ref="E1:F2"/>
  </mergeCells>
  <conditionalFormatting sqref="B18:I18">
    <cfRule type="containsBlanks" dxfId="0" priority="38">
      <formula>LEN(TRIM(B18))=0</formula>
    </cfRule>
  </conditionalFormatting>
  <conditionalFormatting sqref="E19">
    <cfRule type="containsBlanks" dxfId="0" priority="35">
      <formula>LEN(TRIM(E19))=0</formula>
    </cfRule>
  </conditionalFormatting>
  <conditionalFormatting sqref="E233">
    <cfRule type="containsBlanks" dxfId="0" priority="31">
      <formula>LEN(TRIM(E233))=0</formula>
    </cfRule>
  </conditionalFormatting>
  <conditionalFormatting sqref="B289">
    <cfRule type="containsBlanks" dxfId="0" priority="16">
      <formula>LEN(TRIM(B289))=0</formula>
    </cfRule>
  </conditionalFormatting>
  <conditionalFormatting sqref="B1342:B1353">
    <cfRule type="containsBlanks" dxfId="0" priority="19">
      <formula>LEN(TRIM(B1342))=0</formula>
    </cfRule>
  </conditionalFormatting>
  <conditionalFormatting sqref="D1375:D1396">
    <cfRule type="containsBlanks" dxfId="0" priority="1">
      <formula>LEN(TRIM(D1375))=0</formula>
    </cfRule>
  </conditionalFormatting>
  <conditionalFormatting sqref="E254:E255">
    <cfRule type="expression" dxfId="125" priority="680" stopIfTrue="1">
      <formula>AND(COUNTIF($H$670:$H$684,E254)+COUNTIF($H$20:$H$50,E254)+COUNTIF($H$1:$H$18,E254)+COUNTIF($H$90:$H$238,E254)+COUNTIF($H$240:$H$241,E254)+COUNTIF($H$243:$H$243,E254)+COUNTIF($H$244:$H$260,E254)+COUNTIF($H$262:$H$289,E254)+COUNTIF($H$604:$H$668,E254)+COUNTIF($H$686:$H$695,E254)+COUNTIF(#REF!,E254)+COUNTIF($F:$F,E254)&gt;1,NOT(ISBLANK(E254)))</formula>
    </cfRule>
  </conditionalFormatting>
  <conditionalFormatting sqref="E264:E269">
    <cfRule type="expression" dxfId="125" priority="682" stopIfTrue="1">
      <formula>AND(COUNTIF($H$667:$H$684,E264)+COUNTIF($H$20:$H$50,E264)+COUNTIF($H$1:$H$18,E264)+COUNTIF($H$84:$H$232,E264)+COUNTIF($H$234:$H$235,E264)+COUNTIF($H$237:$H$238,E264)+COUNTIF($H$240:$H$257,E264)+COUNTIF($H$259:$H$286,E264)+COUNTIF($H$288:$H$666,E264)+COUNTIF($H$685:$H$693,E264)+COUNTIF(#REF!,E264)+COUNTIF($F:$F,E264)&gt;1,NOT(ISBLANK(E264)))</formula>
    </cfRule>
  </conditionalFormatting>
  <conditionalFormatting sqref="E1122:E1132">
    <cfRule type="expression" dxfId="125" priority="190" stopIfTrue="1">
      <formula>AND(COUNTIF($H$697:$H$707,E1122)+COUNTIF($H$20:$H$50,E1122)+COUNTIF($H$1:$H$18,E1122)+COUNTIF($H$90:$H$247,E1122)+COUNTIF($H$248:$H$249,E1122)+COUNTIF($H$250:$H$251,E1122)+COUNTIF($H$217:$H$607,E1122)+COUNTIF($H$609:$H$640,E1122)+COUNTIF($H$642:$H$696,E1122)+COUNTIF($H$708:$H$715,E1122)+COUNTIF(#REF!,E1122)+COUNTIF($F:$F,E1122)&gt;1,NOT(ISBLANK(E1122)))</formula>
    </cfRule>
  </conditionalFormatting>
  <conditionalFormatting sqref="E1425:E1442">
    <cfRule type="containsBlanks" dxfId="0" priority="64">
      <formula>LEN(TRIM(E1425))=0</formula>
    </cfRule>
  </conditionalFormatting>
  <conditionalFormatting sqref="F293:F297">
    <cfRule type="containsBlanks" dxfId="0" priority="21">
      <formula>LEN(TRIM(F293))=0</formula>
    </cfRule>
  </conditionalFormatting>
  <conditionalFormatting sqref="F342:F430">
    <cfRule type="containsBlanks" dxfId="0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conditionalFormatting sqref="B1397:B1048576;B1317:B1374;B1:B341;B431:B637;B639:B1144;B1152:B1221;B1231:B1298">
    <cfRule type="duplicateValues" dxfId="126" priority="15"/>
  </conditionalFormatting>
  <conditionalFormatting sqref="D1111:F1143;A8:J20;A62:J169;A614:J638;B660:B695;B1115:B1119;B1142;B1173:I1174;B1175:J1175;C217:J217;H274:I290;C660:F660;A660:A1080;G660:J1080;E661:F920;C661:D1080;F921:F1080;A1111:A1143;H1111:J1143;D1337:E1353;H1337:J1374;D1354:F1374;H1425:I1426;D1425:D1498;F1425:F1498;A1425:A1499;H1443:I1498;D1499:I1499;C1519:C1597">
    <cfRule type="containsBlanks" dxfId="0" priority="84">
      <formula>LEN(TRIM(A8))=0</formula>
    </cfRule>
  </conditionalFormatting>
  <conditionalFormatting sqref="B19:D19;F19:I19">
    <cfRule type="containsBlanks" dxfId="0" priority="36">
      <formula>LEN(TRIM(B19))=0</formula>
    </cfRule>
  </conditionalFormatting>
  <conditionalFormatting sqref="B217:B272;B1281:B1298;A1173:A1268;C1176:D1268;F1176:F1268;H1176:I1268;C1277:C1316;G1277:G1316;H1281:I1292;D1281:F1316;H1293:J1298;J1299:J1311;H1299:I1316;G1333:G1396;C1337:C1396">
    <cfRule type="containsBlanks" dxfId="0" priority="17">
      <formula>LEN(TRIM(A217))=0</formula>
    </cfRule>
  </conditionalFormatting>
  <conditionalFormatting sqref="D218:F272;A217:A430;G217:G430;H218:I235;J218:J292;C218:C430;H236:H272;I236:I273;F298:G341">
    <cfRule type="containsBlanks" dxfId="0" priority="49">
      <formula>LEN(TRIM(A217))=0</formula>
    </cfRule>
  </conditionalFormatting>
  <conditionalFormatting sqref="D233;F233">
    <cfRule type="containsBlanks" dxfId="0" priority="32">
      <formula>LEN(TRIM(D233))=0</formula>
    </cfRule>
  </conditionalFormatting>
  <conditionalFormatting sqref="E256:E263;E1133:E1143">
    <cfRule type="expression" dxfId="125" priority="29" stopIfTrue="1">
      <formula>AND(COUNTIF($H$668:$H$684,E256)+COUNTIF($H$20:$H$50,E256)+COUNTIF($H$1:$H$18,E256)+COUNTIF($H$88:$H$236,E256)+COUNTIF($H$238:$H$239,E256)+COUNTIF($H$241:$H$242,E256)+COUNTIF($H$244:$H$258,E256)+COUNTIF($H$260:$H$287,E256)+COUNTIF($H$289:$H$666,E256)+COUNTIF($H$685:$H$694,E256)+COUNTIF(#REF!,E256)+COUNTIF($F:$F,E256)&gt;1,NOT(ISBLANK(E256)))</formula>
    </cfRule>
  </conditionalFormatting>
  <conditionalFormatting sqref="D274:F290">
    <cfRule type="containsBlanks" dxfId="0" priority="23">
      <formula>LEN(TRIM(D274))=0</formula>
    </cfRule>
  </conditionalFormatting>
  <conditionalFormatting sqref="E293:E341;E921:E1080">
    <cfRule type="expression" dxfId="125" priority="22" stopIfTrue="1">
      <formula>AND(COUNTIF(#REF!,E293)+COUNTIF($H$20:$H$50,E293)+COUNTIF($H$1:$H$18,E293)+COUNTIF($H$84:$H$232,E293)+COUNTIF($H$234:$H$235,E293)+COUNTIF($H$237:$H$238,E293)+COUNTIF($H$240:$H$257,E293)+COUNTIF($H$259:$H$286,E293)+COUNTIF($H$288:$H$297,E293)+COUNTIF($H$342:$H$355,E293)+COUNTIF(#REF!,E293)+COUNTIF($F:$F,E293)&gt;1,NOT(ISBLANK(E293)))</formula>
    </cfRule>
  </conditionalFormatting>
  <dataValidations count="3">
    <dataValidation type="list" allowBlank="1" showInputMessage="1" showErrorMessage="1" sqref="D290 D1499 D254:D269 D293:D430 D1122:D1167">
      <formula1>Unidades</formula1>
    </dataValidation>
    <dataValidation type="list" allowBlank="1" showInputMessage="1" showErrorMessage="1" sqref="C612 C8:C20 C62:C169 C217:C430 C614:C638 C660:C1080 C1152:C1167 C1173:C1268 C1277:C1316 C1337:C1396 C1519:C1597">
      <formula1>CATEGORIAS</formula1>
    </dataValidation>
    <dataValidation type="list" allowBlank="1" showInputMessage="1" sqref="F612 D8:D20 D62:D169 D217:D253 D270:D272 D274:D289 D614:D638 D660:D1080 D1111:D1121 D1173:D1268 D1281:D1316 D1337:D1396 D1425:D1498 D1519:D1597 F8:F20 F62:F169 F217:F269 F288:F290 F293:F430 F614:F638 F660:F1080 F1111:F1151 F1173:F1268 F1281:F1316 F1354:F1374 F1425:F1499 F1519:F1597">
      <formula1>Unidades</formula1>
    </dataValidation>
  </dataValidations>
  <pageMargins left="0.7" right="0.7" top="0.75" bottom="0.75" header="0.3" footer="0.3"/>
  <pageSetup paperSize="9" orientation="portrait" horizontalDpi="1200" verticalDpi="1200"/>
  <headerFooter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/>
      <selection pane="bottomLeft" activeCell="D13" sqref="D13:N13"/>
    </sheetView>
  </sheetViews>
  <sheetFormatPr defaultColWidth="11.4285714285714" defaultRowHeight="15"/>
  <cols>
    <col min="1" max="1" width="21" customWidth="1"/>
    <col min="2" max="2" width="12.5714285714286" customWidth="1"/>
    <col min="3" max="3" width="1" style="1" customWidth="1"/>
    <col min="4" max="4" width="18.7142857142857" customWidth="1"/>
    <col min="5" max="5" width="1" style="1" customWidth="1"/>
    <col min="6" max="6" width="28.7142857142857" customWidth="1"/>
    <col min="7" max="7" width="1" style="1" customWidth="1"/>
    <col min="8" max="8" width="26.5714285714286" customWidth="1"/>
    <col min="9" max="9" width="12.1428571428571" customWidth="1"/>
    <col min="10" max="10" width="1" style="1" customWidth="1"/>
    <col min="11" max="11" width="15.1428571428571" customWidth="1"/>
    <col min="12" max="12" width="1" style="1" customWidth="1"/>
    <col min="13" max="13" width="22.4285714285714" customWidth="1"/>
    <col min="14" max="14" width="1" style="1" customWidth="1"/>
  </cols>
  <sheetData>
    <row r="1" ht="15.75" spans="4:26">
      <c r="D1" s="2" t="s">
        <v>1305</v>
      </c>
      <c r="F1" s="3" t="s">
        <v>1306</v>
      </c>
      <c r="H1" s="4" t="s">
        <v>1307</v>
      </c>
      <c r="I1" s="4" t="s">
        <v>1308</v>
      </c>
      <c r="K1" s="4" t="s">
        <v>27</v>
      </c>
      <c r="M1" s="4" t="s">
        <v>1309</v>
      </c>
      <c r="Z1" s="37" t="s">
        <v>1310</v>
      </c>
    </row>
    <row r="2" ht="44.25" customHeight="1" outlineLevel="1" spans="1:13">
      <c r="A2" s="5" t="s">
        <v>1311</v>
      </c>
      <c r="B2" s="5" t="s">
        <v>1312</v>
      </c>
      <c r="D2" s="6" t="s">
        <v>1313</v>
      </c>
      <c r="F2" s="7" t="s">
        <v>1314</v>
      </c>
      <c r="H2" s="8" t="s">
        <v>1315</v>
      </c>
      <c r="I2" s="24">
        <v>71765586</v>
      </c>
      <c r="K2" t="s">
        <v>1316</v>
      </c>
      <c r="M2" s="25" t="s">
        <v>45</v>
      </c>
    </row>
    <row r="3" outlineLevel="1" spans="1:13">
      <c r="A3" s="7" t="s">
        <v>1317</v>
      </c>
      <c r="B3" s="9" t="s">
        <v>222</v>
      </c>
      <c r="D3" s="10" t="s">
        <v>1318</v>
      </c>
      <c r="F3" s="11" t="s">
        <v>1319</v>
      </c>
      <c r="H3" s="12" t="s">
        <v>1320</v>
      </c>
      <c r="I3" s="26">
        <v>43687423</v>
      </c>
      <c r="K3" t="s">
        <v>1321</v>
      </c>
      <c r="M3" s="25" t="s">
        <v>29</v>
      </c>
    </row>
    <row r="4" outlineLevel="1" spans="1:13">
      <c r="A4" s="11" t="s">
        <v>1322</v>
      </c>
      <c r="B4" s="9" t="s">
        <v>245</v>
      </c>
      <c r="D4" s="10" t="s">
        <v>16</v>
      </c>
      <c r="F4" s="7" t="s">
        <v>1323</v>
      </c>
      <c r="H4" s="8" t="s">
        <v>1324</v>
      </c>
      <c r="I4" s="27">
        <v>3353808</v>
      </c>
      <c r="K4" t="s">
        <v>1325</v>
      </c>
      <c r="M4" s="25" t="s">
        <v>53</v>
      </c>
    </row>
    <row r="5" ht="30" outlineLevel="1" spans="1:13">
      <c r="A5" s="7" t="s">
        <v>1326</v>
      </c>
      <c r="B5" s="9" t="s">
        <v>1327</v>
      </c>
      <c r="D5" s="13" t="s">
        <v>1328</v>
      </c>
      <c r="F5" s="11" t="s">
        <v>1329</v>
      </c>
      <c r="H5" s="14" t="s">
        <v>1330</v>
      </c>
      <c r="I5" s="28">
        <v>1036620040</v>
      </c>
      <c r="K5" t="s">
        <v>1331</v>
      </c>
      <c r="M5" s="25" t="s">
        <v>1016</v>
      </c>
    </row>
    <row r="6" ht="30" outlineLevel="1" spans="1:13">
      <c r="A6" s="11" t="s">
        <v>345</v>
      </c>
      <c r="B6" s="9" t="s">
        <v>345</v>
      </c>
      <c r="D6" s="13" t="s">
        <v>1332</v>
      </c>
      <c r="F6" s="7" t="s">
        <v>1333</v>
      </c>
      <c r="H6" s="8" t="s">
        <v>1334</v>
      </c>
      <c r="I6" s="29">
        <v>1033686182</v>
      </c>
      <c r="K6" t="s">
        <v>1335</v>
      </c>
      <c r="M6" s="30" t="s">
        <v>1060</v>
      </c>
    </row>
    <row r="7" outlineLevel="1" spans="1:13">
      <c r="A7" s="11" t="s">
        <v>1336</v>
      </c>
      <c r="B7" s="9" t="s">
        <v>1337</v>
      </c>
      <c r="D7" s="11" t="s">
        <v>1338</v>
      </c>
      <c r="F7" s="11" t="s">
        <v>1339</v>
      </c>
      <c r="H7" s="14" t="s">
        <v>1340</v>
      </c>
      <c r="I7" s="28">
        <v>32209568</v>
      </c>
      <c r="K7" t="s">
        <v>1341</v>
      </c>
      <c r="M7" s="25" t="s">
        <v>37</v>
      </c>
    </row>
    <row r="8" outlineLevel="1" spans="1:13">
      <c r="A8" s="7" t="s">
        <v>1342</v>
      </c>
      <c r="B8" s="9" t="s">
        <v>1343</v>
      </c>
      <c r="F8" s="7" t="s">
        <v>10</v>
      </c>
      <c r="H8" s="15" t="s">
        <v>1344</v>
      </c>
      <c r="I8" s="27">
        <v>71292446</v>
      </c>
      <c r="K8" t="s">
        <v>1345</v>
      </c>
      <c r="M8" s="25" t="s">
        <v>32</v>
      </c>
    </row>
    <row r="9" outlineLevel="1" spans="1:13">
      <c r="A9" s="11" t="s">
        <v>1346</v>
      </c>
      <c r="B9" s="9" t="s">
        <v>1200</v>
      </c>
      <c r="F9" s="11" t="s">
        <v>1347</v>
      </c>
      <c r="H9" s="16" t="s">
        <v>1348</v>
      </c>
      <c r="I9" s="31">
        <v>70323724</v>
      </c>
      <c r="K9" t="s">
        <v>1349</v>
      </c>
      <c r="M9" s="25" t="s">
        <v>34</v>
      </c>
    </row>
    <row r="10" outlineLevel="1" spans="1:13">
      <c r="A10" s="11" t="s">
        <v>1350</v>
      </c>
      <c r="B10" s="9" t="s">
        <v>109</v>
      </c>
      <c r="F10" s="7" t="s">
        <v>1351</v>
      </c>
      <c r="H10" s="15" t="s">
        <v>1352</v>
      </c>
      <c r="I10" s="27">
        <v>32142539</v>
      </c>
      <c r="K10" t="s">
        <v>1353</v>
      </c>
      <c r="M10" s="32" t="s">
        <v>128</v>
      </c>
    </row>
    <row r="11" outlineLevel="1" spans="1:13">
      <c r="A11" s="11" t="s">
        <v>1354</v>
      </c>
      <c r="B11" s="9" t="s">
        <v>1355</v>
      </c>
      <c r="F11" s="11" t="s">
        <v>1356</v>
      </c>
      <c r="H11" s="14" t="s">
        <v>1357</v>
      </c>
      <c r="I11" s="28">
        <v>79897894</v>
      </c>
      <c r="K11" t="s">
        <v>1358</v>
      </c>
      <c r="M11" s="32" t="s">
        <v>61</v>
      </c>
    </row>
    <row r="12" outlineLevel="1" spans="1:13">
      <c r="A12" s="7" t="s">
        <v>1359</v>
      </c>
      <c r="B12" s="9" t="s">
        <v>1052</v>
      </c>
      <c r="F12" s="7"/>
      <c r="H12" s="17" t="s">
        <v>1360</v>
      </c>
      <c r="I12" s="33">
        <v>32184975</v>
      </c>
      <c r="M12" s="32" t="s">
        <v>1217</v>
      </c>
    </row>
    <row r="13" outlineLevel="1" spans="1:9">
      <c r="A13" s="7" t="s">
        <v>462</v>
      </c>
      <c r="B13" s="9" t="s">
        <v>462</v>
      </c>
      <c r="H13" s="15" t="s">
        <v>1361</v>
      </c>
      <c r="I13" s="27">
        <v>70512283</v>
      </c>
    </row>
    <row r="14" outlineLevel="1" spans="1:9">
      <c r="A14" s="7" t="s">
        <v>1362</v>
      </c>
      <c r="B14" s="9" t="s">
        <v>482</v>
      </c>
      <c r="H14" s="16" t="s">
        <v>1363</v>
      </c>
      <c r="I14" s="31">
        <v>16757142</v>
      </c>
    </row>
    <row r="15" outlineLevel="1" spans="1:9">
      <c r="A15" s="11" t="s">
        <v>212</v>
      </c>
      <c r="B15" s="9" t="s">
        <v>212</v>
      </c>
      <c r="H15" s="15" t="s">
        <v>1364</v>
      </c>
      <c r="I15" s="27">
        <v>1152194903</v>
      </c>
    </row>
    <row r="16" outlineLevel="1" spans="1:9">
      <c r="A16" s="11" t="s">
        <v>1365</v>
      </c>
      <c r="B16" s="9" t="s">
        <v>247</v>
      </c>
      <c r="H16" s="16" t="s">
        <v>1366</v>
      </c>
      <c r="I16" s="34" t="s">
        <v>1367</v>
      </c>
    </row>
    <row r="17" outlineLevel="1" spans="1:9">
      <c r="A17" s="11" t="s">
        <v>1368</v>
      </c>
      <c r="B17" s="9" t="s">
        <v>449</v>
      </c>
      <c r="H17" s="15" t="s">
        <v>7</v>
      </c>
      <c r="I17" s="27">
        <v>71639999</v>
      </c>
    </row>
    <row r="18" outlineLevel="1" spans="1:9">
      <c r="A18" s="11" t="s">
        <v>1369</v>
      </c>
      <c r="B18" s="9" t="s">
        <v>1220</v>
      </c>
      <c r="H18" s="16" t="s">
        <v>1370</v>
      </c>
      <c r="I18" s="35">
        <v>1121878447</v>
      </c>
    </row>
    <row r="19" outlineLevel="1" spans="1:9">
      <c r="A19" s="7" t="s">
        <v>1371</v>
      </c>
      <c r="B19" s="9" t="s">
        <v>244</v>
      </c>
      <c r="H19" s="15" t="s">
        <v>1372</v>
      </c>
      <c r="I19" s="27">
        <v>43506380</v>
      </c>
    </row>
    <row r="20" outlineLevel="1" spans="1:9">
      <c r="A20" t="s">
        <v>1373</v>
      </c>
      <c r="B20" s="9" t="s">
        <v>1374</v>
      </c>
      <c r="H20" s="15" t="s">
        <v>1375</v>
      </c>
      <c r="I20" s="27">
        <v>43498846</v>
      </c>
    </row>
    <row r="21" outlineLevel="1" spans="1:9">
      <c r="A21" t="s">
        <v>1376</v>
      </c>
      <c r="B21" s="18" t="s">
        <v>110</v>
      </c>
      <c r="H21" s="14" t="s">
        <v>1377</v>
      </c>
      <c r="I21" s="28">
        <v>1128404319</v>
      </c>
    </row>
    <row r="22" outlineLevel="1" spans="1:9">
      <c r="A22" t="s">
        <v>209</v>
      </c>
      <c r="B22" s="9" t="s">
        <v>209</v>
      </c>
      <c r="H22" s="15" t="s">
        <v>1378</v>
      </c>
      <c r="I22" s="27">
        <v>5820573</v>
      </c>
    </row>
    <row r="23" outlineLevel="1" spans="1:9">
      <c r="A23" s="19" t="s">
        <v>1379</v>
      </c>
      <c r="B23" s="9" t="s">
        <v>214</v>
      </c>
      <c r="H23" s="16" t="s">
        <v>1380</v>
      </c>
      <c r="I23" s="31">
        <v>80810881</v>
      </c>
    </row>
    <row r="24" outlineLevel="1" spans="1:9">
      <c r="A24" t="s">
        <v>1381</v>
      </c>
      <c r="B24" s="9" t="s">
        <v>180</v>
      </c>
      <c r="H24" s="16" t="s">
        <v>1382</v>
      </c>
      <c r="I24" s="31">
        <v>70566616</v>
      </c>
    </row>
    <row r="25" outlineLevel="1" spans="1:9">
      <c r="A25" s="19" t="s">
        <v>1092</v>
      </c>
      <c r="B25" s="9" t="s">
        <v>1092</v>
      </c>
      <c r="H25" s="8" t="s">
        <v>1383</v>
      </c>
      <c r="I25" s="29">
        <v>71765633</v>
      </c>
    </row>
    <row r="26" outlineLevel="1" spans="1:9">
      <c r="A26" t="s">
        <v>1189</v>
      </c>
      <c r="B26" s="9" t="s">
        <v>1189</v>
      </c>
      <c r="H26" s="14" t="s">
        <v>1384</v>
      </c>
      <c r="I26" s="28">
        <v>43874217</v>
      </c>
    </row>
    <row r="27" outlineLevel="1" spans="1:9">
      <c r="A27" t="s">
        <v>258</v>
      </c>
      <c r="B27" s="9" t="s">
        <v>258</v>
      </c>
      <c r="H27" s="14" t="s">
        <v>1385</v>
      </c>
      <c r="I27" s="28">
        <v>52714421</v>
      </c>
    </row>
    <row r="28" outlineLevel="1" spans="1:9">
      <c r="A28" s="19" t="s">
        <v>1386</v>
      </c>
      <c r="B28" s="9" t="s">
        <v>115</v>
      </c>
      <c r="H28" s="20" t="s">
        <v>1387</v>
      </c>
      <c r="I28" s="28">
        <v>1040733121</v>
      </c>
    </row>
    <row r="29" outlineLevel="1" spans="8:9">
      <c r="H29" s="21" t="s">
        <v>1388</v>
      </c>
      <c r="I29" s="27">
        <v>37841713</v>
      </c>
    </row>
    <row r="30" outlineLevel="1" spans="8:9">
      <c r="H30" s="22" t="s">
        <v>1389</v>
      </c>
      <c r="I30" s="36">
        <v>1111111111</v>
      </c>
    </row>
    <row r="31" outlineLevel="1" spans="8:9">
      <c r="H31" s="19"/>
      <c r="I31" s="19"/>
    </row>
    <row r="32" outlineLevel="1" spans="8:9">
      <c r="H32" s="23"/>
      <c r="I32" s="2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/>
  <headerFooter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61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Soli_citud </vt:lpstr>
      <vt:lpstr>Entrega de Pedido</vt:lpstr>
      <vt:lpstr>BD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metodoscalzado</dc:creator>
  <cp:lastModifiedBy>WIN</cp:lastModifiedBy>
  <dcterms:created xsi:type="dcterms:W3CDTF">2012-12-07T12:25:00Z</dcterms:created>
  <dcterms:modified xsi:type="dcterms:W3CDTF">2025-05-08T02:23:06Z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  <property fmtid="{D5CDD505-2E9C-101B-9397-08002B2CF9AE}" pid="9" name="ICV">
    <vt:lpwstr>0EB15EC04CF949C59FECC65034CE93E4_13</vt:lpwstr>
  </property>
  <property fmtid="{D5CDD505-2E9C-101B-9397-08002B2CF9AE}" pid="10" name="KSOProductBuildVer">
    <vt:lpwstr>3082-12.2.0.20795</vt:lpwstr>
  </property>
</Properties>
</file>