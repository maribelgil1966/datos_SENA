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FELIPE LOAIZA\"/>
    </mc:Choice>
  </mc:AlternateContent>
  <xr:revisionPtr revIDLastSave="0" documentId="13_ncr:1_{2FBF75D9-70BE-48C5-B834-A0849FEEA004}" xr6:coauthVersionLast="47" xr6:coauthVersionMax="47" xr10:uidLastSave="{00000000-0000-0000-0000-000000000000}"/>
  <bookViews>
    <workbookView xWindow="-120" yWindow="660" windowWidth="20490" windowHeight="1030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78" i="38"/>
  <c r="A1279" i="38"/>
  <c r="A1280" i="38"/>
  <c r="A1281" i="38"/>
  <c r="A1282" i="38"/>
  <c r="A1283" i="38"/>
  <c r="A1284" i="38"/>
  <c r="A1285" i="38"/>
  <c r="A1286" i="38"/>
  <c r="A1287" i="38"/>
  <c r="A1288" i="38"/>
  <c r="A1289" i="38"/>
  <c r="A1290" i="38"/>
  <c r="A1291" i="38"/>
  <c r="A1292" i="38"/>
  <c r="A1293" i="38"/>
  <c r="A1294" i="38"/>
  <c r="A1295" i="38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/>
  <c r="P17" i="61" a="1"/>
  <c r="P17" i="61" s="1"/>
  <c r="P18" i="61" a="1"/>
  <c r="P18" i="61" s="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a="1"/>
  <c r="H12" i="61"/>
  <c r="S11" i="43"/>
  <c r="H13" i="61" a="1"/>
  <c r="H13" i="61"/>
  <c r="K13" i="61" s="1" a="1"/>
  <c r="K13" i="61" s="1"/>
  <c r="S12" i="43"/>
  <c r="H14" i="61" s="1" a="1"/>
  <c r="H14" i="61" s="1"/>
  <c r="S13" i="43"/>
  <c r="H15" i="61" a="1"/>
  <c r="H15" i="61"/>
  <c r="B15" i="61" s="1"/>
  <c r="S14" i="43"/>
  <c r="H16" i="61" s="1" a="1"/>
  <c r="H16" i="61" s="1"/>
  <c r="S15" i="43"/>
  <c r="H17" i="61" a="1"/>
  <c r="H17" i="61" s="1"/>
  <c r="S16" i="43"/>
  <c r="H18" i="61" a="1"/>
  <c r="H18" i="61" s="1"/>
  <c r="S17" i="43"/>
  <c r="H19" i="61" a="1"/>
  <c r="H19" i="61"/>
  <c r="S18" i="43"/>
  <c r="H20" i="61" a="1"/>
  <c r="H20" i="61"/>
  <c r="S19" i="43"/>
  <c r="H21" i="61" a="1"/>
  <c r="H21" i="61"/>
  <c r="S20" i="43"/>
  <c r="H22" i="61" a="1"/>
  <c r="H22" i="61" s="1"/>
  <c r="S21" i="43"/>
  <c r="H23" i="61" a="1"/>
  <c r="H23" i="61"/>
  <c r="S22" i="43"/>
  <c r="H24" i="61" a="1"/>
  <c r="H24" i="61"/>
  <c r="S23" i="43"/>
  <c r="H25" i="61" a="1"/>
  <c r="H25" i="61"/>
  <c r="S24" i="43"/>
  <c r="H26" i="61" a="1"/>
  <c r="H26" i="61" s="1"/>
  <c r="S25" i="43"/>
  <c r="H27" i="61" a="1"/>
  <c r="H27" i="61"/>
  <c r="S26" i="43"/>
  <c r="H28" i="61" a="1"/>
  <c r="H28" i="61"/>
  <c r="S27" i="43"/>
  <c r="H29" i="61" a="1"/>
  <c r="H29" i="61"/>
  <c r="S28" i="43"/>
  <c r="H30" i="61" a="1"/>
  <c r="H30" i="61" s="1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a="1"/>
  <c r="H32" i="6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/>
  <c r="O23" i="43"/>
  <c r="G25" i="61"/>
  <c r="O24" i="43"/>
  <c r="G26" i="61"/>
  <c r="O25" i="43"/>
  <c r="G27" i="61"/>
  <c r="O26" i="43"/>
  <c r="G28" i="61"/>
  <c r="O27" i="43"/>
  <c r="G29" i="61"/>
  <c r="O28" i="43"/>
  <c r="G30" i="61"/>
  <c r="O29" i="43"/>
  <c r="G31" i="6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/>
  <c r="O20" i="43"/>
  <c r="G22" i="61"/>
  <c r="O11" i="43"/>
  <c r="G13" i="61" s="1"/>
  <c r="O19" i="43"/>
  <c r="G21" i="61"/>
  <c r="O18" i="43"/>
  <c r="G20" i="6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/>
  <c r="O13" i="43"/>
  <c r="G15" i="61"/>
  <c r="W15" i="43"/>
  <c r="A65" i="38"/>
  <c r="J64" i="38"/>
  <c r="A1112" i="38"/>
  <c r="J229" i="38"/>
  <c r="A1421" i="38"/>
  <c r="O12" i="43"/>
  <c r="G14" i="61"/>
  <c r="O15" i="43"/>
  <c r="G17" i="61" s="1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J1281" i="38"/>
  <c r="A1422" i="38"/>
  <c r="J1421" i="38"/>
  <c r="A66" i="38"/>
  <c r="J65" i="38"/>
  <c r="D5" i="43"/>
  <c r="B8" i="61" s="1"/>
  <c r="A1177" i="38"/>
  <c r="O5" i="43"/>
  <c r="J240" i="38"/>
  <c r="J667" i="38"/>
  <c r="J991" i="38"/>
  <c r="J231" i="38"/>
  <c r="J12" i="38"/>
  <c r="A13" i="38"/>
  <c r="A1423" i="38"/>
  <c r="J1422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B19" i="61"/>
  <c r="O19" i="61"/>
  <c r="K19" i="61" a="1"/>
  <c r="K19" i="61"/>
  <c r="K32" i="61" a="1"/>
  <c r="K32" i="61"/>
  <c r="B32" i="61"/>
  <c r="O32" i="61"/>
  <c r="K29" i="61" a="1"/>
  <c r="K29" i="61"/>
  <c r="O29" i="61"/>
  <c r="B29" i="61"/>
  <c r="K24" i="61" a="1"/>
  <c r="K24" i="61"/>
  <c r="B24" i="61"/>
  <c r="O24" i="61"/>
  <c r="K21" i="61" a="1"/>
  <c r="K21" i="61"/>
  <c r="O21" i="61"/>
  <c r="B21" i="61"/>
  <c r="B13" i="61"/>
  <c r="K27" i="61" a="1"/>
  <c r="K27" i="61"/>
  <c r="B27" i="61"/>
  <c r="O27" i="61"/>
  <c r="K23" i="61" a="1"/>
  <c r="K23" i="61"/>
  <c r="B23" i="61"/>
  <c r="O23" i="61"/>
  <c r="K15" i="61" a="1"/>
  <c r="K15" i="61"/>
  <c r="K28" i="61" a="1"/>
  <c r="K28" i="61"/>
  <c r="B28" i="61"/>
  <c r="O28" i="61"/>
  <c r="K25" i="61" a="1"/>
  <c r="K25" i="61"/>
  <c r="O25" i="61"/>
  <c r="B25" i="61"/>
  <c r="K20" i="61" a="1"/>
  <c r="K20" i="61"/>
  <c r="B20" i="61"/>
  <c r="O20" i="61"/>
  <c r="K12" i="61" a="1"/>
  <c r="K12" i="61"/>
  <c r="B12" i="61"/>
  <c r="O12" i="61"/>
  <c r="K17" i="61" l="1" a="1"/>
  <c r="K17" i="61" s="1"/>
  <c r="B17" i="61"/>
  <c r="O17" i="61"/>
  <c r="O16" i="61"/>
  <c r="K16" i="61" a="1"/>
  <c r="K16" i="61" s="1"/>
  <c r="B16" i="61"/>
  <c r="W14" i="43"/>
  <c r="O15" i="61"/>
  <c r="K14" i="61" a="1"/>
  <c r="K14" i="61" s="1"/>
  <c r="B14" i="61"/>
  <c r="O14" i="61"/>
  <c r="K26" i="61" a="1"/>
  <c r="K26" i="61" s="1"/>
  <c r="B26" i="61"/>
  <c r="O26" i="61"/>
  <c r="K30" i="61" a="1"/>
  <c r="K30" i="61" s="1"/>
  <c r="O30" i="61"/>
  <c r="B30" i="61"/>
  <c r="K31" i="61" a="1"/>
  <c r="K31" i="61" s="1"/>
  <c r="B31" i="61"/>
  <c r="O31" i="61"/>
  <c r="K18" i="61" a="1"/>
  <c r="K18" i="61" s="1"/>
  <c r="B18" i="61"/>
  <c r="O18" i="61"/>
  <c r="K22" i="61" a="1"/>
  <c r="K22" i="61" s="1"/>
  <c r="B22" i="61"/>
  <c r="O22" i="61"/>
  <c r="O13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<sst xmlns="http://schemas.openxmlformats.org/spreadsheetml/2006/main" count="5015" uniqueCount="1392">
  <si>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</si>
  <si>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</si>
  <si>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</si>
  <si>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</si>
  <si>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</si>
  <si>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</si>
  <si>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</si>
  <si>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</si>
  <si>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</si>
  <si>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</si>
  <si>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</si>
  <si>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</si>
  <si>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</si>
  <si>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</si>
  <si>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</si>
  <si>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</si>
  <si>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</si>
  <si>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</si>
  <si>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</si>
  <si>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</si>
  <si>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</si>
  <si>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</si>
  <si>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</si>
  <si>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</si>
  <si>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</si>
  <si>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</si>
  <si>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</si>
  <si>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</si>
  <si>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</si>
  <si>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</si>
  <si>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</si>
  <si>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</si>
  <si>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</si>
  <si>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</si>
  <si>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</si>
  <si>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</si>
  <si>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</si>
  <si>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</si>
  <si>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</si>
  <si>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</si>
  <si>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</si>
  <si>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</si>
  <si>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</si>
  <si>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</si>
  <si>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</si>
  <si>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</si>
  <si>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</si>
  <si>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</si>
  <si>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</si>
  <si>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</si>
  <si>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</si>
  <si>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</si>
  <si>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</si>
  <si>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</si>
  <si>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</si>
  <si>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</si>
  <si>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</si>
  <si>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</si>
  <si>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</si>
  <si>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</si>
  <si>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</si>
  <si>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</si>
  <si>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</si>
  <si>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</si>
  <si>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</si>
  <si>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</si>
  <si>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</si>
  <si>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</si>
  <si>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</si>
  <si>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</si>
  <si>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</si>
  <si>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</si>
  <si>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</si>
  <si>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</si>
  <si>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</si>
  <si>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</si>
  <si>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</si>
  <si>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</si>
  <si>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</si>
  <si>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</si>
  <si>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</si>
  <si>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</si>
  <si>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</si>
  <si>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</si>
  <si>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</si>
  <si>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</si>
  <si>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</si>
  <si>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</si>
  <si>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</si>
  <si>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</si>
  <si>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</si>
  <si>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</si>
  <si>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</si>
  <si>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</si>
  <si>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</si>
  <si>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</si>
  <si>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</si>
  <si>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</si>
  <si>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</si>
  <si>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</si>
  <si>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</si>
  <si>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</si>
  <si>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</si>
  <si>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</si>
  <si>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</si>
  <si>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</si>
  <si>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</si>
  <si>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</si>
  <si>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</si>
  <si>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</si>
  <si>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</si>
  <si>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</si>
  <si>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</si>
  <si>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</si>
  <si>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</si>
  <si>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</si>
  <si>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</si>
  <si>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</si>
  <si>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</si>
  <si>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</si>
  <si>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</si>
  <si>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</si>
  <si>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</si>
  <si>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</si>
  <si>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</si>
  <si>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</si>
  <si>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</si>
  <si>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</si>
  <si>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</si>
  <si>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</si>
  <si>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</si>
  <si>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</si>
  <si>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</si>
  <si>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</si>
  <si>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</si>
  <si>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</si>
  <si>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</si>
  <si>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</si>
  <si>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</si>
  <si>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</si>
  <si>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</si>
  <si>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</si>
  <si>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</si>
  <si>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</si>
  <si>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</si>
  <si>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</si>
  <si>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</si>
  <si>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</si>
  <si>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</si>
  <si>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</si>
  <si>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</si>
  <si>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</si>
  <si>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</si>
  <si>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</si>
  <si>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</si>
  <si>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</si>
  <si>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</si>
  <si>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</si>
  <si>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</si>
  <si>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</si>
  <si>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</si>
  <si>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</si>
  <si>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</si>
  <si>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</si>
  <si>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</si>
  <si>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</si>
  <si>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</si>
  <si>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</si>
  <si>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</si>
  <si>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</si>
  <si>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</si>
  <si>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</si>
  <si>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</si>
  <si>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</si>
  <si>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</si>
  <si>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</si>
  <si>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</si>
  <si>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</si>
  <si>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</si>
  <si>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</si>
  <si>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</si>
  <si>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</si>
  <si>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</si>
  <si>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</si>
  <si>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</si>
  <si>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</si>
  <si>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</si>
  <si>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</si>
  <si>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</si>
  <si>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</si>
  <si>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</si>
  <si>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</si>
  <si>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</si>
  <si>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</si>
  <si>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</si>
  <si>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</si>
  <si>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</si>
  <si>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</si>
  <si>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</si>
  <si>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</si>
  <si>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</si>
  <si>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</si>
  <si>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</si>
  <si>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</si>
  <si>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</si>
  <si>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</si>
  <si>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</si>
  <si>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</si>
  <si>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</si>
  <si>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</si>
  <si>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</si>
  <si>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</si>
  <si>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</si>
  <si>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</si>
  <si>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</si>
  <si>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</si>
  <si>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</si>
  <si>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</si>
  <si>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</si>
  <si>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</si>
  <si>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</si>
  <si>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</si>
  <si>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</si>
  <si>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</si>
  <si>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</si>
  <si>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</si>
  <si>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</si>
  <si>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</si>
  <si>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</si>
  <si>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</si>
  <si>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</si>
  <si>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</si>
  <si>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</si>
  <si>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</si>
  <si>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</si>
  <si>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</si>
  <si>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</si>
  <si>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</si>
  <si>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</si>
  <si>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</si>
  <si>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</si>
  <si>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</si>
  <si>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</si>
  <si>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</si>
  <si>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</si>
  <si>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</si>
  <si>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</si>
  <si>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</si>
  <si>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</si>
  <si>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</si>
  <si>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</si>
  <si>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</si>
  <si>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</si>
  <si>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</si>
  <si>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</si>
  <si>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</si>
  <si>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</si>
  <si>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</si>
  <si>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</si>
  <si>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</si>
  <si>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</si>
  <si>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</si>
  <si>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</si>
  <si>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</si>
  <si>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</si>
  <si>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</si>
  <si>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</si>
  <si>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</si>
  <si>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</si>
  <si>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</si>
  <si>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</si>
  <si>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</si>
  <si>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</si>
  <si>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</si>
  <si>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</si>
  <si>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</si>
  <si>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</si>
  <si>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</si>
  <si>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</si>
  <si>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</si>
  <si>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</si>
  <si>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</si>
  <si>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</si>
  <si>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</si>
  <si>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</si>
  <si>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</si>
  <si>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</si>
  <si>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</si>
  <si>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</si>
  <si>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</si>
  <si>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</si>
  <si>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</si>
  <si>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</si>
  <si>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</si>
  <si>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</si>
  <si>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</si>
  <si>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</si>
  <si>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</si>
  <si>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</si>
  <si>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</si>
  <si>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</si>
  <si>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</si>
  <si>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</si>
  <si>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</si>
  <si>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</si>
  <si>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</si>
  <si>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</si>
  <si>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</si>
  <si>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</si>
  <si>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</si>
  <si>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</si>
  <si>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</si>
  <si>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</si>
  <si>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</si>
  <si>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</si>
  <si>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</si>
  <si>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</si>
  <si>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</si>
  <si>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</si>
  <si>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</si>
  <si>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</si>
  <si>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</si>
  <si>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</si>
  <si>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</si>
  <si>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</si>
  <si>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</si>
  <si>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</si>
  <si>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</si>
  <si>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</si>
  <si>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</si>
  <si>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</si>
  <si>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</si>
  <si>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</si>
  <si>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</si>
  <si>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</si>
  <si>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</si>
  <si>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</si>
  <si>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</si>
  <si>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</si>
  <si>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</si>
  <si>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</si>
  <si>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</si>
  <si>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</si>
  <si>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</si>
  <si>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</si>
  <si>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</si>
  <si>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</si>
  <si>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</si>
  <si>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</si>
  <si>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</si>
  <si>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</si>
  <si>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</si>
  <si>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</si>
  <si>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</si>
  <si>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</si>
  <si>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</si>
  <si>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</si>
  <si>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</si>
  <si>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</si>
  <si>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</si>
  <si>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</si>
  <si>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</si>
  <si>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</si>
  <si>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</si>
  <si>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</si>
  <si>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</si>
  <si>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</si>
  <si>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</si>
  <si>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</si>
  <si>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</si>
  <si>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</si>
  <si>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</si>
  <si>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</si>
  <si>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</si>
  <si>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</si>
  <si>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</si>
  <si>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</si>
  <si>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</si>
  <si>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</si>
  <si>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</si>
  <si>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</si>
  <si>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</si>
  <si>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</si>
  <si>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</si>
  <si>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</si>
  <si>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</si>
  <si>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</si>
  <si>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</si>
  <si>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</si>
  <si>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</si>
  <si>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</si>
  <si>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</si>
  <si>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</si>
  <si>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</si>
  <si>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</si>
  <si>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</si>
  <si>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</si>
  <si>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</si>
  <si>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</si>
  <si>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</si>
  <si>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</si>
  <si>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</si>
  <si>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</si>
  <si>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</si>
  <si>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</si>
  <si>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</si>
  <si>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</si>
  <si>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</si>
  <si>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</si>
  <si>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</si>
  <si>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</si>
  <si>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</si>
  <si>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</si>
  <si>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</si>
  <si>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</si>
  <si>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</si>
  <si>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</si>
  <si>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</si>
  <si>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</si>
  <si>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</si>
  <si>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</si>
  <si>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</si>
  <si>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</si>
  <si>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</si>
  <si>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</si>
  <si>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</si>
  <si>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</si>
  <si>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</si>
  <si>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</si>
  <si>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</si>
  <si>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</si>
  <si>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</si>
  <si>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</si>
  <si>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</si>
  <si>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</si>
  <si>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</si>
  <si>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</si>
  <si>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</si>
  <si>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</si>
  <si>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</si>
  <si>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</si>
  <si>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</si>
  <si>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</si>
  <si>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</si>
  <si>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</si>
  <si>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</si>
  <si>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</si>
  <si>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</si>
  <si>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</si>
  <si>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</si>
  <si>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</si>
  <si>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</si>
  <si>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</si>
  <si>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</si>
  <si>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</si>
  <si>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</si>
  <si>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</si>
  <si>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</si>
  <si>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</si>
  <si>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</si>
  <si>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</si>
  <si>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</si>
  <si>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</si>
  <si>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</si>
  <si>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</si>
  <si>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</si>
  <si>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</si>
  <si>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</si>
  <si>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</si>
  <si>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</si>
  <si>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</si>
  <si>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</si>
  <si>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</si>
  <si>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</si>
  <si>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</si>
  <si>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</si>
  <si>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</si>
  <si>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</si>
  <si>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</si>
  <si>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</si>
  <si>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</si>
  <si>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</si>
  <si>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</si>
  <si>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</si>
  <si>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</si>
  <si>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</si>
  <si>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</si>
  <si>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</si>
  <si>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</si>
  <si>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</si>
  <si>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</si>
  <si>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</si>
  <si>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</si>
  <si>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</si>
  <si>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</si>
  <si>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</si>
  <si>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</si>
  <si>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</si>
  <si>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</si>
  <si>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</si>
  <si>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</si>
  <si>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</si>
  <si>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</si>
  <si>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</si>
  <si>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</si>
  <si>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</si>
  <si>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</si>
  <si>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</si>
  <si>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</si>
  <si>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</si>
  <si>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</si>
  <si>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</si>
  <si>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</si>
  <si>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</si>
  <si>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</si>
  <si>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</si>
  <si>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</si>
  <si>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</si>
  <si>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</si>
  <si>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</si>
  <si>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</si>
  <si>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</si>
  <si>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</si>
  <si>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</si>
  <si>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</si>
  <si>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</si>
  <si>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</si>
  <si>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</si>
  <si>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</si>
  <si>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</si>
  <si>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</si>
  <si>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</si>
  <si>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</si>
  <si>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</si>
  <si>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</si>
  <si>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</si>
  <si>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</si>
  <si>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</si>
  <si>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</si>
  <si>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</si>
  <si>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</si>
  <si>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</si>
  <si>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</si>
  <si>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</si>
  <si>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</si>
  <si>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</si>
  <si>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</si>
  <si>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</si>
  <si>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</si>
  <si>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</si>
  <si>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</si>
  <si>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</si>
  <si>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</si>
  <si>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</si>
  <si>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</si>
  <si>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</si>
  <si>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</si>
  <si>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</si>
  <si>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</si>
  <si>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</si>
  <si>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</si>
  <si>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</si>
  <si>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</si>
  <si>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</si>
  <si>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</si>
  <si>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</si>
  <si>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</si>
  <si>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</si>
  <si>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</si>
  <si>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</si>
  <si>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</si>
  <si>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</si>
  <si>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</si>
  <si>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</si>
  <si>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</si>
  <si>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</si>
  <si>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</si>
  <si>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</si>
  <si>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</si>
  <si>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</si>
  <si>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</si>
  <si>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</si>
  <si>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</si>
  <si>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</si>
  <si>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</si>
  <si>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</si>
  <si>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</si>
  <si>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</si>
  <si>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</si>
  <si>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</si>
  <si>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</si>
  <si>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</si>
  <si>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</si>
  <si>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</si>
  <si>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</si>
  <si>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</si>
  <si>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</si>
  <si>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</si>
  <si>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</si>
  <si>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</si>
  <si>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</si>
  <si>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</si>
  <si>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</si>
  <si>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</si>
  <si>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</si>
  <si>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</si>
  <si>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</si>
  <si>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</si>
  <si>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</si>
  <si>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</si>
  <si>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</si>
  <si>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</si>
  <si>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</si>
  <si>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</si>
  <si>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</si>
  <si>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</si>
  <si>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</si>
  <si>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</si>
  <si>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</si>
  <si>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</si>
  <si>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</si>
  <si>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</si>
  <si>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</si>
  <si>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</si>
  <si>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</si>
  <si>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</si>
  <si>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</si>
  <si>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</si>
  <si>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</si>
  <si>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</si>
  <si>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</si>
  <si>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</si>
  <si>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</si>
  <si>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</si>
  <si>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</si>
  <si>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</si>
  <si>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</si>
  <si>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</si>
  <si>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</si>
  <si>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</si>
  <si>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</si>
  <si>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</si>
  <si>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</si>
  <si>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</si>
  <si>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</si>
  <si>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</si>
  <si>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</si>
  <si>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</si>
  <si>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</si>
  <si>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</si>
  <si>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</si>
  <si>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</si>
  <si>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</si>
  <si>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</si>
  <si>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</si>
  <si>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</si>
  <si>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</si>
  <si>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</si>
  <si>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</si>
  <si>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</si>
  <si>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</si>
  <si>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</si>
  <si>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</si>
  <si>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</si>
  <si>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</si>
  <si>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</si>
  <si>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</si>
  <si>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</si>
  <si>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</si>
  <si>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</si>
  <si>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</si>
  <si>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</si>
  <si>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</si>
  <si>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</si>
  <si>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</si>
  <si>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</si>
  <si>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</si>
  <si>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</si>
  <si>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</si>
  <si>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</si>
  <si>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</si>
  <si>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</si>
  <si>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</si>
  <si>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</si>
  <si>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</si>
  <si>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</si>
  <si>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</si>
  <si>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</si>
  <si>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</si>
  <si>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</si>
  <si>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</si>
  <si>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</si>
  <si>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</si>
  <si>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</si>
  <si>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</si>
  <si>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</si>
  <si>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</si>
  <si>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</si>
  <si>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</si>
  <si>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</si>
  <si>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</si>
  <si>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</si>
  <si>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</si>
  <si>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</si>
  <si>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</si>
  <si>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</si>
  <si>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</si>
  <si>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</si>
  <si>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</si>
  <si>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</si>
  <si>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</si>
  <si>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</si>
  <si>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</si>
  <si>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</si>
  <si>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</si>
  <si>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</si>
  <si>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</si>
  <si>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</si>
  <si>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</si>
  <si>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</si>
  <si>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</si>
  <si>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</si>
  <si>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</si>
  <si>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</si>
  <si>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</si>
  <si>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</si>
  <si>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</si>
  <si>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</si>
  <si>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</si>
  <si>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</si>
  <si>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</si>
  <si>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</si>
  <si>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</si>
  <si>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</si>
  <si>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</si>
  <si>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</si>
  <si>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</si>
  <si>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</si>
  <si>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</si>
  <si>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</si>
  <si>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</si>
  <si>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</si>
  <si>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</si>
  <si>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</si>
  <si>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</si>
  <si>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</si>
  <si>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</si>
  <si>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</si>
  <si>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</si>
  <si>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</si>
  <si>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</si>
  <si>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</si>
  <si>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</si>
  <si>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</si>
  <si>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</si>
  <si>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</si>
  <si>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</si>
  <si>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</si>
  <si>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</si>
  <si>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</si>
  <si>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</si>
  <si>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</si>
  <si>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</si>
  <si>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</si>
  <si>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</si>
  <si>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</si>
  <si>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</si>
  <si>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</si>
  <si>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</si>
  <si>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</si>
  <si>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</si>
  <si>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</si>
  <si>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</si>
  <si>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</si>
  <si>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</si>
  <si>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</si>
  <si>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</si>
  <si>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</si>
  <si>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</si>
  <si>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</si>
  <si>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</si>
  <si>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</si>
  <si>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</si>
  <si>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</si>
  <si>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</si>
  <si>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</si>
  <si>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</si>
  <si>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</si>
  <si>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</si>
  <si>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</si>
  <si>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</si>
  <si>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</si>
  <si>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</si>
  <si>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</si>
  <si>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</si>
  <si>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</si>
  <si>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</si>
  <si>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</si>
  <si>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</si>
  <si>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</si>
  <si>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</si>
  <si>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</si>
  <si>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</si>
  <si>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</si>
  <si>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</si>
  <si>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</si>
  <si>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</si>
  <si>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</si>
  <si>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</si>
  <si>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</si>
  <si>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</si>
  <si>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</si>
  <si>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</si>
  <si>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</si>
  <si>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</si>
  <si>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</si>
  <si>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</si>
  <si>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</si>
  <si>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</si>
  <si>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</si>
  <si>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</si>
  <si>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</si>
  <si>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</si>
  <si>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</si>
  <si>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</si>
  <si>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</si>
  <si>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</si>
  <si>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</si>
  <si>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</si>
  <si>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</si>
  <si>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</si>
  <si>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</si>
  <si>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</si>
  <si>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</si>
  <si>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</si>
  <si>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</si>
  <si>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</si>
  <si>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</si>
  <si>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</si>
  <si>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</si>
  <si>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</si>
  <si>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</si>
  <si>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</si>
  <si>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</si>
  <si>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</si>
  <si>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</si>
  <si>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</si>
  <si>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</si>
  <si>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</si>
  <si>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</si>
  <si>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</si>
  <si>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</si>
  <si>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</si>
  <si>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</si>
  <si>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</si>
  <si>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</si>
  <si>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</si>
  <si>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</si>
  <si>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</si>
  <si>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</si>
  <si>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</si>
  <si>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</si>
  <si>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</si>
  <si>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</si>
  <si>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</si>
  <si>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</si>
  <si>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</si>
  <si>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</si>
  <si>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</si>
  <si>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</si>
  <si>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</si>
  <si>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</si>
  <si>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</si>
  <si>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</si>
  <si>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</si>
  <si>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</si>
  <si>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</si>
  <si>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</si>
  <si>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</si>
  <si>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</si>
  <si>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</si>
  <si>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</si>
  <si>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</si>
  <si>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</si>
  <si>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</si>
  <si>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</si>
  <si>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</si>
  <si>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</si>
  <si>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</si>
  <si>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</si>
  <si>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</si>
  <si>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</si>
  <si>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</si>
  <si>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</si>
  <si>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</si>
  <si>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</si>
  <si>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</si>
  <si>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</si>
  <si>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</si>
  <si>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</si>
  <si>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</si>
  <si>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</si>
  <si>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</si>
  <si>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</si>
  <si>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</si>
  <si>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</si>
  <si>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</si>
  <si>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</si>
  <si>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</si>
  <si>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</si>
  <si>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</si>
  <si>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</si>
  <si>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</si>
  <si>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</si>
  <si>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</si>
  <si>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</si>
  <si>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</si>
  <si>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</si>
  <si>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</si>
  <si>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</si>
  <si>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</si>
  <si>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</si>
  <si>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</si>
  <si>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</si>
  <si>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</si>
  <si>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</si>
  <si>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</si>
  <si>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</si>
  <si>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</si>
  <si>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</si>
  <si>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</si>
  <si>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</si>
  <si>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</si>
  <si>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</si>
  <si>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</si>
  <si>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</si>
  <si>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</si>
  <si>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</si>
  <si>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</si>
  <si>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</si>
  <si>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</si>
  <si>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</si>
  <si>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</si>
  <si>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</si>
  <si>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</si>
  <si>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</si>
  <si>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</si>
  <si>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</si>
  <si>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</si>
  <si>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</si>
  <si>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</si>
  <si>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</si>
  <si>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</si>
  <si>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</si>
  <si>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</si>
  <si>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</si>
  <si>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</si>
  <si>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</si>
  <si>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</si>
  <si>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</si>
  <si>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</si>
  <si>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</si>
  <si>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</si>
  <si>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</si>
  <si>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</si>
  <si>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</si>
  <si>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</si>
  <si>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</si>
  <si>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</si>
  <si>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</si>
  <si>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</si>
  <si>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</si>
  <si>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</si>
  <si>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</si>
  <si>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</si>
  <si>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</si>
  <si>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</si>
  <si>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</si>
  <si>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</si>
  <si>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</si>
  <si>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</si>
  <si>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</si>
  <si>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</si>
  <si>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</si>
  <si>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</si>
  <si>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</si>
  <si>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</si>
  <si>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</si>
  <si>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</si>
  <si>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</si>
  <si>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</si>
  <si>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</si>
  <si>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</si>
  <si>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</si>
  <si>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</si>
  <si>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</si>
  <si>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</si>
  <si>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</si>
  <si>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</si>
  <si>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</si>
  <si>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</si>
  <si>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</si>
  <si>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</si>
  <si>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</si>
  <si>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</si>
  <si>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</si>
  <si>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</si>
  <si>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</si>
  <si>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</si>
  <si>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</si>
  <si>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</si>
  <si>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</si>
  <si>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</si>
  <si>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</si>
  <si>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</si>
  <si>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</si>
  <si>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</si>
  <si>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</si>
  <si>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</si>
  <si>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</si>
  <si>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</si>
  <si>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</si>
  <si>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</si>
  <si>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</si>
  <si>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</si>
  <si>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</si>
  <si>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</si>
  <si>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</si>
  <si>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</si>
  <si>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</si>
  <si>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</si>
  <si>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</si>
  <si>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</si>
  <si>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</si>
  <si>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</si>
  <si>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</si>
  <si>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</si>
  <si>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</si>
  <si>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</si>
  <si>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</si>
  <si>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</si>
  <si>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</si>
  <si>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</si>
  <si>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</si>
  <si>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</si>
  <si>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</si>
  <si>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</si>
  <si>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</si>
  <si>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</si>
  <si>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</si>
  <si>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</si>
  <si>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</si>
  <si>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</si>
  <si>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</si>
  <si>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</si>
  <si>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</si>
  <si>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</si>
  <si>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</si>
  <si>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</si>
  <si>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</si>
  <si>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</si>
  <si>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</si>
  <si>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</si>
  <si>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</si>
  <si>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</si>
  <si>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</si>
  <si>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</si>
  <si>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</si>
  <si>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</si>
  <si>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</si>
  <si>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</si>
  <si>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</si>
  <si>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</si>
  <si>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</si>
  <si>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</si>
  <si>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</si>
  <si>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</si>
  <si>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</si>
  <si>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</si>
  <si>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</si>
  <si>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</si>
  <si>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</si>
  <si>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</si>
  <si>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</si>
  <si>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</si>
  <si>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</si>
  <si>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</si>
  <si>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</si>
  <si>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</si>
  <si>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</si>
  <si>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</si>
  <si>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</si>
  <si>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</si>
  <si>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</si>
  <si>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</si>
  <si>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</si>
  <si>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</si>
  <si>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</si>
  <si>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</si>
  <si>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</si>
  <si>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</si>
  <si>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</si>
  <si>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</si>
  <si>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</si>
  <si>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</si>
  <si>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</si>
  <si>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</si>
  <si>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</si>
  <si>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</si>
  <si>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</si>
  <si>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</si>
  <si>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</si>
  <si>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</si>
  <si>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</si>
  <si>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</si>
  <si>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</si>
  <si>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</si>
  <si>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</si>
  <si>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</si>
  <si>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</si>
  <si>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</si>
  <si>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</si>
  <si>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</si>
  <si>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</si>
  <si>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</si>
  <si>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</si>
  <si>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</si>
  <si>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</si>
  <si>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</si>
  <si>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</si>
  <si>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</si>
  <si>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</si>
  <si>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</si>
  <si>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</si>
  <si>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</si>
  <si>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</si>
  <si>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</si>
  <si>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</si>
  <si>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</si>
  <si>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</si>
  <si>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</si>
  <si>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</si>
  <si>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</si>
  <si>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</si>
  <si>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</si>
  <si>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</si>
  <si>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</si>
  <si>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</si>
  <si>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</si>
  <si>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</si>
  <si>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</si>
  <si>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</si>
  <si>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</si>
  <si>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</si>
  <si>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</si>
  <si>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</si>
  <si>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</si>
  <si>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</si>
  <si>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</si>
  <si>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</si>
  <si>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</si>
  <si>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</si>
  <si>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</si>
  <si>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</si>
  <si>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</si>
  <si>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</si>
  <si>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</si>
  <si>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</si>
  <si>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</si>
  <si>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</si>
  <si>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</si>
  <si>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</si>
  <si>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</si>
  <si>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</si>
  <si>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</si>
  <si>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</si>
  <si>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</si>
  <si>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</si>
  <si>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</si>
  <si>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</si>
  <si>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</si>
  <si>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</si>
  <si>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</si>
  <si>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</si>
  <si>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</si>
  <si>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</si>
  <si>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</si>
  <si>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</si>
  <si>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</si>
  <si>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</si>
  <si>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</si>
  <si>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</si>
  <si>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</si>
  <si>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</si>
  <si>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</si>
  <si>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</si>
  <si>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</si>
  <si>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</si>
  <si>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</si>
  <si>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</si>
  <si>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</si>
  <si>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</si>
  <si>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</si>
  <si>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</si>
  <si>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</si>
  <si>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</si>
  <si>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</si>
  <si>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</si>
  <si>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</si>
  <si>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</si>
  <si>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</si>
  <si>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</si>
  <si>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</si>
  <si>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</si>
  <si>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</si>
  <si>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</si>
  <si>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</si>
  <si>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</si>
  <si>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</si>
  <si>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</si>
  <si>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</si>
  <si>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</si>
  <si>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</si>
  <si>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</si>
  <si>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</si>
  <si>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</si>
  <si>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</si>
  <si>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</si>
  <si>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</si>
  <si>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</si>
  <si>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</si>
  <si>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</si>
  <si>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</si>
  <si>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</si>
  <si>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</si>
  <si>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</si>
  <si>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</si>
  <si>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</si>
  <si>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</si>
  <si>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</si>
  <si>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</si>
  <si>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</si>
  <si>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</si>
  <si>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</si>
  <si>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</si>
  <si>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</si>
  <si>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</si>
  <si>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</si>
  <si>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</si>
  <si>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</si>
  <si>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</si>
  <si>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</si>
  <si>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</si>
  <si>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</si>
  <si>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</si>
  <si>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</si>
  <si>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</si>
  <si>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</si>
  <si>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</si>
  <si>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</si>
  <si>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</si>
  <si>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</si>
  <si>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</si>
  <si>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</si>
  <si>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</si>
  <si>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</si>
  <si>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</si>
  <si>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</si>
  <si>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</si>
  <si>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</si>
  <si>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</si>
  <si>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</si>
  <si>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</si>
  <si>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</si>
  <si>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</si>
  <si>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</si>
  <si>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</si>
  <si>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</si>
  <si>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</si>
  <si>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</si>
  <si>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</si>
  <si>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</si>
  <si>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</si>
  <si>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</si>
  <si>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</si>
  <si>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</si>
  <si>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</si>
  <si>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</si>
  <si>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</si>
  <si>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</si>
  <si>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</si>
  <si>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</si>
  <si>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</si>
  <si>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</si>
  <si>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</si>
  <si>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</si>
  <si>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</si>
  <si>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</si>
  <si>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</si>
  <si>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</si>
  <si>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</si>
  <si>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</si>
  <si>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</si>
  <si>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</si>
  <si>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</si>
  <si>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</si>
  <si>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</si>
  <si>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</si>
  <si>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</si>
  <si>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</si>
  <si>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</si>
  <si>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</si>
  <si>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</si>
  <si>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</si>
  <si>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</si>
  <si>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</si>
  <si>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</si>
  <si>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</si>
  <si>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</si>
  <si>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</si>
  <si>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</si>
  <si>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</si>
  <si>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</si>
  <si>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</si>
  <si>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</si>
  <si>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</si>
  <si>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</si>
  <si>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</si>
  <si>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</si>
  <si>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</si>
  <si>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</si>
  <si>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</si>
  <si>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</si>
  <si>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</si>
  <si>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</si>
  <si>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</si>
  <si>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</si>
  <si>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</si>
  <si>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</si>
  <si>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</si>
  <si>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</si>
  <si>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</si>
  <si>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</si>
  <si>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</si>
  <si>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</si>
  <si>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</si>
  <si>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</si>
  <si>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</si>
  <si>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</si>
  <si>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</si>
  <si>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</si>
  <si>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</si>
  <si>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</si>
  <si>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</si>
  <si>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</si>
  <si>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</si>
  <si>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</si>
  <si>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</si>
  <si>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</si>
  <si>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</si>
  <si>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</si>
  <si>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</si>
  <si>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</si>
  <si>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</si>
  <si>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</si>
  <si>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</si>
  <si>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</si>
  <si>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</si>
  <si>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</si>
  <si>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</si>
  <si>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</si>
  <si>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</si>
  <si>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</si>
  <si>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</si>
  <si>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</si>
  <si>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</si>
  <si>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</si>
  <si>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</si>
  <si>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</si>
  <si>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</si>
  <si>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</si>
  <si>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</si>
  <si>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</si>
  <si>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</si>
  <si>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</si>
  <si>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</si>
  <si>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</si>
  <si>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</si>
  <si>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</si>
  <si>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11.68</t>
  </si>
  <si>
    <t>felipe modelo1</t>
  </si>
  <si>
    <t>CALZADO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</si>
</sst>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45308</xdr:colOff>
      <xdr:row>0</xdr:row>
      <xdr:rowOff>83067</xdr:rowOff>
    </xdr:from>
    <xdr:to>
      <xdr:col>25</xdr:col>
      <xdr:colOff>457</xdr:colOff>
      <xdr:row>6</xdr:row>
      <xdr:rowOff>63608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6922E7-2470-1F90-70DC-88F8CF59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9958" y="83067"/>
          <a:ext cx="2357724" cy="1762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C:/Users/ezuleta/Desktop/Proyectos%20Centro/Ficha%20Solicitud/Ficha%20de%20Pedido%20CDMC%20Original%20para%20copia.xlsm" TargetMode="External"/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activeCell="L1" sqref="L1"/>
      <selection pane="bottomLeft" activeCell="O1" sqref="O1:R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JV0705-1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45784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1367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71639999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1342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2908248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1391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 t="str">
        <f>IF(K5="","",(SUM(W10:Y28)-(SUMIF(U10:V28,"Restar_Pedido",W10:Y28)))/$K$5)</f>
        <v/>
      </c>
      <c r="E5" s="346"/>
      <c r="F5" s="347"/>
      <c r="G5" s="348" t="s">
        <v>16</v>
      </c>
      <c r="H5" s="349"/>
      <c r="I5" s="349"/>
      <c r="J5" s="350"/>
      <c r="K5" s="400"/>
      <c r="L5" s="400"/>
      <c r="M5" s="401" t="s">
        <v>17</v>
      </c>
      <c r="N5" s="401"/>
      <c r="O5" s="397" t="str">
        <f>IFERROR(IF(K5=0,"",D5*K5),"")</f>
        <v/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 t="str">
        <f>IF(K5="","",1/K5)</f>
        <v/>
      </c>
      <c r="W8" s="391"/>
      <c r="X8" s="103"/>
      <c r="Y8" s="104" t="str">
        <f>IFERROR((V8*X8)," ")</f>
        <v xml:space="preserve"> 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474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dm2</v>
      </c>
      <c r="P10" s="315"/>
      <c r="Q10" s="316">
        <v>16</v>
      </c>
      <c r="R10" s="317"/>
      <c r="S10" s="318">
        <f>IFERROR(IF(Q10="Unidad","1",(Q10*$K$5)),"")</f>
        <v>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37</v>
      </c>
      <c r="B11" s="309"/>
      <c r="C11" s="310"/>
      <c r="D11" s="322" t="s">
        <v>475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dm2</v>
      </c>
      <c r="P11" s="315"/>
      <c r="Q11" s="316" t="s">
        <v>1389</v>
      </c>
      <c r="R11" s="317"/>
      <c r="S11" s="318" t="str">
        <f t="shared" ref="S11:S31" si="1">IFERROR(IF(Q11="Unidad","1",(Q11*$K$5)),"")</f>
        <v/>
      </c>
      <c r="T11" s="319"/>
      <c r="U11" s="320"/>
      <c r="V11" s="320"/>
      <c r="W11" s="321" t="str">
        <f>IFERROR(IF(D11="","",INDEX(Tabla_Completa,MATCH('Soli_citud '!D11,Materiales,0),7)*S11),"")</f>
        <v/>
      </c>
      <c r="X11" s="321"/>
      <c r="Y11" s="321"/>
    </row>
    <row r="12" spans="1:31" ht="15.75" customHeight="1">
      <c r="A12" s="308" t="s">
        <v>50</v>
      </c>
      <c r="B12" s="309"/>
      <c r="C12" s="310"/>
      <c r="D12" s="325" t="s">
        <v>902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cm2</v>
      </c>
      <c r="P12" s="315"/>
      <c r="Q12" s="316">
        <v>1880</v>
      </c>
      <c r="R12" s="317"/>
      <c r="S12" s="318">
        <f t="shared" si="1"/>
        <v>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52</v>
      </c>
      <c r="B13" s="309"/>
      <c r="C13" s="310"/>
      <c r="D13" s="322" t="s">
        <v>1007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Par</v>
      </c>
      <c r="P13" s="315"/>
      <c r="Q13" s="316">
        <v>1</v>
      </c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258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Par</v>
      </c>
      <c r="P14" s="315"/>
      <c r="Q14" s="316">
        <v>1</v>
      </c>
      <c r="R14" s="317"/>
      <c r="S14" s="318">
        <f t="shared" si="1"/>
        <v>0</v>
      </c>
      <c r="T14" s="319"/>
      <c r="U14" s="320"/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232</v>
      </c>
      <c r="B15" s="309"/>
      <c r="C15" s="310"/>
      <c r="D15" s="322" t="s">
        <v>331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cm2</v>
      </c>
      <c r="P15" s="315"/>
      <c r="Q15" s="316">
        <v>200</v>
      </c>
      <c r="R15" s="317"/>
      <c r="S15" s="318">
        <f t="shared" si="1"/>
        <v>0</v>
      </c>
      <c r="T15" s="319"/>
      <c r="U15" s="320"/>
      <c r="V15" s="320"/>
      <c r="W15" s="321">
        <f>IFERROR(IF(D15="","",INDEX(Tabla_Completa,MATCH('Soli_citud '!D15,Materiales,0),7)*S15),"")</f>
        <v>0</v>
      </c>
      <c r="X15" s="321"/>
      <c r="Y15" s="321"/>
    </row>
    <row r="16" spans="1:31" ht="15.75" customHeight="1">
      <c r="A16" s="308" t="s">
        <v>232</v>
      </c>
      <c r="B16" s="309"/>
      <c r="C16" s="310"/>
      <c r="D16" s="322" t="s">
        <v>332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cm2</v>
      </c>
      <c r="P16" s="315"/>
      <c r="Q16" s="316">
        <v>250</v>
      </c>
      <c r="R16" s="317"/>
      <c r="S16" s="318">
        <f t="shared" si="1"/>
        <v>0</v>
      </c>
      <c r="T16" s="319"/>
      <c r="U16" s="320"/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45784</v>
      </c>
      <c r="O1" s="417"/>
      <c r="P1" s="452" t="s">
        <v>55</v>
      </c>
      <c r="Q1" s="453"/>
      <c r="R1" s="458" t="str">
        <f>IF('Soli_citud '!D4="","",'Soli_citud '!D4)</f>
        <v>felipe modelo1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JV0705-1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2908248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CALZADO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 t="str">
        <f>IF('Soli_citud '!D5&lt;= 0,"",'Soli_citud '!D5)</f>
        <v/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Juan Villa Salazar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>NAPPA</v>
      </c>
      <c r="D12" s="494"/>
      <c r="E12" s="494"/>
      <c r="F12" s="494"/>
      <c r="G12" s="213" t="str">
        <f>IF('Soli_citud '!O10="","",'Soli_citud '!O10)</f>
        <v>dm2</v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94" t="str">
        <f>IFERROR(IF('Soli_citud '!D11="","",'Soli_citud '!D11),"")</f>
        <v>NOBUCK</v>
      </c>
      <c r="D13" s="494"/>
      <c r="E13" s="494"/>
      <c r="F13" s="494"/>
      <c r="G13" s="213" t="str">
        <f>IF('Soli_citud '!O11="","",'Soli_citud '!O11)</f>
        <v>dm2</v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94" t="str">
        <f>IFERROR(IF('Soli_citud '!D12="","",'Soli_citud '!D12),"")</f>
        <v>FORRO  PIQUET</v>
      </c>
      <c r="D14" s="494"/>
      <c r="E14" s="494"/>
      <c r="F14" s="494"/>
      <c r="G14" s="213" t="str">
        <f>IF('Soli_citud '!O12="","",'Soli_citud '!O12)</f>
        <v>cm2</v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4" t="str">
        <f>IFERROR(IF('Soli_citud '!D13="","",'Soli_citud '!D13),"")</f>
        <v xml:space="preserve">SUELA PVC
</v>
      </c>
      <c r="D15" s="494"/>
      <c r="E15" s="494"/>
      <c r="F15" s="494"/>
      <c r="G15" s="213" t="str">
        <f>IF('Soli_citud '!O13="","",'Soli_citud '!O13)</f>
        <v>Par</v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4" t="str">
        <f>IFERROR(IF('Soli_citud '!D14="","",'Soli_citud '!D14),"")</f>
        <v xml:space="preserve">CORDON NEGRO REDONDO </v>
      </c>
      <c r="D16" s="494"/>
      <c r="E16" s="494"/>
      <c r="F16" s="494"/>
      <c r="G16" s="213" t="str">
        <f>IF('Soli_citud '!O14="","",'Soli_citud '!O14)</f>
        <v>Par</v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>ESPUMA MULTIFORM DENSIDAD 40 DE 10 mm</v>
      </c>
      <c r="D17" s="494"/>
      <c r="E17" s="494"/>
      <c r="F17" s="494"/>
      <c r="G17" s="213" t="str">
        <f>IF('Soli_citud '!O15="","",'Soli_citud '!O15)</f>
        <v>cm2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>ESPUMA MULTIFORM DENSIDAD 40 DE 5 mm</v>
      </c>
      <c r="D18" s="494"/>
      <c r="E18" s="494"/>
      <c r="F18" s="494"/>
      <c r="G18" s="213" t="str">
        <f>IF('Soli_citud '!O16="","",'Soli_citud '!O16)</f>
        <v>cm2</v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juan villa</cp:lastModifiedBy>
  <cp:revision/>
  <dcterms:created xsi:type="dcterms:W3CDTF">2012-12-07T12:25:35Z</dcterms:created>
  <dcterms:modified xsi:type="dcterms:W3CDTF">2025-05-08T01:27:02Z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