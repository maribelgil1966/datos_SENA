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JUAN VILLA\"/>
    </mc:Choice>
  </mc:AlternateContent>
  <xr:revisionPtr revIDLastSave="0" documentId="13_ncr:1_{8AE775F1-B03D-4C49-88DA-B6EA272AB753}" xr6:coauthVersionLast="36" xr6:coauthVersionMax="36" xr10:uidLastSave="{00000000-0000-0000-0000-000000000000}"/>
  <bookViews>
    <workbookView showHorizontalScroll="0" showVerticalScroll="0"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W17" i="43"/>
  <c r="W16" i="43"/>
  <c r="O17" i="43"/>
  <c r="F19" i="59" s="1"/>
  <c r="J566" i="38" l="1"/>
  <c r="O21" i="43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 s="1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<sst xmlns="http://schemas.openxmlformats.org/spreadsheetml/2006/main" count="4119" uniqueCount="1157">
  <si>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</si>
  <si>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</si>
  <si>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</si>
  <si>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</si>
  <si>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</si>
  <si>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</si>
  <si>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</si>
  <si>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</si>
  <si>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</si>
  <si>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</si>
  <si>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</si>
  <si>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</si>
  <si>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</si>
  <si>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</si>
  <si>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</si>
  <si>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</si>
  <si>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</si>
  <si>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</si>
  <si>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</si>
  <si>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</si>
  <si>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</si>
  <si>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</si>
  <si>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</si>
  <si>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</si>
  <si>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</si>
  <si>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</si>
  <si>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</si>
  <si>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</si>
  <si>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</si>
  <si>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</si>
  <si>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</si>
  <si>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</si>
  <si>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</si>
  <si>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</si>
  <si>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</si>
  <si>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</si>
  <si>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</si>
  <si>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</si>
  <si>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</si>
  <si>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</si>
  <si>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</si>
  <si>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</si>
  <si>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</si>
  <si>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</si>
  <si>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</si>
  <si>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</si>
  <si>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</si>
  <si>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</si>
  <si>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</si>
  <si>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</si>
  <si>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</si>
  <si>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</si>
  <si>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</si>
  <si>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</si>
  <si>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</si>
  <si>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</si>
  <si>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</si>
  <si>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</si>
  <si>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</si>
  <si>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</si>
  <si>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</si>
  <si>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</si>
  <si>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</si>
  <si>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</si>
  <si>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</si>
  <si>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</si>
  <si>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</si>
  <si>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</si>
  <si>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</si>
  <si>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</si>
  <si>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</si>
  <si>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</si>
  <si>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</si>
  <si>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</si>
  <si>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</si>
  <si>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</si>
  <si>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</si>
  <si>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</si>
  <si>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</si>
  <si>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</si>
  <si>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</si>
  <si>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</si>
  <si>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</si>
  <si>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</si>
  <si>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</si>
  <si>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</si>
  <si>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</si>
  <si>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</si>
  <si>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</si>
  <si>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</si>
  <si>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</si>
  <si>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</si>
  <si>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</si>
  <si>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</si>
  <si>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</si>
  <si>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</si>
  <si>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</si>
  <si>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</si>
  <si>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</si>
  <si>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</si>
  <si>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</si>
  <si>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</si>
  <si>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</si>
  <si>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</si>
  <si>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</si>
  <si>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</si>
  <si>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</si>
  <si>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</si>
  <si>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</si>
  <si>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</si>
  <si>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</si>
  <si>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</si>
  <si>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</si>
  <si>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</si>
  <si>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</si>
  <si>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</si>
  <si>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</si>
  <si>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</si>
  <si>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</si>
  <si>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</si>
  <si>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</si>
  <si>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</si>
  <si>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</si>
  <si>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</si>
  <si>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</si>
  <si>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</si>
  <si>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</si>
  <si>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</si>
  <si>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</si>
  <si>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</si>
  <si>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</si>
  <si>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</si>
  <si>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</si>
  <si>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</si>
  <si>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</si>
  <si>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</si>
  <si>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</si>
  <si>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</si>
  <si>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</si>
  <si>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</si>
  <si>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</si>
  <si>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</si>
  <si>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</si>
  <si>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</si>
  <si>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</si>
  <si>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</si>
  <si>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</si>
  <si>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</si>
  <si>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</si>
  <si>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</si>
  <si>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</si>
  <si>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</si>
  <si>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</si>
  <si>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</si>
  <si>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</si>
  <si>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</si>
  <si>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</si>
  <si>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</si>
  <si>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</si>
  <si>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</si>
  <si>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</si>
  <si>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</si>
  <si>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</si>
  <si>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</si>
  <si>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</si>
  <si>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</si>
  <si>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</si>
  <si>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</si>
  <si>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</si>
  <si>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</si>
  <si>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</si>
  <si>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</si>
  <si>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</si>
  <si>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</si>
  <si>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</si>
  <si>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</si>
  <si>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</si>
  <si>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</si>
  <si>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</si>
  <si>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</si>
  <si>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</si>
  <si>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</si>
  <si>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</si>
  <si>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</si>
  <si>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</si>
  <si>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</si>
  <si>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</si>
  <si>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</si>
  <si>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</si>
  <si>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</si>
  <si>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</si>
  <si>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</si>
  <si>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</si>
  <si>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</si>
  <si>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</si>
  <si>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</si>
  <si>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</si>
  <si>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</si>
  <si>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</si>
  <si>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</si>
  <si>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</si>
  <si>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</si>
  <si>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</si>
  <si>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</si>
  <si>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</si>
  <si>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</si>
  <si>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</si>
  <si>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</si>
  <si>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</si>
  <si>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</si>
  <si>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</si>
  <si>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</si>
  <si>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</si>
  <si>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</si>
  <si>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</si>
  <si>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</si>
  <si>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</si>
  <si>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</si>
  <si>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</si>
  <si>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</si>
  <si>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</si>
  <si>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</si>
  <si>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</si>
  <si>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</si>
  <si>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</si>
  <si>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</si>
  <si>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</si>
  <si>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</si>
  <si>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</si>
  <si>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</si>
  <si>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</si>
  <si>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</si>
  <si>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</si>
  <si>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</si>
  <si>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</si>
  <si>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</si>
  <si>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</si>
  <si>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</si>
  <si>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</si>
  <si>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</si>
  <si>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</si>
  <si>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</si>
  <si>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</si>
  <si>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</si>
  <si>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</si>
  <si>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</si>
  <si>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</si>
  <si>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</si>
  <si>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</si>
  <si>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</si>
  <si>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</si>
  <si>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</si>
  <si>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</si>
  <si>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</si>
  <si>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</si>
  <si>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</si>
  <si>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</si>
  <si>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</si>
  <si>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</si>
  <si>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</si>
  <si>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</si>
  <si>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</si>
  <si>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</si>
  <si>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</si>
  <si>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</si>
  <si>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</si>
  <si>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</si>
  <si>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</si>
  <si>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</si>
  <si>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</si>
  <si>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</si>
  <si>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</si>
  <si>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</si>
  <si>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</si>
  <si>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</si>
  <si>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</si>
  <si>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</si>
  <si>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</si>
  <si>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</si>
  <si>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</si>
  <si>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</si>
  <si>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</si>
  <si>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</si>
  <si>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</si>
  <si>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</si>
  <si>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</si>
  <si>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</si>
  <si>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</si>
  <si>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</si>
  <si>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</si>
  <si>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</si>
  <si>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</si>
  <si>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</si>
  <si>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</si>
  <si>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</si>
  <si>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</si>
  <si>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</si>
  <si>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</si>
  <si>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</si>
  <si>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</si>
  <si>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</si>
  <si>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</si>
  <si>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</si>
  <si>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</si>
  <si>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</si>
  <si>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</si>
  <si>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</si>
  <si>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</si>
  <si>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</si>
  <si>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</si>
  <si>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</si>
  <si>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</si>
  <si>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</si>
  <si>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</si>
  <si>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</si>
  <si>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</si>
  <si>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</si>
  <si>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</si>
  <si>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</si>
  <si>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</si>
  <si>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</si>
  <si>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</si>
  <si>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</si>
  <si>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</si>
  <si>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</si>
  <si>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</si>
  <si>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</si>
  <si>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</si>
  <si>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</si>
  <si>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</si>
  <si>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</si>
  <si>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</si>
  <si>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</si>
  <si>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</si>
  <si>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</si>
  <si>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</si>
  <si>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</si>
  <si>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</si>
  <si>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</si>
  <si>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</si>
  <si>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</si>
  <si>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</si>
  <si>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</si>
  <si>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</si>
  <si>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</si>
  <si>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</si>
  <si>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</si>
  <si>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</si>
  <si>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</si>
  <si>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</si>
  <si>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</si>
  <si>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</si>
  <si>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</si>
  <si>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</si>
  <si>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</si>
  <si>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</si>
  <si>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</si>
  <si>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</si>
  <si>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</si>
  <si>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</si>
  <si>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</si>
  <si>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</si>
  <si>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</si>
  <si>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</si>
  <si>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</si>
  <si>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</si>
  <si>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</si>
  <si>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</si>
  <si>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</si>
  <si>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</si>
  <si>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</si>
  <si>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</si>
  <si>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</si>
  <si>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</si>
  <si>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</si>
  <si>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</si>
  <si>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</si>
  <si>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</si>
  <si>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</si>
  <si>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</si>
  <si>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</si>
  <si>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</si>
  <si>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</si>
  <si>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</si>
  <si>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</si>
  <si>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</si>
  <si>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</si>
  <si>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</si>
  <si>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</si>
  <si>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</si>
  <si>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</si>
  <si>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</si>
  <si>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</si>
  <si>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</si>
  <si>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</si>
  <si>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</si>
  <si>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</si>
  <si>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</si>
  <si>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</si>
  <si>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</si>
  <si>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</si>
  <si>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</si>
  <si>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</si>
  <si>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</si>
  <si>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</si>
  <si>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</si>
  <si>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</si>
  <si>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</si>
  <si>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</si>
  <si>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</si>
  <si>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</si>
  <si>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</si>
  <si>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</si>
  <si>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</si>
  <si>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</si>
  <si>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</si>
  <si>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</si>
  <si>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</si>
  <si>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</si>
  <si>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</si>
  <si>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</si>
  <si>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</si>
  <si>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</si>
  <si>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</si>
  <si>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</si>
  <si>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</si>
  <si>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</si>
  <si>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</si>
  <si>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</si>
  <si>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</si>
  <si>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</si>
  <si>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</si>
  <si>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</si>
  <si>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</si>
  <si>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</si>
  <si>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</si>
  <si>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</si>
  <si>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</si>
  <si>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</si>
  <si>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</si>
  <si>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</si>
  <si>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</si>
  <si>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</si>
  <si>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</si>
  <si>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</si>
  <si>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</si>
  <si>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</si>
  <si>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</si>
  <si>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</si>
  <si>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</si>
  <si>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</si>
  <si>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</si>
  <si>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</si>
  <si>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</si>
  <si>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</si>
  <si>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</si>
  <si>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</si>
  <si>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</si>
  <si>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</si>
  <si>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</si>
  <si>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</si>
  <si>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</si>
  <si>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</si>
  <si>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</si>
  <si>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</si>
  <si>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</si>
  <si>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</si>
  <si>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</si>
  <si>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</si>
  <si>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</si>
  <si>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</si>
  <si>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</si>
  <si>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</si>
  <si>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</si>
  <si>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</si>
  <si>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</si>
  <si>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</si>
  <si>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</si>
  <si>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</si>
  <si>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</si>
  <si>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</si>
  <si>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</si>
  <si>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</si>
  <si>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</si>
  <si>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</si>
  <si>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</si>
  <si>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</si>
  <si>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</si>
  <si>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</si>
  <si>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</si>
  <si>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</si>
  <si>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</si>
  <si>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</si>
  <si>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</si>
  <si>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</si>
  <si>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</si>
  <si>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</si>
  <si>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</si>
  <si>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</si>
  <si>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</si>
  <si>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</si>
  <si>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</si>
  <si>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</si>
  <si>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</si>
  <si>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</si>
  <si>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</si>
  <si>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</si>
  <si>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</si>
  <si>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</si>
  <si>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</si>
  <si>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</si>
  <si>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</si>
  <si>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</si>
  <si>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</si>
  <si>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</si>
  <si>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</si>
  <si>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</si>
  <si>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</si>
  <si>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</si>
  <si>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</si>
  <si>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</si>
  <si>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</si>
  <si>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</si>
  <si>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</si>
  <si>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</si>
  <si>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</si>
  <si>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</si>
  <si>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</si>
  <si>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</si>
  <si>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</si>
  <si>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</si>
  <si>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</si>
  <si>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</si>
  <si>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</si>
  <si>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</si>
  <si>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</si>
  <si>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</si>
  <si>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</si>
  <si>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</si>
  <si>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</si>
  <si>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</si>
  <si>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</si>
  <si>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</si>
  <si>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</si>
  <si>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</si>
  <si>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</si>
  <si>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</si>
  <si>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</si>
  <si>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</si>
  <si>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</si>
  <si>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</si>
  <si>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</si>
  <si>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</si>
  <si>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</si>
  <si>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</si>
  <si>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</si>
  <si>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</si>
  <si>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</si>
  <si>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</si>
  <si>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</si>
  <si>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</si>
  <si>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</si>
  <si>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</si>
  <si>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</si>
  <si>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</si>
  <si>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</si>
  <si>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</si>
  <si>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</si>
  <si>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</si>
  <si>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</si>
  <si>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</si>
  <si>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</si>
  <si>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</si>
  <si>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</si>
  <si>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</si>
  <si>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</si>
  <si>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</si>
  <si>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</si>
  <si>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</si>
  <si>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</si>
  <si>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</si>
  <si>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</si>
  <si>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</si>
  <si>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</si>
  <si>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</si>
  <si>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</si>
  <si>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</si>
  <si>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</si>
  <si>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</si>
  <si>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</si>
  <si>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</si>
  <si>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</si>
  <si>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</si>
  <si>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</si>
  <si>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</si>
  <si>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</si>
  <si>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</si>
  <si>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</si>
  <si>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</si>
  <si>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</si>
  <si>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</si>
  <si>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</si>
  <si>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</si>
  <si>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</si>
  <si>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</si>
  <si>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</si>
  <si>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</si>
  <si>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</si>
  <si>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</si>
  <si>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</si>
  <si>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</si>
  <si>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</si>
  <si>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</si>
  <si>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</si>
  <si>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</si>
  <si>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</si>
  <si>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</si>
  <si>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</si>
  <si>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</si>
  <si>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</si>
  <si>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</si>
  <si>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</si>
  <si>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</si>
  <si>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</si>
  <si>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</si>
  <si>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</si>
  <si>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</si>
  <si>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</si>
  <si>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</si>
  <si>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</si>
  <si>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</si>
  <si>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</si>
  <si>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</si>
  <si>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</si>
  <si>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</si>
  <si>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</si>
  <si>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</si>
  <si>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</si>
  <si>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</si>
  <si>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</si>
  <si>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</si>
  <si>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</si>
  <si>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</si>
  <si>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</si>
  <si>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</si>
  <si>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</si>
  <si>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</si>
  <si>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</si>
  <si>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</si>
  <si>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</si>
  <si>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</si>
  <si>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</si>
  <si>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</si>
  <si>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</si>
  <si>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</si>
  <si>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</si>
  <si>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</si>
  <si>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</si>
  <si>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</si>
  <si>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</si>
  <si>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</si>
  <si>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</si>
  <si>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</si>
  <si>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</si>
  <si>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</si>
  <si>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</si>
  <si>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</si>
  <si>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</si>
  <si>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</si>
  <si>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</si>
  <si>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</si>
  <si>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</si>
  <si>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</si>
  <si>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</si>
  <si>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</si>
  <si>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</si>
  <si>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</si>
  <si>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</si>
  <si>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</si>
  <si>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</si>
  <si>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</si>
  <si>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</si>
  <si>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</si>
  <si>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</si>
  <si>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</si>
  <si>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</si>
  <si>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</si>
  <si>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</si>
  <si>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</si>
  <si>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</si>
  <si>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</si>
  <si>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</si>
  <si>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</si>
  <si>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</si>
  <si>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</si>
  <si>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</si>
  <si>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</si>
  <si>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</si>
  <si>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</si>
  <si>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</si>
  <si>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</si>
  <si>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</si>
  <si>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</si>
  <si>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</si>
  <si>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</si>
  <si>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</si>
  <si>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</si>
  <si>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</si>
  <si>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</si>
  <si>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</si>
  <si>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</si>
  <si>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</si>
  <si>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</si>
  <si>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</si>
  <si>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</si>
  <si>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</si>
  <si>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</si>
  <si>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</si>
  <si>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</si>
  <si>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</si>
  <si>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</si>
  <si>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</si>
  <si>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</si>
  <si>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</si>
  <si>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</si>
  <si>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</si>
  <si>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</si>
  <si>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</si>
  <si>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</si>
  <si>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</si>
  <si>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</si>
  <si>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</si>
  <si>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</si>
  <si>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</si>
  <si>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</si>
  <si>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</si>
  <si>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</si>
  <si>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</si>
  <si>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</si>
  <si>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</si>
  <si>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</si>
  <si>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</si>
  <si>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</si>
  <si>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</si>
  <si>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</si>
  <si>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</si>
  <si>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</si>
  <si>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</si>
  <si>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</si>
  <si>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</si>
  <si>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</si>
  <si>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</si>
  <si>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</si>
  <si>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</si>
  <si>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</si>
  <si>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</si>
  <si>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</si>
  <si>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</si>
  <si>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</si>
  <si>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</si>
  <si>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</si>
  <si>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</si>
  <si>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</si>
  <si>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</si>
  <si>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</si>
  <si>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</si>
  <si>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</si>
  <si>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</si>
  <si>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</si>
  <si>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</si>
  <si>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</si>
  <si>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</si>
  <si>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</si>
  <si>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</si>
  <si>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</si>
  <si>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</si>
  <si>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</si>
  <si>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</si>
  <si>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</si>
  <si>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</si>
  <si>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</si>
  <si>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</si>
  <si>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</si>
  <si>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</si>
  <si>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</si>
  <si>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</si>
  <si>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</si>
  <si>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</si>
  <si>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</si>
  <si>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</si>
  <si>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</si>
  <si>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</si>
  <si>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</si>
  <si>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</si>
  <si>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</si>
  <si>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</si>
  <si>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</si>
  <si>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</si>
  <si>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</si>
  <si>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</si>
  <si>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</si>
  <si>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</si>
  <si>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</si>
  <si>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</si>
  <si>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</si>
  <si>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</si>
  <si>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</si>
  <si>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</si>
  <si>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</si>
  <si>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</si>
  <si>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</si>
  <si>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</si>
  <si>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</si>
  <si>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</si>
  <si>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</si>
  <si>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</si>
  <si>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</si>
  <si>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</si>
  <si>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</si>
  <si>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</si>
  <si>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</si>
  <si>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</si>
  <si>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</si>
  <si>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</si>
  <si>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</si>
  <si>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</si>
  <si>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</si>
  <si>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</si>
  <si>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</si>
  <si>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</si>
  <si>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</si>
  <si>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</si>
  <si>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</si>
  <si>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</si>
  <si>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</si>
  <si>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</si>
  <si>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</si>
  <si>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</si>
  <si>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</si>
  <si>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</si>
  <si>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</si>
  <si>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</si>
  <si>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</si>
  <si>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</si>
  <si>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</si>
  <si>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</si>
  <si>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</si>
  <si>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</si>
  <si>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</si>
  <si>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</si>
  <si>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</si>
  <si>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</si>
  <si>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</si>
  <si>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</si>
  <si>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</si>
  <si>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</si>
  <si>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</si>
  <si>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</si>
  <si>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</si>
  <si>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</si>
  <si>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</si>
  <si>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</si>
  <si>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</si>
  <si>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</si>
  <si>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</si>
  <si>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</si>
  <si>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</si>
  <si>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</si>
  <si>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</si>
  <si>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</si>
  <si>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</si>
  <si>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</si>
  <si>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</si>
  <si>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</si>
  <si>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</si>
  <si>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</si>
  <si>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</si>
  <si>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</si>
  <si>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</si>
  <si>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</si>
  <si>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</si>
  <si>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</si>
  <si>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</si>
  <si>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</si>
  <si>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</si>
  <si>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</si>
  <si>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</si>
  <si>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</si>
  <si>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</si>
  <si>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</si>
  <si>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</si>
  <si>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</si>
  <si>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</si>
  <si>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</si>
  <si>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</si>
  <si>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</si>
  <si>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</si>
  <si>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</si>
  <si>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</si>
  <si>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</si>
  <si>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</si>
  <si>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</si>
  <si>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</si>
  <si>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</si>
  <si>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</si>
  <si>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</si>
  <si>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</si>
  <si>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</si>
  <si>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</si>
  <si>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</si>
  <si>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</si>
  <si>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</si>
  <si>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</si>
  <si>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</si>
  <si>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</si>
  <si>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</si>
  <si>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</si>
  <si>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</si>
  <si>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</si>
  <si>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</si>
  <si>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</si>
  <si>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</si>
  <si>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</si>
  <si>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</si>
  <si>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</si>
  <si>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</si>
  <si>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</si>
  <si>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</si>
  <si>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</si>
  <si>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</si>
  <si>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</si>
  <si>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</si>
  <si>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</si>
  <si>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</si>
  <si>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</si>
  <si>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</si>
  <si>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</si>
  <si>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</si>
  <si>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</si>
  <si>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</si>
  <si>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</si>
  <si>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</si>
  <si>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</si>
  <si>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</si>
  <si>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</si>
  <si>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</si>
  <si>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</si>
  <si>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</si>
  <si>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</si>
  <si>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</si>
  <si>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</si>
  <si>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</si>
  <si>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</si>
  <si>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</si>
  <si>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</si>
  <si>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</si>
  <si>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</si>
  <si>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</si>
  <si>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</si>
  <si>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</si>
  <si>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</si>
  <si>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</si>
  <si>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</si>
  <si>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</si>
  <si>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</si>
  <si>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</si>
  <si>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</si>
  <si>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</si>
  <si>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</si>
  <si>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</si>
  <si>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</si>
  <si>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</si>
  <si>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</si>
  <si>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</si>
  <si>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</si>
  <si>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</si>
  <si>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</si>
  <si>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</si>
  <si>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</si>
  <si>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</si>
  <si>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</si>
  <si>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</si>
  <si>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</si>
  <si>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</si>
  <si>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</si>
  <si>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</si>
  <si>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</si>
  <si>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</si>
  <si>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</si>
  <si>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</si>
  <si>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</si>
  <si>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</si>
  <si>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</si>
  <si>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</si>
  <si>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</si>
  <si>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</si>
  <si>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</si>
  <si>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</si>
  <si>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</si>
  <si>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</si>
  <si>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</si>
  <si>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</si>
  <si>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</si>
  <si>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</si>
  <si>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</si>
  <si>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</si>
  <si>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</si>
  <si>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</si>
  <si>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</si>
  <si>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</si>
  <si>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</si>
  <si>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</si>
  <si>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</si>
  <si>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</si>
  <si>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</si>
  <si>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</si>
  <si>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</si>
  <si>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</si>
  <si>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</si>
  <si>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</si>
  <si>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</si>
  <si>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</si>
  <si>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</si>
  <si>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</si>
  <si>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</si>
  <si>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</si>
  <si>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</si>
  <si>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</si>
  <si>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</si>
  <si>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</si>
  <si>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</si>
  <si>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</si>
  <si>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</si>
  <si>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</si>
  <si>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</si>
  <si>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</si>
  <si>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</si>
  <si>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</si>
  <si>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</si>
  <si>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</si>
  <si>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</si>
  <si>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</si>
  <si>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</si>
  <si>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</si>
  <si>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</si>
  <si>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</si>
  <si>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</si>
  <si>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</si>
  <si>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</si>
  <si>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</si>
  <si>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</si>
  <si>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</si>
  <si>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</si>
  <si>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</si>
  <si>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</si>
  <si>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</si>
  <si>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</si>
  <si>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</si>
  <si>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</si>
  <si>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</si>
  <si>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</si>
  <si>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</si>
  <si>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</si>
  <si>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</si>
  <si>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</si>
  <si>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</si>
  <si>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</si>
  <si>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</si>
  <si>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</si>
  <si>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</si>
  <si>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</si>
  <si>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</si>
  <si>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</si>
  <si>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</si>
  <si>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</si>
  <si>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</si>
  <si>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</si>
  <si>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</si>
  <si>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</si>
  <si>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</si>
  <si>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</si>
  <si>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</si>
  <si>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</si>
  <si>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</si>
  <si>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</si>
  <si>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</si>
  <si>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</si>
  <si>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</si>
  <si>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</si>
  <si>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</si>
  <si>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</si>
  <si>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</si>
  <si>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</si>
  <si>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</si>
  <si>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</si>
  <si>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</si>
  <si>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</si>
  <si>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</si>
  <si>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</si>
  <si>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</si>
  <si>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</si>
  <si>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</si>
  <si>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</si>
  <si>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</si>
  <si>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</si>
  <si>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</si>
  <si>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</si>
  <si>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</si>
  <si>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</si>
  <si>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</si>
  <si>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</si>
  <si>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</si>
  <si>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</si>
  <si>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</si>
  <si>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</si>
  <si>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</si>
  <si>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</si>
  <si>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</si>
  <si>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</si>
  <si>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</si>
  <si>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</si>
  <si>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</si>
  <si>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</si>
  <si>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</si>
  <si>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</si>
  <si>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</si>
  <si>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</si>
  <si>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</si>
  <si>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</si>
  <si>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</si>
  <si>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</si>
  <si>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</si>
  <si>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</si>
  <si>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</si>
  <si>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</si>
  <si>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</si>
  <si>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</si>
  <si>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</si>
  <si>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</si>
  <si>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</si>
  <si>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</si>
  <si>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</si>
  <si>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</si>
  <si>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</si>
  <si>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</si>
  <si>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</si>
  <si>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</si>
  <si>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</si>
  <si>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</si>
  <si>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</si>
  <si>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</si>
  <si>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</si>
  <si>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</si>
  <si>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</si>
  <si>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</si>
  <si>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ejercicios corte, armado, costura</t>
  </si>
  <si>
    <t>0.25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</si>
</sst>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8374B5-00A9-4023-BDAD-427511B48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0"/>
          <a:ext cx="3019025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4" sqref="Q14:R14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JV1403-1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45730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1134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71639999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1102</v>
      </c>
      <c r="F3" s="362"/>
      <c r="G3" s="362"/>
      <c r="H3" s="362"/>
      <c r="I3" s="362"/>
      <c r="J3" s="362"/>
      <c r="K3" s="363"/>
      <c r="L3" s="310" t="s">
        <v>8</v>
      </c>
      <c r="M3" s="311"/>
      <c r="N3" s="312"/>
      <c r="O3" s="286">
        <v>3173753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9</v>
      </c>
      <c r="B4" s="344"/>
      <c r="C4" s="344"/>
      <c r="D4" s="338" t="s">
        <v>1155</v>
      </c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 t="s">
        <v>1077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11</v>
      </c>
      <c r="B5" s="364"/>
      <c r="C5" s="364"/>
      <c r="D5" s="365">
        <f>IF(K5="","",(SUM(W10:Y28)-(SUMIF(U10:V28,"Restar_Pedido",W10:Y28)))/$K$5)</f>
        <v>14872.839166666667</v>
      </c>
      <c r="E5" s="366"/>
      <c r="F5" s="367"/>
      <c r="G5" s="351" t="s">
        <v>12</v>
      </c>
      <c r="H5" s="368"/>
      <c r="I5" s="368"/>
      <c r="J5" s="352"/>
      <c r="K5" s="326">
        <v>20</v>
      </c>
      <c r="L5" s="326"/>
      <c r="M5" s="327" t="s">
        <v>13</v>
      </c>
      <c r="N5" s="327"/>
      <c r="O5" s="316">
        <f>IFERROR(IF(K5=0,"",D5*K5),"")</f>
        <v>297456.78333333333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16</v>
      </c>
      <c r="P7" s="305"/>
      <c r="Q7" s="358" t="s">
        <v>17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18</v>
      </c>
      <c r="T8" s="307"/>
      <c r="U8" s="307"/>
      <c r="V8" s="308">
        <f>IF(K5="","",1/K5)</f>
        <v>0.05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19</v>
      </c>
      <c r="T9" s="306"/>
      <c r="U9" s="305" t="s">
        <v>20</v>
      </c>
      <c r="V9" s="305"/>
      <c r="W9" s="305" t="s">
        <v>21</v>
      </c>
      <c r="X9" s="305"/>
      <c r="Y9" s="305"/>
    </row>
    <row r="10" spans="1:28" ht="17.25" customHeight="1">
      <c r="A10" s="279"/>
      <c r="B10" s="279"/>
      <c r="C10" s="280"/>
      <c r="D10" s="369"/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si="0">IFERROR(IF(D10="","",INDEX(Tabla_Completa,MATCH(D10,Materiales,0),6)),"")</f>
        <v/>
      </c>
      <c r="P10" s="285"/>
      <c r="Q10" s="286"/>
      <c r="R10" s="287"/>
      <c r="S10" s="288">
        <f>IFERROR(IF(Q10="Unidad","1",(Q10*$K$5)),"")</f>
        <v>0</v>
      </c>
      <c r="T10" s="289"/>
      <c r="U10" s="276"/>
      <c r="V10" s="372"/>
      <c r="W10" s="277" t="str">
        <f>IFERROR(IF(D10="","",INDEX(Tabla_Completa,MATCH('Soli_citud '!D10,Materiales,0),7)*S10),"")</f>
        <v/>
      </c>
      <c r="X10" s="277"/>
      <c r="Y10" s="277"/>
      <c r="Z10" s="37"/>
    </row>
    <row r="11" spans="1:28" ht="17.25" customHeight="1">
      <c r="A11" s="278" t="s">
        <v>46</v>
      </c>
      <c r="B11" s="279"/>
      <c r="C11" s="280"/>
      <c r="D11" s="369" t="s">
        <v>777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si="0"/>
        <v>cm2</v>
      </c>
      <c r="P11" s="285"/>
      <c r="Q11" s="286">
        <v>7000</v>
      </c>
      <c r="R11" s="287"/>
      <c r="S11" s="288">
        <f t="shared" ref="S11:S31" si="1">IFERROR(IF(Q11="Unidad","1",(Q11*$K$5)),"")</f>
        <v>140000</v>
      </c>
      <c r="T11" s="289"/>
      <c r="U11" s="276"/>
      <c r="V11" s="276"/>
      <c r="W11" s="277">
        <f>IFERROR(IF(D11="","",INDEX(Tabla_Completa,MATCH('Soli_citud '!D11,Materiales,0),7)*S11),"")</f>
        <v>33133.333333333336</v>
      </c>
      <c r="X11" s="277"/>
      <c r="Y11" s="277"/>
    </row>
    <row r="12" spans="1:28" ht="15.75" customHeight="1">
      <c r="A12" s="278" t="s">
        <v>46</v>
      </c>
      <c r="B12" s="279"/>
      <c r="C12" s="280"/>
      <c r="D12" s="373" t="s">
        <v>763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si="2">IFERROR(IF(D12="","",INDEX(Tabla_Completa,MATCH(D12,Materiales,0),6)),"")</f>
        <v>cm2</v>
      </c>
      <c r="P12" s="285"/>
      <c r="Q12" s="286">
        <v>7000</v>
      </c>
      <c r="R12" s="287"/>
      <c r="S12" s="288">
        <f t="shared" si="1"/>
        <v>140000</v>
      </c>
      <c r="T12" s="289"/>
      <c r="U12" s="276"/>
      <c r="V12" s="276"/>
      <c r="W12" s="277">
        <f>IFERROR(IF(D12="","",INDEX(Tabla_Completa,MATCH('Soli_citud '!D12,Materiales,0),7)*S12),"")</f>
        <v>96292</v>
      </c>
      <c r="X12" s="277"/>
      <c r="Y12" s="277"/>
    </row>
    <row r="13" spans="1:28" ht="15.75" customHeight="1">
      <c r="A13" s="278" t="s">
        <v>27</v>
      </c>
      <c r="B13" s="279"/>
      <c r="C13" s="280"/>
      <c r="D13" s="369" t="s">
        <v>103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si="0"/>
        <v>ml</v>
      </c>
      <c r="P13" s="285"/>
      <c r="Q13" s="286" t="s">
        <v>1156</v>
      </c>
      <c r="R13" s="287"/>
      <c r="S13" s="288" t="str">
        <f t="shared" si="1"/>
        <v/>
      </c>
      <c r="T13" s="289"/>
      <c r="U13" s="276"/>
      <c r="V13" s="276"/>
      <c r="W13" s="277" t="str">
        <f>IFERROR(IF(D13="","",INDEX(Tabla_Completa,MATCH('Soli_citud '!D13,Materiales,0),7)*S13),"")</f>
        <v/>
      </c>
      <c r="X13" s="277"/>
      <c r="Y13" s="277"/>
    </row>
    <row r="14" spans="1:28" ht="17.25" customHeight="1">
      <c r="A14" s="278" t="s">
        <v>976</v>
      </c>
      <c r="B14" s="279"/>
      <c r="C14" s="280"/>
      <c r="D14" s="369" t="s">
        <v>1021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si="0"/>
        <v>gal</v>
      </c>
      <c r="P14" s="285"/>
      <c r="Q14" s="286">
        <v>0.05</v>
      </c>
      <c r="R14" s="287"/>
      <c r="S14" s="288">
        <f t="shared" si="1"/>
        <v>1</v>
      </c>
      <c r="T14" s="289"/>
      <c r="U14" s="276"/>
      <c r="V14" s="276"/>
      <c r="W14" s="277">
        <f>IFERROR(IF(D14="","",INDEX(Tabla_Completa,MATCH('Soli_citud '!D14,Materiales,0),7)*S14),"")</f>
        <v>0</v>
      </c>
      <c r="X14" s="277"/>
      <c r="Y14" s="277"/>
    </row>
    <row r="15" spans="1:28" ht="15.75" customHeight="1">
      <c r="A15" s="278" t="s">
        <v>222</v>
      </c>
      <c r="B15" s="279"/>
      <c r="C15" s="280"/>
      <c r="D15" s="369" t="s">
        <v>279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si="0"/>
        <v>Cono</v>
      </c>
      <c r="P15" s="285"/>
      <c r="Q15" s="286">
        <v>0.5</v>
      </c>
      <c r="R15" s="287"/>
      <c r="S15" s="288">
        <f t="shared" si="1"/>
        <v>10</v>
      </c>
      <c r="T15" s="289"/>
      <c r="U15" s="276"/>
      <c r="V15" s="276"/>
      <c r="W15" s="277">
        <f>IFERROR(IF(D15="","",INDEX(Tabla_Completa,MATCH('Soli_citud '!D15,Materiales,0),7)*S15),"")</f>
        <v>72666.666666666672</v>
      </c>
      <c r="X15" s="277"/>
      <c r="Y15" s="277"/>
    </row>
    <row r="16" spans="1:28" ht="15.75" customHeight="1">
      <c r="A16" s="278" t="s">
        <v>222</v>
      </c>
      <c r="B16" s="279"/>
      <c r="C16" s="280"/>
      <c r="D16" s="369" t="s">
        <v>280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si="0"/>
        <v>Cono</v>
      </c>
      <c r="P16" s="285"/>
      <c r="Q16" s="286">
        <v>0.5</v>
      </c>
      <c r="R16" s="287"/>
      <c r="S16" s="288">
        <f t="shared" si="1"/>
        <v>10</v>
      </c>
      <c r="T16" s="289"/>
      <c r="U16" s="276"/>
      <c r="V16" s="276"/>
      <c r="W16" s="277">
        <f>IFERROR(IF(D16="","",INDEX(Tabla_Completa,MATCH('Soli_citud '!D16,Materiales,0),7)*S16),"")</f>
        <v>72666.649999999994</v>
      </c>
      <c r="X16" s="277"/>
      <c r="Y16" s="277"/>
    </row>
    <row r="17" spans="1:25" ht="15.75" customHeight="1">
      <c r="A17" s="278" t="s">
        <v>826</v>
      </c>
      <c r="B17" s="279"/>
      <c r="C17" s="280"/>
      <c r="D17" s="369" t="s">
        <v>831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si="0"/>
        <v>U</v>
      </c>
      <c r="P17" s="285"/>
      <c r="Q17" s="286">
        <v>1</v>
      </c>
      <c r="R17" s="287"/>
      <c r="S17" s="288">
        <f t="shared" si="1"/>
        <v>20</v>
      </c>
      <c r="T17" s="289"/>
      <c r="U17" s="276"/>
      <c r="V17" s="276"/>
      <c r="W17" s="277">
        <f>IFERROR(IF(D17="","",INDEX(Tabla_Completa,MATCH('Soli_citud '!D17,Materiales,0),7)*S17),"")</f>
        <v>6866.5999999999995</v>
      </c>
      <c r="X17" s="277"/>
      <c r="Y17" s="277"/>
    </row>
    <row r="18" spans="1:25" ht="15.75" customHeight="1">
      <c r="A18" s="278" t="s">
        <v>44</v>
      </c>
      <c r="B18" s="279"/>
      <c r="C18" s="280"/>
      <c r="D18" s="369" t="s">
        <v>974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si="0"/>
        <v>Pliego</v>
      </c>
      <c r="P18" s="285"/>
      <c r="Q18" s="286">
        <v>0.5</v>
      </c>
      <c r="R18" s="287"/>
      <c r="S18" s="288">
        <f t="shared" si="1"/>
        <v>10</v>
      </c>
      <c r="T18" s="289"/>
      <c r="U18" s="276"/>
      <c r="V18" s="276"/>
      <c r="W18" s="277">
        <f>IFERROR(IF(D18="","",INDEX(Tabla_Completa,MATCH('Soli_citud '!D18,Materiales,0),7)*S18),"")</f>
        <v>15831.533333333335</v>
      </c>
      <c r="X18" s="277"/>
      <c r="Y18" s="277"/>
    </row>
    <row r="19" spans="1:25" ht="15.75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>IFERROR(IF(D19="","",INDEX(Tabla_Completa,MATCH('Soli_citud '!D19,Materiales,0),7)*S19),"")</f>
        <v/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si="0"/>
        <v/>
      </c>
      <c r="P24" s="285"/>
      <c r="Q24" s="286"/>
      <c r="R24" s="287"/>
      <c r="S24" s="288">
        <f>IFERROR(IF(Q24="Unidad","1",(Q24*$K$5)),"")</f>
        <v>0</v>
      </c>
      <c r="T24" s="289"/>
      <c r="U24" s="276"/>
      <c r="V24" s="276"/>
      <c r="W24" s="277" t="str">
        <f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si="0"/>
        <v/>
      </c>
      <c r="P25" s="285"/>
      <c r="Q25" s="286"/>
      <c r="R25" s="287"/>
      <c r="S25" s="288">
        <f>IFERROR(IF(Q25="Unidad","1",(Q25*$K$5)),"")</f>
        <v>0</v>
      </c>
      <c r="T25" s="289"/>
      <c r="U25" s="276"/>
      <c r="V25" s="276"/>
      <c r="W25" s="277" t="str">
        <f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si="0"/>
        <v/>
      </c>
      <c r="P26" s="285"/>
      <c r="Q26" s="286"/>
      <c r="R26" s="287"/>
      <c r="S26" s="288">
        <f>IFERROR(IF(Q26="Unidad","1",(Q26*$K$5)),"")</f>
        <v>0</v>
      </c>
      <c r="T26" s="289"/>
      <c r="U26" s="276"/>
      <c r="V26" s="276"/>
      <c r="W26" s="277" t="str">
        <f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22</v>
      </c>
      <c r="B39" s="290"/>
      <c r="C39" s="290"/>
      <c r="D39" s="291" t="s">
        <v>23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25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26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27</v>
      </c>
      <c r="O44" s="303"/>
      <c r="P44" s="303"/>
      <c r="Q44" s="303"/>
      <c r="R44" s="298" t="s">
        <v>28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29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30</v>
      </c>
      <c r="O45" s="303"/>
      <c r="P45" s="303"/>
      <c r="Q45" s="303"/>
      <c r="R45" s="299" t="s">
        <v>31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32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33</v>
      </c>
      <c r="O46" s="303"/>
      <c r="P46" s="303"/>
      <c r="Q46" s="303"/>
      <c r="R46" s="300" t="s">
        <v>34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35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36</v>
      </c>
      <c r="O47" s="303"/>
      <c r="P47" s="303"/>
      <c r="Q47" s="303"/>
      <c r="R47" s="300" t="s">
        <v>37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38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39</v>
      </c>
      <c r="O48" s="303"/>
      <c r="P48" s="303"/>
      <c r="Q48" s="303"/>
      <c r="R48" s="300" t="s">
        <v>40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41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42</v>
      </c>
      <c r="O49" s="304"/>
      <c r="P49" s="304"/>
      <c r="Q49" s="304"/>
      <c r="R49" s="299" t="s">
        <v>43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44</v>
      </c>
      <c r="O50" s="303"/>
      <c r="P50" s="303"/>
      <c r="Q50" s="303"/>
      <c r="R50" s="300" t="s">
        <v>45</v>
      </c>
      <c r="S50" s="300"/>
      <c r="T50" s="300"/>
      <c r="U50" s="300"/>
      <c r="V50" s="300"/>
      <c r="W50" s="300"/>
      <c r="X50" s="300"/>
    </row>
    <row r="51" spans="1:24" ht="15.75">
      <c r="N51" s="303" t="s">
        <v>46</v>
      </c>
      <c r="O51" s="303"/>
      <c r="P51" s="303"/>
      <c r="Q51" s="303"/>
      <c r="R51" s="300" t="s">
        <v>47</v>
      </c>
      <c r="S51" s="300"/>
      <c r="T51" s="300"/>
      <c r="U51" s="300"/>
      <c r="V51" s="300"/>
      <c r="W51" s="300"/>
      <c r="X51" s="300"/>
    </row>
    <row r="52" spans="1:24" ht="15.75">
      <c r="N52" s="303" t="s">
        <v>48</v>
      </c>
      <c r="O52" s="303"/>
      <c r="P52" s="303"/>
      <c r="Q52" s="303"/>
      <c r="R52" s="300" t="s">
        <v>37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21" sqref="I21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49</v>
      </c>
      <c r="D1" s="383"/>
      <c r="E1" s="383"/>
      <c r="F1" s="383"/>
      <c r="G1" s="383"/>
      <c r="H1" s="383"/>
      <c r="I1" s="389" t="s">
        <v>50</v>
      </c>
      <c r="J1" s="390"/>
      <c r="K1" s="390"/>
      <c r="L1" s="391"/>
      <c r="M1" s="384">
        <f>IF('Soli_citud '!O1="","",'Soli_citud '!O1)</f>
        <v>45730</v>
      </c>
      <c r="N1" s="385"/>
      <c r="O1" s="428" t="s">
        <v>51</v>
      </c>
      <c r="P1" s="429"/>
      <c r="Q1" s="424" t="str">
        <f>IF('Soli_citud '!D4="","",'Soli_citud '!D4)</f>
        <v>ejercicios corte, armado, costura</v>
      </c>
      <c r="R1" s="425"/>
      <c r="Z1" s="271" t="s">
        <v>52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53</v>
      </c>
      <c r="J2" s="393"/>
      <c r="K2" s="393"/>
      <c r="L2" s="394"/>
      <c r="M2" s="386" t="str">
        <f>'Soli_citud '!F1</f>
        <v>JV1403-1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54</v>
      </c>
      <c r="J3" s="388"/>
      <c r="K3" s="388"/>
      <c r="L3" s="388"/>
      <c r="M3" s="395">
        <f>IF('Soli_citud '!O3="","",'Soli_citud '!O3)</f>
        <v>3173753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55</v>
      </c>
      <c r="J4" s="377"/>
      <c r="K4" s="377"/>
      <c r="L4" s="378" t="str">
        <f>IF('Soli_citud '!O4="","",'Soli_citud '!O4)</f>
        <v>Calzado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56</v>
      </c>
      <c r="B6" s="380"/>
      <c r="C6" s="380"/>
      <c r="D6" s="397" t="s">
        <v>57</v>
      </c>
      <c r="E6" s="397"/>
      <c r="F6" s="397"/>
      <c r="G6" s="397"/>
      <c r="H6" s="398"/>
      <c r="I6" s="420" t="s">
        <v>58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>IFERROR(IF(Q3="","",F9*L10),"")</f>
        <v/>
      </c>
      <c r="R7" s="412"/>
    </row>
    <row r="8" spans="1:26" ht="20.25" customHeight="1">
      <c r="A8" s="381">
        <f>IF('Soli_citud '!D5&lt;= 0,"",'Soli_citud '!D5)</f>
        <v>14872.839166666667</v>
      </c>
      <c r="B8" s="381"/>
      <c r="C8" s="381"/>
      <c r="D8" s="399" t="s">
        <v>59</v>
      </c>
      <c r="E8" s="400"/>
      <c r="F8" s="400"/>
      <c r="G8" s="400"/>
      <c r="H8" s="401"/>
      <c r="I8" s="422" t="str">
        <f>IF('Soli_citud '!E2="","",'Soli_citud '!E2)</f>
        <v>Juan Villa Salazar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60</v>
      </c>
      <c r="B9" s="406"/>
      <c r="C9" s="402"/>
      <c r="D9" s="408" t="s">
        <v>61</v>
      </c>
      <c r="E9" s="408"/>
      <c r="F9" s="414" t="str">
        <f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62</v>
      </c>
      <c r="J10" s="440"/>
      <c r="K10" s="441"/>
      <c r="L10" s="259">
        <f>'Soli_citud '!K5</f>
        <v>20</v>
      </c>
      <c r="M10" s="437" t="s">
        <v>63</v>
      </c>
      <c r="N10" s="438"/>
      <c r="O10" s="432"/>
      <c r="P10" s="433"/>
      <c r="Q10" s="260" t="s">
        <v>64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65</v>
      </c>
      <c r="B11" s="403" t="s">
        <v>66</v>
      </c>
      <c r="C11" s="404"/>
      <c r="D11" s="404"/>
      <c r="E11" s="405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87" t="s">
        <v>20</v>
      </c>
      <c r="L11" s="439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376" t="str">
        <f>IFERROR(IF('Soli_citud '!D10="","",'Soli_citud '!D10),"")</f>
        <v/>
      </c>
      <c r="C12" s="376"/>
      <c r="D12" s="376"/>
      <c r="E12" s="376"/>
      <c r="F12" s="239" t="str">
        <f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POLITEX-KAMBREL 100 GR</v>
      </c>
      <c r="C13" s="376"/>
      <c r="D13" s="376"/>
      <c r="E13" s="376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140000</v>
      </c>
      <c r="H13" s="240">
        <v>45835</v>
      </c>
      <c r="I13" s="242">
        <v>140000</v>
      </c>
      <c r="J13" s="215" t="str" cm="1">
        <f t="array" ref="J13">IFERROR(_xlfn.IFS(G13="","",I13=G13,"Cumplido",I13&lt;G13,G13-I13,I13&gt;G13,"Revisar"),"")</f>
        <v>Cumplido</v>
      </c>
      <c r="K13" s="374"/>
      <c r="L13" s="375"/>
      <c r="M13" s="241">
        <v>140</v>
      </c>
      <c r="N13" s="216">
        <f t="shared" si="0"/>
        <v>1000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INTERLON</v>
      </c>
      <c r="C14" s="376"/>
      <c r="D14" s="376"/>
      <c r="E14" s="376"/>
      <c r="F14" s="239" t="str">
        <f>IF('Soli_citud '!O12="","",'Soli_citud '!O12)</f>
        <v>cm2</v>
      </c>
      <c r="G14" s="239" cm="1">
        <f t="array" ref="G14">_xlfn.IFS('Soli_citud '!S12="","",'Soli_citud '!S12&lt;=0,"",'Soli_citud '!S12&gt;0,'Soli_citud '!S12)</f>
        <v>140000</v>
      </c>
      <c r="H14" s="240">
        <v>45835</v>
      </c>
      <c r="I14" s="242">
        <v>140000</v>
      </c>
      <c r="J14" s="215" t="str" cm="1">
        <f t="array" ref="J14">IFERROR(_xlfn.IFS(G14="","",I14=G14,"Cumplido",I14&lt;G14,G14-I14,I14&gt;G14,"Revisar"),"")</f>
        <v>Cumplido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SOLUCIÓN DE CAUCHO</v>
      </c>
      <c r="C15" s="376"/>
      <c r="D15" s="376"/>
      <c r="E15" s="376"/>
      <c r="F15" s="239" t="str">
        <f>IF('Soli_citud '!O13="","",'Soli_citud '!O13)</f>
        <v>ml</v>
      </c>
      <c r="G15" s="239" t="str" cm="1">
        <f t="array" ref="G15">_xlfn.IFS('Soli_citud '!S13="","",'Soli_citud '!S13&lt;=0,"",'Soli_citud '!S13&gt;0,'Soli_citud '!S13)</f>
        <v/>
      </c>
      <c r="H15" s="240">
        <v>45835</v>
      </c>
      <c r="I15" s="242"/>
      <c r="J15" s="215" t="str" cm="1">
        <f t="array" ref="J15">IFERROR(_xlfn.IFS(G15="","",I15=G15,"Cumplido",I15&lt;G15,G15-I15,I15&gt;G15,"Revisar"),"")</f>
        <v/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Pegante de policloropreno</v>
      </c>
      <c r="C16" s="376"/>
      <c r="D16" s="376"/>
      <c r="E16" s="376"/>
      <c r="F16" s="239" t="str">
        <f>IF('Soli_citud '!O14="","",'Soli_citud '!O14)</f>
        <v>gal</v>
      </c>
      <c r="G16" s="239" cm="1">
        <f t="array" ref="G16">_xlfn.IFS('Soli_citud '!S14="","",'Soli_citud '!S14&lt;=0,"",'Soli_citud '!S14&gt;0,'Soli_citud '!S14)</f>
        <v>1</v>
      </c>
      <c r="H16" s="240">
        <v>45835</v>
      </c>
      <c r="I16" s="242"/>
      <c r="J16" s="215" cm="1">
        <f t="array" ref="J16">IFERROR(_xlfn.IFS(G16="","",I16=G16,"Cumplido",I16&lt;G16,G16-I16,I16&gt;G16,"Revisar"),"")</f>
        <v>1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 xml:space="preserve">HILO NYLON #40
</v>
      </c>
      <c r="C17" s="376"/>
      <c r="D17" s="376"/>
      <c r="E17" s="376"/>
      <c r="F17" s="239" t="str">
        <f>IF('Soli_citud '!O15="","",'Soli_citud '!O15)</f>
        <v>Cono</v>
      </c>
      <c r="G17" s="239" cm="1">
        <f t="array" ref="G17">_xlfn.IFS('Soli_citud '!S15="","",'Soli_citud '!S15&lt;=0,"",'Soli_citud '!S15&gt;0,'Soli_citud '!S15)</f>
        <v>10</v>
      </c>
      <c r="H17" s="240">
        <v>45835</v>
      </c>
      <c r="I17" s="242">
        <v>10</v>
      </c>
      <c r="J17" s="215" t="str" cm="1">
        <f t="array" ref="J17">IFERROR(_xlfn.IFS(G17="","",I17=G17,"Cumplido",I17&lt;G17,G17-I17,I17&gt;G17,"Revisar"),"")</f>
        <v>Cumplido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 xml:space="preserve">HILO NYLON #60
</v>
      </c>
      <c r="C18" s="376"/>
      <c r="D18" s="376"/>
      <c r="E18" s="376"/>
      <c r="F18" s="239" t="str">
        <f>IF('Soli_citud '!O16="","",'Soli_citud '!O16)</f>
        <v>Cono</v>
      </c>
      <c r="G18" s="239" cm="1">
        <f t="array" ref="G18">_xlfn.IFS('Soli_citud '!S16="","",'Soli_citud '!S16&lt;=0,"",'Soli_citud '!S16&gt;0,'Soli_citud '!S16)</f>
        <v>10</v>
      </c>
      <c r="H18" s="240">
        <v>45835</v>
      </c>
      <c r="I18" s="242">
        <v>10</v>
      </c>
      <c r="J18" s="215" t="str" cm="1">
        <f t="array" ref="J18">IFERROR(_xlfn.IFS(G18="","",I18=G18,"Cumplido",I18&lt;G18,G18-I18,I18&gt;G18,"Revisar"),"")</f>
        <v>Cumplido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AGUJA CORTA CABO GRUESO 100</v>
      </c>
      <c r="C19" s="376"/>
      <c r="D19" s="376"/>
      <c r="E19" s="376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20</v>
      </c>
      <c r="H19" s="240">
        <v>45835</v>
      </c>
      <c r="I19" s="242">
        <v>20</v>
      </c>
      <c r="J19" s="215" t="str" cm="1">
        <f t="array" ref="J19">IFERROR(_xlfn.IFS(G19="","",I19=G19,"Cumplido",I19&lt;G19,G19-I19,I19&gt;G19,"Revisar"),"")</f>
        <v>Cumplido</v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>CARTULINA  BRISTOL (PLANA)</v>
      </c>
      <c r="C20" s="376"/>
      <c r="D20" s="376"/>
      <c r="E20" s="376"/>
      <c r="F20" s="239" t="str">
        <f>IF('Soli_citud '!O18="","",'Soli_citud '!O18)</f>
        <v>Pliego</v>
      </c>
      <c r="G20" s="239" cm="1">
        <f t="array" ref="G20">_xlfn.IFS('Soli_citud '!S18="","",'Soli_citud '!S18&lt;=0,"",'Soli_citud '!S18&gt;0,'Soli_citud '!S18)</f>
        <v>10</v>
      </c>
      <c r="H20" s="240">
        <v>45835</v>
      </c>
      <c r="I20" s="242">
        <v>10</v>
      </c>
      <c r="J20" s="215" t="str" cm="1">
        <f t="array" ref="J20">IFERROR(_xlfn.IFS(G20="","",I20=G20,"Cumplido",I20&lt;G20,G20-I20,I20&gt;G20,"Revisar"),"")</f>
        <v>Cumplido</v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78</v>
      </c>
      <c r="F1" s="450"/>
      <c r="Z1" s="271" t="s">
        <v>52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8"/>
      <c r="D6" s="449"/>
      <c r="H6" s="446" t="s">
        <v>80</v>
      </c>
      <c r="I6" s="446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2025-06-27T17:12:31Z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