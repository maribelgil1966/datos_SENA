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PEDIDOS FICHAS 2025\LAURA VICTORIA BAUTISTA\"/>
    </mc:Choice>
  </mc:AlternateContent>
  <xr:revisionPtr revIDLastSave="0" documentId="13_ncr:1_{0C8CB0F7-DD8A-4091-B227-971D1D88A0CF}" xr6:coauthVersionLast="36" xr6:coauthVersionMax="47" xr10:uidLastSave="{00000000-0000-0000-0000-000000000000}"/>
  <bookViews>
    <workbookView xWindow="0" yWindow="0" windowWidth="15360" windowHeight="71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07" i="38" l="1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/>
  <c r="P22" i="61" a="1"/>
  <c r="P22" i="61" s="1"/>
  <c r="P23" i="61" a="1"/>
  <c r="P23" i="61" s="1"/>
  <c r="P24" i="61" a="1"/>
  <c r="P24" i="61"/>
  <c r="P25" i="61" a="1"/>
  <c r="P25" i="61" s="1"/>
  <c r="P26" i="61" a="1"/>
  <c r="P26" i="61"/>
  <c r="P27" i="61" a="1"/>
  <c r="P27" i="61" s="1"/>
  <c r="P28" i="61" a="1"/>
  <c r="P28" i="61"/>
  <c r="P29" i="61" a="1"/>
  <c r="P29" i="61" s="1"/>
  <c r="P30" i="61" a="1"/>
  <c r="P30" i="61"/>
  <c r="P31" i="61" a="1"/>
  <c r="P31" i="61" s="1"/>
  <c r="P32" i="61" a="1"/>
  <c r="P32" i="61"/>
  <c r="P12" i="61" a="1"/>
  <c r="P12" i="61" s="1"/>
  <c r="M4" i="61"/>
  <c r="N1" i="61"/>
  <c r="C12" i="61"/>
  <c r="M10" i="61"/>
  <c r="S10" i="61" a="1"/>
  <c r="S10" i="6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O10" i="43" s="1"/>
  <c r="G12" i="61" s="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K16" i="61" s="1" a="1"/>
  <c r="K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K23" i="61" s="1" a="1"/>
  <c r="K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O27" i="61" s="1"/>
  <c r="S26" i="43"/>
  <c r="H28" i="61" s="1" a="1"/>
  <c r="H28" i="61" s="1"/>
  <c r="K28" i="61" s="1" a="1"/>
  <c r="K28" i="61" s="1"/>
  <c r="S27" i="43"/>
  <c r="H29" i="61" s="1" a="1"/>
  <c r="H29" i="61" s="1"/>
  <c r="S28" i="43"/>
  <c r="H30" i="61" s="1" a="1"/>
  <c r="H30" i="61" s="1"/>
  <c r="A1278" i="38"/>
  <c r="A1279" i="38"/>
  <c r="A1280" i="38" s="1"/>
  <c r="J1277" i="38"/>
  <c r="A661" i="38"/>
  <c r="A662" i="38"/>
  <c r="A663" i="38" s="1"/>
  <c r="A664" i="38" s="1"/>
  <c r="S29" i="43"/>
  <c r="H31" i="61" s="1" a="1"/>
  <c r="H31" i="61" s="1"/>
  <c r="O31" i="61" s="1"/>
  <c r="S30" i="43"/>
  <c r="H32" i="61" s="1" a="1"/>
  <c r="H32" i="61" s="1"/>
  <c r="K32" i="61" s="1" a="1"/>
  <c r="K32" i="61" s="1"/>
  <c r="S3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/>
  <c r="A1532" i="38" s="1"/>
  <c r="A1533" i="38" s="1"/>
  <c r="A1534" i="38" s="1"/>
  <c r="A1535" i="38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/>
  <c r="O30" i="43"/>
  <c r="G32" i="61" s="1"/>
  <c r="O31" i="43"/>
  <c r="B60" i="38"/>
  <c r="B658" i="38"/>
  <c r="W29" i="43"/>
  <c r="W30" i="43"/>
  <c r="B1510" i="38"/>
  <c r="A9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17" i="43"/>
  <c r="O17" i="43"/>
  <c r="G19" i="61" s="1"/>
  <c r="O11" i="43"/>
  <c r="G13" i="61" s="1"/>
  <c r="O18" i="43"/>
  <c r="G20" i="61" s="1"/>
  <c r="O16" i="43"/>
  <c r="G18" i="61" s="1"/>
  <c r="J63" i="38"/>
  <c r="J1419" i="38"/>
  <c r="J615" i="38"/>
  <c r="A1172" i="38"/>
  <c r="A1173" i="38"/>
  <c r="A1174" i="38" s="1"/>
  <c r="A1175" i="38" s="1"/>
  <c r="A1176" i="38" s="1"/>
  <c r="J1176" i="38" s="1"/>
  <c r="J1110" i="38"/>
  <c r="J661" i="38"/>
  <c r="J663" i="38"/>
  <c r="J662" i="38"/>
  <c r="J1278" i="38"/>
  <c r="W10" i="43"/>
  <c r="O14" i="43"/>
  <c r="G16" i="61" s="1"/>
  <c r="O13" i="43"/>
  <c r="G15" i="61" s="1"/>
  <c r="W15" i="43"/>
  <c r="A65" i="38"/>
  <c r="J64" i="38"/>
  <c r="A1112" i="38"/>
  <c r="J1112" i="38" s="1"/>
  <c r="J229" i="38"/>
  <c r="O12" i="43"/>
  <c r="G14" i="61" s="1"/>
  <c r="O15" i="43"/>
  <c r="G17" i="61" s="1"/>
  <c r="A1281" i="38"/>
  <c r="J1280" i="38"/>
  <c r="J1279" i="38"/>
  <c r="W13" i="43"/>
  <c r="A1113" i="38"/>
  <c r="J1113" i="38" s="1"/>
  <c r="J230" i="38"/>
  <c r="A1282" i="38"/>
  <c r="J1281" i="38"/>
  <c r="A1177" i="38"/>
  <c r="A1178" i="38" s="1"/>
  <c r="A1179" i="38" s="1"/>
  <c r="J240" i="38"/>
  <c r="J231" i="38"/>
  <c r="A1333" i="38"/>
  <c r="J241" i="38"/>
  <c r="A1334" i="38"/>
  <c r="J1333" i="38"/>
  <c r="J242" i="38"/>
  <c r="J243" i="38"/>
  <c r="J244" i="38"/>
  <c r="J245" i="38"/>
  <c r="J246" i="38"/>
  <c r="J247" i="38"/>
  <c r="J248" i="38"/>
  <c r="J257" i="38"/>
  <c r="J258" i="38"/>
  <c r="J259" i="38"/>
  <c r="J261" i="38"/>
  <c r="J260" i="38"/>
  <c r="J262" i="38"/>
  <c r="J263" i="38"/>
  <c r="J264" i="38"/>
  <c r="J265" i="38"/>
  <c r="A616" i="38"/>
  <c r="J266" i="38"/>
  <c r="J616" i="38"/>
  <c r="A617" i="38"/>
  <c r="J617" i="38" s="1"/>
  <c r="J267" i="38"/>
  <c r="A618" i="38"/>
  <c r="A619" i="38" s="1"/>
  <c r="J268" i="38"/>
  <c r="J269" i="38"/>
  <c r="J270" i="38"/>
  <c r="J271" i="38"/>
  <c r="J272" i="38"/>
  <c r="J273" i="38"/>
  <c r="J274" i="38"/>
  <c r="J275" i="38"/>
  <c r="J276" i="38"/>
  <c r="J277" i="38"/>
  <c r="J278" i="38"/>
  <c r="J279" i="38"/>
  <c r="J280" i="38"/>
  <c r="J232" i="38"/>
  <c r="J233" i="38"/>
  <c r="J234" i="38"/>
  <c r="J235" i="38"/>
  <c r="J236" i="38"/>
  <c r="J237" i="38"/>
  <c r="J238" i="38"/>
  <c r="J239" i="38"/>
  <c r="J249" i="38"/>
  <c r="J250" i="38"/>
  <c r="J251" i="38"/>
  <c r="J252" i="38"/>
  <c r="J1169" i="38"/>
  <c r="J253" i="38"/>
  <c r="J1170" i="38"/>
  <c r="J254" i="38"/>
  <c r="J1171" i="38"/>
  <c r="J255" i="38"/>
  <c r="J1172" i="38"/>
  <c r="J256" i="38"/>
  <c r="J1173" i="38"/>
  <c r="J281" i="38"/>
  <c r="J1174" i="38"/>
  <c r="J282" i="38"/>
  <c r="J1175" i="38"/>
  <c r="J283" i="38"/>
  <c r="J1177" i="38"/>
  <c r="J284" i="38"/>
  <c r="J285" i="38"/>
  <c r="J286" i="38"/>
  <c r="J287" i="38"/>
  <c r="J288" i="38"/>
  <c r="J294" i="38"/>
  <c r="J295" i="38"/>
  <c r="J296" i="38"/>
  <c r="J297" i="38"/>
  <c r="J298" i="38"/>
  <c r="J299" i="38"/>
  <c r="J300" i="38"/>
  <c r="J301" i="38"/>
  <c r="J302" i="38"/>
  <c r="J303" i="38"/>
  <c r="J304" i="38"/>
  <c r="J305" i="38"/>
  <c r="J306" i="38"/>
  <c r="J307" i="38"/>
  <c r="J308" i="38"/>
  <c r="J309" i="38"/>
  <c r="J310" i="38"/>
  <c r="J312" i="38"/>
  <c r="J311" i="38"/>
  <c r="J1179" i="38" l="1"/>
  <c r="A1180" i="38"/>
  <c r="J1178" i="38"/>
  <c r="J619" i="38"/>
  <c r="A620" i="38"/>
  <c r="J1282" i="38"/>
  <c r="A1283" i="38"/>
  <c r="A66" i="38"/>
  <c r="J65" i="38"/>
  <c r="J618" i="38"/>
  <c r="E3" i="38"/>
  <c r="W19" i="43"/>
  <c r="W20" i="43"/>
  <c r="A1335" i="38"/>
  <c r="J1334" i="38"/>
  <c r="A1114" i="38"/>
  <c r="A10" i="38"/>
  <c r="J9" i="38"/>
  <c r="J1420" i="38"/>
  <c r="A1421" i="38"/>
  <c r="O20" i="43"/>
  <c r="G22" i="61" s="1"/>
  <c r="O19" i="43"/>
  <c r="G21" i="61" s="1"/>
  <c r="J664" i="38"/>
  <c r="A665" i="38"/>
  <c r="O21" i="43"/>
  <c r="G23" i="61" s="1"/>
  <c r="R7" i="61"/>
  <c r="R6" i="61"/>
  <c r="W21" i="43"/>
  <c r="W18" i="43"/>
  <c r="W14" i="43"/>
  <c r="W12" i="43"/>
  <c r="B12" i="61"/>
  <c r="W11" i="43"/>
  <c r="B27" i="61"/>
  <c r="O20" i="61"/>
  <c r="B20" i="61"/>
  <c r="K19" i="61" a="1"/>
  <c r="K19" i="61" s="1"/>
  <c r="B19" i="61"/>
  <c r="O19" i="61"/>
  <c r="O24" i="61"/>
  <c r="B24" i="61"/>
  <c r="K15" i="61" a="1"/>
  <c r="K15" i="61" s="1"/>
  <c r="O15" i="61"/>
  <c r="B15" i="61"/>
  <c r="B32" i="61"/>
  <c r="K27" i="61" a="1"/>
  <c r="K27" i="61" s="1"/>
  <c r="B23" i="61"/>
  <c r="B31" i="61"/>
  <c r="O13" i="61"/>
  <c r="K13" i="61" a="1"/>
  <c r="K13" i="61" s="1"/>
  <c r="B13" i="61"/>
  <c r="K29" i="61" a="1"/>
  <c r="K29" i="61" s="1"/>
  <c r="O29" i="61"/>
  <c r="B29" i="61"/>
  <c r="K18" i="61" a="1"/>
  <c r="K18" i="61" s="1"/>
  <c r="B18" i="61"/>
  <c r="O18" i="61"/>
  <c r="K22" i="61" a="1"/>
  <c r="K22" i="61" s="1"/>
  <c r="B22" i="61"/>
  <c r="O22" i="61"/>
  <c r="B21" i="61"/>
  <c r="K21" i="61" a="1"/>
  <c r="K21" i="61" s="1"/>
  <c r="O21" i="61"/>
  <c r="O17" i="61"/>
  <c r="K17" i="61" a="1"/>
  <c r="K17" i="61" s="1"/>
  <c r="B17" i="61"/>
  <c r="B26" i="61"/>
  <c r="K26" i="61" a="1"/>
  <c r="K26" i="61" s="1"/>
  <c r="O26" i="61"/>
  <c r="B25" i="61"/>
  <c r="K25" i="61" a="1"/>
  <c r="K25" i="61" s="1"/>
  <c r="O25" i="61"/>
  <c r="K30" i="61" a="1"/>
  <c r="K30" i="61" s="1"/>
  <c r="O30" i="61"/>
  <c r="B30" i="61"/>
  <c r="O14" i="61"/>
  <c r="K14" i="61" a="1"/>
  <c r="K14" i="61" s="1"/>
  <c r="B14" i="61"/>
  <c r="K20" i="61" a="1"/>
  <c r="K20" i="61" s="1"/>
  <c r="K24" i="61" a="1"/>
  <c r="K24" i="61" s="1"/>
  <c r="O28" i="61"/>
  <c r="O16" i="61"/>
  <c r="B28" i="61"/>
  <c r="B16" i="61"/>
  <c r="O12" i="61"/>
  <c r="O32" i="61"/>
  <c r="O23" i="61"/>
  <c r="K12" i="61" a="1"/>
  <c r="K12" i="61" s="1"/>
  <c r="K31" i="61" a="1"/>
  <c r="K31" i="61" s="1"/>
  <c r="J1335" i="38" l="1"/>
  <c r="A1336" i="38"/>
  <c r="A621" i="38"/>
  <c r="J620" i="38"/>
  <c r="A1115" i="38"/>
  <c r="J1114" i="38"/>
  <c r="A1284" i="38"/>
  <c r="J1283" i="38"/>
  <c r="J665" i="38"/>
  <c r="A666" i="38"/>
  <c r="A67" i="38"/>
  <c r="J66" i="38"/>
  <c r="A1422" i="38"/>
  <c r="J1421" i="38"/>
  <c r="J1180" i="38"/>
  <c r="A1181" i="38"/>
  <c r="A11" i="38"/>
  <c r="J10" i="38"/>
  <c r="D5" i="43"/>
  <c r="B8" i="61" s="1"/>
  <c r="J1422" i="38" l="1"/>
  <c r="A1423" i="38"/>
  <c r="J1115" i="38"/>
  <c r="A1116" i="38"/>
  <c r="J1181" i="38"/>
  <c r="A1182" i="38"/>
  <c r="J67" i="38"/>
  <c r="A68" i="38"/>
  <c r="A622" i="38"/>
  <c r="J621" i="38"/>
  <c r="A1285" i="38"/>
  <c r="J1284" i="38"/>
  <c r="A667" i="38"/>
  <c r="J666" i="38"/>
  <c r="A1337" i="38"/>
  <c r="J1336" i="38"/>
  <c r="J11" i="38"/>
  <c r="A12" i="38"/>
  <c r="O5" i="43"/>
  <c r="A1338" i="38" l="1"/>
  <c r="J1337" i="38"/>
  <c r="A1183" i="38"/>
  <c r="J1182" i="38"/>
  <c r="A69" i="38"/>
  <c r="J68" i="38"/>
  <c r="A668" i="38"/>
  <c r="J667" i="38"/>
  <c r="J1116" i="38"/>
  <c r="A1117" i="38"/>
  <c r="A1286" i="38"/>
  <c r="J1285" i="38"/>
  <c r="A13" i="38"/>
  <c r="J12" i="38"/>
  <c r="A1424" i="38"/>
  <c r="J1423" i="38"/>
  <c r="A623" i="38"/>
  <c r="J622" i="38"/>
  <c r="A1425" i="38" l="1"/>
  <c r="J1424" i="38"/>
  <c r="A669" i="38"/>
  <c r="J668" i="38"/>
  <c r="A14" i="38"/>
  <c r="J13" i="38"/>
  <c r="A70" i="38"/>
  <c r="J69" i="38"/>
  <c r="J1286" i="38"/>
  <c r="A1287" i="38"/>
  <c r="A1184" i="38"/>
  <c r="J1183" i="38"/>
  <c r="A1118" i="38"/>
  <c r="J1117" i="38"/>
  <c r="A624" i="38"/>
  <c r="J623" i="38"/>
  <c r="A1339" i="38"/>
  <c r="J1338" i="38"/>
  <c r="A1119" i="38" l="1"/>
  <c r="J1118" i="38"/>
  <c r="A15" i="38"/>
  <c r="J14" i="38"/>
  <c r="J624" i="38"/>
  <c r="A625" i="38"/>
  <c r="J70" i="38"/>
  <c r="A71" i="38"/>
  <c r="A1185" i="38"/>
  <c r="J1184" i="38"/>
  <c r="A670" i="38"/>
  <c r="J669" i="38"/>
  <c r="A1288" i="38"/>
  <c r="J1287" i="38"/>
  <c r="A1340" i="38"/>
  <c r="J1339" i="38"/>
  <c r="J1425" i="38"/>
  <c r="A1426" i="38"/>
  <c r="J625" i="38" l="1"/>
  <c r="A626" i="38"/>
  <c r="A1289" i="38"/>
  <c r="J1288" i="38"/>
  <c r="A671" i="38"/>
  <c r="J670" i="38"/>
  <c r="J15" i="38"/>
  <c r="A16" i="38"/>
  <c r="J71" i="38"/>
  <c r="A72" i="38"/>
  <c r="A1341" i="38"/>
  <c r="J1340" i="38"/>
  <c r="J1426" i="38"/>
  <c r="A1427" i="38"/>
  <c r="A1186" i="38"/>
  <c r="J1185" i="38"/>
  <c r="J1119" i="38"/>
  <c r="A1120" i="38"/>
  <c r="J1427" i="38" l="1"/>
  <c r="A1428" i="38"/>
  <c r="A672" i="38"/>
  <c r="J671" i="38"/>
  <c r="A1290" i="38"/>
  <c r="J1289" i="38"/>
  <c r="A17" i="38"/>
  <c r="J16" i="38"/>
  <c r="A1187" i="38"/>
  <c r="J1186" i="38"/>
  <c r="A1342" i="38"/>
  <c r="J1341" i="38"/>
  <c r="A1121" i="38"/>
  <c r="J1120" i="38"/>
  <c r="A73" i="38"/>
  <c r="J72" i="38"/>
  <c r="A627" i="38"/>
  <c r="J626" i="38"/>
  <c r="A74" i="38" l="1"/>
  <c r="J73" i="38"/>
  <c r="J17" i="38"/>
  <c r="A18" i="38"/>
  <c r="A1122" i="38"/>
  <c r="J1121" i="38"/>
  <c r="A1291" i="38"/>
  <c r="J1290" i="38"/>
  <c r="A1343" i="38"/>
  <c r="J1342" i="38"/>
  <c r="A673" i="38"/>
  <c r="J672" i="38"/>
  <c r="J1428" i="38"/>
  <c r="A1429" i="38"/>
  <c r="A628" i="38"/>
  <c r="J627" i="38"/>
  <c r="A1188" i="38"/>
  <c r="J1187" i="38"/>
  <c r="A1123" i="38" l="1"/>
  <c r="J1122" i="38"/>
  <c r="J18" i="38"/>
  <c r="A19" i="38"/>
  <c r="A629" i="38"/>
  <c r="J628" i="38"/>
  <c r="J1291" i="38"/>
  <c r="A1292" i="38"/>
  <c r="A1430" i="38"/>
  <c r="J1429" i="38"/>
  <c r="A674" i="38"/>
  <c r="J673" i="38"/>
  <c r="J1188" i="38"/>
  <c r="A1189" i="38"/>
  <c r="A1344" i="38"/>
  <c r="J1343" i="38"/>
  <c r="A75" i="38"/>
  <c r="J74" i="38"/>
  <c r="J1292" i="38" l="1"/>
  <c r="A1293" i="38"/>
  <c r="A1345" i="38"/>
  <c r="J1344" i="38"/>
  <c r="J629" i="38"/>
  <c r="A630" i="38"/>
  <c r="J19" i="38"/>
  <c r="A20" i="38"/>
  <c r="J1189" i="38"/>
  <c r="A1190" i="38"/>
  <c r="A675" i="38"/>
  <c r="J674" i="38"/>
  <c r="J75" i="38"/>
  <c r="A76" i="38"/>
  <c r="J1430" i="38"/>
  <c r="A1431" i="38"/>
  <c r="A1124" i="38"/>
  <c r="J1123" i="38"/>
  <c r="A1432" i="38" l="1"/>
  <c r="J1431" i="38"/>
  <c r="A676" i="38"/>
  <c r="J675" i="38"/>
  <c r="A1346" i="38"/>
  <c r="J1345" i="38"/>
  <c r="J1190" i="38"/>
  <c r="A1191" i="38"/>
  <c r="A1294" i="38"/>
  <c r="J1293" i="38"/>
  <c r="J76" i="38"/>
  <c r="A77" i="38"/>
  <c r="A631" i="38"/>
  <c r="J630" i="38"/>
  <c r="A1125" i="38"/>
  <c r="J1124" i="38"/>
  <c r="J631" i="38" l="1"/>
  <c r="A632" i="38"/>
  <c r="J1346" i="38"/>
  <c r="A1347" i="38"/>
  <c r="A677" i="38"/>
  <c r="J676" i="38"/>
  <c r="A78" i="38"/>
  <c r="J77" i="38"/>
  <c r="J1191" i="38"/>
  <c r="A1192" i="38"/>
  <c r="J1125" i="38"/>
  <c r="A1126" i="38"/>
  <c r="J1294" i="38"/>
  <c r="A1295" i="38"/>
  <c r="J1432" i="38"/>
  <c r="A1433" i="38"/>
  <c r="A1434" i="38" l="1"/>
  <c r="J1433" i="38"/>
  <c r="A678" i="38"/>
  <c r="J677" i="38"/>
  <c r="A79" i="38"/>
  <c r="J78" i="38"/>
  <c r="A1296" i="38"/>
  <c r="J1295" i="38"/>
  <c r="A1127" i="38"/>
  <c r="J1126" i="38"/>
  <c r="A1348" i="38"/>
  <c r="J1347" i="38"/>
  <c r="A1193" i="38"/>
  <c r="J1192" i="38"/>
  <c r="A633" i="38"/>
  <c r="J632" i="38"/>
  <c r="A1194" i="38" l="1"/>
  <c r="J1193" i="38"/>
  <c r="J79" i="38"/>
  <c r="A80" i="38"/>
  <c r="J633" i="38"/>
  <c r="A634" i="38"/>
  <c r="J1348" i="38"/>
  <c r="A1349" i="38"/>
  <c r="A679" i="38"/>
  <c r="J678" i="38"/>
  <c r="A1297" i="38"/>
  <c r="J1296" i="38"/>
  <c r="J1127" i="38"/>
  <c r="A1128" i="38"/>
  <c r="A1435" i="38"/>
  <c r="J1434" i="38"/>
  <c r="A1129" i="38" l="1"/>
  <c r="J1128" i="38"/>
  <c r="A635" i="38"/>
  <c r="J634" i="38"/>
  <c r="J80" i="38"/>
  <c r="A81" i="38"/>
  <c r="A1350" i="38"/>
  <c r="J1349" i="38"/>
  <c r="A1436" i="38"/>
  <c r="J1435" i="38"/>
  <c r="A1298" i="38"/>
  <c r="J1297" i="38"/>
  <c r="A680" i="38"/>
  <c r="J679" i="38"/>
  <c r="A1195" i="38"/>
  <c r="J1194" i="38"/>
  <c r="A1196" i="38" l="1"/>
  <c r="J1195" i="38"/>
  <c r="A1351" i="38"/>
  <c r="J1350" i="38"/>
  <c r="A82" i="38"/>
  <c r="J81" i="38"/>
  <c r="A1299" i="38"/>
  <c r="J1298" i="38"/>
  <c r="A636" i="38"/>
  <c r="J635" i="38"/>
  <c r="A681" i="38"/>
  <c r="J680" i="38"/>
  <c r="A1437" i="38"/>
  <c r="J1436" i="38"/>
  <c r="A1130" i="38"/>
  <c r="J1129" i="38"/>
  <c r="J1130" i="38" l="1"/>
  <c r="A1131" i="38"/>
  <c r="A1300" i="38"/>
  <c r="J1299" i="38"/>
  <c r="A1438" i="38"/>
  <c r="J1437" i="38"/>
  <c r="J82" i="38"/>
  <c r="A83" i="38"/>
  <c r="A682" i="38"/>
  <c r="J681" i="38"/>
  <c r="J1351" i="38"/>
  <c r="A1352" i="38"/>
  <c r="J636" i="38"/>
  <c r="A637" i="38"/>
  <c r="A1197" i="38"/>
  <c r="J1196" i="38"/>
  <c r="J1438" i="38" l="1"/>
  <c r="A1439" i="38"/>
  <c r="J637" i="38"/>
  <c r="A638" i="38"/>
  <c r="J638" i="38" s="1"/>
  <c r="A1301" i="38"/>
  <c r="J1300" i="38"/>
  <c r="J1352" i="38"/>
  <c r="A1353" i="38"/>
  <c r="A1132" i="38"/>
  <c r="J1131" i="38"/>
  <c r="J83" i="38"/>
  <c r="A84" i="38"/>
  <c r="A1198" i="38"/>
  <c r="J1197" i="38"/>
  <c r="A683" i="38"/>
  <c r="J682" i="38"/>
  <c r="A1199" i="38" l="1"/>
  <c r="J1198" i="38"/>
  <c r="A1302" i="38"/>
  <c r="A1303" i="38" s="1"/>
  <c r="J1301" i="38"/>
  <c r="A684" i="38"/>
  <c r="J683" i="38"/>
  <c r="A85" i="38"/>
  <c r="J84" i="38"/>
  <c r="J1353" i="38"/>
  <c r="A1354" i="38"/>
  <c r="A1440" i="38"/>
  <c r="J1439" i="38"/>
  <c r="J1132" i="38"/>
  <c r="A1133" i="38"/>
  <c r="A86" i="38" l="1"/>
  <c r="J85" i="38"/>
  <c r="A685" i="38"/>
  <c r="J684" i="38"/>
  <c r="A1441" i="38"/>
  <c r="J1440" i="38"/>
  <c r="A1304" i="38"/>
  <c r="J1303" i="38"/>
  <c r="A1355" i="38"/>
  <c r="J1354" i="38"/>
  <c r="J1133" i="38"/>
  <c r="A1134" i="38"/>
  <c r="A1200" i="38"/>
  <c r="J1199" i="38"/>
  <c r="A1201" i="38" l="1"/>
  <c r="J1200" i="38"/>
  <c r="A1442" i="38"/>
  <c r="J1441" i="38"/>
  <c r="J1134" i="38"/>
  <c r="A1135" i="38"/>
  <c r="A1305" i="38"/>
  <c r="J1304" i="38"/>
  <c r="A686" i="38"/>
  <c r="J685" i="38"/>
  <c r="A1356" i="38"/>
  <c r="J1355" i="38"/>
  <c r="A87" i="38"/>
  <c r="J86" i="38"/>
  <c r="A1306" i="38" l="1"/>
  <c r="J1305" i="38"/>
  <c r="A1357" i="38"/>
  <c r="J1356" i="38"/>
  <c r="A1443" i="38"/>
  <c r="J1442" i="38"/>
  <c r="A1136" i="38"/>
  <c r="J1135" i="38"/>
  <c r="A88" i="38"/>
  <c r="J87" i="38"/>
  <c r="A687" i="38"/>
  <c r="J686" i="38"/>
  <c r="A1202" i="38"/>
  <c r="J1201" i="38"/>
  <c r="A1137" i="38" l="1"/>
  <c r="J1136" i="38"/>
  <c r="A1203" i="38"/>
  <c r="J1202" i="38"/>
  <c r="J1443" i="38"/>
  <c r="A1444" i="38"/>
  <c r="A688" i="38"/>
  <c r="J687" i="38"/>
  <c r="A1358" i="38"/>
  <c r="J1357" i="38"/>
  <c r="A89" i="38"/>
  <c r="J88" i="38"/>
  <c r="A1307" i="38"/>
  <c r="J1306" i="38"/>
  <c r="A689" i="38" l="1"/>
  <c r="J688" i="38"/>
  <c r="J1444" i="38"/>
  <c r="A1445" i="38"/>
  <c r="A90" i="38"/>
  <c r="J89" i="38"/>
  <c r="A1204" i="38"/>
  <c r="J1203" i="38"/>
  <c r="A1308" i="38"/>
  <c r="J1307" i="38"/>
  <c r="J1358" i="38"/>
  <c r="A1359" i="38"/>
  <c r="J1137" i="38"/>
  <c r="A1138" i="38"/>
  <c r="A1205" i="38" l="1"/>
  <c r="J1204" i="38"/>
  <c r="J90" i="38"/>
  <c r="A91" i="38"/>
  <c r="A1360" i="38"/>
  <c r="J1359" i="38"/>
  <c r="A1446" i="38"/>
  <c r="J1445" i="38"/>
  <c r="A1139" i="38"/>
  <c r="J1138" i="38"/>
  <c r="A1309" i="38"/>
  <c r="A1310" i="38" s="1"/>
  <c r="J1308" i="38"/>
  <c r="A690" i="38"/>
  <c r="J689" i="38"/>
  <c r="A1447" i="38" l="1"/>
  <c r="J1446" i="38"/>
  <c r="A691" i="38"/>
  <c r="J690" i="38"/>
  <c r="J1360" i="38"/>
  <c r="A1361" i="38"/>
  <c r="J91" i="38"/>
  <c r="A92" i="38"/>
  <c r="A1311" i="38"/>
  <c r="J1310" i="38"/>
  <c r="J1139" i="38"/>
  <c r="A1140" i="38"/>
  <c r="A1206" i="38"/>
  <c r="J1205" i="38"/>
  <c r="A1141" i="38" l="1"/>
  <c r="J1140" i="38"/>
  <c r="A93" i="38"/>
  <c r="J92" i="38"/>
  <c r="A1362" i="38"/>
  <c r="J1361" i="38"/>
  <c r="A692" i="38"/>
  <c r="J691" i="38"/>
  <c r="J1206" i="38"/>
  <c r="A1207" i="38"/>
  <c r="A1312" i="38"/>
  <c r="J1311" i="38"/>
  <c r="A1448" i="38"/>
  <c r="J1447" i="38"/>
  <c r="A1363" i="38" l="1"/>
  <c r="J1362" i="38"/>
  <c r="A1208" i="38"/>
  <c r="J1207" i="38"/>
  <c r="A693" i="38"/>
  <c r="J692" i="38"/>
  <c r="A1313" i="38"/>
  <c r="J1312" i="38"/>
  <c r="A94" i="38"/>
  <c r="J93" i="38"/>
  <c r="J1448" i="38"/>
  <c r="A1449" i="38"/>
  <c r="A1142" i="38"/>
  <c r="J1141" i="38"/>
  <c r="J1142" i="38" l="1"/>
  <c r="A1143" i="38"/>
  <c r="A694" i="38"/>
  <c r="J693" i="38"/>
  <c r="A1209" i="38"/>
  <c r="J1208" i="38"/>
  <c r="A1314" i="38"/>
  <c r="J1313" i="38"/>
  <c r="A1450" i="38"/>
  <c r="J1449" i="38"/>
  <c r="A95" i="38"/>
  <c r="J94" i="38"/>
  <c r="J1363" i="38"/>
  <c r="A1364" i="38"/>
  <c r="A1315" i="38" l="1"/>
  <c r="J1314" i="38"/>
  <c r="J1209" i="38"/>
  <c r="A1210" i="38"/>
  <c r="A96" i="38"/>
  <c r="J95" i="38"/>
  <c r="A695" i="38"/>
  <c r="J694" i="38"/>
  <c r="J1450" i="38"/>
  <c r="A1451" i="38"/>
  <c r="A1365" i="38"/>
  <c r="J1364" i="38"/>
  <c r="A1144" i="38"/>
  <c r="J1143" i="38"/>
  <c r="A1145" i="38" l="1"/>
  <c r="J1144" i="38"/>
  <c r="A97" i="38"/>
  <c r="J96" i="38"/>
  <c r="J1365" i="38"/>
  <c r="A1366" i="38"/>
  <c r="J1451" i="38"/>
  <c r="A1452" i="38"/>
  <c r="A696" i="38"/>
  <c r="J695" i="38"/>
  <c r="J1210" i="38"/>
  <c r="A1211" i="38"/>
  <c r="A1316" i="38"/>
  <c r="J1316" i="38" s="1"/>
  <c r="J1315" i="38"/>
  <c r="J1366" i="38" l="1"/>
  <c r="A1367" i="38"/>
  <c r="A98" i="38"/>
  <c r="J97" i="38"/>
  <c r="A1212" i="38"/>
  <c r="J1211" i="38"/>
  <c r="A1453" i="38"/>
  <c r="J1452" i="38"/>
  <c r="A697" i="38"/>
  <c r="J696" i="38"/>
  <c r="J1145" i="38"/>
  <c r="A1146" i="38"/>
  <c r="A1213" i="38" l="1"/>
  <c r="J1212" i="38"/>
  <c r="A99" i="38"/>
  <c r="J98" i="38"/>
  <c r="A1454" i="38"/>
  <c r="J1453" i="38"/>
  <c r="J1146" i="38"/>
  <c r="A1147" i="38"/>
  <c r="J1367" i="38"/>
  <c r="A1368" i="38"/>
  <c r="A698" i="38"/>
  <c r="J697" i="38"/>
  <c r="J1454" i="38" l="1"/>
  <c r="A1455" i="38"/>
  <c r="J1147" i="38"/>
  <c r="A1148" i="38"/>
  <c r="A699" i="38"/>
  <c r="J698" i="38"/>
  <c r="A100" i="38"/>
  <c r="J99" i="38"/>
  <c r="J1368" i="38"/>
  <c r="A1369" i="38"/>
  <c r="A1214" i="38"/>
  <c r="J1213" i="38"/>
  <c r="A101" i="38" l="1"/>
  <c r="J100" i="38"/>
  <c r="A1149" i="38"/>
  <c r="J1148" i="38"/>
  <c r="A700" i="38"/>
  <c r="J699" i="38"/>
  <c r="A1215" i="38"/>
  <c r="J1214" i="38"/>
  <c r="A1370" i="38"/>
  <c r="J1369" i="38"/>
  <c r="A1456" i="38"/>
  <c r="J1455" i="38"/>
  <c r="J1215" i="38" l="1"/>
  <c r="A1216" i="38"/>
  <c r="A701" i="38"/>
  <c r="J700" i="38"/>
  <c r="A1457" i="38"/>
  <c r="J1456" i="38"/>
  <c r="A1150" i="38"/>
  <c r="J1149" i="38"/>
  <c r="A1371" i="38"/>
  <c r="J1370" i="38"/>
  <c r="A102" i="38"/>
  <c r="J101" i="38"/>
  <c r="A1151" i="38" l="1"/>
  <c r="J1151" i="38" s="1"/>
  <c r="J1150" i="38"/>
  <c r="A1458" i="38"/>
  <c r="J1457" i="38"/>
  <c r="J102" i="38"/>
  <c r="A103" i="38"/>
  <c r="J701" i="38"/>
  <c r="A702" i="38"/>
  <c r="J1216" i="38"/>
  <c r="A1217" i="38"/>
  <c r="A1372" i="38"/>
  <c r="J1371" i="38"/>
  <c r="J1217" i="38" l="1"/>
  <c r="A1218" i="38"/>
  <c r="A703" i="38"/>
  <c r="J702" i="38"/>
  <c r="J103" i="38"/>
  <c r="A104" i="38"/>
  <c r="A1373" i="38"/>
  <c r="J1372" i="38"/>
  <c r="A1459" i="38"/>
  <c r="J1458" i="38"/>
  <c r="J1373" i="38" l="1"/>
  <c r="A1374" i="38"/>
  <c r="A105" i="38"/>
  <c r="J104" i="38"/>
  <c r="A704" i="38"/>
  <c r="J703" i="38"/>
  <c r="A1219" i="38"/>
  <c r="J1218" i="38"/>
  <c r="J1459" i="38"/>
  <c r="A1460" i="38"/>
  <c r="A1220" i="38" l="1"/>
  <c r="J1219" i="38"/>
  <c r="A705" i="38"/>
  <c r="J704" i="38"/>
  <c r="A106" i="38"/>
  <c r="J105" i="38"/>
  <c r="A1461" i="38"/>
  <c r="J1460" i="38"/>
  <c r="A1375" i="38"/>
  <c r="J1374" i="38"/>
  <c r="J1461" i="38" l="1"/>
  <c r="A1462" i="38"/>
  <c r="J106" i="38"/>
  <c r="A107" i="38"/>
  <c r="A706" i="38"/>
  <c r="J705" i="38"/>
  <c r="A1376" i="38"/>
  <c r="J1375" i="38"/>
  <c r="A1221" i="38"/>
  <c r="J1220" i="38"/>
  <c r="J1221" i="38" l="1"/>
  <c r="A1222" i="38"/>
  <c r="J1376" i="38"/>
  <c r="A1377" i="38"/>
  <c r="A707" i="38"/>
  <c r="J706" i="38"/>
  <c r="J107" i="38"/>
  <c r="A108" i="38"/>
  <c r="A1463" i="38"/>
  <c r="J1462" i="38"/>
  <c r="A708" i="38" l="1"/>
  <c r="J707" i="38"/>
  <c r="A109" i="38"/>
  <c r="J108" i="38"/>
  <c r="J1377" i="38"/>
  <c r="A1378" i="38"/>
  <c r="J1222" i="38"/>
  <c r="A1223" i="38"/>
  <c r="A1464" i="38"/>
  <c r="J1463" i="38"/>
  <c r="A1224" i="38" l="1"/>
  <c r="J1223" i="38"/>
  <c r="J1378" i="38"/>
  <c r="A1379" i="38"/>
  <c r="A110" i="38"/>
  <c r="J109" i="38"/>
  <c r="A1465" i="38"/>
  <c r="J1464" i="38"/>
  <c r="A709" i="38"/>
  <c r="J708" i="38"/>
  <c r="J110" i="38" l="1"/>
  <c r="A111" i="38"/>
  <c r="A1466" i="38"/>
  <c r="J1465" i="38"/>
  <c r="J1379" i="38"/>
  <c r="A1380" i="38"/>
  <c r="A710" i="38"/>
  <c r="J709" i="38"/>
  <c r="A1225" i="38"/>
  <c r="J1224" i="38"/>
  <c r="A711" i="38" l="1"/>
  <c r="J710" i="38"/>
  <c r="A1381" i="38"/>
  <c r="J1380" i="38"/>
  <c r="A1467" i="38"/>
  <c r="J1466" i="38"/>
  <c r="A112" i="38"/>
  <c r="J111" i="38"/>
  <c r="A1226" i="38"/>
  <c r="J1225" i="38"/>
  <c r="A113" i="38" l="1"/>
  <c r="J112" i="38"/>
  <c r="A1468" i="38"/>
  <c r="J1467" i="38"/>
  <c r="A1382" i="38"/>
  <c r="J1381" i="38"/>
  <c r="A1227" i="38"/>
  <c r="J1226" i="38"/>
  <c r="A712" i="38"/>
  <c r="J711" i="38"/>
  <c r="J1227" i="38" l="1"/>
  <c r="A1228" i="38"/>
  <c r="J1382" i="38"/>
  <c r="A1383" i="38"/>
  <c r="J1468" i="38"/>
  <c r="A1469" i="38"/>
  <c r="A713" i="38"/>
  <c r="J712" i="38"/>
  <c r="A114" i="38"/>
  <c r="J113" i="38"/>
  <c r="A714" i="38" l="1"/>
  <c r="J713" i="38"/>
  <c r="A1384" i="38"/>
  <c r="J1383" i="38"/>
  <c r="J1228" i="38"/>
  <c r="A1229" i="38"/>
  <c r="A1470" i="38"/>
  <c r="J1469" i="38"/>
  <c r="J114" i="38"/>
  <c r="A115" i="38"/>
  <c r="A1471" i="38" l="1"/>
  <c r="J1470" i="38"/>
  <c r="J1229" i="38"/>
  <c r="A1230" i="38"/>
  <c r="J1230" i="38" s="1"/>
  <c r="J1384" i="38"/>
  <c r="A1385" i="38"/>
  <c r="J115" i="38"/>
  <c r="A116" i="38"/>
  <c r="A715" i="38"/>
  <c r="J714" i="38"/>
  <c r="A117" i="38" l="1"/>
  <c r="J116" i="38"/>
  <c r="A1386" i="38"/>
  <c r="J1385" i="38"/>
  <c r="A716" i="38"/>
  <c r="J715" i="38"/>
  <c r="A1472" i="38"/>
  <c r="J1471" i="38"/>
  <c r="A1473" i="38" l="1"/>
  <c r="J1472" i="38"/>
  <c r="A717" i="38"/>
  <c r="J716" i="38"/>
  <c r="A1387" i="38"/>
  <c r="J1386" i="38"/>
  <c r="A118" i="38"/>
  <c r="J117" i="38"/>
  <c r="A1388" i="38" l="1"/>
  <c r="J1387" i="38"/>
  <c r="A119" i="38"/>
  <c r="J118" i="38"/>
  <c r="A718" i="38"/>
  <c r="J717" i="38"/>
  <c r="A1474" i="38"/>
  <c r="J1473" i="38"/>
  <c r="J1474" i="38" l="1"/>
  <c r="A1475" i="38"/>
  <c r="A719" i="38"/>
  <c r="J718" i="38"/>
  <c r="J119" i="38"/>
  <c r="A120" i="38"/>
  <c r="A1389" i="38"/>
  <c r="J1388" i="38"/>
  <c r="J1389" i="38" l="1"/>
  <c r="A1390" i="38"/>
  <c r="A121" i="38"/>
  <c r="J120" i="38"/>
  <c r="A720" i="38"/>
  <c r="J719" i="38"/>
  <c r="A1476" i="38"/>
  <c r="J1475" i="38"/>
  <c r="J1476" i="38" l="1"/>
  <c r="A1477" i="38"/>
  <c r="A721" i="38"/>
  <c r="J720" i="38"/>
  <c r="A122" i="38"/>
  <c r="J121" i="38"/>
  <c r="A1391" i="38"/>
  <c r="J1390" i="38"/>
  <c r="J1391" i="38" l="1"/>
  <c r="A1392" i="38"/>
  <c r="J122" i="38"/>
  <c r="A123" i="38"/>
  <c r="A722" i="38"/>
  <c r="J721" i="38"/>
  <c r="A1478" i="38"/>
  <c r="J1477" i="38"/>
  <c r="A723" i="38" l="1"/>
  <c r="J722" i="38"/>
  <c r="J1478" i="38"/>
  <c r="A1479" i="38"/>
  <c r="J123" i="38"/>
  <c r="A124" i="38"/>
  <c r="J1392" i="38"/>
  <c r="A1393" i="38"/>
  <c r="J1393" i="38" l="1"/>
  <c r="A1394" i="38"/>
  <c r="J124" i="38"/>
  <c r="A125" i="38"/>
  <c r="J1479" i="38"/>
  <c r="A1480" i="38"/>
  <c r="A724" i="38"/>
  <c r="J723" i="38"/>
  <c r="A1481" i="38" l="1"/>
  <c r="J1480" i="38"/>
  <c r="A725" i="38"/>
  <c r="J724" i="38"/>
  <c r="A126" i="38"/>
  <c r="J125" i="38"/>
  <c r="J1394" i="38"/>
  <c r="A1395" i="38"/>
  <c r="A127" i="38" l="1"/>
  <c r="J126" i="38"/>
  <c r="A726" i="38"/>
  <c r="J725" i="38"/>
  <c r="J1395" i="38"/>
  <c r="A1396" i="38"/>
  <c r="J1396" i="38" s="1"/>
  <c r="A1482" i="38"/>
  <c r="J1481" i="38"/>
  <c r="J1482" i="38" l="1"/>
  <c r="A1483" i="38"/>
  <c r="A727" i="38"/>
  <c r="J726" i="38"/>
  <c r="A128" i="38"/>
  <c r="J127" i="38"/>
  <c r="A129" i="38" l="1"/>
  <c r="J128" i="38"/>
  <c r="A728" i="38"/>
  <c r="J727" i="38"/>
  <c r="A1484" i="38"/>
  <c r="J1483" i="38"/>
  <c r="J1484" i="38" l="1"/>
  <c r="A1485" i="38"/>
  <c r="A729" i="38"/>
  <c r="J728" i="38"/>
  <c r="A130" i="38"/>
  <c r="J129" i="38"/>
  <c r="J130" i="38" l="1"/>
  <c r="A131" i="38"/>
  <c r="A730" i="38"/>
  <c r="J729" i="38"/>
  <c r="J1485" i="38"/>
  <c r="A1486" i="38"/>
  <c r="A1487" i="38" l="1"/>
  <c r="J1486" i="38"/>
  <c r="A731" i="38"/>
  <c r="J730" i="38"/>
  <c r="A132" i="38"/>
  <c r="J131" i="38"/>
  <c r="A732" i="38" l="1"/>
  <c r="J731" i="38"/>
  <c r="A133" i="38"/>
  <c r="J132" i="38"/>
  <c r="J1487" i="38"/>
  <c r="A1488" i="38"/>
  <c r="A1489" i="38" l="1"/>
  <c r="J1488" i="38"/>
  <c r="J133" i="38"/>
  <c r="A134" i="38"/>
  <c r="A733" i="38"/>
  <c r="J732" i="38"/>
  <c r="A1490" i="38" l="1"/>
  <c r="J1489" i="38"/>
  <c r="A734" i="38"/>
  <c r="J733" i="38"/>
  <c r="A135" i="38"/>
  <c r="J134" i="38"/>
  <c r="A136" i="38" l="1"/>
  <c r="J135" i="38"/>
  <c r="A735" i="38"/>
  <c r="J734" i="38"/>
  <c r="J1490" i="38"/>
  <c r="A1491" i="38"/>
  <c r="J1491" i="38" l="1"/>
  <c r="A1492" i="38"/>
  <c r="A736" i="38"/>
  <c r="J735" i="38"/>
  <c r="J136" i="38"/>
  <c r="A137" i="38"/>
  <c r="A737" i="38" l="1"/>
  <c r="J736" i="38"/>
  <c r="A138" i="38"/>
  <c r="J137" i="38"/>
  <c r="A1493" i="38"/>
  <c r="J1492" i="38"/>
  <c r="J1493" i="38" l="1"/>
  <c r="A1494" i="38"/>
  <c r="J138" i="38"/>
  <c r="A139" i="38"/>
  <c r="A738" i="38"/>
  <c r="J737" i="38"/>
  <c r="A739" i="38" l="1"/>
  <c r="J738" i="38"/>
  <c r="J139" i="38"/>
  <c r="A140" i="38"/>
  <c r="J1494" i="38"/>
  <c r="A1495" i="38"/>
  <c r="A1496" i="38" l="1"/>
  <c r="J1495" i="38"/>
  <c r="A141" i="38"/>
  <c r="J140" i="38"/>
  <c r="A740" i="38"/>
  <c r="J739" i="38"/>
  <c r="A741" i="38" l="1"/>
  <c r="J740" i="38"/>
  <c r="A142" i="38"/>
  <c r="J141" i="38"/>
  <c r="A1497" i="38"/>
  <c r="J1496" i="38"/>
  <c r="J1497" i="38" l="1"/>
  <c r="A1498" i="38"/>
  <c r="A143" i="38"/>
  <c r="J142" i="38"/>
  <c r="A742" i="38"/>
  <c r="J741" i="38"/>
  <c r="A743" i="38" l="1"/>
  <c r="J742" i="38"/>
  <c r="A144" i="38"/>
  <c r="J143" i="38"/>
  <c r="A1499" i="38"/>
  <c r="J1499" i="38" s="1"/>
  <c r="J1498" i="38"/>
  <c r="J144" i="38" l="1"/>
  <c r="A145" i="38"/>
  <c r="A744" i="38"/>
  <c r="J743" i="38"/>
  <c r="A745" i="38" l="1"/>
  <c r="J744" i="38"/>
  <c r="J145" i="38"/>
  <c r="A146" i="38"/>
  <c r="A147" i="38" l="1"/>
  <c r="J146" i="38"/>
  <c r="A746" i="38"/>
  <c r="J745" i="38"/>
  <c r="A747" i="38" l="1"/>
  <c r="J746" i="38"/>
  <c r="A148" i="38"/>
  <c r="J147" i="38"/>
  <c r="A149" i="38" l="1"/>
  <c r="J148" i="38"/>
  <c r="A748" i="38"/>
  <c r="J747" i="38"/>
  <c r="A749" i="38" l="1"/>
  <c r="J748" i="38"/>
  <c r="A150" i="38"/>
  <c r="J149" i="38"/>
  <c r="A151" i="38" l="1"/>
  <c r="J150" i="38"/>
  <c r="A750" i="38"/>
  <c r="J749" i="38"/>
  <c r="A751" i="38" l="1"/>
  <c r="J750" i="38"/>
  <c r="J151" i="38"/>
  <c r="A152" i="38"/>
  <c r="J152" i="38" l="1"/>
  <c r="A153" i="38"/>
  <c r="A752" i="38"/>
  <c r="J751" i="38"/>
  <c r="A753" i="38" l="1"/>
  <c r="J752" i="38"/>
  <c r="A154" i="38"/>
  <c r="J153" i="38"/>
  <c r="A155" i="38" l="1"/>
  <c r="J154" i="38"/>
  <c r="A754" i="38"/>
  <c r="J753" i="38"/>
  <c r="A755" i="38" l="1"/>
  <c r="J754" i="38"/>
  <c r="A156" i="38"/>
  <c r="J155" i="38"/>
  <c r="A157" i="38" l="1"/>
  <c r="J156" i="38"/>
  <c r="A756" i="38"/>
  <c r="J755" i="38"/>
  <c r="A757" i="38" l="1"/>
  <c r="J756" i="38"/>
  <c r="A158" i="38"/>
  <c r="J157" i="38"/>
  <c r="J158" i="38" l="1"/>
  <c r="A159" i="38"/>
  <c r="A758" i="38"/>
  <c r="J757" i="38"/>
  <c r="A759" i="38" l="1"/>
  <c r="J758" i="38"/>
  <c r="J159" i="38"/>
  <c r="A160" i="38"/>
  <c r="J160" i="38" l="1"/>
  <c r="A161" i="38"/>
  <c r="A760" i="38"/>
  <c r="J759" i="38"/>
  <c r="A761" i="38" l="1"/>
  <c r="J760" i="38"/>
  <c r="A162" i="38"/>
  <c r="J161" i="38"/>
  <c r="A163" i="38" l="1"/>
  <c r="J162" i="38"/>
  <c r="A762" i="38"/>
  <c r="J761" i="38"/>
  <c r="A763" i="38" l="1"/>
  <c r="J762" i="38"/>
  <c r="J163" i="38"/>
  <c r="A164" i="38"/>
  <c r="J164" i="38" l="1"/>
  <c r="A165" i="38"/>
  <c r="A764" i="38"/>
  <c r="J763" i="38"/>
  <c r="A765" i="38" l="1"/>
  <c r="J764" i="38"/>
  <c r="A166" i="38"/>
  <c r="J165" i="38"/>
  <c r="A167" i="38" l="1"/>
  <c r="J166" i="38"/>
  <c r="A766" i="38"/>
  <c r="J765" i="38"/>
  <c r="A767" i="38" l="1"/>
  <c r="J766" i="38"/>
  <c r="A168" i="38"/>
  <c r="J167" i="38"/>
  <c r="A169" i="38" l="1"/>
  <c r="J169" i="38" s="1"/>
  <c r="J168" i="38"/>
  <c r="A768" i="38"/>
  <c r="J767" i="38"/>
  <c r="A769" i="38" l="1"/>
  <c r="J768" i="38"/>
  <c r="A770" i="38" l="1"/>
  <c r="J769" i="38"/>
  <c r="A771" i="38" l="1"/>
  <c r="J770" i="38"/>
  <c r="A772" i="38" l="1"/>
  <c r="J771" i="38"/>
  <c r="A773" i="38" l="1"/>
  <c r="J772" i="38"/>
  <c r="A774" i="38" l="1"/>
  <c r="J773" i="38"/>
  <c r="A775" i="38" l="1"/>
  <c r="J774" i="38"/>
  <c r="A776" i="38" l="1"/>
  <c r="J775" i="38"/>
  <c r="A777" i="38" l="1"/>
  <c r="J776" i="38"/>
  <c r="A778" i="38" l="1"/>
  <c r="J777" i="38"/>
  <c r="A779" i="38" l="1"/>
  <c r="J778" i="38"/>
  <c r="A780" i="38" l="1"/>
  <c r="J779" i="38"/>
  <c r="A781" i="38" l="1"/>
  <c r="J780" i="38"/>
  <c r="A782" i="38" l="1"/>
  <c r="J781" i="38"/>
  <c r="A783" i="38" l="1"/>
  <c r="J782" i="38"/>
  <c r="A784" i="38" l="1"/>
  <c r="J783" i="38"/>
  <c r="A785" i="38" l="1"/>
  <c r="J784" i="38"/>
  <c r="A786" i="38" l="1"/>
  <c r="J785" i="38"/>
  <c r="A787" i="38" l="1"/>
  <c r="J786" i="38"/>
  <c r="A788" i="38" l="1"/>
  <c r="J787" i="38"/>
  <c r="A789" i="38" l="1"/>
  <c r="J788" i="38"/>
  <c r="A790" i="38" l="1"/>
  <c r="J789" i="38"/>
  <c r="A791" i="38" l="1"/>
  <c r="J790" i="38"/>
  <c r="A792" i="38" l="1"/>
  <c r="J791" i="38"/>
  <c r="A793" i="38" l="1"/>
  <c r="J792" i="38"/>
  <c r="A794" i="38" l="1"/>
  <c r="J793" i="38"/>
  <c r="A795" i="38" l="1"/>
  <c r="J794" i="38"/>
  <c r="A796" i="38" l="1"/>
  <c r="J795" i="38"/>
  <c r="A797" i="38" l="1"/>
  <c r="J796" i="38"/>
  <c r="A798" i="38" l="1"/>
  <c r="J797" i="38"/>
  <c r="A799" i="38" l="1"/>
  <c r="J798" i="38"/>
  <c r="A800" i="38" l="1"/>
  <c r="J799" i="38"/>
  <c r="A801" i="38" l="1"/>
  <c r="J800" i="38"/>
  <c r="A802" i="38" l="1"/>
  <c r="J801" i="38"/>
  <c r="A803" i="38" l="1"/>
  <c r="J802" i="38"/>
  <c r="A804" i="38" l="1"/>
  <c r="J803" i="38"/>
  <c r="A805" i="38" l="1"/>
  <c r="J804" i="38"/>
  <c r="A806" i="38" l="1"/>
  <c r="J805" i="38"/>
  <c r="A807" i="38" l="1"/>
  <c r="J806" i="38"/>
  <c r="A808" i="38" l="1"/>
  <c r="J807" i="38"/>
  <c r="A809" i="38" l="1"/>
  <c r="J808" i="38"/>
  <c r="A810" i="38" l="1"/>
  <c r="J809" i="38"/>
  <c r="A811" i="38" l="1"/>
  <c r="J810" i="38"/>
  <c r="A812" i="38" l="1"/>
  <c r="J811" i="38"/>
  <c r="A813" i="38" l="1"/>
  <c r="J812" i="38"/>
  <c r="A814" i="38" l="1"/>
  <c r="J813" i="38"/>
  <c r="A815" i="38" l="1"/>
  <c r="J814" i="38"/>
  <c r="A816" i="38" l="1"/>
  <c r="J815" i="38"/>
  <c r="A817" i="38" l="1"/>
  <c r="J816" i="38"/>
  <c r="A818" i="38" l="1"/>
  <c r="J817" i="38"/>
  <c r="A819" i="38" l="1"/>
  <c r="J818" i="38"/>
  <c r="A820" i="38" l="1"/>
  <c r="J819" i="38"/>
  <c r="A821" i="38" l="1"/>
  <c r="J820" i="38"/>
  <c r="A822" i="38" l="1"/>
  <c r="J821" i="38"/>
  <c r="A823" i="38" l="1"/>
  <c r="J822" i="38"/>
  <c r="A824" i="38" l="1"/>
  <c r="J823" i="38"/>
  <c r="A825" i="38" l="1"/>
  <c r="J824" i="38"/>
  <c r="A826" i="38" l="1"/>
  <c r="J825" i="38"/>
  <c r="A827" i="38" l="1"/>
  <c r="J826" i="38"/>
  <c r="A828" i="38" l="1"/>
  <c r="J827" i="38"/>
  <c r="A829" i="38" l="1"/>
  <c r="J828" i="38"/>
  <c r="A830" i="38" l="1"/>
  <c r="J829" i="38"/>
  <c r="A831" i="38" l="1"/>
  <c r="J830" i="38"/>
  <c r="A832" i="38" l="1"/>
  <c r="J831" i="38"/>
  <c r="A833" i="38" l="1"/>
  <c r="J832" i="38"/>
  <c r="A834" i="38" l="1"/>
  <c r="J833" i="38"/>
  <c r="A835" i="38" l="1"/>
  <c r="J834" i="38"/>
  <c r="A836" i="38" l="1"/>
  <c r="J835" i="38"/>
  <c r="A837" i="38" l="1"/>
  <c r="J836" i="38"/>
  <c r="A838" i="38" l="1"/>
  <c r="J837" i="38"/>
  <c r="A839" i="38" l="1"/>
  <c r="J838" i="38"/>
  <c r="A840" i="38" l="1"/>
  <c r="J839" i="38"/>
  <c r="A841" i="38" l="1"/>
  <c r="J840" i="38"/>
  <c r="A842" i="38" l="1"/>
  <c r="J841" i="38"/>
  <c r="A843" i="38" l="1"/>
  <c r="J842" i="38"/>
  <c r="A844" i="38" l="1"/>
  <c r="J843" i="38"/>
  <c r="A845" i="38" l="1"/>
  <c r="J844" i="38"/>
  <c r="A846" i="38" l="1"/>
  <c r="J845" i="38"/>
  <c r="A847" i="38" l="1"/>
  <c r="J846" i="38"/>
  <c r="A848" i="38" l="1"/>
  <c r="J847" i="38"/>
  <c r="A849" i="38" l="1"/>
  <c r="J848" i="38"/>
  <c r="A850" i="38" l="1"/>
  <c r="J849" i="38"/>
  <c r="A851" i="38" l="1"/>
  <c r="J850" i="38"/>
  <c r="A852" i="38" l="1"/>
  <c r="J851" i="38"/>
  <c r="A853" i="38" l="1"/>
  <c r="J852" i="38"/>
  <c r="A854" i="38" l="1"/>
  <c r="J853" i="38"/>
  <c r="A855" i="38" l="1"/>
  <c r="J854" i="38"/>
  <c r="A856" i="38" l="1"/>
  <c r="J855" i="38"/>
  <c r="A857" i="38" l="1"/>
  <c r="J856" i="38"/>
  <c r="A858" i="38" l="1"/>
  <c r="J857" i="38"/>
  <c r="A859" i="38" l="1"/>
  <c r="J858" i="38"/>
  <c r="A860" i="38" l="1"/>
  <c r="J859" i="38"/>
  <c r="A861" i="38" l="1"/>
  <c r="J860" i="38"/>
  <c r="A862" i="38" l="1"/>
  <c r="J861" i="38"/>
  <c r="A863" i="38" l="1"/>
  <c r="J862" i="38"/>
  <c r="A864" i="38" l="1"/>
  <c r="J863" i="38"/>
  <c r="A865" i="38" l="1"/>
  <c r="J864" i="38"/>
  <c r="A866" i="38" l="1"/>
  <c r="J865" i="38"/>
  <c r="A867" i="38" l="1"/>
  <c r="J866" i="38"/>
  <c r="A868" i="38" l="1"/>
  <c r="J867" i="38"/>
  <c r="A869" i="38" l="1"/>
  <c r="J868" i="38"/>
  <c r="A870" i="38" l="1"/>
  <c r="J869" i="38"/>
  <c r="A871" i="38" l="1"/>
  <c r="J870" i="38"/>
  <c r="A872" i="38" l="1"/>
  <c r="J871" i="38"/>
  <c r="A873" i="38" l="1"/>
  <c r="J872" i="38"/>
  <c r="A874" i="38" l="1"/>
  <c r="J873" i="38"/>
  <c r="A875" i="38" l="1"/>
  <c r="J874" i="38"/>
  <c r="A876" i="38" l="1"/>
  <c r="J875" i="38"/>
  <c r="A877" i="38" l="1"/>
  <c r="J876" i="38"/>
  <c r="A878" i="38" l="1"/>
  <c r="J877" i="38"/>
  <c r="A879" i="38" l="1"/>
  <c r="J878" i="38"/>
  <c r="A880" i="38" l="1"/>
  <c r="J879" i="38"/>
  <c r="A881" i="38" l="1"/>
  <c r="J880" i="38"/>
  <c r="A882" i="38" l="1"/>
  <c r="J881" i="38"/>
  <c r="A883" i="38" l="1"/>
  <c r="J882" i="38"/>
  <c r="A884" i="38" l="1"/>
  <c r="J883" i="38"/>
  <c r="A885" i="38" l="1"/>
  <c r="J884" i="38"/>
  <c r="A886" i="38" l="1"/>
  <c r="J885" i="38"/>
  <c r="A887" i="38" l="1"/>
  <c r="J886" i="38"/>
  <c r="A888" i="38" l="1"/>
  <c r="J887" i="38"/>
  <c r="A889" i="38" l="1"/>
  <c r="J888" i="38"/>
  <c r="A890" i="38" l="1"/>
  <c r="J889" i="38"/>
  <c r="A891" i="38" l="1"/>
  <c r="J890" i="38"/>
  <c r="A892" i="38" l="1"/>
  <c r="J891" i="38"/>
  <c r="A893" i="38" l="1"/>
  <c r="J892" i="38"/>
  <c r="A894" i="38" l="1"/>
  <c r="J893" i="38"/>
  <c r="A895" i="38" l="1"/>
  <c r="J894" i="38"/>
  <c r="A896" i="38" l="1"/>
  <c r="J895" i="38"/>
  <c r="A897" i="38" l="1"/>
  <c r="J896" i="38"/>
  <c r="A898" i="38" l="1"/>
  <c r="J897" i="38"/>
  <c r="A899" i="38" l="1"/>
  <c r="J898" i="38"/>
  <c r="A900" i="38" l="1"/>
  <c r="J899" i="38"/>
  <c r="A901" i="38" l="1"/>
  <c r="J900" i="38"/>
  <c r="A902" i="38" l="1"/>
  <c r="J901" i="38"/>
  <c r="A903" i="38" l="1"/>
  <c r="J902" i="38"/>
  <c r="A904" i="38" l="1"/>
  <c r="J903" i="38"/>
  <c r="A905" i="38" l="1"/>
  <c r="J904" i="38"/>
  <c r="A906" i="38" l="1"/>
  <c r="J905" i="38"/>
  <c r="A907" i="38" l="1"/>
  <c r="J906" i="38"/>
  <c r="A908" i="38" l="1"/>
  <c r="J907" i="38"/>
  <c r="A909" i="38" l="1"/>
  <c r="J908" i="38"/>
  <c r="A910" i="38" l="1"/>
  <c r="J909" i="38"/>
  <c r="A911" i="38" l="1"/>
  <c r="J910" i="38"/>
  <c r="A912" i="38" l="1"/>
  <c r="J911" i="38"/>
  <c r="A913" i="38" l="1"/>
  <c r="J912" i="38"/>
  <c r="A914" i="38" l="1"/>
  <c r="J913" i="38"/>
  <c r="A915" i="38" l="1"/>
  <c r="J914" i="38"/>
  <c r="A916" i="38" l="1"/>
  <c r="J915" i="38"/>
  <c r="A917" i="38" l="1"/>
  <c r="J916" i="38"/>
  <c r="A918" i="38" l="1"/>
  <c r="J917" i="38"/>
  <c r="A919" i="38" l="1"/>
  <c r="J918" i="38"/>
  <c r="A920" i="38" l="1"/>
  <c r="J919" i="38"/>
  <c r="A921" i="38" l="1"/>
  <c r="J920" i="38"/>
  <c r="A922" i="38" l="1"/>
  <c r="J921" i="38"/>
  <c r="A923" i="38" l="1"/>
  <c r="J922" i="38"/>
  <c r="A924" i="38" l="1"/>
  <c r="J923" i="38"/>
  <c r="A925" i="38" l="1"/>
  <c r="J924" i="38"/>
  <c r="A926" i="38" l="1"/>
  <c r="J925" i="38"/>
  <c r="A927" i="38" l="1"/>
  <c r="J926" i="38"/>
  <c r="A928" i="38" l="1"/>
  <c r="J927" i="38"/>
  <c r="A929" i="38" l="1"/>
  <c r="J928" i="38"/>
  <c r="A930" i="38" l="1"/>
  <c r="J929" i="38"/>
  <c r="A931" i="38" l="1"/>
  <c r="J930" i="38"/>
  <c r="A932" i="38" l="1"/>
  <c r="J931" i="38"/>
  <c r="A933" i="38" l="1"/>
  <c r="J932" i="38"/>
  <c r="A934" i="38" l="1"/>
  <c r="J933" i="38"/>
  <c r="A935" i="38" l="1"/>
  <c r="J934" i="38"/>
  <c r="A936" i="38" l="1"/>
  <c r="J935" i="38"/>
  <c r="A937" i="38" l="1"/>
  <c r="J936" i="38"/>
  <c r="A938" i="38" l="1"/>
  <c r="J937" i="38"/>
  <c r="A939" i="38" l="1"/>
  <c r="J938" i="38"/>
  <c r="A940" i="38" l="1"/>
  <c r="J939" i="38"/>
  <c r="A941" i="38" l="1"/>
  <c r="J940" i="38"/>
  <c r="A942" i="38" l="1"/>
  <c r="J941" i="38"/>
  <c r="A943" i="38" l="1"/>
  <c r="J942" i="38"/>
  <c r="A944" i="38" l="1"/>
  <c r="J943" i="38"/>
  <c r="A945" i="38" l="1"/>
  <c r="J944" i="38"/>
  <c r="A946" i="38" l="1"/>
  <c r="J945" i="38"/>
  <c r="A947" i="38" l="1"/>
  <c r="J946" i="38"/>
  <c r="A948" i="38" l="1"/>
  <c r="J947" i="38"/>
  <c r="A949" i="38" l="1"/>
  <c r="J948" i="38"/>
  <c r="A950" i="38" l="1"/>
  <c r="J949" i="38"/>
  <c r="A951" i="38" l="1"/>
  <c r="J950" i="38"/>
  <c r="A952" i="38" l="1"/>
  <c r="J951" i="38"/>
  <c r="A953" i="38" l="1"/>
  <c r="J952" i="38"/>
  <c r="A954" i="38" l="1"/>
  <c r="J953" i="38"/>
  <c r="A955" i="38" l="1"/>
  <c r="J954" i="38"/>
  <c r="A956" i="38" l="1"/>
  <c r="J955" i="38"/>
  <c r="A957" i="38" l="1"/>
  <c r="J956" i="38"/>
  <c r="A958" i="38" l="1"/>
  <c r="J957" i="38"/>
  <c r="A959" i="38" l="1"/>
  <c r="J958" i="38"/>
  <c r="A960" i="38" l="1"/>
  <c r="J959" i="38"/>
  <c r="A961" i="38" l="1"/>
  <c r="J960" i="38"/>
  <c r="A962" i="38" l="1"/>
  <c r="J961" i="38"/>
  <c r="A963" i="38" l="1"/>
  <c r="J962" i="38"/>
  <c r="A964" i="38" l="1"/>
  <c r="J963" i="38"/>
  <c r="A965" i="38" l="1"/>
  <c r="J964" i="38"/>
  <c r="J965" i="38" l="1"/>
  <c r="A966" i="38"/>
  <c r="A967" i="38" l="1"/>
  <c r="J966" i="38"/>
  <c r="A968" i="38" l="1"/>
  <c r="J967" i="38"/>
  <c r="A969" i="38" l="1"/>
  <c r="J968" i="38"/>
  <c r="A970" i="38" l="1"/>
  <c r="J969" i="38"/>
  <c r="A971" i="38" l="1"/>
  <c r="J970" i="38"/>
  <c r="A972" i="38" l="1"/>
  <c r="J971" i="38"/>
  <c r="A973" i="38" l="1"/>
  <c r="J972" i="38"/>
  <c r="A974" i="38" l="1"/>
  <c r="J973" i="38"/>
  <c r="A975" i="38" l="1"/>
  <c r="J974" i="38"/>
  <c r="A976" i="38" l="1"/>
  <c r="J975" i="38"/>
  <c r="A977" i="38" l="1"/>
  <c r="J976" i="38"/>
  <c r="A978" i="38" l="1"/>
  <c r="J977" i="38"/>
  <c r="A979" i="38" l="1"/>
  <c r="J978" i="38"/>
  <c r="A980" i="38" l="1"/>
  <c r="J979" i="38"/>
  <c r="A981" i="38" l="1"/>
  <c r="J980" i="38"/>
  <c r="A982" i="38" l="1"/>
  <c r="J981" i="38"/>
  <c r="A983" i="38" l="1"/>
  <c r="J982" i="38"/>
  <c r="A984" i="38" l="1"/>
  <c r="J983" i="38"/>
  <c r="A985" i="38" l="1"/>
  <c r="J984" i="38"/>
  <c r="A986" i="38" l="1"/>
  <c r="J985" i="38"/>
  <c r="A987" i="38" l="1"/>
  <c r="J986" i="38"/>
  <c r="A988" i="38" l="1"/>
  <c r="J987" i="38"/>
  <c r="A989" i="38" l="1"/>
  <c r="J988" i="38"/>
  <c r="A990" i="38" l="1"/>
  <c r="J989" i="38"/>
  <c r="A991" i="38" l="1"/>
  <c r="J990" i="38"/>
  <c r="A992" i="38" l="1"/>
  <c r="J991" i="38"/>
  <c r="A993" i="38" l="1"/>
  <c r="J992" i="38"/>
  <c r="A994" i="38" l="1"/>
  <c r="J993" i="38"/>
  <c r="A995" i="38" l="1"/>
  <c r="J994" i="38"/>
  <c r="A996" i="38" l="1"/>
  <c r="J995" i="38"/>
  <c r="A997" i="38" l="1"/>
  <c r="J996" i="38"/>
  <c r="A998" i="38" l="1"/>
  <c r="J997" i="38"/>
  <c r="A999" i="38" l="1"/>
  <c r="J998" i="38"/>
  <c r="A1000" i="38" l="1"/>
  <c r="J999" i="38"/>
  <c r="A1001" i="38" l="1"/>
  <c r="J1000" i="38"/>
  <c r="A1002" i="38" l="1"/>
  <c r="J1001" i="38"/>
  <c r="A1003" i="38" l="1"/>
  <c r="J1002" i="38"/>
  <c r="A1004" i="38" l="1"/>
  <c r="J1003" i="38"/>
  <c r="A1005" i="38" l="1"/>
  <c r="J1004" i="38"/>
  <c r="A1006" i="38" l="1"/>
  <c r="J1005" i="38"/>
  <c r="A1007" i="38" l="1"/>
  <c r="J1006" i="38"/>
  <c r="A1008" i="38" l="1"/>
  <c r="J1007" i="38"/>
  <c r="A1009" i="38" l="1"/>
  <c r="J1008" i="38"/>
  <c r="J1009" i="38" l="1"/>
  <c r="A1010" i="38"/>
  <c r="A1011" i="38" l="1"/>
  <c r="J1010" i="38"/>
  <c r="A1012" i="38" l="1"/>
  <c r="J1011" i="38"/>
  <c r="A1013" i="38" l="1"/>
  <c r="J1012" i="38"/>
  <c r="A1014" i="38" l="1"/>
  <c r="J1013" i="38"/>
  <c r="A1015" i="38" l="1"/>
  <c r="J1014" i="38"/>
  <c r="A1016" i="38" l="1"/>
  <c r="J1015" i="38"/>
  <c r="A1017" i="38" l="1"/>
  <c r="J1016" i="38"/>
  <c r="A1018" i="38" l="1"/>
  <c r="J1017" i="38"/>
  <c r="A1019" i="38" l="1"/>
  <c r="J1018" i="38"/>
  <c r="A1020" i="38" l="1"/>
  <c r="J1019" i="38"/>
  <c r="A1021" i="38" l="1"/>
  <c r="J1020" i="38"/>
  <c r="A1022" i="38" l="1"/>
  <c r="J1021" i="38"/>
  <c r="A1023" i="38" l="1"/>
  <c r="J1022" i="38"/>
  <c r="A1024" i="38" l="1"/>
  <c r="J1023" i="38"/>
  <c r="A1025" i="38" l="1"/>
  <c r="J1024" i="38"/>
  <c r="A1026" i="38" l="1"/>
  <c r="J1025" i="38"/>
  <c r="A1027" i="38" l="1"/>
  <c r="J1026" i="38"/>
  <c r="A1028" i="38" l="1"/>
  <c r="J1027" i="38"/>
  <c r="A1029" i="38" l="1"/>
  <c r="J1028" i="38"/>
  <c r="A1030" i="38" l="1"/>
  <c r="J1029" i="38"/>
  <c r="A1031" i="38" l="1"/>
  <c r="J1030" i="38"/>
  <c r="A1032" i="38" l="1"/>
  <c r="J1031" i="38"/>
  <c r="A1033" i="38" l="1"/>
  <c r="J1032" i="38"/>
  <c r="A1034" i="38" l="1"/>
  <c r="J1033" i="38"/>
  <c r="A1035" i="38" l="1"/>
  <c r="J1034" i="38"/>
  <c r="A1036" i="38" l="1"/>
  <c r="J1035" i="38"/>
  <c r="A1037" i="38" l="1"/>
  <c r="J1036" i="38"/>
  <c r="A1038" i="38" l="1"/>
  <c r="J1037" i="38"/>
  <c r="A1039" i="38" l="1"/>
  <c r="J1038" i="38"/>
  <c r="A1040" i="38" l="1"/>
  <c r="J1039" i="38"/>
  <c r="A1041" i="38" l="1"/>
  <c r="J1040" i="38"/>
  <c r="A1042" i="38" l="1"/>
  <c r="J1041" i="38"/>
  <c r="A1043" i="38" l="1"/>
  <c r="J1042" i="38"/>
  <c r="A1044" i="38" l="1"/>
  <c r="J1043" i="38"/>
  <c r="A1045" i="38" l="1"/>
  <c r="J1044" i="38"/>
  <c r="A1046" i="38" l="1"/>
  <c r="J1045" i="38"/>
  <c r="A1047" i="38" l="1"/>
  <c r="J1046" i="38"/>
  <c r="A1048" i="38" l="1"/>
  <c r="J1047" i="38"/>
  <c r="A1049" i="38" l="1"/>
  <c r="J1048" i="38"/>
  <c r="A1050" i="38" l="1"/>
  <c r="J1049" i="38"/>
  <c r="A1051" i="38" l="1"/>
  <c r="J1050" i="38"/>
  <c r="A1052" i="38" l="1"/>
  <c r="J1051" i="38"/>
  <c r="A1053" i="38" l="1"/>
  <c r="J1052" i="38"/>
  <c r="A1054" i="38" l="1"/>
  <c r="J1053" i="38"/>
  <c r="A1055" i="38" l="1"/>
  <c r="J1054" i="38"/>
  <c r="A1056" i="38" l="1"/>
  <c r="J1055" i="38"/>
  <c r="A1057" i="38" l="1"/>
  <c r="J1056" i="38"/>
  <c r="A1058" i="38" l="1"/>
  <c r="J1057" i="38"/>
  <c r="A1059" i="38" l="1"/>
  <c r="J1058" i="38"/>
  <c r="A1060" i="38" l="1"/>
  <c r="J1059" i="38"/>
  <c r="A1061" i="38" l="1"/>
  <c r="J1060" i="38"/>
  <c r="A1062" i="38" l="1"/>
  <c r="J1061" i="38"/>
  <c r="A1063" i="38" l="1"/>
  <c r="J1062" i="38"/>
  <c r="A1064" i="38" l="1"/>
  <c r="J1063" i="38"/>
  <c r="A1065" i="38" l="1"/>
  <c r="J1064" i="38"/>
  <c r="A1066" i="38" l="1"/>
  <c r="J1065" i="38"/>
  <c r="A1067" i="38" l="1"/>
  <c r="J1066" i="38"/>
  <c r="A1068" i="38" l="1"/>
  <c r="J1067" i="38"/>
  <c r="A1069" i="38" l="1"/>
  <c r="J1068" i="38"/>
  <c r="A1070" i="38" l="1"/>
  <c r="J1069" i="38"/>
  <c r="A1071" i="38" l="1"/>
  <c r="J1070" i="38"/>
  <c r="A1072" i="38" l="1"/>
  <c r="J1071" i="38"/>
  <c r="A1073" i="38" l="1"/>
  <c r="J1072" i="38"/>
  <c r="A1074" i="38" l="1"/>
  <c r="J1073" i="38"/>
  <c r="A1075" i="38" l="1"/>
  <c r="J1074" i="38"/>
  <c r="A1076" i="38" l="1"/>
  <c r="J1075" i="38"/>
  <c r="A1077" i="38" l="1"/>
  <c r="J1076" i="38"/>
  <c r="A1078" i="38" l="1"/>
  <c r="J1077" i="38"/>
  <c r="A1079" i="38" l="1"/>
  <c r="J1078" i="38"/>
  <c r="A1080" i="38" l="1"/>
  <c r="J1080" i="38" s="1"/>
  <c r="J107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<sst xmlns="http://schemas.openxmlformats.org/spreadsheetml/2006/main" count="5011" uniqueCount="1392">
  <si>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</si>
  <si>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</si>
  <si>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</si>
  <si>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</si>
  <si>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</si>
  <si>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</si>
  <si>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</si>
  <si>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</si>
  <si>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</si>
  <si>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</si>
  <si>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</si>
  <si>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</si>
  <si>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</si>
  <si>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</si>
  <si>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</si>
  <si>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</si>
  <si>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</si>
  <si>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</si>
  <si>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</si>
  <si>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</si>
  <si>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</si>
  <si>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</si>
  <si>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</si>
  <si>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</si>
  <si>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</si>
  <si>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</si>
  <si>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</si>
  <si>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</si>
  <si>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</si>
  <si>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</si>
  <si>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</si>
  <si>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</si>
  <si>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</si>
  <si>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</si>
  <si>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</si>
  <si>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</si>
  <si>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</si>
  <si>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</si>
  <si>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</si>
  <si>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</si>
  <si>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</si>
  <si>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</si>
  <si>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</si>
  <si>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</si>
  <si>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</si>
  <si>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</si>
  <si>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</si>
  <si>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</si>
  <si>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</si>
  <si>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</si>
  <si>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</si>
  <si>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</si>
  <si>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</si>
  <si>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</si>
  <si>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</si>
  <si>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</si>
  <si>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</si>
  <si>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</si>
  <si>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</si>
  <si>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</si>
  <si>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</si>
  <si>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</si>
  <si>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</si>
  <si>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</si>
  <si>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</si>
  <si>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</si>
  <si>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</si>
  <si>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</si>
  <si>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</si>
  <si>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</si>
  <si>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</si>
  <si>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</si>
  <si>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</si>
  <si>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</si>
  <si>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</si>
  <si>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</si>
  <si>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</si>
  <si>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</si>
  <si>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</si>
  <si>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</si>
  <si>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</si>
  <si>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</si>
  <si>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</si>
  <si>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</si>
  <si>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</si>
  <si>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</si>
  <si>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</si>
  <si>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</si>
  <si>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</si>
  <si>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</si>
  <si>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</si>
  <si>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</si>
  <si>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</si>
  <si>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</si>
  <si>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</si>
  <si>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</si>
  <si>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</si>
  <si>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</si>
  <si>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</si>
  <si>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</si>
  <si>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</si>
  <si>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</si>
  <si>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</si>
  <si>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</si>
  <si>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</si>
  <si>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</si>
  <si>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</si>
  <si>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</si>
  <si>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</si>
  <si>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</si>
  <si>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</si>
  <si>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</si>
  <si>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</si>
  <si>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</si>
  <si>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</si>
  <si>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</si>
  <si>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</si>
  <si>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</si>
  <si>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</si>
  <si>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</si>
  <si>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</si>
  <si>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</si>
  <si>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</si>
  <si>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</si>
  <si>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</si>
  <si>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</si>
  <si>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</si>
  <si>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</si>
  <si>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</si>
  <si>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</si>
  <si>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</si>
  <si>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</si>
  <si>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</si>
  <si>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</si>
  <si>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</si>
  <si>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</si>
  <si>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</si>
  <si>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</si>
  <si>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</si>
  <si>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</si>
  <si>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</si>
  <si>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</si>
  <si>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</si>
  <si>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</si>
  <si>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</si>
  <si>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</si>
  <si>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</si>
  <si>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</si>
  <si>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</si>
  <si>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</si>
  <si>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</si>
  <si>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</si>
  <si>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</si>
  <si>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</si>
  <si>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</si>
  <si>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</si>
  <si>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</si>
  <si>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</si>
  <si>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</si>
  <si>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</si>
  <si>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</si>
  <si>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</si>
  <si>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</si>
  <si>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</si>
  <si>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</si>
  <si>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</si>
  <si>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</si>
  <si>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</si>
  <si>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</si>
  <si>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</si>
  <si>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</si>
  <si>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</si>
  <si>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</si>
  <si>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</si>
  <si>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</si>
  <si>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</si>
  <si>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</si>
  <si>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</si>
  <si>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</si>
  <si>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</si>
  <si>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</si>
  <si>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</si>
  <si>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</si>
  <si>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</si>
  <si>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</si>
  <si>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</si>
  <si>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</si>
  <si>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</si>
  <si>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</si>
  <si>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</si>
  <si>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</si>
  <si>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</si>
  <si>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</si>
  <si>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</si>
  <si>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</si>
  <si>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</si>
  <si>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</si>
  <si>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</si>
  <si>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</si>
  <si>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</si>
  <si>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</si>
  <si>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</si>
  <si>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</si>
  <si>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</si>
  <si>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</si>
  <si>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</si>
  <si>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</si>
  <si>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</si>
  <si>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</si>
  <si>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</si>
  <si>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</si>
  <si>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</si>
  <si>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</si>
  <si>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</si>
  <si>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</si>
  <si>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</si>
  <si>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</si>
  <si>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</si>
  <si>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</si>
  <si>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</si>
  <si>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</si>
  <si>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</si>
  <si>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</si>
  <si>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</si>
  <si>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</si>
  <si>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</si>
  <si>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</si>
  <si>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</si>
  <si>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</si>
  <si>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</si>
  <si>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</si>
  <si>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</si>
  <si>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</si>
  <si>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</si>
  <si>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</si>
  <si>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</si>
  <si>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</si>
  <si>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</si>
  <si>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</si>
  <si>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</si>
  <si>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</si>
  <si>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</si>
  <si>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</si>
  <si>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</si>
  <si>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</si>
  <si>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</si>
  <si>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</si>
  <si>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</si>
  <si>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</si>
  <si>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</si>
  <si>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</si>
  <si>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</si>
  <si>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</si>
  <si>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</si>
  <si>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</si>
  <si>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</si>
  <si>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</si>
  <si>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</si>
  <si>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</si>
  <si>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</si>
  <si>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</si>
  <si>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</si>
  <si>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</si>
  <si>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</si>
  <si>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</si>
  <si>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</si>
  <si>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</si>
  <si>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</si>
  <si>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</si>
  <si>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</si>
  <si>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</si>
  <si>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</si>
  <si>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</si>
  <si>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</si>
  <si>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</si>
  <si>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</si>
  <si>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</si>
  <si>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</si>
  <si>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</si>
  <si>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</si>
  <si>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</si>
  <si>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</si>
  <si>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</si>
  <si>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</si>
  <si>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</si>
  <si>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</si>
  <si>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</si>
  <si>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</si>
  <si>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</si>
  <si>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</si>
  <si>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</si>
  <si>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</si>
  <si>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</si>
  <si>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</si>
  <si>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</si>
  <si>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</si>
  <si>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</si>
  <si>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</si>
  <si>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</si>
  <si>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</si>
  <si>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</si>
  <si>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</si>
  <si>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</si>
  <si>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</si>
  <si>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</si>
  <si>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</si>
  <si>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</si>
  <si>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</si>
  <si>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</si>
  <si>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</si>
  <si>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</si>
  <si>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</si>
  <si>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</si>
  <si>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</si>
  <si>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</si>
  <si>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</si>
  <si>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</si>
  <si>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</si>
  <si>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</si>
  <si>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</si>
  <si>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</si>
  <si>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</si>
  <si>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</si>
  <si>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</si>
  <si>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</si>
  <si>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</si>
  <si>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</si>
  <si>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</si>
  <si>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</si>
  <si>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</si>
  <si>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</si>
  <si>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</si>
  <si>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</si>
  <si>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</si>
  <si>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</si>
  <si>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</si>
  <si>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</si>
  <si>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</si>
  <si>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</si>
  <si>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</si>
  <si>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</si>
  <si>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</si>
  <si>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</si>
  <si>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</si>
  <si>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</si>
  <si>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</si>
  <si>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</si>
  <si>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</si>
  <si>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</si>
  <si>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</si>
  <si>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</si>
  <si>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</si>
  <si>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</si>
  <si>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</si>
  <si>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</si>
  <si>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</si>
  <si>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</si>
  <si>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</si>
  <si>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</si>
  <si>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</si>
  <si>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</si>
  <si>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</si>
  <si>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</si>
  <si>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</si>
  <si>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</si>
  <si>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</si>
  <si>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</si>
  <si>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</si>
  <si>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</si>
  <si>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</si>
  <si>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</si>
  <si>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</si>
  <si>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</si>
  <si>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</si>
  <si>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</si>
  <si>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</si>
  <si>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</si>
  <si>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</si>
  <si>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</si>
  <si>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</si>
  <si>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</si>
  <si>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</si>
  <si>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</si>
  <si>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</si>
  <si>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</si>
  <si>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</si>
  <si>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</si>
  <si>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</si>
  <si>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</si>
  <si>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</si>
  <si>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</si>
  <si>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</si>
  <si>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</si>
  <si>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</si>
  <si>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</si>
  <si>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</si>
  <si>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</si>
  <si>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</si>
  <si>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</si>
  <si>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</si>
  <si>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</si>
  <si>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</si>
  <si>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</si>
  <si>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</si>
  <si>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</si>
  <si>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</si>
  <si>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</si>
  <si>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</si>
  <si>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</si>
  <si>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</si>
  <si>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</si>
  <si>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</si>
  <si>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</si>
  <si>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</si>
  <si>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</si>
  <si>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</si>
  <si>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</si>
  <si>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</si>
  <si>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</si>
  <si>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</si>
  <si>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</si>
  <si>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</si>
  <si>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</si>
  <si>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</si>
  <si>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</si>
  <si>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</si>
  <si>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</si>
  <si>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</si>
  <si>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</si>
  <si>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</si>
  <si>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</si>
  <si>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</si>
  <si>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</si>
  <si>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</si>
  <si>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</si>
  <si>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</si>
  <si>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</si>
  <si>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</si>
  <si>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</si>
  <si>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</si>
  <si>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</si>
  <si>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</si>
  <si>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</si>
  <si>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</si>
  <si>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</si>
  <si>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</si>
  <si>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</si>
  <si>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</si>
  <si>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</si>
  <si>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</si>
  <si>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</si>
  <si>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</si>
  <si>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</si>
  <si>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</si>
  <si>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</si>
  <si>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</si>
  <si>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</si>
  <si>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</si>
  <si>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</si>
  <si>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</si>
  <si>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</si>
  <si>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</si>
  <si>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</si>
  <si>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</si>
  <si>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</si>
  <si>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</si>
  <si>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</si>
  <si>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</si>
  <si>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</si>
  <si>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</si>
  <si>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</si>
  <si>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</si>
  <si>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</si>
  <si>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</si>
  <si>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</si>
  <si>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</si>
  <si>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</si>
  <si>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</si>
  <si>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</si>
  <si>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</si>
  <si>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</si>
  <si>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</si>
  <si>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</si>
  <si>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</si>
  <si>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</si>
  <si>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</si>
  <si>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</si>
  <si>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</si>
  <si>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</si>
  <si>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</si>
  <si>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</si>
  <si>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</si>
  <si>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</si>
  <si>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</si>
  <si>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</si>
  <si>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</si>
  <si>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</si>
  <si>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</si>
  <si>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</si>
  <si>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</si>
  <si>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</si>
  <si>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</si>
  <si>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</si>
  <si>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</si>
  <si>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</si>
  <si>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</si>
  <si>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</si>
  <si>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</si>
  <si>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</si>
  <si>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</si>
  <si>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</si>
  <si>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</si>
  <si>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</si>
  <si>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</si>
  <si>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</si>
  <si>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</si>
  <si>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</si>
  <si>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</si>
  <si>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</si>
  <si>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</si>
  <si>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</si>
  <si>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</si>
  <si>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</si>
  <si>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</si>
  <si>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</si>
  <si>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</si>
  <si>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</si>
  <si>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</si>
  <si>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</si>
  <si>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</si>
  <si>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</si>
  <si>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</si>
  <si>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</si>
  <si>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</si>
  <si>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</si>
  <si>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</si>
  <si>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</si>
  <si>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</si>
  <si>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</si>
  <si>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</si>
  <si>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</si>
  <si>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</si>
  <si>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</si>
  <si>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</si>
  <si>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</si>
  <si>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</si>
  <si>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</si>
  <si>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</si>
  <si>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</si>
  <si>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</si>
  <si>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</si>
  <si>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</si>
  <si>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</si>
  <si>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</si>
  <si>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</si>
  <si>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</si>
  <si>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</si>
  <si>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</si>
  <si>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</si>
  <si>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</si>
  <si>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</si>
  <si>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</si>
  <si>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</si>
  <si>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</si>
  <si>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</si>
  <si>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</si>
  <si>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</si>
  <si>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</si>
  <si>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</si>
  <si>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</si>
  <si>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</si>
  <si>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</si>
  <si>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</si>
  <si>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</si>
  <si>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</si>
  <si>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</si>
  <si>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</si>
  <si>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</si>
  <si>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</si>
  <si>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</si>
  <si>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</si>
  <si>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</si>
  <si>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</si>
  <si>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</si>
  <si>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</si>
  <si>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</si>
  <si>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</si>
  <si>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</si>
  <si>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</si>
  <si>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</si>
  <si>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</si>
  <si>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</si>
  <si>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</si>
  <si>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</si>
  <si>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</si>
  <si>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</si>
  <si>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</si>
  <si>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</si>
  <si>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</si>
  <si>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</si>
  <si>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</si>
  <si>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</si>
  <si>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</si>
  <si>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</si>
  <si>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</si>
  <si>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</si>
  <si>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</si>
  <si>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</si>
  <si>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</si>
  <si>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</si>
  <si>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</si>
  <si>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</si>
  <si>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</si>
  <si>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</si>
  <si>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</si>
  <si>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</si>
  <si>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</si>
  <si>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</si>
  <si>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</si>
  <si>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</si>
  <si>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</si>
  <si>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</si>
  <si>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</si>
  <si>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</si>
  <si>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</si>
  <si>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</si>
  <si>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</si>
  <si>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</si>
  <si>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</si>
  <si>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</si>
  <si>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</si>
  <si>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</si>
  <si>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</si>
  <si>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</si>
  <si>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</si>
  <si>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</si>
  <si>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</si>
  <si>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</si>
  <si>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</si>
  <si>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</si>
  <si>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</si>
  <si>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</si>
  <si>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</si>
  <si>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</si>
  <si>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</si>
  <si>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</si>
  <si>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</si>
  <si>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</si>
  <si>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</si>
  <si>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</si>
  <si>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</si>
  <si>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</si>
  <si>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</si>
  <si>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</si>
  <si>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</si>
  <si>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</si>
  <si>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</si>
  <si>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</si>
  <si>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</si>
  <si>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</si>
  <si>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</si>
  <si>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</si>
  <si>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</si>
  <si>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</si>
  <si>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</si>
  <si>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</si>
  <si>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</si>
  <si>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</si>
  <si>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</si>
  <si>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</si>
  <si>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</si>
  <si>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</si>
  <si>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</si>
  <si>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</si>
  <si>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</si>
  <si>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</si>
  <si>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</si>
  <si>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</si>
  <si>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</si>
  <si>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</si>
  <si>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</si>
  <si>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</si>
  <si>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</si>
  <si>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</si>
  <si>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</si>
  <si>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</si>
  <si>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</si>
  <si>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</si>
  <si>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</si>
  <si>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</si>
  <si>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</si>
  <si>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</si>
  <si>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</si>
  <si>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</si>
  <si>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</si>
  <si>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</si>
  <si>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</si>
  <si>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</si>
  <si>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</si>
  <si>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</si>
  <si>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</si>
  <si>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</si>
  <si>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</si>
  <si>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</si>
  <si>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</si>
  <si>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</si>
  <si>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</si>
  <si>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</si>
  <si>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</si>
  <si>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</si>
  <si>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</si>
  <si>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</si>
  <si>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</si>
  <si>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</si>
  <si>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</si>
  <si>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</si>
  <si>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</si>
  <si>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</si>
  <si>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</si>
  <si>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</si>
  <si>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</si>
  <si>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</si>
  <si>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</si>
  <si>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</si>
  <si>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</si>
  <si>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</si>
  <si>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</si>
  <si>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</si>
  <si>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</si>
  <si>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</si>
  <si>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</si>
  <si>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</si>
  <si>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</si>
  <si>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</si>
  <si>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</si>
  <si>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</si>
  <si>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</si>
  <si>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</si>
  <si>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</si>
  <si>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</si>
  <si>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</si>
  <si>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</si>
  <si>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</si>
  <si>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</si>
  <si>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</si>
  <si>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</si>
  <si>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</si>
  <si>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</si>
  <si>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</si>
  <si>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</si>
  <si>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</si>
  <si>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</si>
  <si>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</si>
  <si>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</si>
  <si>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</si>
  <si>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</si>
  <si>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</si>
  <si>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</si>
  <si>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</si>
  <si>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</si>
  <si>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</si>
  <si>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</si>
  <si>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</si>
  <si>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</si>
  <si>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</si>
  <si>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</si>
  <si>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</si>
  <si>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</si>
  <si>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</si>
  <si>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</si>
  <si>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</si>
  <si>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</si>
  <si>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</si>
  <si>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</si>
  <si>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</si>
  <si>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</si>
  <si>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</si>
  <si>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</si>
  <si>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</si>
  <si>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</si>
  <si>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</si>
  <si>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</si>
  <si>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</si>
  <si>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</si>
  <si>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</si>
  <si>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</si>
  <si>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</si>
  <si>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</si>
  <si>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</si>
  <si>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</si>
  <si>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</si>
  <si>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</si>
  <si>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</si>
  <si>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</si>
  <si>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</si>
  <si>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</si>
  <si>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</si>
  <si>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</si>
  <si>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</si>
  <si>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</si>
  <si>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</si>
  <si>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</si>
  <si>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</si>
  <si>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</si>
  <si>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</si>
  <si>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</si>
  <si>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</si>
  <si>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</si>
  <si>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</si>
  <si>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</si>
  <si>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</si>
  <si>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</si>
  <si>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</si>
  <si>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</si>
  <si>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</si>
  <si>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</si>
  <si>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</si>
  <si>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</si>
  <si>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</si>
  <si>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</si>
  <si>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</si>
  <si>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</si>
  <si>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</si>
  <si>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</si>
  <si>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</si>
  <si>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</si>
  <si>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</si>
  <si>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</si>
  <si>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</si>
  <si>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</si>
  <si>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</si>
  <si>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</si>
  <si>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</si>
  <si>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</si>
  <si>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</si>
  <si>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</si>
  <si>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</si>
  <si>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</si>
  <si>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</si>
  <si>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</si>
  <si>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</si>
  <si>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</si>
  <si>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</si>
  <si>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</si>
  <si>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</si>
  <si>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</si>
  <si>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</si>
  <si>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</si>
  <si>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</si>
  <si>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</si>
  <si>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</si>
  <si>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</si>
  <si>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</si>
  <si>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</si>
  <si>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</si>
  <si>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</si>
  <si>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</si>
  <si>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</si>
  <si>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</si>
  <si>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</si>
  <si>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</si>
  <si>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</si>
  <si>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</si>
  <si>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</si>
  <si>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</si>
  <si>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</si>
  <si>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</si>
  <si>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</si>
  <si>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</si>
  <si>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</si>
  <si>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</si>
  <si>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</si>
  <si>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</si>
  <si>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</si>
  <si>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</si>
  <si>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</si>
  <si>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</si>
  <si>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</si>
  <si>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</si>
  <si>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</si>
  <si>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</si>
  <si>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</si>
  <si>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</si>
  <si>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</si>
  <si>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</si>
  <si>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</si>
  <si>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</si>
  <si>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</si>
  <si>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</si>
  <si>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</si>
  <si>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</si>
  <si>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</si>
  <si>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</si>
  <si>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</si>
  <si>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</si>
  <si>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</si>
  <si>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</si>
  <si>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</si>
  <si>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</si>
  <si>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</si>
  <si>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</si>
  <si>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</si>
  <si>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</si>
  <si>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</si>
  <si>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</si>
  <si>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</si>
  <si>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</si>
  <si>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</si>
  <si>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</si>
  <si>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</si>
  <si>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</si>
  <si>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</si>
  <si>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</si>
  <si>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</si>
  <si>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</si>
  <si>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</si>
  <si>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</si>
  <si>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</si>
  <si>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</si>
  <si>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</si>
  <si>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</si>
  <si>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</si>
  <si>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</si>
  <si>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</si>
  <si>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</si>
  <si>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</si>
  <si>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</si>
  <si>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</si>
  <si>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</si>
  <si>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</si>
  <si>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</si>
  <si>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</si>
  <si>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</si>
  <si>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</si>
  <si>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</si>
  <si>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</si>
  <si>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</si>
  <si>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</si>
  <si>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</si>
  <si>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</si>
  <si>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</si>
  <si>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</si>
  <si>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</si>
  <si>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</si>
  <si>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</si>
  <si>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</si>
  <si>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</si>
  <si>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</si>
  <si>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</si>
  <si>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</si>
  <si>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</si>
  <si>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</si>
  <si>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</si>
  <si>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</si>
  <si>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</si>
  <si>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</si>
  <si>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</si>
  <si>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</si>
  <si>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</si>
  <si>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</si>
  <si>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</si>
  <si>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</si>
  <si>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</si>
  <si>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</si>
  <si>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</si>
  <si>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</si>
  <si>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</si>
  <si>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</si>
  <si>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</si>
  <si>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</si>
  <si>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</si>
  <si>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</si>
  <si>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</si>
  <si>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</si>
  <si>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</si>
  <si>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</si>
  <si>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</si>
  <si>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</si>
  <si>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</si>
  <si>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</si>
  <si>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</si>
  <si>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</si>
  <si>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</si>
  <si>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</si>
  <si>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</si>
  <si>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</si>
  <si>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</si>
  <si>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</si>
  <si>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</si>
  <si>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</si>
  <si>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</si>
  <si>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</si>
  <si>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</si>
  <si>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</si>
  <si>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</si>
  <si>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</si>
  <si>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</si>
  <si>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</si>
  <si>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</si>
  <si>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</si>
  <si>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</si>
  <si>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</si>
  <si>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</si>
  <si>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</si>
  <si>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</si>
  <si>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</si>
  <si>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</si>
  <si>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</si>
  <si>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</si>
  <si>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</si>
  <si>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</si>
  <si>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</si>
  <si>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</si>
  <si>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</si>
  <si>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</si>
  <si>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</si>
  <si>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</si>
  <si>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</si>
  <si>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</si>
  <si>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</si>
  <si>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</si>
  <si>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</si>
  <si>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</si>
  <si>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</si>
  <si>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</si>
  <si>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</si>
  <si>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</si>
  <si>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</si>
  <si>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</si>
  <si>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</si>
  <si>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</si>
  <si>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</si>
  <si>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</si>
  <si>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</si>
  <si>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</si>
  <si>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</si>
  <si>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</si>
  <si>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</si>
  <si>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</si>
  <si>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</si>
  <si>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</si>
  <si>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</si>
  <si>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</si>
  <si>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</si>
  <si>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</si>
  <si>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</si>
  <si>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</si>
  <si>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</si>
  <si>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</si>
  <si>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</si>
  <si>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</si>
  <si>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</si>
  <si>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</si>
  <si>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</si>
  <si>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</si>
  <si>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</si>
  <si>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</si>
  <si>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</si>
  <si>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</si>
  <si>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</si>
  <si>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</si>
  <si>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</si>
  <si>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</si>
  <si>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</si>
  <si>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</si>
  <si>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</si>
  <si>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</si>
  <si>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</si>
  <si>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</si>
  <si>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</si>
  <si>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</si>
  <si>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</si>
  <si>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</si>
  <si>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</si>
  <si>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</si>
  <si>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</si>
  <si>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</si>
  <si>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</si>
  <si>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</si>
  <si>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</si>
  <si>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</si>
  <si>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</si>
  <si>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</si>
  <si>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</si>
  <si>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</si>
  <si>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</si>
  <si>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</si>
  <si>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</si>
  <si>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</si>
  <si>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</si>
  <si>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</si>
  <si>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</si>
  <si>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</si>
  <si>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</si>
  <si>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</si>
  <si>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</si>
  <si>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</si>
  <si>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</si>
  <si>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</si>
  <si>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</si>
  <si>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</si>
  <si>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</si>
  <si>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</si>
  <si>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</si>
  <si>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</si>
  <si>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</si>
  <si>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</si>
  <si>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</si>
  <si>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</si>
  <si>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</si>
  <si>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</si>
  <si>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</si>
  <si>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</si>
  <si>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</si>
  <si>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</si>
  <si>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</si>
  <si>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</si>
  <si>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</si>
  <si>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</si>
  <si>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</si>
  <si>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</si>
  <si>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</si>
  <si>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</si>
  <si>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</si>
  <si>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</si>
  <si>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</si>
  <si>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</si>
  <si>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</si>
  <si>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</si>
  <si>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</si>
  <si>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</si>
  <si>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</si>
  <si>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</si>
  <si>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</si>
  <si>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</si>
  <si>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</si>
  <si>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</si>
  <si>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</si>
  <si>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</si>
  <si>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</si>
  <si>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</si>
  <si>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</si>
  <si>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</si>
  <si>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</si>
  <si>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</si>
  <si>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</si>
  <si>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</si>
  <si>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</si>
  <si>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</si>
  <si>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</si>
  <si>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</si>
  <si>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</si>
  <si>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</si>
  <si>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</si>
  <si>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</si>
  <si>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</si>
  <si>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</si>
  <si>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</si>
  <si>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</si>
  <si>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</si>
  <si>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</si>
  <si>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</si>
  <si>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</si>
  <si>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</si>
  <si>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</si>
  <si>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</si>
  <si>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</si>
  <si>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</si>
  <si>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</si>
  <si>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</si>
  <si>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</si>
  <si>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</si>
  <si>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</si>
  <si>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</si>
  <si>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</si>
  <si>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</si>
  <si>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</si>
  <si>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</si>
  <si>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</si>
  <si>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</si>
  <si>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</si>
  <si>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</si>
  <si>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</si>
  <si>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</si>
  <si>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</si>
  <si>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</si>
  <si>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</si>
  <si>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</si>
  <si>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</si>
  <si>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</si>
  <si>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</si>
  <si>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</si>
  <si>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</si>
  <si>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</si>
  <si>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</si>
  <si>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</si>
  <si>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</si>
  <si>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</si>
  <si>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</si>
  <si>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</si>
  <si>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</si>
  <si>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</si>
  <si>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</si>
  <si>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</si>
  <si>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</si>
  <si>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</si>
  <si>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</si>
  <si>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</si>
  <si>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</si>
  <si>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</si>
  <si>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</si>
  <si>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</si>
  <si>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</si>
  <si>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</si>
  <si>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</si>
  <si>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</si>
  <si>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</si>
  <si>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</si>
  <si>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</si>
  <si>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</si>
  <si>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</si>
  <si>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</si>
  <si>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</si>
  <si>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</si>
  <si>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</si>
  <si>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</si>
  <si>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</si>
  <si>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</si>
  <si>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</si>
  <si>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</si>
  <si>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</si>
  <si>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</si>
  <si>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</si>
  <si>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</si>
  <si>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</si>
  <si>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</si>
  <si>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</si>
  <si>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</si>
  <si>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</si>
  <si>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</si>
  <si>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</si>
  <si>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</si>
  <si>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</si>
  <si>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</si>
  <si>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</si>
  <si>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</si>
  <si>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</si>
  <si>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</si>
  <si>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</si>
  <si>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</si>
  <si>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</si>
  <si>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</si>
  <si>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</si>
  <si>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</si>
  <si>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</si>
  <si>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</si>
  <si>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</si>
  <si>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</si>
  <si>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</si>
  <si>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</si>
  <si>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</si>
  <si>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</si>
  <si>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</si>
  <si>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</si>
  <si>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</si>
  <si>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</si>
  <si>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</si>
  <si>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</si>
  <si>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</si>
  <si>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</si>
  <si>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</si>
  <si>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</si>
  <si>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</si>
  <si>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</si>
  <si>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</si>
  <si>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</si>
  <si>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</si>
  <si>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</si>
  <si>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</si>
  <si>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</si>
  <si>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</si>
  <si>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</si>
  <si>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</si>
  <si>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</si>
  <si>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</si>
  <si>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</si>
  <si>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</si>
  <si>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</si>
  <si>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</si>
  <si>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</si>
  <si>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</si>
  <si>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</si>
  <si>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</si>
  <si>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</si>
  <si>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</si>
  <si>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</si>
  <si>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</si>
  <si>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</si>
  <si>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</si>
  <si>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</si>
  <si>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</si>
  <si>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</si>
  <si>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</si>
  <si>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</si>
  <si>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</si>
  <si>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</si>
  <si>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</si>
  <si>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</si>
  <si>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</si>
  <si>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</si>
  <si>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</si>
  <si>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</si>
  <si>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</si>
  <si>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</si>
  <si>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</si>
  <si>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</si>
  <si>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</si>
  <si>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</si>
  <si>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</si>
  <si>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</si>
  <si>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</si>
  <si>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</si>
  <si>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</si>
  <si>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</si>
  <si>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</si>
  <si>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</si>
  <si>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</si>
  <si>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</si>
  <si>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</si>
  <si>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</si>
  <si>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</si>
  <si>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</si>
  <si>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</si>
  <si>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</si>
  <si>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</si>
  <si>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</si>
  <si>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</si>
  <si>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</si>
  <si>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</si>
  <si>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</si>
  <si>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</si>
  <si>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</si>
  <si>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</si>
  <si>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</si>
  <si>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</si>
  <si>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</si>
  <si>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</si>
  <si>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</si>
  <si>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</si>
  <si>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</si>
  <si>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</si>
  <si>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</si>
  <si>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</si>
  <si>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</si>
  <si>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</si>
  <si>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</si>
  <si>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</si>
  <si>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</si>
  <si>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</si>
  <si>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</si>
  <si>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</si>
  <si>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</si>
  <si>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</si>
  <si>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</si>
  <si>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</si>
  <si>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</si>
  <si>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</si>
  <si>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</si>
  <si>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</si>
  <si>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</si>
  <si>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</si>
  <si>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</si>
  <si>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</si>
  <si>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</si>
  <si>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</si>
  <si>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</si>
  <si>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</si>
  <si>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</si>
  <si>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</si>
  <si>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</si>
  <si>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</si>
  <si>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</si>
  <si>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</si>
  <si>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</si>
  <si>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</si>
  <si>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</si>
  <si>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</si>
  <si>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</si>
  <si>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</si>
  <si>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Laura Victoria Bautista</t>
  </si>
  <si>
    <t>Complementarios varios</t>
  </si>
  <si>
    <t>9/04/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</si>
</sst>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133350</xdr:colOff>
      <xdr:row>0</xdr:row>
      <xdr:rowOff>27966</xdr:rowOff>
    </xdr:from>
    <xdr:to>
      <xdr:col>30</xdr:col>
      <xdr:colOff>361950</xdr:colOff>
      <xdr:row>7</xdr:row>
      <xdr:rowOff>146410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96525" y="27966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180975</xdr:colOff>
      <xdr:row>0</xdr:row>
      <xdr:rowOff>323850</xdr:rowOff>
    </xdr:from>
    <xdr:to>
      <xdr:col>24</xdr:col>
      <xdr:colOff>336455</xdr:colOff>
      <xdr:row>4</xdr:row>
      <xdr:rowOff>276520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AA4845-C89F-4E28-6B7F-8189F02E0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58150" y="323850"/>
          <a:ext cx="1898555" cy="13337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9" activePane="bottomLeft" state="frozen"/>
      <selection pane="bottomLeft" activeCell="Q13" sqref="Q13:R13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LV0704-1</v>
      </c>
      <c r="G1" s="405"/>
      <c r="H1" s="406"/>
      <c r="I1" s="351" t="s">
        <v>1</v>
      </c>
      <c r="J1" s="352"/>
      <c r="K1" s="232"/>
      <c r="L1" s="353" t="s">
        <v>2</v>
      </c>
      <c r="M1" s="354"/>
      <c r="N1" s="354"/>
      <c r="O1" s="355">
        <v>45754</v>
      </c>
      <c r="P1" s="355"/>
      <c r="Q1" s="355"/>
      <c r="R1" s="356"/>
      <c r="S1" s="296" t="s">
        <v>3</v>
      </c>
      <c r="T1" s="297"/>
      <c r="U1" s="302" t="s">
        <v>4</v>
      </c>
      <c r="V1" s="303"/>
      <c r="W1" s="303"/>
      <c r="X1" s="303"/>
      <c r="Y1" s="304"/>
      <c r="Z1" s="384" t="s">
        <v>5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6</v>
      </c>
      <c r="D2" s="350"/>
      <c r="E2" s="369" t="s">
        <v>1389</v>
      </c>
      <c r="F2" s="370"/>
      <c r="G2" s="370"/>
      <c r="H2" s="370"/>
      <c r="I2" s="370"/>
      <c r="J2" s="370"/>
      <c r="K2" s="371"/>
      <c r="L2" s="392" t="s">
        <v>7</v>
      </c>
      <c r="M2" s="393"/>
      <c r="N2" s="353"/>
      <c r="O2" s="394" t="e">
        <f>IF(E2="","",INDEX(Listas!H2:I30,MATCH('Soli_citud '!E2,Intructores,0),2))</f>
        <v>#N/A</v>
      </c>
      <c r="P2" s="394"/>
      <c r="Q2" s="394"/>
      <c r="R2" s="395"/>
      <c r="S2" s="298">
        <v>24</v>
      </c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8</v>
      </c>
      <c r="D3" s="340"/>
      <c r="E3" s="341" t="s">
        <v>9</v>
      </c>
      <c r="F3" s="342"/>
      <c r="G3" s="342"/>
      <c r="H3" s="342"/>
      <c r="I3" s="342"/>
      <c r="J3" s="342"/>
      <c r="K3" s="343"/>
      <c r="L3" s="392" t="s">
        <v>10</v>
      </c>
      <c r="M3" s="393"/>
      <c r="N3" s="353"/>
      <c r="O3" s="316">
        <v>3176833</v>
      </c>
      <c r="P3" s="396"/>
      <c r="Q3" s="396"/>
      <c r="R3" s="396"/>
      <c r="S3" s="298" t="s">
        <v>11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12</v>
      </c>
      <c r="B4" s="362"/>
      <c r="C4" s="362"/>
      <c r="D4" s="357" t="s">
        <v>1390</v>
      </c>
      <c r="E4" s="358"/>
      <c r="F4" s="358"/>
      <c r="G4" s="358"/>
      <c r="H4" s="358"/>
      <c r="I4" s="358"/>
      <c r="J4" s="358"/>
      <c r="K4" s="358"/>
      <c r="L4" s="359" t="s">
        <v>13</v>
      </c>
      <c r="M4" s="359"/>
      <c r="N4" s="359"/>
      <c r="O4" s="360" t="s">
        <v>14</v>
      </c>
      <c r="P4" s="361"/>
      <c r="Q4" s="361"/>
      <c r="R4" s="361"/>
      <c r="S4" s="298">
        <v>22</v>
      </c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15</v>
      </c>
      <c r="B5" s="344"/>
      <c r="C5" s="344"/>
      <c r="D5" s="345">
        <f>IF(K5="","",(SUM(W10:Y28)-(SUMIF(U10:V28,"Restar_Pedido",W10:Y28)))/$K$5)</f>
        <v>153588.33333333334</v>
      </c>
      <c r="E5" s="346"/>
      <c r="F5" s="347"/>
      <c r="G5" s="348" t="s">
        <v>16</v>
      </c>
      <c r="H5" s="349"/>
      <c r="I5" s="349"/>
      <c r="J5" s="350"/>
      <c r="K5" s="400">
        <v>25</v>
      </c>
      <c r="L5" s="400"/>
      <c r="M5" s="401" t="s">
        <v>17</v>
      </c>
      <c r="N5" s="401"/>
      <c r="O5" s="397">
        <f>IFERROR(IF(K5=0,"",D5*K5),"")</f>
        <v>3839708.3333333335</v>
      </c>
      <c r="P5" s="398"/>
      <c r="Q5" s="398"/>
      <c r="R5" s="398"/>
      <c r="S5" s="300" t="s">
        <v>18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19</v>
      </c>
      <c r="B7" s="327"/>
      <c r="C7" s="328"/>
      <c r="D7" s="329" t="s">
        <v>20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21</v>
      </c>
      <c r="P7" s="336"/>
      <c r="Q7" s="337" t="s">
        <v>22</v>
      </c>
      <c r="R7" s="338"/>
      <c r="S7" s="298">
        <v>1</v>
      </c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23</v>
      </c>
      <c r="T8" s="388"/>
      <c r="U8" s="389"/>
      <c r="V8" s="390">
        <f>IF(K5="","",1/K5)</f>
        <v>0.04</v>
      </c>
      <c r="W8" s="391"/>
      <c r="X8" s="103"/>
      <c r="Y8" s="104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7" t="s">
        <v>24</v>
      </c>
      <c r="T9" s="387"/>
      <c r="U9" s="336" t="s">
        <v>25</v>
      </c>
      <c r="V9" s="336"/>
      <c r="W9" s="336" t="s">
        <v>26</v>
      </c>
      <c r="X9" s="336"/>
      <c r="Y9" s="336"/>
    </row>
    <row r="10" spans="1:31" ht="17.25" customHeight="1">
      <c r="A10" s="309" t="s">
        <v>50</v>
      </c>
      <c r="B10" s="309"/>
      <c r="C10" s="310"/>
      <c r="D10" s="322" t="s">
        <v>944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>cm2</v>
      </c>
      <c r="P10" s="315"/>
      <c r="Q10" s="316">
        <v>15000</v>
      </c>
      <c r="R10" s="317"/>
      <c r="S10" s="318">
        <f>IFERROR(IF(Q10="Unidad","1",(Q10*$K$5)),"")</f>
        <v>375000</v>
      </c>
      <c r="T10" s="319"/>
      <c r="U10" s="320"/>
      <c r="V10" s="326"/>
      <c r="W10" s="321">
        <f>IFERROR(IF(D10="","",INDEX(Tabla_Completa,MATCH('Soli_citud '!D10,Materiales,0),7)*S10),"")</f>
        <v>1047321.4285714285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50</v>
      </c>
      <c r="B11" s="309"/>
      <c r="C11" s="310"/>
      <c r="D11" s="322" t="s">
        <v>903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>cm2</v>
      </c>
      <c r="P11" s="315"/>
      <c r="Q11" s="316">
        <v>15000</v>
      </c>
      <c r="R11" s="317"/>
      <c r="S11" s="318">
        <f t="shared" ref="S11:S31" si="1">IFERROR(IF(Q11="Unidad","1",(Q11*$K$5)),"")</f>
        <v>375000</v>
      </c>
      <c r="T11" s="319"/>
      <c r="U11" s="320"/>
      <c r="V11" s="320"/>
      <c r="W11" s="321">
        <f>IFERROR(IF(D11="","",INDEX(Tabla_Completa,MATCH('Soli_citud '!D11,Materiales,0),7)*S11),"")</f>
        <v>750428.57142857148</v>
      </c>
      <c r="X11" s="321"/>
      <c r="Y11" s="321"/>
    </row>
    <row r="12" spans="1:31" ht="15.75" customHeight="1">
      <c r="A12" s="308" t="s">
        <v>1215</v>
      </c>
      <c r="B12" s="309"/>
      <c r="C12" s="310"/>
      <c r="D12" s="325" t="s">
        <v>1233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si="2">IFERROR(IF(D12="","",INDEX(Tabla_Completa,MATCH(D12,Materiales,0),6)),"")</f>
        <v>gal</v>
      </c>
      <c r="P12" s="315"/>
      <c r="Q12" s="316">
        <v>1000</v>
      </c>
      <c r="R12" s="317"/>
      <c r="S12" s="318">
        <f t="shared" si="1"/>
        <v>25000</v>
      </c>
      <c r="T12" s="319"/>
      <c r="U12" s="320"/>
      <c r="V12" s="320"/>
      <c r="W12" s="321">
        <f>IFERROR(IF(D12="","",INDEX(Tabla_Completa,MATCH('Soli_citud '!D12,Materiales,0),7)*S12),"")</f>
        <v>0</v>
      </c>
      <c r="X12" s="321"/>
      <c r="Y12" s="321"/>
    </row>
    <row r="13" spans="1:31" ht="15.75" customHeight="1">
      <c r="A13" s="308" t="s">
        <v>40</v>
      </c>
      <c r="B13" s="309"/>
      <c r="C13" s="310"/>
      <c r="D13" s="322" t="s">
        <v>711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>U</v>
      </c>
      <c r="P13" s="315"/>
      <c r="Q13" s="316">
        <v>50</v>
      </c>
      <c r="R13" s="317"/>
      <c r="S13" s="318">
        <f t="shared" si="1"/>
        <v>1250</v>
      </c>
      <c r="T13" s="319"/>
      <c r="U13" s="320"/>
      <c r="V13" s="320"/>
      <c r="W13" s="321">
        <f>IFERROR(IF(D13="","",INDEX(Tabla_Completa,MATCH('Soli_citud '!D13,Materiales,0),7)*S13),"")</f>
        <v>1583333.3333333335</v>
      </c>
      <c r="X13" s="321"/>
      <c r="Y13" s="321"/>
    </row>
    <row r="14" spans="1:31" ht="17.25" customHeight="1">
      <c r="A14" s="308" t="s">
        <v>232</v>
      </c>
      <c r="B14" s="309"/>
      <c r="C14" s="310"/>
      <c r="D14" s="322" t="s">
        <v>318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>cm</v>
      </c>
      <c r="P14" s="315"/>
      <c r="Q14" s="316">
        <v>1500</v>
      </c>
      <c r="R14" s="317"/>
      <c r="S14" s="318">
        <f t="shared" si="1"/>
        <v>37500</v>
      </c>
      <c r="T14" s="319"/>
      <c r="U14" s="320"/>
      <c r="V14" s="320"/>
      <c r="W14" s="321">
        <f>IFERROR(IF(D14="","",INDEX(Tabla_Completa,MATCH('Soli_citud '!D14,Materiales,0),7)*S14),"")</f>
        <v>458625</v>
      </c>
      <c r="X14" s="321"/>
      <c r="Y14" s="321"/>
    </row>
    <row r="15" spans="1:31" ht="15.75" customHeight="1">
      <c r="A15" s="308"/>
      <c r="B15" s="309"/>
      <c r="C15" s="310"/>
      <c r="D15" s="322"/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/>
      </c>
      <c r="P15" s="315"/>
      <c r="Q15" s="316"/>
      <c r="R15" s="317"/>
      <c r="S15" s="318">
        <f t="shared" si="1"/>
        <v>0</v>
      </c>
      <c r="T15" s="319"/>
      <c r="U15" s="320"/>
      <c r="V15" s="320"/>
      <c r="W15" s="321" t="str">
        <f>IFERROR(IF(D15="","",INDEX(Tabla_Completa,MATCH('Soli_citud '!D15,Materiales,0),7)*S15),"")</f>
        <v/>
      </c>
      <c r="X15" s="321"/>
      <c r="Y15" s="321"/>
    </row>
    <row r="16" spans="1:31" ht="15.75" customHeight="1">
      <c r="A16" s="308"/>
      <c r="B16" s="309"/>
      <c r="C16" s="310"/>
      <c r="D16" s="322"/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/>
      </c>
      <c r="P16" s="315"/>
      <c r="Q16" s="316"/>
      <c r="R16" s="317"/>
      <c r="S16" s="318">
        <f t="shared" si="1"/>
        <v>0</v>
      </c>
      <c r="T16" s="319"/>
      <c r="U16" s="320"/>
      <c r="V16" s="320"/>
      <c r="W16" s="321" t="str">
        <f>IFERROR(IF(D16="","",INDEX(Tabla_Completa,MATCH('Soli_citud '!D16,Materiales,0),7)*S16),"")</f>
        <v/>
      </c>
      <c r="X16" s="321"/>
      <c r="Y16" s="321"/>
    </row>
    <row r="17" spans="1:25" ht="15.75" customHeight="1">
      <c r="A17" s="308"/>
      <c r="B17" s="309"/>
      <c r="C17" s="310"/>
      <c r="D17" s="322"/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/>
      </c>
      <c r="P17" s="315"/>
      <c r="Q17" s="316"/>
      <c r="R17" s="317"/>
      <c r="S17" s="318">
        <f t="shared" si="1"/>
        <v>0</v>
      </c>
      <c r="T17" s="319"/>
      <c r="U17" s="320"/>
      <c r="V17" s="320"/>
      <c r="W17" s="321" t="str">
        <f>IFERROR(IF(D17="","",INDEX(Tabla_Completa,MATCH('Soli_citud '!D17,Materiales,0),7)*S17),"")</f>
        <v/>
      </c>
      <c r="X17" s="321"/>
      <c r="Y17" s="321"/>
    </row>
    <row r="18" spans="1:25" ht="15.75" customHeight="1">
      <c r="A18" s="308"/>
      <c r="B18" s="309"/>
      <c r="C18" s="310"/>
      <c r="D18" s="322"/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/>
      </c>
      <c r="P18" s="315"/>
      <c r="Q18" s="316"/>
      <c r="R18" s="317"/>
      <c r="S18" s="318">
        <f t="shared" si="1"/>
        <v>0</v>
      </c>
      <c r="T18" s="319"/>
      <c r="U18" s="320"/>
      <c r="V18" s="320"/>
      <c r="W18" s="321" t="str">
        <f>IFERROR(IF(D18="","",INDEX(Tabla_Completa,MATCH('Soli_citud '!D18,Materiales,0),7)*S18),"")</f>
        <v/>
      </c>
      <c r="X18" s="321"/>
      <c r="Y18" s="321"/>
    </row>
    <row r="19" spans="1:25" ht="15.75">
      <c r="A19" s="308"/>
      <c r="B19" s="309"/>
      <c r="C19" s="310"/>
      <c r="D19" s="311"/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/>
      </c>
      <c r="P19" s="315"/>
      <c r="Q19" s="316"/>
      <c r="R19" s="317"/>
      <c r="S19" s="318">
        <f t="shared" si="1"/>
        <v>0</v>
      </c>
      <c r="T19" s="319"/>
      <c r="U19" s="320"/>
      <c r="V19" s="320"/>
      <c r="W19" s="321" t="str">
        <f>IFERROR(IF(D19="","",INDEX(Tabla_Completa,MATCH('Soli_citud '!D19,Materiales,0),7)*S19),"")</f>
        <v/>
      </c>
      <c r="X19" s="321"/>
      <c r="Y19" s="321"/>
    </row>
    <row r="20" spans="1:25" ht="15.75">
      <c r="A20" s="308"/>
      <c r="B20" s="309"/>
      <c r="C20" s="310"/>
      <c r="D20" s="311"/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/>
      </c>
      <c r="P20" s="315"/>
      <c r="Q20" s="316"/>
      <c r="R20" s="317"/>
      <c r="S20" s="318">
        <f t="shared" si="1"/>
        <v>0</v>
      </c>
      <c r="T20" s="319"/>
      <c r="U20" s="320"/>
      <c r="V20" s="320"/>
      <c r="W20" s="321" t="str">
        <f>IFERROR(IF(D20="","",INDEX(Tabla_Completa,MATCH('Soli_citud '!D20,Materiales,0),7)*S20),"")</f>
        <v/>
      </c>
      <c r="X20" s="321"/>
      <c r="Y20" s="321"/>
    </row>
    <row r="21" spans="1:25" ht="15.75">
      <c r="A21" s="308"/>
      <c r="B21" s="309"/>
      <c r="C21" s="310"/>
      <c r="D21" s="311"/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/>
      </c>
      <c r="P21" s="315"/>
      <c r="Q21" s="316"/>
      <c r="R21" s="317"/>
      <c r="S21" s="318">
        <f t="shared" si="1"/>
        <v>0</v>
      </c>
      <c r="T21" s="319"/>
      <c r="U21" s="320"/>
      <c r="V21" s="320"/>
      <c r="W21" s="321" t="str">
        <f>IFERROR(IF(D21="","",INDEX(Tabla_Completa,MATCH('Soli_citud '!D21,Materiales,0),7)*S21),"")</f>
        <v/>
      </c>
      <c r="X21" s="321"/>
      <c r="Y21" s="321"/>
    </row>
    <row r="22" spans="1:25" ht="15.75">
      <c r="A22" s="308"/>
      <c r="B22" s="309"/>
      <c r="C22" s="310"/>
      <c r="D22" s="311"/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/>
      </c>
      <c r="P22" s="315"/>
      <c r="Q22" s="316"/>
      <c r="R22" s="317"/>
      <c r="S22" s="318">
        <f t="shared" si="1"/>
        <v>0</v>
      </c>
      <c r="T22" s="319"/>
      <c r="U22" s="320"/>
      <c r="V22" s="320"/>
      <c r="W22" s="321" t="str">
        <f>IFERROR(IF(D22="","",INDEX(Tabla_Completa,MATCH('Soli_citud '!D22,Materiales,0),7)*S22),"")</f>
        <v/>
      </c>
      <c r="X22" s="321"/>
      <c r="Y22" s="321"/>
    </row>
    <row r="23" spans="1:25" ht="15.75">
      <c r="A23" s="308"/>
      <c r="B23" s="309"/>
      <c r="C23" s="310"/>
      <c r="D23" s="311"/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/>
      </c>
      <c r="P23" s="315"/>
      <c r="Q23" s="316"/>
      <c r="R23" s="317"/>
      <c r="S23" s="318">
        <f t="shared" si="1"/>
        <v>0</v>
      </c>
      <c r="T23" s="319"/>
      <c r="U23" s="320"/>
      <c r="V23" s="320"/>
      <c r="W23" s="321" t="str">
        <f>IFERROR(IF(D23="","",INDEX(Tabla_Completa,MATCH('Soli_citud '!D23,Materiales,0),7)*S23),"")</f>
        <v/>
      </c>
      <c r="X23" s="321"/>
      <c r="Y23" s="321"/>
    </row>
    <row r="24" spans="1:25" ht="15.75">
      <c r="A24" s="308"/>
      <c r="B24" s="309"/>
      <c r="C24" s="310"/>
      <c r="D24" s="311"/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/>
      <c r="R24" s="317"/>
      <c r="S24" s="318">
        <f t="shared" si="1"/>
        <v>0</v>
      </c>
      <c r="T24" s="319"/>
      <c r="U24" s="320"/>
      <c r="V24" s="320"/>
      <c r="W24" s="321" t="str">
        <f>IFERROR(IF(D24="","",INDEX(Tabla_Completa,MATCH('Soli_citud 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IFERROR(IF(D25="","",INDEX(Tabla_Completa,MATCH('Soli_citud 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IFERROR(IF(D26="","",INDEX(Tabla_Completa,MATCH('Soli_citud 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IFERROR(IF(D27="","",INDEX(Tabla_Completa,MATCH('Soli_citud 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IFERROR(IF(D28="","",INDEX(Tabla_Completa,MATCH('Soli_citud 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IFERROR(IF(D29="","",INDEX(Tabla_Completa,MATCH('Soli_citud 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IFERROR(IF(D30="","",INDEX(Tabla_Completa,MATCH('Soli_citud 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IFERROR(IF(D31="","",INDEX(Tabla_Completa,MATCH('Soli_citud 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27</v>
      </c>
      <c r="B39" s="376"/>
      <c r="C39" s="376"/>
      <c r="D39" s="377" t="s">
        <v>28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5" t="s">
        <v>29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86" t="s">
        <v>30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31</v>
      </c>
      <c r="O44" s="373"/>
      <c r="P44" s="373"/>
      <c r="Q44" s="373"/>
      <c r="R44" s="382" t="s">
        <v>32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33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34</v>
      </c>
      <c r="O45" s="373"/>
      <c r="P45" s="373"/>
      <c r="Q45" s="373"/>
      <c r="R45" s="383" t="s">
        <v>35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36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37</v>
      </c>
      <c r="O46" s="373"/>
      <c r="P46" s="373"/>
      <c r="Q46" s="373"/>
      <c r="R46" s="372" t="s">
        <v>38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39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40</v>
      </c>
      <c r="O47" s="373"/>
      <c r="P47" s="373"/>
      <c r="Q47" s="373"/>
      <c r="R47" s="372" t="s">
        <v>41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42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43</v>
      </c>
      <c r="O48" s="373"/>
      <c r="P48" s="373"/>
      <c r="Q48" s="373"/>
      <c r="R48" s="372" t="s">
        <v>44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45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46</v>
      </c>
      <c r="O49" s="374"/>
      <c r="P49" s="374"/>
      <c r="Q49" s="374"/>
      <c r="R49" s="383" t="s">
        <v>47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48</v>
      </c>
      <c r="O50" s="373"/>
      <c r="P50" s="373"/>
      <c r="Q50" s="373"/>
      <c r="R50" s="372" t="s">
        <v>49</v>
      </c>
      <c r="S50" s="372"/>
      <c r="T50" s="372"/>
      <c r="U50" s="372"/>
      <c r="V50" s="372"/>
      <c r="W50" s="372"/>
      <c r="X50" s="372"/>
    </row>
    <row r="51" spans="1:24" ht="15.75">
      <c r="N51" s="373" t="s">
        <v>50</v>
      </c>
      <c r="O51" s="373"/>
      <c r="P51" s="373"/>
      <c r="Q51" s="373"/>
      <c r="R51" s="372" t="s">
        <v>51</v>
      </c>
      <c r="S51" s="372"/>
      <c r="T51" s="372"/>
      <c r="U51" s="372"/>
      <c r="V51" s="372"/>
      <c r="W51" s="372"/>
      <c r="X51" s="372"/>
    </row>
    <row r="52" spans="1:24" ht="15.75">
      <c r="N52" s="373" t="s">
        <v>52</v>
      </c>
      <c r="O52" s="373"/>
      <c r="P52" s="373"/>
      <c r="Q52" s="373"/>
      <c r="R52" s="372" t="s">
        <v>41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7" zoomScaleNormal="97" workbookViewId="0">
      <pane ySplit="11" topLeftCell="A12" activePane="bottomLeft" state="frozen"/>
      <selection activeCell="C1" sqref="C1"/>
      <selection pane="bottomLeft" activeCell="J17" sqref="J17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7"/>
      <c r="C1" s="408"/>
      <c r="D1" s="481" t="s">
        <v>53</v>
      </c>
      <c r="E1" s="482"/>
      <c r="F1" s="482"/>
      <c r="G1" s="482"/>
      <c r="H1" s="482"/>
      <c r="I1" s="483"/>
      <c r="J1" s="413" t="s">
        <v>54</v>
      </c>
      <c r="K1" s="414"/>
      <c r="L1" s="414"/>
      <c r="M1" s="415"/>
      <c r="N1" s="416">
        <f>IF('Soli_citud '!O1="","",'Soli_citud '!O1)</f>
        <v>45754</v>
      </c>
      <c r="O1" s="417"/>
      <c r="P1" s="452" t="s">
        <v>55</v>
      </c>
      <c r="Q1" s="453"/>
      <c r="R1" s="458" t="str">
        <f>IF('Soli_citud '!D4="","",'Soli_citud '!D4)</f>
        <v>Complementarios varios</v>
      </c>
      <c r="S1" s="459"/>
      <c r="Z1" t="s">
        <v>56</v>
      </c>
      <c r="AA1" s="241" t="s">
        <v>56</v>
      </c>
    </row>
    <row r="2" spans="1:27" ht="15.75" customHeight="1" thickBot="1">
      <c r="A2" s="240"/>
      <c r="B2" s="409"/>
      <c r="C2" s="410"/>
      <c r="D2" s="484"/>
      <c r="E2" s="485"/>
      <c r="F2" s="485"/>
      <c r="G2" s="485"/>
      <c r="H2" s="485"/>
      <c r="I2" s="486"/>
      <c r="J2" s="418" t="s">
        <v>57</v>
      </c>
      <c r="K2" s="419"/>
      <c r="L2" s="419"/>
      <c r="M2" s="420"/>
      <c r="N2" s="421" t="str">
        <f>'Soli_citud '!F1</f>
        <v>LV0704-1</v>
      </c>
      <c r="O2" s="422"/>
      <c r="P2" s="454"/>
      <c r="Q2" s="455"/>
      <c r="R2" s="460"/>
      <c r="S2" s="461"/>
    </row>
    <row r="3" spans="1:27" ht="15.75" customHeight="1">
      <c r="A3" s="240"/>
      <c r="B3" s="409"/>
      <c r="C3" s="410"/>
      <c r="D3" s="484"/>
      <c r="E3" s="485"/>
      <c r="F3" s="485"/>
      <c r="G3" s="485"/>
      <c r="H3" s="485"/>
      <c r="I3" s="486"/>
      <c r="J3" s="423" t="s">
        <v>58</v>
      </c>
      <c r="K3" s="423"/>
      <c r="L3" s="423"/>
      <c r="M3" s="423"/>
      <c r="N3" s="424">
        <f>IF('Soli_citud '!O3="","",'Soli_citud '!O3)</f>
        <v>3176833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40"/>
      <c r="B4" s="411"/>
      <c r="C4" s="412"/>
      <c r="D4" s="487"/>
      <c r="E4" s="488"/>
      <c r="F4" s="488"/>
      <c r="G4" s="488"/>
      <c r="H4" s="488"/>
      <c r="I4" s="489"/>
      <c r="J4" s="467" t="s">
        <v>59</v>
      </c>
      <c r="K4" s="467"/>
      <c r="L4" s="467"/>
      <c r="M4" s="468" t="str">
        <f>IF('Soli_citud '!O4="","",'Soli_citud '!O4)</f>
        <v>Marroquinería Formación</v>
      </c>
      <c r="N4" s="468"/>
      <c r="O4" s="469"/>
      <c r="P4" s="454"/>
      <c r="Q4" s="455"/>
      <c r="R4" s="315"/>
      <c r="S4" s="464"/>
    </row>
    <row r="5" spans="1:27" ht="2.25" customHeight="1">
      <c r="A5" s="240"/>
      <c r="P5" s="454"/>
      <c r="Q5" s="455"/>
    </row>
    <row r="6" spans="1:27" ht="27" customHeight="1">
      <c r="A6" s="240"/>
      <c r="B6" s="470" t="s">
        <v>60</v>
      </c>
      <c r="C6" s="471"/>
      <c r="D6" s="472"/>
      <c r="E6" s="476" t="s">
        <v>61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40"/>
      <c r="B7" s="473"/>
      <c r="C7" s="474"/>
      <c r="D7" s="47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4"/>
      <c r="Q7" s="455"/>
      <c r="R7" s="442" t="str">
        <f>IFERROR(IF(R3="","",G9*M10),"")</f>
        <v/>
      </c>
      <c r="S7" s="443"/>
    </row>
    <row r="8" spans="1:27" ht="20.25" customHeight="1">
      <c r="A8" s="240"/>
      <c r="B8" s="444">
        <f>IF('Soli_citud '!D5&lt;= 0,"",'Soli_citud '!D5)</f>
        <v>153588.33333333334</v>
      </c>
      <c r="C8" s="445"/>
      <c r="D8" s="446"/>
      <c r="E8" s="447" t="s">
        <v>62</v>
      </c>
      <c r="F8" s="448"/>
      <c r="G8" s="448"/>
      <c r="H8" s="448"/>
      <c r="I8" s="449"/>
      <c r="J8" s="450" t="str">
        <f>IF('Soli_citud '!E2="","",'Soli_citud '!E2)</f>
        <v>Laura Victoria Bautista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40"/>
      <c r="B9" s="426" t="s">
        <v>63</v>
      </c>
      <c r="C9" s="427"/>
      <c r="D9" s="430"/>
      <c r="E9" s="431" t="s">
        <v>64</v>
      </c>
      <c r="F9" s="431"/>
      <c r="G9" s="432" t="str">
        <f>IFERROR(IF(D9="","",ROUNDUP(B8*(1+D9),-2)),"")</f>
        <v/>
      </c>
      <c r="H9" s="433"/>
      <c r="I9" s="434"/>
      <c r="J9" s="105"/>
      <c r="K9" s="105"/>
      <c r="L9" s="105"/>
      <c r="M9" s="105"/>
      <c r="N9" s="105"/>
      <c r="O9" s="105"/>
      <c r="P9" s="454"/>
      <c r="Q9" s="455"/>
    </row>
    <row r="10" spans="1:27" ht="27.75" customHeight="1" thickBot="1">
      <c r="A10" s="240"/>
      <c r="B10" s="428"/>
      <c r="C10" s="429"/>
      <c r="D10" s="430"/>
      <c r="E10" s="431"/>
      <c r="F10" s="431"/>
      <c r="G10" s="435"/>
      <c r="H10" s="436"/>
      <c r="I10" s="437"/>
      <c r="J10" s="438" t="s">
        <v>65</v>
      </c>
      <c r="K10" s="438"/>
      <c r="L10" s="439"/>
      <c r="M10" s="250">
        <f>'[1]Soli_citud '!K5</f>
        <v>1</v>
      </c>
      <c r="N10" s="465" t="s">
        <v>66</v>
      </c>
      <c r="O10" s="466"/>
      <c r="P10" s="456"/>
      <c r="Q10" s="457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90" t="s">
        <v>70</v>
      </c>
      <c r="D11" s="491"/>
      <c r="E11" s="491"/>
      <c r="F11" s="492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22" t="s">
        <v>25</v>
      </c>
      <c r="M11" s="493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>LV0704-1</v>
      </c>
      <c r="C12" s="494" t="str">
        <f>IFERROR(IF('Soli_citud '!D10="","",'Soli_citud '!D10),"")</f>
        <v>SINTETICO PVC</v>
      </c>
      <c r="D12" s="494"/>
      <c r="E12" s="494"/>
      <c r="F12" s="494"/>
      <c r="G12" s="213" t="str">
        <f>IF('Soli_citud '!O10="","",'Soli_citud '!O10)</f>
        <v>cm2</v>
      </c>
      <c r="H12" s="213" cm="1">
        <f t="array" ref="H12">_xlfn.IFS('Soli_citud '!S10="","",'Soli_citud '!S10&lt;=0,"",'Soli_citud '!S10&gt;0,'Soli_citud '!S10)</f>
        <v>375000</v>
      </c>
      <c r="I12" s="214">
        <v>45756</v>
      </c>
      <c r="J12" s="215">
        <v>375000</v>
      </c>
      <c r="K12" s="197" t="str" cm="1">
        <f t="array" ref="K12">IFERROR(_xlfn.IFS(H12="","",J12=H12,"Cumplido",J12&lt;H12,H12-J12,J12&gt;H12,"Revisar"),"")</f>
        <v>Cumplido</v>
      </c>
      <c r="L12" s="495"/>
      <c r="M12" s="496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LV0704-1</v>
      </c>
      <c r="C13" s="494" t="str">
        <f>IFERROR(IF('Soli_citud '!D11="","",'Soli_citud '!D11),"")</f>
        <v>FORRO MARROQUINERO DE POLIÉSTER</v>
      </c>
      <c r="D13" s="494"/>
      <c r="E13" s="494"/>
      <c r="F13" s="494"/>
      <c r="G13" s="213" t="str">
        <f>IF('Soli_citud '!O11="","",'Soli_citud '!O11)</f>
        <v>cm2</v>
      </c>
      <c r="H13" s="213" cm="1">
        <f t="array" ref="H13">_xlfn.IFS('Soli_citud '!S11="","",'Soli_citud '!S11&lt;=0,"",'Soli_citud '!S11&gt;0,'Soli_citud '!S11)</f>
        <v>375000</v>
      </c>
      <c r="I13" s="214" t="s">
        <v>1391</v>
      </c>
      <c r="J13" s="216">
        <v>375000</v>
      </c>
      <c r="K13" s="197" t="str" cm="1">
        <f t="array" ref="K13">IFERROR(_xlfn.IFS(H13="","",J13=H13,"Cumplido",J13&lt;H13,H13-J13,J13&gt;H13,"Revisar"),"")</f>
        <v>Cumplido</v>
      </c>
      <c r="L13" s="495"/>
      <c r="M13" s="496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LV0704-1</v>
      </c>
      <c r="C14" s="494" t="str">
        <f>IFERROR(IF('Soli_citud '!D12="","",'Soli_citud '!D12),"")</f>
        <v>Cemento de contacto</v>
      </c>
      <c r="D14" s="494"/>
      <c r="E14" s="494"/>
      <c r="F14" s="494"/>
      <c r="G14" s="213" t="str">
        <f>IF('Soli_citud '!O12="","",'Soli_citud '!O12)</f>
        <v>gal</v>
      </c>
      <c r="H14" s="213" cm="1">
        <f t="array" ref="H14">_xlfn.IFS('Soli_citud '!S12="","",'Soli_citud '!S12&lt;=0,"",'Soli_citud '!S12&gt;0,'Soli_citud '!S12)</f>
        <v>25000</v>
      </c>
      <c r="I14" s="214">
        <v>45756</v>
      </c>
      <c r="J14" s="216">
        <v>25000</v>
      </c>
      <c r="K14" s="197" t="str" cm="1">
        <f t="array" ref="K14">IFERROR(_xlfn.IFS(H14="","",J14=H14,"Cumplido",J14&lt;H14,H14-J14,J14&gt;H14,"Revisar"),"")</f>
        <v>Cumplido</v>
      </c>
      <c r="L14" s="495"/>
      <c r="M14" s="496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LV0704-1</v>
      </c>
      <c r="C15" s="494" t="str">
        <f>IFERROR(IF('Soli_citud '!D13="","",'Soli_citud '!D13),"")</f>
        <v xml:space="preserve">LLAVE METÁLICA DE LUJO DESLIZADOR   #6 PARA CREMALLERA - NÍQUEL </v>
      </c>
      <c r="D15" s="494"/>
      <c r="E15" s="494"/>
      <c r="F15" s="494"/>
      <c r="G15" s="213" t="str">
        <f>IF('Soli_citud '!O13="","",'Soli_citud '!O13)</f>
        <v>U</v>
      </c>
      <c r="H15" s="213" cm="1">
        <f t="array" ref="H15">_xlfn.IFS('Soli_citud '!S13="","",'Soli_citud '!S13&lt;=0,"",'Soli_citud '!S13&gt;0,'Soli_citud '!S13)</f>
        <v>1250</v>
      </c>
      <c r="I15" s="214">
        <v>45756</v>
      </c>
      <c r="J15" s="216">
        <v>1250</v>
      </c>
      <c r="K15" s="197" t="str" cm="1">
        <f t="array" ref="K15">IFERROR(_xlfn.IFS(H15="","",J15=H15,"Cumplido",J15&lt;H15,H15-J15,J15&gt;H15,"Revisar"),"")</f>
        <v>Cumplido</v>
      </c>
      <c r="L15" s="495"/>
      <c r="M15" s="496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LV0704-1</v>
      </c>
      <c r="C16" s="494" t="str">
        <f>IFERROR(IF('Soli_citud '!D14="","",'Soli_citud '!D14),"")</f>
        <v>CREMALLERA POLIÉSTER #6</v>
      </c>
      <c r="D16" s="494"/>
      <c r="E16" s="494"/>
      <c r="F16" s="494"/>
      <c r="G16" s="213" t="str">
        <f>IF('Soli_citud '!O14="","",'Soli_citud '!O14)</f>
        <v>cm</v>
      </c>
      <c r="H16" s="213" cm="1">
        <f t="array" ref="H16">_xlfn.IFS('Soli_citud '!S14="","",'Soli_citud '!S14&lt;=0,"",'Soli_citud '!S14&gt;0,'Soli_citud '!S14)</f>
        <v>37500</v>
      </c>
      <c r="I16" s="214">
        <v>45756</v>
      </c>
      <c r="J16" s="216">
        <v>37500</v>
      </c>
      <c r="K16" s="197" t="str" cm="1">
        <f t="array" ref="K16">IFERROR(_xlfn.IFS(H16="","",J16=H16,"Cumplido",J16&lt;H16,H16-J16,J16&gt;H16,"Revisar"),"")</f>
        <v>Cumplido</v>
      </c>
      <c r="L16" s="495"/>
      <c r="M16" s="496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94" t="str">
        <f>IFERROR(IF('Soli_citud '!D15="","",'Soli_citud '!D15),"")</f>
        <v/>
      </c>
      <c r="D17" s="494"/>
      <c r="E17" s="494"/>
      <c r="F17" s="494"/>
      <c r="G17" s="213" t="str">
        <f>IF('Soli_citud '!O15="","",'Soli_citud '!O15)</f>
        <v/>
      </c>
      <c r="H17" s="213" t="str" cm="1">
        <f t="array" ref="H17">_xlfn.IFS('Soli_citud '!S15="","",'Soli_citud '!S15&lt;=0,"",'Soli_citud '!S15&gt;0,'Soli_citud '!S15)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495"/>
      <c r="M17" s="496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94" t="str">
        <f>IFERROR(IF('Soli_citud '!D16="","",'Soli_citud '!D16),"")</f>
        <v/>
      </c>
      <c r="D18" s="494"/>
      <c r="E18" s="494"/>
      <c r="F18" s="494"/>
      <c r="G18" s="213" t="str">
        <f>IF('Soli_citud '!O16="","",'Soli_citud '!O16)</f>
        <v/>
      </c>
      <c r="H18" s="213" t="str" cm="1">
        <f t="array" ref="H18">_xlfn.IFS('Soli_citud '!S16="","",'Soli_citud '!S16&lt;=0,"",'Soli_citud '!S16&gt;0,'Soli_citud '!S16)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95"/>
      <c r="M18" s="496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94" t="str">
        <f>IFERROR(IF('Soli_citud '!D17="","",'Soli_citud '!D17),"")</f>
        <v/>
      </c>
      <c r="D19" s="494"/>
      <c r="E19" s="494"/>
      <c r="F19" s="494"/>
      <c r="G19" s="213" t="str">
        <f>IF('Soli_citud '!O17="","",'Soli_citud '!O17)</f>
        <v/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95"/>
      <c r="M19" s="496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94" t="str">
        <f>IFERROR(IF('Soli_citud '!D18="","",'Soli_citud '!D18),"")</f>
        <v/>
      </c>
      <c r="D20" s="494"/>
      <c r="E20" s="494"/>
      <c r="F20" s="494"/>
      <c r="G20" s="213" t="str">
        <f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95"/>
      <c r="M20" s="496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94" t="str">
        <f>IFERROR(IF('Soli_citud '!D19="","",'Soli_citud '!D19),"")</f>
        <v/>
      </c>
      <c r="D21" s="494"/>
      <c r="E21" s="494"/>
      <c r="F21" s="494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95"/>
      <c r="M21" s="496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94" t="str">
        <f>IFERROR(IF('Soli_citud '!D20="","",'Soli_citud '!D20),"")</f>
        <v/>
      </c>
      <c r="D22" s="494"/>
      <c r="E22" s="494"/>
      <c r="F22" s="494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95"/>
      <c r="M22" s="496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94" t="str">
        <f>IFERROR(IF('Soli_citud '!D21="","",'Soli_citud '!D21),"")</f>
        <v/>
      </c>
      <c r="D23" s="494"/>
      <c r="E23" s="494"/>
      <c r="F23" s="494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95"/>
      <c r="M23" s="496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94" t="str">
        <f>IFERROR(IF('Soli_citud '!D22="","",'Soli_citud '!D22),"")</f>
        <v/>
      </c>
      <c r="D24" s="494"/>
      <c r="E24" s="494"/>
      <c r="F24" s="494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95"/>
      <c r="M24" s="496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94" t="str">
        <f>IFERROR(IF('Soli_citud '!D23="","",'Soli_citud '!D23),"")</f>
        <v/>
      </c>
      <c r="D25" s="494"/>
      <c r="E25" s="494"/>
      <c r="F25" s="494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95"/>
      <c r="M25" s="496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94" t="str">
        <f>IFERROR(IF('Soli_citud '!D24="","",'Soli_citud '!D24),"")</f>
        <v/>
      </c>
      <c r="D26" s="494"/>
      <c r="E26" s="494"/>
      <c r="F26" s="494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95"/>
      <c r="M26" s="496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94" t="str">
        <f>IFERROR(IF('Soli_citud '!D25="","",'Soli_citud '!D25),"")</f>
        <v/>
      </c>
      <c r="D27" s="494"/>
      <c r="E27" s="494"/>
      <c r="F27" s="494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5"/>
      <c r="M27" s="496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94" t="str">
        <f>IFERROR(IF('Soli_citud '!D26="","",'Soli_citud '!D26),"")</f>
        <v/>
      </c>
      <c r="D28" s="494"/>
      <c r="E28" s="494"/>
      <c r="F28" s="494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5"/>
      <c r="M28" s="496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94" t="str">
        <f>IFERROR(IF('Soli_citud '!D27="","",'Soli_citud '!D27),"")</f>
        <v/>
      </c>
      <c r="D29" s="494"/>
      <c r="E29" s="494"/>
      <c r="F29" s="494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5"/>
      <c r="M29" s="496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94" t="str">
        <f>IFERROR(IF('Soli_citud '!D28="","",'Soli_citud '!D28),"")</f>
        <v/>
      </c>
      <c r="D30" s="494"/>
      <c r="E30" s="494"/>
      <c r="F30" s="494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5"/>
      <c r="M30" s="496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94" t="str">
        <f>IFERROR(IF('Soli_citud '!D29="","",'Soli_citud '!D29),"")</f>
        <v/>
      </c>
      <c r="D31" s="494"/>
      <c r="E31" s="494"/>
      <c r="F31" s="494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5"/>
      <c r="M31" s="496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94" t="str">
        <f>IFERROR(IF('Soli_citud '!D30="","",'Soli_citud '!D30),"")</f>
        <v/>
      </c>
      <c r="D32" s="494"/>
      <c r="E32" s="494"/>
      <c r="F32" s="494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5"/>
      <c r="M32" s="496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82</v>
      </c>
      <c r="F1" s="502"/>
      <c r="H1" s="278" t="s">
        <v>83</v>
      </c>
      <c r="Z1" s="241" t="s">
        <v>84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499"/>
      <c r="D6" s="500"/>
      <c r="H6" s="497" t="s">
        <v>86</v>
      </c>
      <c r="I6" s="497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31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31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31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31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31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31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31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31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31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31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31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31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31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501"/>
      <c r="D612" s="501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37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37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37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37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37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37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37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37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37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37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37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37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37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37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37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37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37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37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37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477</v>
      </c>
      <c r="C637" s="205" t="s">
        <v>37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504"/>
      <c r="D658" s="505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480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501"/>
      <c r="D1107" s="501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901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50</v>
      </c>
      <c r="D1120" s="143" t="s">
        <v>234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50</v>
      </c>
      <c r="D1121" s="143" t="s">
        <v>234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50</v>
      </c>
      <c r="D1122" s="143" t="s">
        <v>234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50</v>
      </c>
      <c r="D1123" s="143" t="s">
        <v>234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50</v>
      </c>
      <c r="D1124" s="143" t="s">
        <v>234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50</v>
      </c>
      <c r="D1125" s="143" t="s">
        <v>234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50</v>
      </c>
      <c r="D1141" s="48" t="s">
        <v>234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951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501"/>
      <c r="D1275" s="501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1"/>
      <c r="D1331" s="501"/>
      <c r="E1331"/>
      <c r="F1331" s="177"/>
      <c r="H1331"/>
      <c r="I1331"/>
    </row>
    <row r="1332" spans="1:11" ht="47.25">
      <c r="A1332" s="79" t="s">
        <v>1056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104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456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211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501"/>
      <c r="D1416" s="501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1129</v>
      </c>
      <c r="C1418" s="205" t="s">
        <v>48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48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48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48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48</v>
      </c>
      <c r="D1447" s="48" t="s">
        <v>1090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48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48</v>
      </c>
      <c r="D1478" s="48" t="s">
        <v>1090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48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48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48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501"/>
      <c r="D1510" s="501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2025-04-09T15:56:36Z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2025-03-19T20:33:35Z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26bb67b7-8c26-4294-b2bf-e7d25ffdd330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