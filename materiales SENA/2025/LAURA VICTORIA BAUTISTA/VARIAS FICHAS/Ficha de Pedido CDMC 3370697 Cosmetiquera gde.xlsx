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B61B370A-3A07-40F5-8229-67B47746AC50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COSMETIQUERA GRANDE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<sst xmlns="http://schemas.openxmlformats.org/spreadsheetml/2006/main" count="5010" uniqueCount="1390">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</sst>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28573</xdr:colOff>
      <xdr:row>0</xdr:row>
      <xdr:rowOff>371474</xdr:rowOff>
    </xdr:from>
    <xdr:to>
      <xdr:col>24</xdr:col>
      <xdr:colOff>464635</xdr:colOff>
      <xdr:row>5</xdr:row>
      <xdr:rowOff>19049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D3866-B1F1-2C1A-FC01-C609DF284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745" t="58163" b="6123"/>
        <a:stretch>
          <a:fillRect/>
        </a:stretch>
      </xdr:blipFill>
      <xdr:spPr>
        <a:xfrm>
          <a:off x="7905748" y="371474"/>
          <a:ext cx="2179137" cy="1400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5" sqref="Q15:R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IF(E2="","",INDEX(Listas!H2:I30,MATCH('COSMETIQUERA GRANDE'!E2,Intructores,0),2))</f>
        <v>#N/A</v>
      </c>
      <c r="P2" s="322"/>
      <c r="Q2" s="322"/>
      <c r="R2" s="323"/>
      <c r="S2" s="397">
        <v>15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3370697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29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1084.94625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16274.193749999999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8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IFERROR(IF(D10="","",INDEX(Tabla_Completa,MATCH('COSMETIQUERA GRANDE'!D10,Materiales,0),7)*S10),"")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IFERROR(IF(D11="","",INDEX(Tabla_Completa,MATCH('COSMETIQUERA GRANDE'!D11,Materiales,0),7)*S11),"")</f>
        <v>0</v>
      </c>
      <c r="X11" s="311"/>
      <c r="Y11" s="311"/>
    </row>
    <row r="12" spans="1:31" ht="15.75" customHeight="1">
      <c r="A12" s="298" t="s">
        <v>231</v>
      </c>
      <c r="B12" s="299"/>
      <c r="C12" s="300"/>
      <c r="D12" s="394" t="s">
        <v>317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40</v>
      </c>
      <c r="R12" s="307"/>
      <c r="S12" s="308">
        <f t="shared" si="1"/>
        <v>600</v>
      </c>
      <c r="T12" s="309"/>
      <c r="U12" s="310"/>
      <c r="V12" s="310"/>
      <c r="W12" s="311">
        <f>IFERROR(IF(D12="","",INDEX(Tabla_Completa,MATCH('COSMETIQUERA GRANDE'!D12,Materiales,0),7)*S12),"")</f>
        <v>7338</v>
      </c>
      <c r="X12" s="311"/>
      <c r="Y12" s="311"/>
    </row>
    <row r="13" spans="1:31" ht="15.75" customHeight="1">
      <c r="A13" s="298" t="s">
        <v>39</v>
      </c>
      <c r="B13" s="299"/>
      <c r="C13" s="300"/>
      <c r="D13" s="390" t="s">
        <v>721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15</v>
      </c>
      <c r="T13" s="309"/>
      <c r="U13" s="310"/>
      <c r="V13" s="310"/>
      <c r="W13" s="311">
        <f>IFERROR(IF(D13="","",INDEX(Tabla_Completa,MATCH('COSMETIQUERA GRANDE'!D13,Materiales,0),7)*S13),"")</f>
        <v>6834.9937499999996</v>
      </c>
      <c r="X13" s="311"/>
      <c r="Y13" s="311"/>
    </row>
    <row r="14" spans="1:31" ht="17.25" customHeight="1">
      <c r="A14" s="298" t="s">
        <v>49</v>
      </c>
      <c r="B14" s="299"/>
      <c r="C14" s="300"/>
      <c r="D14" s="390" t="s">
        <v>902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70</v>
      </c>
      <c r="R14" s="307"/>
      <c r="S14" s="308">
        <f t="shared" si="1"/>
        <v>1050</v>
      </c>
      <c r="T14" s="309"/>
      <c r="U14" s="310"/>
      <c r="V14" s="310"/>
      <c r="W14" s="311">
        <f>IFERROR(IF(D14="","",INDEX(Tabla_Completa,MATCH('COSMETIQUERA GRANDE'!D14,Materiales,0),7)*S14),"")</f>
        <v>2101.2000000000003</v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IFERROR(IF(D15="","",INDEX(Tabla_Completa,MATCH('COSMETIQUERA GRANDE'!D15,Materiales,0),7)*S15),"")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IFERROR(IF(D16="","",INDEX(Tabla_Completa,MATCH('COSMETIQUERA GRANDE'!D16,Materiales,0),7)*S16),"")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IFERROR(IF(D17="","",INDEX(Tabla_Completa,MATCH('COSMETIQUERA GRANDE'!D17,Materiales,0),7)*S17),"")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IFERROR(IF(D18="","",INDEX(Tabla_Completa,MATCH('COSMETIQUERA GRANDE'!D18,Materiales,0),7)*S18),"")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IFERROR(IF(D19="","",INDEX(Tabla_Completa,MATCH('COSMETIQUERA GRANDE'!D19,Materiales,0),7)*S19),"")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IFERROR(IF(D20="","",INDEX(Tabla_Completa,MATCH('COSMETIQUERA GRANDE'!D20,Materiales,0),7)*S20),"")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IFERROR(IF(D21="","",INDEX(Tabla_Completa,MATCH('COSMETIQUERA GRANDE'!D21,Materiales,0),7)*S21),"")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IFERROR(IF(D22="","",INDEX(Tabla_Completa,MATCH('COSMETIQUERA GRANDE'!D22,Materiales,0),7)*S22),"")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IFERROR(IF(D23="","",INDEX(Tabla_Completa,MATCH('COSMETIQUERA GRANDE'!D23,Materiales,0),7)*S23),"")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IFERROR(IF(D24="","",INDEX(Tabla_Completa,MATCH('COSMETIQUERA GRANDE'!D24,Materiales,0),7)*S24),"")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IFERROR(IF(D25="","",INDEX(Tabla_Completa,MATCH('COSMETIQUERA GRANDE'!D25,Materiales,0),7)*S25),"")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IFERROR(IF(D26="","",INDEX(Tabla_Completa,MATCH('COSMETIQUERA GRANDE'!D26,Materiales,0),7)*S26),"")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IFERROR(IF(D27="","",INDEX(Tabla_Completa,MATCH('COSMETIQUERA GRANDE'!D27,Materiales,0),7)*S27),"")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IFERROR(IF(D28="","",INDEX(Tabla_Completa,MATCH('COSMETIQUERA GRANDE'!D28,Materiales,0),7)*S28),"")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IFERROR(IF(D29="","",INDEX(Tabla_Completa,MATCH('COSMETIQUERA GRANDE'!D29,Materiales,0),7)*S29),"")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IFERROR(IF(D30="","",INDEX(Tabla_Completa,MATCH('COSMETIQUERA GRANDE'!D30,Materiales,0),7)*S30),"")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IFERROR(IF(D31="","",INDEX(Tabla_Completa,MATCH('COSMETIQUERA GRANDE'!D31,Materiales,0),7)*S31),"")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IF('COSMETIQUERA GRANDE'!O1="","",'COSMETIQUERA GRANDE'!O1)</f>
        <v>45957</v>
      </c>
      <c r="O1" s="489"/>
      <c r="P1" s="427" t="s">
        <v>54</v>
      </c>
      <c r="Q1" s="428"/>
      <c r="R1" s="433" t="str">
        <f>IF('COSMETIQUERA GRANDE'!D4="","",'COSMETIQUERA GRANDE'!D4)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'COSMETIQUERA GRANDE'!F1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IF('COSMETIQUERA GRANDE'!O3="","",'COSMETIQUERA GRANDE'!O3)</f>
        <v>3370697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IF('COSMETIQUERA GRANDE'!O4="","",'COSMETIQUERA GRANDE'!O4)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IF('COSMETIQUERA GRANDE'!D5&lt;= 0,"",'COSMETIQUERA GRANDE'!D5)</f>
        <v>1084.94625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IF('COSMETIQUERA GRANDE'!E2="","",'COSMETIQUERA GRANDE'!E2)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IFERROR(IF('COSMETIQUERA GRANDE'!D10="","",'COSMETIQUERA GRANDE'!D10),"")</f>
        <v>Tinta marroquinera negra</v>
      </c>
      <c r="D12" s="407"/>
      <c r="E12" s="407"/>
      <c r="F12" s="407"/>
      <c r="G12" s="213" t="str">
        <f>IF('COSMETIQUERA GRANDE'!O10="","",'COSMETIQUERA GRANDE'!O10)</f>
        <v>gal</v>
      </c>
      <c r="H12" s="213" cm="1">
        <f t="array" ref="H12">_xlfn.IFS('COSMETIQUERA GRANDE'!S10="","",'COSMETIQUERA GRANDE'!S10&lt;=0,"",'COSMETIQUERA GRANDE'!S10&gt;0,'COSMETIQUERA GRANDE'!S10)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IFERROR(_xlfn.IFS(Q12&gt;0,"ENTREGADO",'COSMETIQUERA GRANDE'!A10="HERRAMIENTAS_","DEVOLUTIVO"),"")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IFERROR(IF('COSMETIQUERA GRANDE'!D11="","",'COSMETIQUERA GRANDE'!D11),"")</f>
        <v>Cemento de contacto</v>
      </c>
      <c r="D13" s="407"/>
      <c r="E13" s="407"/>
      <c r="F13" s="407"/>
      <c r="G13" s="213" t="str">
        <f>IF('COSMETIQUERA GRANDE'!O11="","",'COSMETIQUERA GRANDE'!O11)</f>
        <v>gal</v>
      </c>
      <c r="H13" s="213" cm="1">
        <f t="array" ref="H13">_xlfn.IFS('COSMETIQUERA GRANDE'!S11="","",'COSMETIQUERA GRANDE'!S11&lt;=0,"",'COSMETIQUERA GRANDE'!S11&gt;0,'COSMETIQUERA GRANDE'!S11)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GRANDE'!A11="HERRAMIENTAS_","DEVOLUTIVO"),"")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IFERROR(IF('COSMETIQUERA GRANDE'!D12="","",'COSMETIQUERA GRANDE'!D12),"")</f>
        <v>CREMALLERA POLIÉSTER #6</v>
      </c>
      <c r="D14" s="407"/>
      <c r="E14" s="407"/>
      <c r="F14" s="407"/>
      <c r="G14" s="213" t="str">
        <f>IF('COSMETIQUERA GRANDE'!O12="","",'COSMETIQUERA GRANDE'!O12)</f>
        <v>cm</v>
      </c>
      <c r="H14" s="213" cm="1">
        <f t="array" ref="H14">_xlfn.IFS('COSMETIQUERA GRANDE'!S12="","",'COSMETIQUERA GRANDE'!S12&lt;=0,"",'COSMETIQUERA GRANDE'!S12&gt;0,'COSMETIQUERA GRANDE'!S12)</f>
        <v>600</v>
      </c>
      <c r="I14" s="214"/>
      <c r="J14" s="216"/>
      <c r="K14" s="197" cm="1">
        <f t="array" ref="K14">IFERROR(_xlfn.IFS(H14="","",J14=H14,"Cumplido",J14&lt;H14,H14-J14,J14&gt;H14,"Revisar"),"")</f>
        <v>600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IFERROR(_xlfn.IFS(Q14&gt;0,"ENTREGADO",'COSMETIQUERA GRANDE'!A12="HERRAMIENTAS_","DEVOLUTIVO"),"")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IFERROR(IF('COSMETIQUERA GRANDE'!D13="","",'COSMETIQUERA GRANDE'!D13),"")</f>
        <v xml:space="preserve">LLAVE METÁLICA DESLIZADOR   #6 PARA CREMALLERA - NÍQUEL </v>
      </c>
      <c r="D15" s="407"/>
      <c r="E15" s="407"/>
      <c r="F15" s="407"/>
      <c r="G15" s="213" t="str">
        <f>IF('COSMETIQUERA GRANDE'!O13="","",'COSMETIQUERA GRANDE'!O13)</f>
        <v>U</v>
      </c>
      <c r="H15" s="213" cm="1">
        <f t="array" ref="H15">_xlfn.IFS('COSMETIQUERA GRANDE'!S13="","",'COSMETIQUERA GRANDE'!S13&lt;=0,"",'COSMETIQUERA GRANDE'!S13&gt;0,'COSMETIQUERA GRANDE'!S13)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IFERROR(_xlfn.IFS(Q15&gt;0,"ENTREGADO",'COSMETIQUERA GRANDE'!A13="HERRAMIENTAS_","DEVOLUTIVO"),"")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IFERROR(IF('COSMETIQUERA GRANDE'!D14="","",'COSMETIQUERA GRANDE'!D14),"")</f>
        <v>FORRO MARROQUINERO DE POLIÉSTER</v>
      </c>
      <c r="D16" s="407"/>
      <c r="E16" s="407"/>
      <c r="F16" s="407"/>
      <c r="G16" s="213" t="str">
        <f>IF('COSMETIQUERA GRANDE'!O14="","",'COSMETIQUERA GRANDE'!O14)</f>
        <v>cm2</v>
      </c>
      <c r="H16" s="213" cm="1">
        <f t="array" ref="H16">_xlfn.IFS('COSMETIQUERA GRANDE'!S14="","",'COSMETIQUERA GRANDE'!S14&lt;=0,"",'COSMETIQUERA GRANDE'!S14&gt;0,'COSMETIQUERA GRANDE'!S14)</f>
        <v>1050</v>
      </c>
      <c r="I16" s="214"/>
      <c r="J16" s="216"/>
      <c r="K16" s="197" cm="1">
        <f t="array" ref="K16">IFERROR(_xlfn.IFS(H16="","",J16=H16,"Cumplido",J16&lt;H16,H16-J16,J16&gt;H16,"Revisar"),"")</f>
        <v>1050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IFERROR(_xlfn.IFS(Q16&gt;0,"ENTREGADO",'COSMETIQUERA GRANDE'!A14="HERRAMIENTAS_","DEVOLUTIVO"),"")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IFERROR(IF('COSMETIQUERA GRANDE'!D15="","",'COSMETIQUERA GRANDE'!D15),"")</f>
        <v/>
      </c>
      <c r="D17" s="407"/>
      <c r="E17" s="407"/>
      <c r="F17" s="407"/>
      <c r="G17" s="213" t="str">
        <f>IF('COSMETIQUERA GRANDE'!O15="","",'COSMETIQUERA GRANDE'!O15)</f>
        <v/>
      </c>
      <c r="H17" s="213" t="str" cm="1">
        <f t="array" ref="H17">_xlfn.IFS('COSMETIQUERA GRANDE'!S15="","",'COSMETIQUERA GRANDE'!S15&lt;=0,"",'COSMETIQUERA GRANDE'!S15&gt;0,'COSMETIQUERA GRANDE'!S15)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GRANDE'!A15="HERRAMIENTAS_","DEVOLUTIVO"),"")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IFERROR(IF('COSMETIQUERA GRANDE'!D16="","",'COSMETIQUERA GRANDE'!D16),"")</f>
        <v/>
      </c>
      <c r="D18" s="407"/>
      <c r="E18" s="407"/>
      <c r="F18" s="407"/>
      <c r="G18" s="213" t="str">
        <f>IF('COSMETIQUERA GRANDE'!O16="","",'COSMETIQUERA GRANDE'!O16)</f>
        <v/>
      </c>
      <c r="H18" s="213" t="str" cm="1">
        <f t="array" ref="H18">_xlfn.IFS('COSMETIQUERA GRANDE'!S16="","",'COSMETIQUERA GRANDE'!S16&lt;=0,"",'COSMETIQUERA GRANDE'!S16&gt;0,'COSMETIQUERA GRANDE'!S16)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IFERROR(_xlfn.IFS(Q18&gt;0,"ENTREGADO",'COSMETIQUERA GRANDE'!A16="HERRAMIENTAS_","DEVOLUTIVO"),"")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IFERROR(IF('COSMETIQUERA GRANDE'!D17="","",'COSMETIQUERA GRANDE'!D17),"")</f>
        <v/>
      </c>
      <c r="D19" s="407"/>
      <c r="E19" s="407"/>
      <c r="F19" s="407"/>
      <c r="G19" s="213" t="str">
        <f>IF('COSMETIQUERA GRANDE'!O17="","",'COSMETIQUERA GRANDE'!O17)</f>
        <v/>
      </c>
      <c r="H19" s="213" t="str" cm="1">
        <f t="array" ref="H19">_xlfn.IFS('COSMETIQUERA GRANDE'!S17="","",'COSMETIQUERA GRANDE'!S17&lt;=0,"",'COSMETIQUERA GRANDE'!S17&gt;0,'COSMETIQUERA GRANDE'!S17)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IFERROR(_xlfn.IFS(Q19&gt;0,"ENTREGADO",'COSMETIQUERA GRANDE'!A17="HERRAMIENTAS_","DEVOLUTIVO"),"")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IFERROR(IF('COSMETIQUERA GRANDE'!D18="","",'COSMETIQUERA GRANDE'!D18),"")</f>
        <v/>
      </c>
      <c r="D20" s="407"/>
      <c r="E20" s="407"/>
      <c r="F20" s="407"/>
      <c r="G20" s="213" t="str">
        <f>IF('COSMETIQUERA GRANDE'!O18="","",'COSMETIQUERA GRANDE'!O18)</f>
        <v/>
      </c>
      <c r="H20" s="213" t="str" cm="1">
        <f t="array" ref="H20">_xlfn.IFS('COSMETIQUERA GRANDE'!S18="","",'COSMETIQUERA GRANDE'!S18&lt;=0,"",'COSMETIQUERA GRANDE'!S18&gt;0,'COSMETIQUERA GRANDE'!S18)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IFERROR(_xlfn.IFS(Q20&gt;0,"ENTREGADO",'COSMETIQUERA GRANDE'!A18="HERRAMIENTAS_","DEVOLUTIVO"),"")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IFERROR(IF('COSMETIQUERA GRANDE'!D19="","",'COSMETIQUERA GRANDE'!D19),"")</f>
        <v/>
      </c>
      <c r="D21" s="407"/>
      <c r="E21" s="407"/>
      <c r="F21" s="407"/>
      <c r="G21" s="213" t="str">
        <f>IF('COSMETIQUERA GRANDE'!O19="","",'COSMETIQUERA GRANDE'!O19)</f>
        <v/>
      </c>
      <c r="H21" s="213" t="str" cm="1">
        <f t="array" ref="H21">_xlfn.IFS('COSMETIQUERA GRANDE'!S19="","",'COSMETIQUERA GRANDE'!S19&lt;=0,"",'COSMETIQUERA GRANDE'!S19&gt;0,'COSMETIQUERA GRANDE'!S19)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IFERROR(_xlfn.IFS(Q21&gt;0,"ENTREGADO",'COSMETIQUERA GRANDE'!A19="HERRAMIENTAS_","DEVOLUTIVO"),"")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IFERROR(IF('COSMETIQUERA GRANDE'!D20="","",'COSMETIQUERA GRANDE'!D20),"")</f>
        <v/>
      </c>
      <c r="D22" s="407"/>
      <c r="E22" s="407"/>
      <c r="F22" s="407"/>
      <c r="G22" s="213" t="str">
        <f>IF('COSMETIQUERA GRANDE'!O20="","",'COSMETIQUERA GRANDE'!O20)</f>
        <v/>
      </c>
      <c r="H22" s="213" t="str" cm="1">
        <f t="array" ref="H22">_xlfn.IFS('COSMETIQUERA GRANDE'!S20="","",'COSMETIQUERA GRANDE'!S20&lt;=0,"",'COSMETIQUERA GRANDE'!S20&gt;0,'COSMETIQUERA GRANDE'!S20)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IFERROR(_xlfn.IFS(Q22&gt;0,"ENTREGADO",'COSMETIQUERA GRANDE'!A20="HERRAMIENTAS_","DEVOLUTIVO"),"")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IFERROR(IF('COSMETIQUERA GRANDE'!D21="","",'COSMETIQUERA GRANDE'!D21),"")</f>
        <v/>
      </c>
      <c r="D23" s="407"/>
      <c r="E23" s="407"/>
      <c r="F23" s="407"/>
      <c r="G23" s="213" t="str">
        <f>IF('COSMETIQUERA GRANDE'!O21="","",'COSMETIQUERA GRANDE'!O21)</f>
        <v/>
      </c>
      <c r="H23" s="213" t="str" cm="1">
        <f t="array" ref="H23">_xlfn.IFS('COSMETIQUERA GRANDE'!S21="","",'COSMETIQUERA GRANDE'!S21&lt;=0,"",'COSMETIQUERA GRANDE'!S21&gt;0,'COSMETIQUERA GRANDE'!S21)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IFERROR(_xlfn.IFS(Q23&gt;0,"ENTREGADO",'COSMETIQUERA GRANDE'!A21="HERRAMIENTAS_","DEVOLUTIVO"),"")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IFERROR(IF('COSMETIQUERA GRANDE'!D22="","",'COSMETIQUERA GRANDE'!D22),"")</f>
        <v/>
      </c>
      <c r="D24" s="407"/>
      <c r="E24" s="407"/>
      <c r="F24" s="407"/>
      <c r="G24" s="213" t="str">
        <f>IF('COSMETIQUERA GRANDE'!O22="","",'COSMETIQUERA GRANDE'!O22)</f>
        <v/>
      </c>
      <c r="H24" s="213" t="str" cm="1">
        <f t="array" ref="H24">_xlfn.IFS('COSMETIQUERA GRANDE'!S22="","",'COSMETIQUERA GRANDE'!S22&lt;=0,"",'COSMETIQUERA GRANDE'!S22&gt;0,'COSMETIQUERA GRANDE'!S22)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IFERROR(_xlfn.IFS(Q24&gt;0,"ENTREGADO",'COSMETIQUERA GRANDE'!A22="HERRAMIENTAS_","DEVOLUTIVO"),"")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IFERROR(IF('COSMETIQUERA GRANDE'!D23="","",'COSMETIQUERA GRANDE'!D23),"")</f>
        <v/>
      </c>
      <c r="D25" s="407"/>
      <c r="E25" s="407"/>
      <c r="F25" s="407"/>
      <c r="G25" s="213" t="str">
        <f>IF('COSMETIQUERA GRANDE'!O23="","",'COSMETIQUERA GRANDE'!O23)</f>
        <v/>
      </c>
      <c r="H25" s="213" t="str" cm="1">
        <f t="array" ref="H25">_xlfn.IFS('COSMETIQUERA GRANDE'!S23="","",'COSMETIQUERA GRANDE'!S23&lt;=0,"",'COSMETIQUERA GRANDE'!S23&gt;0,'COSMETIQUERA GRANDE'!S23)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IFERROR(_xlfn.IFS(Q25&gt;0,"ENTREGADO",'COSMETIQUERA GRANDE'!A23="HERRAMIENTAS_","DEVOLUTIVO"),"")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IFERROR(IF('COSMETIQUERA GRANDE'!D24="","",'COSMETIQUERA GRANDE'!D24),"")</f>
        <v/>
      </c>
      <c r="D26" s="407"/>
      <c r="E26" s="407"/>
      <c r="F26" s="407"/>
      <c r="G26" s="213" t="str">
        <f>IF('COSMETIQUERA GRANDE'!O24="","",'COSMETIQUERA GRANDE'!O24)</f>
        <v/>
      </c>
      <c r="H26" s="213" t="str" cm="1">
        <f t="array" ref="H26">_xlfn.IFS('COSMETIQUERA GRANDE'!S24="","",'COSMETIQUERA GRANDE'!S24&lt;=0,"",'COSMETIQUERA GRANDE'!S24&gt;0,'COSMETIQUERA GRANDE'!S24)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IFERROR(_xlfn.IFS(Q26&gt;0,"ENTREGADO",'COSMETIQUERA GRANDE'!A24="HERRAMIENTAS_","DEVOLUTIVO"),"")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IFERROR(IF('COSMETIQUERA GRANDE'!D25="","",'COSMETIQUERA GRANDE'!D25),"")</f>
        <v/>
      </c>
      <c r="D27" s="407"/>
      <c r="E27" s="407"/>
      <c r="F27" s="407"/>
      <c r="G27" s="213" t="str">
        <f>IF('COSMETIQUERA GRANDE'!O25="","",'COSMETIQUERA GRANDE'!O25)</f>
        <v/>
      </c>
      <c r="H27" s="213" t="str" cm="1">
        <f t="array" ref="H27">_xlfn.IFS('COSMETIQUERA GRANDE'!S25="","",'COSMETIQUERA GRANDE'!S25&lt;=0,"",'COSMETIQUERA GRANDE'!S25&gt;0,'COSMETIQUERA GRANDE'!S25)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IFERROR(_xlfn.IFS(Q27&gt;0,"ENTREGADO",'COSMETIQUERA GRANDE'!A25="HERRAMIENTAS_","DEVOLUTIVO"),"")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IFERROR(IF('COSMETIQUERA GRANDE'!D26="","",'COSMETIQUERA GRANDE'!D26),"")</f>
        <v/>
      </c>
      <c r="D28" s="407"/>
      <c r="E28" s="407"/>
      <c r="F28" s="407"/>
      <c r="G28" s="213" t="str">
        <f>IF('COSMETIQUERA GRANDE'!O26="","",'COSMETIQUERA GRANDE'!O26)</f>
        <v/>
      </c>
      <c r="H28" s="213" t="str" cm="1">
        <f t="array" ref="H28">_xlfn.IFS('COSMETIQUERA GRANDE'!S26="","",'COSMETIQUERA GRANDE'!S26&lt;=0,"",'COSMETIQUERA GRANDE'!S26&gt;0,'COSMETIQUERA GRANDE'!S26)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IFERROR(_xlfn.IFS(Q28&gt;0,"ENTREGADO",'COSMETIQUERA GRANDE'!A26="HERRAMIENTAS_","DEVOLUTIVO"),"")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IFERROR(IF('COSMETIQUERA GRANDE'!D27="","",'COSMETIQUERA GRANDE'!D27),"")</f>
        <v/>
      </c>
      <c r="D29" s="407"/>
      <c r="E29" s="407"/>
      <c r="F29" s="407"/>
      <c r="G29" s="213" t="str">
        <f>IF('COSMETIQUERA GRANDE'!O27="","",'COSMETIQUERA GRANDE'!O27)</f>
        <v/>
      </c>
      <c r="H29" s="213" t="str" cm="1">
        <f t="array" ref="H29">_xlfn.IFS('COSMETIQUERA GRANDE'!S27="","",'COSMETIQUERA GRANDE'!S27&lt;=0,"",'COSMETIQUERA GRANDE'!S27&gt;0,'COSMETIQUERA GRANDE'!S27)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IFERROR(_xlfn.IFS(Q29&gt;0,"ENTREGADO",'COSMETIQUERA GRANDE'!A27="HERRAMIENTAS_","DEVOLUTIVO"),"")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IFERROR(IF('COSMETIQUERA GRANDE'!D28="","",'COSMETIQUERA GRANDE'!D28),"")</f>
        <v/>
      </c>
      <c r="D30" s="407"/>
      <c r="E30" s="407"/>
      <c r="F30" s="407"/>
      <c r="G30" s="213" t="str">
        <f>IF('COSMETIQUERA GRANDE'!O28="","",'COSMETIQUERA GRANDE'!O28)</f>
        <v/>
      </c>
      <c r="H30" s="213" t="str" cm="1">
        <f t="array" ref="H30">_xlfn.IFS('COSMETIQUERA GRANDE'!S28="","",'COSMETIQUERA GRANDE'!S28&lt;=0,"",'COSMETIQUERA GRANDE'!S28&gt;0,'COSMETIQUERA GRANDE'!S28)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IFERROR(_xlfn.IFS(Q30&gt;0,"ENTREGADO",'COSMETIQUERA GRANDE'!A28="HERRAMIENTAS_","DEVOLUTIVO"),"")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IFERROR(IF('COSMETIQUERA GRANDE'!D29="","",'COSMETIQUERA GRANDE'!D29),"")</f>
        <v/>
      </c>
      <c r="D31" s="407"/>
      <c r="E31" s="407"/>
      <c r="F31" s="407"/>
      <c r="G31" s="213" t="str">
        <f>IF('COSMETIQUERA GRANDE'!O29="","",'COSMETIQUERA GRANDE'!O29)</f>
        <v/>
      </c>
      <c r="H31" s="213" t="str" cm="1">
        <f t="array" ref="H31">_xlfn.IFS('COSMETIQUERA GRANDE'!S29="","",'COSMETIQUERA GRANDE'!S29&lt;=0,"",'COSMETIQUERA GRANDE'!S29&gt;0,'COSMETIQUERA GRANDE'!S29)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IFERROR(_xlfn.IFS(Q31&gt;0,"ENTREGADO",'COSMETIQUERA GRANDE'!A29="HERRAMIENTAS_","DEVOLUTIVO"),"")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IFERROR(IF('COSMETIQUERA GRANDE'!D30="","",'COSMETIQUERA GRANDE'!D30),"")</f>
        <v/>
      </c>
      <c r="D32" s="407"/>
      <c r="E32" s="407"/>
      <c r="F32" s="407"/>
      <c r="G32" s="213" t="str">
        <f>IF('COSMETIQUERA GRANDE'!O30="","",'COSMETIQUERA GRANDE'!O30)</f>
        <v/>
      </c>
      <c r="H32" s="213" t="str" cm="1">
        <f t="array" ref="H32">_xlfn.IFS('COSMETIQUERA GRANDE'!S30="","",'COSMETIQUERA GRANDE'!S30&lt;=0,"",'COSMETIQUERA GRANDE'!S30&gt;0,'COSMETIQUERA GRANDE'!S30)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IFERROR(_xlfn.IFS(Q32&gt;0,"ENTREGADO",'COSMETIQUERA GRANDE'!A30="HERRAMIENTAS_","DEVOLUTIVO"),"")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GRANDE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