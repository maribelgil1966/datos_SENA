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AAD0E262-1582-4B75-97F1-3C3A8FA04662}" xr6:coauthVersionLast="47" xr6:coauthVersionMax="47" xr10:uidLastSave="{00000000-0000-0000-0000-000000000000}"/>
  <bookViews>
    <workbookView xWindow="-120" yWindow="-120" windowWidth="20730" windowHeight="11160" tabRatio="682" activeTab="1" xr2:uid="{00000000-000D-0000-FFFF-FFFF00000000}"/>
  </bookViews>
  <sheets>
    <sheet name="portacarnet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<sst xmlns="http://schemas.openxmlformats.org/spreadsheetml/2006/main" count="5009" uniqueCount="1391">
  <si>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</si>
  <si>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</si>
  <si>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</si>
  <si>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</si>
  <si>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</si>
  <si>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</si>
  <si>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</si>
  <si>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</si>
  <si>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</si>
  <si>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</si>
  <si>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</si>
  <si>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</si>
  <si>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</si>
  <si>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</si>
  <si>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</si>
  <si>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</si>
  <si>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</si>
  <si>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</si>
  <si>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</si>
  <si>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</si>
  <si>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</si>
  <si>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</si>
  <si>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</si>
  <si>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</si>
  <si>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</si>
  <si>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</si>
  <si>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</si>
  <si>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</si>
  <si>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</si>
  <si>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</si>
  <si>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</si>
  <si>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</si>
  <si>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</si>
  <si>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</si>
  <si>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</si>
  <si>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</si>
  <si>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</si>
  <si>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</si>
  <si>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</si>
  <si>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</si>
  <si>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</si>
  <si>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</si>
  <si>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</si>
  <si>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</si>
  <si>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</si>
  <si>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</si>
  <si>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</si>
  <si>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</si>
  <si>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</si>
  <si>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</si>
  <si>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</si>
  <si>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</si>
  <si>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</si>
  <si>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</si>
  <si>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</si>
  <si>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</si>
  <si>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</si>
  <si>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</si>
  <si>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</si>
  <si>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</si>
  <si>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</si>
  <si>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</si>
  <si>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</si>
  <si>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</si>
  <si>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</si>
  <si>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</si>
  <si>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</si>
  <si>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</si>
  <si>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</si>
  <si>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</si>
  <si>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</si>
  <si>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</si>
  <si>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</si>
  <si>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</si>
  <si>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</si>
  <si>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</si>
  <si>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</si>
  <si>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</si>
  <si>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</si>
  <si>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</si>
  <si>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</si>
  <si>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</si>
  <si>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</si>
  <si>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</si>
  <si>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</si>
  <si>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</si>
  <si>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</si>
  <si>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</si>
  <si>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</si>
  <si>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</si>
  <si>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</si>
  <si>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</si>
  <si>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</si>
  <si>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</si>
  <si>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</si>
  <si>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</si>
  <si>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</si>
  <si>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</si>
  <si>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</si>
  <si>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</si>
  <si>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</si>
  <si>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</si>
  <si>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</si>
  <si>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</si>
  <si>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</si>
  <si>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</si>
  <si>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</si>
  <si>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</si>
  <si>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</si>
  <si>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</si>
  <si>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</si>
  <si>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</si>
  <si>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</si>
  <si>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</si>
  <si>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</si>
  <si>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</si>
  <si>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</si>
  <si>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</si>
  <si>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</si>
  <si>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</si>
  <si>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</si>
  <si>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</si>
  <si>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</si>
  <si>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</si>
  <si>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</si>
  <si>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</si>
  <si>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</si>
  <si>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</si>
  <si>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</si>
  <si>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</si>
  <si>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</si>
  <si>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</si>
  <si>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</si>
  <si>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</si>
  <si>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</si>
  <si>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</si>
  <si>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</si>
  <si>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</si>
  <si>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</si>
  <si>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</si>
  <si>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</si>
  <si>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</si>
  <si>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</si>
  <si>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</si>
  <si>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</si>
  <si>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</si>
  <si>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</si>
  <si>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</si>
  <si>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</si>
  <si>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</si>
  <si>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</si>
  <si>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</si>
  <si>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</si>
  <si>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</si>
  <si>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</si>
  <si>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</si>
  <si>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</si>
  <si>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</si>
  <si>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</si>
  <si>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</si>
  <si>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</si>
  <si>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</si>
  <si>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</si>
  <si>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</si>
  <si>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</si>
  <si>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</si>
  <si>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</si>
  <si>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</si>
  <si>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</si>
  <si>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</si>
  <si>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</si>
  <si>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</si>
  <si>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</si>
  <si>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</si>
  <si>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</si>
  <si>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</si>
  <si>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</si>
  <si>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</si>
  <si>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</si>
  <si>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</si>
  <si>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</si>
  <si>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</si>
  <si>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</si>
  <si>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</si>
  <si>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</si>
  <si>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</si>
  <si>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</si>
  <si>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</si>
  <si>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</si>
  <si>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</si>
  <si>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</si>
  <si>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</si>
  <si>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</si>
  <si>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</si>
  <si>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</si>
  <si>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</si>
  <si>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</si>
  <si>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</si>
  <si>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</si>
  <si>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</si>
  <si>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</si>
  <si>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</si>
  <si>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</si>
  <si>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</si>
  <si>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</si>
  <si>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</si>
  <si>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</si>
  <si>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</si>
  <si>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</si>
  <si>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</si>
  <si>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</si>
  <si>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</si>
  <si>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</si>
  <si>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</si>
  <si>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</si>
  <si>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</si>
  <si>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</si>
  <si>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</si>
  <si>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</si>
  <si>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</si>
  <si>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</si>
  <si>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</si>
  <si>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</si>
  <si>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</si>
  <si>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</si>
  <si>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</si>
  <si>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</si>
  <si>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</si>
  <si>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</si>
  <si>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</si>
  <si>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</si>
  <si>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</si>
  <si>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</si>
  <si>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</si>
  <si>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</si>
  <si>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</si>
  <si>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</si>
  <si>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</si>
  <si>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</si>
  <si>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</si>
  <si>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</si>
  <si>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</si>
  <si>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</si>
  <si>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</si>
  <si>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</si>
  <si>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</si>
  <si>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</si>
  <si>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</si>
  <si>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</si>
  <si>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</si>
  <si>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</si>
  <si>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</si>
  <si>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</si>
  <si>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</si>
  <si>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</si>
  <si>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</si>
  <si>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</si>
  <si>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</si>
  <si>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</si>
  <si>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</si>
  <si>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</si>
  <si>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</si>
  <si>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</si>
  <si>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</si>
  <si>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</si>
  <si>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</si>
  <si>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</si>
  <si>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</si>
  <si>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</si>
  <si>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</si>
  <si>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</si>
  <si>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</si>
  <si>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</si>
  <si>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</si>
  <si>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</si>
  <si>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</si>
  <si>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</si>
  <si>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</si>
  <si>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</si>
  <si>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</si>
  <si>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</si>
  <si>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</si>
  <si>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</si>
  <si>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</si>
  <si>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</si>
  <si>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</si>
  <si>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</si>
  <si>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</si>
  <si>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</si>
  <si>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</si>
  <si>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</si>
  <si>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</si>
  <si>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</si>
  <si>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</si>
  <si>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</si>
  <si>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</si>
  <si>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</si>
  <si>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</si>
  <si>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</si>
  <si>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</si>
  <si>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</si>
  <si>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</si>
  <si>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</si>
  <si>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</si>
  <si>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</si>
  <si>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</si>
  <si>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</si>
  <si>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</si>
  <si>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</si>
  <si>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</si>
  <si>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</si>
  <si>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</si>
  <si>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</si>
  <si>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</si>
  <si>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</si>
  <si>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</si>
  <si>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</si>
  <si>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</si>
  <si>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</si>
  <si>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</si>
  <si>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</si>
  <si>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</si>
  <si>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</si>
  <si>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</si>
  <si>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</si>
  <si>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</si>
  <si>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</si>
  <si>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</si>
  <si>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</si>
  <si>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</si>
  <si>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</si>
  <si>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</si>
  <si>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</si>
  <si>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</si>
  <si>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</si>
  <si>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</si>
  <si>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</si>
  <si>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</si>
  <si>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</si>
  <si>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</si>
  <si>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</si>
  <si>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</si>
  <si>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</si>
  <si>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</si>
  <si>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</si>
  <si>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</si>
  <si>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</si>
  <si>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</si>
  <si>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</si>
  <si>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</si>
  <si>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</si>
  <si>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</si>
  <si>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</si>
  <si>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</si>
  <si>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</si>
  <si>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</si>
  <si>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</si>
  <si>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</si>
  <si>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</si>
  <si>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</si>
  <si>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</si>
  <si>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</si>
  <si>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</si>
  <si>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</si>
  <si>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</si>
  <si>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</si>
  <si>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</si>
  <si>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</si>
  <si>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</si>
  <si>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</si>
  <si>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</si>
  <si>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</si>
  <si>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</si>
  <si>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</si>
  <si>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</si>
  <si>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</si>
  <si>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</si>
  <si>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</si>
  <si>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</si>
  <si>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</si>
  <si>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</si>
  <si>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</si>
  <si>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</si>
  <si>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</si>
  <si>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</si>
  <si>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</si>
  <si>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</si>
  <si>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</si>
  <si>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</si>
  <si>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</si>
  <si>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</si>
  <si>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</si>
  <si>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</si>
  <si>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</si>
  <si>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</si>
  <si>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</si>
  <si>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</si>
  <si>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</si>
  <si>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</si>
  <si>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</si>
  <si>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</si>
  <si>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</si>
  <si>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</si>
  <si>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</si>
  <si>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</si>
  <si>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</si>
  <si>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</si>
  <si>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</si>
  <si>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</si>
  <si>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</si>
  <si>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</si>
  <si>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</si>
  <si>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</si>
  <si>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</si>
  <si>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</si>
  <si>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</si>
  <si>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</si>
  <si>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</si>
  <si>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</si>
  <si>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</si>
  <si>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</si>
  <si>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</si>
  <si>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</si>
  <si>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</si>
  <si>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</si>
  <si>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</si>
  <si>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</si>
  <si>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</si>
  <si>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</si>
  <si>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</si>
  <si>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</si>
  <si>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</si>
  <si>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</si>
  <si>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</si>
  <si>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</si>
  <si>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</si>
  <si>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</si>
  <si>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</si>
  <si>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</si>
  <si>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</si>
  <si>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</si>
  <si>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</si>
  <si>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</si>
  <si>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</si>
  <si>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</si>
  <si>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</si>
  <si>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</si>
  <si>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</si>
  <si>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</si>
  <si>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</si>
  <si>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</si>
  <si>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</si>
  <si>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</si>
  <si>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</si>
  <si>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</si>
  <si>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</si>
  <si>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</si>
  <si>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</si>
  <si>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</si>
  <si>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</si>
  <si>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</si>
  <si>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</si>
  <si>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</si>
  <si>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</si>
  <si>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</si>
  <si>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</si>
  <si>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</si>
  <si>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</si>
  <si>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</si>
  <si>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</si>
  <si>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</si>
  <si>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</si>
  <si>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</si>
  <si>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</si>
  <si>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</si>
  <si>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</si>
  <si>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</si>
  <si>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</si>
  <si>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</si>
  <si>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</si>
  <si>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</si>
  <si>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</si>
  <si>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</si>
  <si>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</si>
  <si>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</si>
  <si>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</si>
  <si>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</si>
  <si>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</si>
  <si>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</si>
  <si>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</si>
  <si>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</si>
  <si>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</si>
  <si>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</si>
  <si>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</si>
  <si>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</si>
  <si>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</si>
  <si>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</si>
  <si>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</si>
  <si>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</si>
  <si>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</si>
  <si>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</si>
  <si>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</si>
  <si>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</si>
  <si>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</si>
  <si>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</si>
  <si>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</si>
  <si>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</si>
  <si>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</si>
  <si>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</si>
  <si>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</si>
  <si>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</si>
  <si>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</si>
  <si>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</si>
  <si>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</si>
  <si>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</si>
  <si>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</si>
  <si>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</si>
  <si>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</si>
  <si>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</si>
  <si>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</si>
  <si>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</si>
  <si>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</si>
  <si>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</si>
  <si>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</si>
  <si>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</si>
  <si>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</si>
  <si>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</si>
  <si>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</si>
  <si>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</si>
  <si>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</si>
  <si>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</si>
  <si>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</si>
  <si>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</si>
  <si>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</si>
  <si>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</si>
  <si>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</si>
  <si>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</si>
  <si>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</si>
  <si>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</si>
  <si>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</si>
  <si>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</si>
  <si>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</si>
  <si>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</si>
  <si>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</si>
  <si>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</si>
  <si>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</si>
  <si>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</si>
  <si>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</si>
  <si>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</si>
  <si>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</si>
  <si>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</si>
  <si>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</si>
  <si>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</si>
  <si>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</si>
  <si>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</si>
  <si>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</si>
  <si>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</si>
  <si>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</si>
  <si>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</si>
  <si>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</si>
  <si>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</si>
  <si>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</si>
  <si>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</si>
  <si>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</si>
  <si>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</si>
  <si>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</si>
  <si>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</si>
  <si>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</si>
  <si>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</si>
  <si>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</si>
  <si>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</si>
  <si>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</si>
  <si>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</si>
  <si>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</si>
  <si>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</si>
  <si>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</si>
  <si>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</si>
  <si>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</si>
  <si>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</si>
  <si>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</si>
  <si>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</si>
  <si>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</si>
  <si>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</si>
  <si>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</si>
  <si>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</si>
  <si>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</si>
  <si>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</si>
  <si>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</si>
  <si>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</si>
  <si>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</si>
  <si>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</si>
  <si>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</si>
  <si>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</si>
  <si>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</si>
  <si>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</si>
  <si>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</si>
  <si>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</si>
  <si>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</si>
  <si>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</si>
  <si>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</si>
  <si>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</si>
  <si>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</si>
  <si>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</si>
  <si>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</si>
  <si>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</si>
  <si>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</si>
  <si>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</si>
  <si>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</si>
  <si>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</si>
  <si>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</si>
  <si>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</si>
  <si>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</si>
  <si>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</si>
  <si>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</si>
  <si>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</si>
  <si>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</si>
  <si>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</si>
  <si>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</si>
  <si>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</si>
  <si>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</si>
  <si>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</si>
  <si>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</si>
  <si>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</si>
  <si>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</si>
  <si>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</si>
  <si>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</si>
  <si>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</si>
  <si>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</si>
  <si>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</si>
  <si>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</si>
  <si>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</si>
  <si>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</si>
  <si>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</si>
  <si>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</si>
  <si>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</si>
  <si>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</si>
  <si>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</si>
  <si>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</si>
  <si>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</si>
  <si>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</si>
  <si>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</si>
  <si>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</si>
  <si>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</si>
  <si>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</si>
  <si>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</si>
  <si>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</si>
  <si>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</si>
  <si>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</si>
  <si>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</si>
  <si>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</si>
  <si>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</si>
  <si>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</si>
  <si>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</si>
  <si>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</si>
  <si>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</si>
  <si>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</si>
  <si>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</si>
  <si>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</si>
  <si>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</si>
  <si>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</si>
  <si>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</si>
  <si>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</si>
  <si>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</si>
  <si>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</si>
  <si>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</si>
  <si>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</si>
  <si>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</si>
  <si>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</si>
  <si>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</si>
  <si>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</si>
  <si>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</si>
  <si>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</si>
  <si>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</si>
  <si>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</si>
  <si>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</si>
  <si>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</si>
  <si>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</si>
  <si>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</si>
  <si>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</si>
  <si>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</si>
  <si>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</si>
  <si>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</si>
  <si>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</si>
  <si>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</si>
  <si>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</si>
  <si>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</si>
  <si>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</si>
  <si>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</si>
  <si>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</si>
  <si>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</si>
  <si>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</si>
  <si>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</si>
  <si>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</si>
  <si>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</si>
  <si>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</si>
  <si>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</si>
  <si>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</si>
  <si>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</si>
  <si>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</si>
  <si>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</si>
  <si>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</si>
  <si>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</si>
  <si>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</si>
  <si>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</si>
  <si>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</si>
  <si>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</si>
  <si>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</si>
  <si>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</si>
  <si>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</si>
  <si>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</si>
  <si>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</si>
  <si>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</si>
  <si>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</si>
  <si>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</si>
  <si>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</si>
  <si>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</si>
  <si>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</si>
  <si>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</si>
  <si>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</si>
  <si>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</si>
  <si>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</si>
  <si>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</si>
  <si>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</si>
  <si>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</si>
  <si>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</si>
  <si>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</si>
  <si>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</si>
  <si>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</si>
  <si>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</si>
  <si>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</si>
  <si>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</si>
  <si>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</si>
  <si>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</si>
  <si>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</si>
  <si>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</si>
  <si>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</si>
  <si>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</si>
  <si>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</si>
  <si>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</si>
  <si>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</si>
  <si>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</si>
  <si>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</si>
  <si>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</si>
  <si>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</si>
  <si>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</si>
  <si>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</si>
  <si>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</si>
  <si>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</si>
  <si>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</si>
  <si>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</si>
  <si>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</si>
  <si>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</si>
  <si>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</si>
  <si>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</si>
  <si>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</si>
  <si>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</si>
  <si>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</si>
  <si>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</si>
  <si>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</si>
  <si>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</si>
  <si>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</si>
  <si>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</si>
  <si>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</si>
  <si>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</si>
  <si>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</si>
  <si>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</si>
  <si>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</si>
  <si>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</si>
  <si>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</si>
  <si>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</si>
  <si>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</si>
  <si>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</si>
  <si>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</si>
  <si>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</si>
  <si>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</si>
  <si>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</si>
  <si>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</si>
  <si>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</si>
  <si>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</si>
  <si>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</si>
  <si>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</si>
  <si>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</si>
  <si>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</si>
  <si>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</si>
  <si>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</si>
  <si>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</si>
  <si>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</si>
  <si>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</si>
  <si>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</si>
  <si>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</si>
  <si>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</si>
  <si>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</si>
  <si>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</si>
  <si>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</si>
  <si>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</si>
  <si>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</si>
  <si>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</si>
  <si>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</si>
  <si>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</si>
  <si>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</si>
  <si>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</si>
  <si>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</si>
  <si>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</si>
  <si>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</si>
  <si>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</si>
  <si>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</si>
  <si>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</si>
  <si>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</si>
  <si>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</si>
  <si>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</si>
  <si>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</si>
  <si>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</si>
  <si>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</si>
  <si>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</si>
  <si>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</si>
  <si>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</si>
  <si>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</si>
  <si>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</si>
  <si>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</si>
  <si>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</si>
  <si>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</si>
  <si>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</si>
  <si>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</si>
  <si>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</si>
  <si>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</si>
  <si>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</si>
  <si>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</si>
  <si>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</si>
  <si>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</si>
  <si>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</si>
  <si>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</si>
  <si>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</si>
  <si>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</si>
  <si>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</si>
  <si>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</si>
  <si>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</si>
  <si>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</si>
  <si>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</si>
  <si>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</si>
  <si>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</si>
  <si>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</si>
  <si>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</si>
  <si>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</si>
  <si>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</si>
  <si>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</si>
  <si>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</si>
  <si>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</si>
  <si>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</si>
  <si>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</si>
  <si>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</si>
  <si>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</si>
  <si>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</si>
  <si>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</si>
  <si>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</si>
  <si>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</si>
  <si>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</si>
  <si>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</si>
  <si>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</si>
  <si>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</si>
  <si>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</si>
  <si>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</si>
  <si>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</si>
  <si>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</si>
  <si>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</si>
  <si>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</si>
  <si>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</si>
  <si>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</si>
  <si>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</si>
  <si>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</si>
  <si>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</si>
  <si>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</si>
  <si>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</si>
  <si>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</si>
  <si>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</si>
  <si>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</si>
  <si>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</si>
  <si>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</si>
  <si>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</si>
  <si>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</si>
  <si>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</si>
  <si>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</si>
  <si>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</si>
  <si>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</si>
  <si>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</si>
  <si>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</si>
  <si>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</si>
  <si>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</si>
  <si>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</si>
  <si>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</si>
  <si>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</si>
  <si>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</si>
  <si>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</si>
  <si>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</si>
  <si>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</si>
  <si>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</si>
  <si>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</si>
  <si>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</si>
  <si>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</si>
  <si>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</si>
  <si>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</si>
  <si>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</si>
  <si>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</si>
  <si>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</si>
  <si>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</si>
  <si>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</si>
  <si>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</si>
  <si>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</si>
  <si>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</si>
  <si>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</si>
  <si>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</si>
  <si>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</si>
  <si>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</si>
  <si>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</si>
  <si>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</si>
  <si>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</si>
  <si>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</si>
  <si>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</si>
  <si>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</si>
  <si>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</si>
  <si>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</si>
  <si>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</si>
  <si>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</si>
  <si>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</si>
  <si>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</si>
  <si>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</si>
  <si>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</si>
  <si>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</si>
  <si>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</si>
  <si>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</si>
  <si>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</si>
  <si>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</si>
  <si>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</si>
  <si>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</si>
  <si>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</si>
  <si>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</si>
  <si>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</si>
  <si>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</si>
  <si>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</si>
  <si>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</si>
  <si>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</si>
  <si>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</si>
  <si>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</si>
  <si>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</si>
  <si>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</si>
  <si>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</si>
  <si>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</si>
  <si>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</si>
  <si>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</si>
  <si>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</si>
  <si>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</si>
  <si>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</si>
  <si>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</si>
  <si>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</si>
  <si>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</si>
  <si>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</si>
  <si>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</si>
  <si>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</si>
  <si>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</si>
  <si>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</si>
  <si>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</si>
  <si>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</si>
  <si>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</si>
  <si>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</si>
  <si>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</si>
  <si>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</si>
  <si>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</si>
  <si>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</si>
  <si>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</si>
  <si>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</si>
  <si>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</si>
  <si>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</si>
  <si>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</si>
  <si>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</si>
  <si>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</si>
  <si>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</si>
  <si>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</si>
  <si>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</si>
  <si>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</si>
  <si>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</si>
  <si>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</si>
  <si>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</si>
  <si>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</si>
  <si>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</si>
  <si>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</si>
  <si>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</si>
  <si>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</si>
  <si>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</si>
  <si>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</si>
  <si>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</si>
  <si>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</si>
  <si>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</si>
  <si>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</si>
  <si>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</si>
  <si>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</si>
  <si>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</si>
  <si>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</si>
  <si>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</si>
  <si>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</si>
  <si>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</si>
  <si>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</si>
  <si>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</si>
  <si>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</si>
  <si>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</si>
  <si>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</si>
  <si>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</si>
  <si>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</si>
  <si>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</si>
  <si>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</si>
  <si>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</si>
  <si>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</si>
  <si>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</si>
  <si>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</si>
  <si>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</si>
  <si>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</si>
  <si>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</si>
  <si>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</si>
  <si>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</si>
  <si>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</si>
  <si>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</si>
  <si>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</si>
  <si>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</si>
  <si>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</si>
  <si>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</si>
  <si>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</si>
  <si>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</si>
  <si>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</si>
  <si>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</si>
  <si>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</si>
  <si>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</si>
  <si>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</si>
  <si>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</si>
  <si>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</si>
  <si>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</si>
  <si>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</si>
  <si>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</si>
  <si>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</si>
  <si>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</si>
  <si>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</si>
  <si>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</si>
  <si>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</si>
  <si>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</si>
  <si>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</si>
  <si>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</si>
  <si>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</si>
  <si>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</si>
  <si>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</si>
  <si>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</si>
  <si>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</si>
  <si>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</si>
  <si>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</si>
  <si>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</si>
  <si>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</si>
  <si>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</si>
  <si>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</si>
  <si>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</si>
  <si>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</si>
  <si>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</si>
  <si>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</si>
  <si>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</si>
  <si>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</si>
  <si>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</si>
  <si>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</si>
  <si>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</si>
  <si>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</si>
  <si>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</si>
  <si>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</si>
  <si>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</si>
  <si>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</si>
  <si>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</si>
  <si>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</si>
  <si>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</si>
  <si>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</si>
  <si>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</si>
  <si>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</si>
  <si>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</si>
  <si>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</si>
  <si>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</si>
  <si>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</si>
  <si>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</si>
  <si>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</si>
  <si>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</si>
  <si>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</si>
  <si>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</si>
  <si>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</si>
  <si>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</si>
  <si>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</si>
  <si>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</si>
  <si>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</si>
  <si>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</si>
  <si>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</si>
  <si>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</si>
  <si>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</si>
  <si>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</si>
  <si>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</si>
  <si>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</si>
  <si>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</si>
  <si>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</si>
  <si>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</si>
  <si>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</si>
  <si>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</si>
  <si>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</si>
  <si>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</si>
  <si>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</si>
  <si>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</si>
  <si>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</si>
  <si>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</si>
  <si>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</si>
  <si>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</si>
  <si>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</si>
  <si>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</si>
  <si>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</si>
  <si>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</si>
  <si>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</si>
  <si>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</si>
  <si>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</si>
  <si>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</si>
  <si>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</si>
  <si>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</si>
  <si>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</si>
  <si>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</si>
  <si>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</si>
  <si>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</si>
  <si>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</si>
  <si>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</si>
  <si>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</si>
  <si>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</si>
  <si>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</si>
  <si>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</si>
  <si>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</si>
  <si>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</si>
  <si>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</si>
  <si>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</si>
  <si>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</si>
  <si>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</si>
  <si>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</si>
  <si>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</si>
  <si>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</si>
  <si>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</si>
  <si>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</si>
  <si>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</si>
  <si>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</si>
  <si>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</si>
  <si>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</si>
  <si>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</si>
  <si>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</si>
  <si>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</si>
  <si>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</si>
  <si>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</si>
  <si>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</si>
  <si>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</si>
  <si>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</si>
  <si>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</si>
  <si>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</si>
  <si>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</si>
  <si>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</si>
  <si>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</si>
  <si>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</si>
  <si>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</si>
  <si>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</si>
  <si>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</si>
  <si>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</si>
  <si>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</si>
  <si>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</si>
  <si>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</si>
  <si>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</si>
  <si>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</si>
  <si>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</si>
  <si>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</si>
  <si>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</si>
  <si>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</si>
  <si>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</si>
  <si>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</si>
  <si>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</si>
  <si>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</si>
  <si>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</si>
  <si>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</si>
  <si>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</si>
  <si>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</si>
  <si>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</si>
  <si>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</si>
  <si>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</si>
  <si>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</si>
  <si>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</si>
  <si>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</si>
  <si>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</si>
  <si>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</si>
  <si>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</si>
  <si>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</si>
  <si>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</si>
  <si>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</si>
  <si>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</si>
  <si>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</si>
  <si>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</si>
  <si>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</si>
  <si>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</si>
  <si>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</si>
  <si>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</si>
  <si>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</si>
  <si>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</si>
  <si>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</si>
  <si>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</si>
  <si>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</si>
  <si>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</si>
  <si>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</si>
  <si>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</si>
  <si>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</si>
  <si>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</si>
  <si>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</si>
  <si>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</si>
  <si>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</si>
  <si>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</si>
  <si>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</si>
  <si>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</si>
  <si>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</si>
  <si>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</si>
  <si>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</si>
  <si>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</si>
  <si>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</si>
  <si>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</si>
  <si>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</si>
  <si>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</si>
  <si>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</si>
  <si>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</si>
  <si>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</si>
  <si>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</si>
  <si>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</si>
  <si>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</si>
  <si>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</si>
  <si>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</si>
  <si>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</si>
  <si>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</si>
  <si>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</si>
  <si>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</si>
  <si>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</si>
  <si>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</si>
  <si>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</si>
  <si>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</si>
  <si>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</si>
  <si>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</si>
  <si>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</si>
  <si>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</si>
  <si>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</si>
  <si>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</si>
  <si>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</si>
  <si>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</si>
  <si>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</si>
  <si>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</si>
  <si>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</si>
  <si>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</si>
  <si>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</si>
  <si>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</si>
  <si>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</si>
  <si>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</si>
  <si>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</si>
  <si>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</si>
  <si>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</si>
  <si>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</si>
  <si>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</si>
  <si>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</si>
  <si>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</si>
  <si>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</si>
  <si>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</si>
  <si>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</si>
  <si>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</si>
  <si>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</si>
  <si>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</si>
  <si>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</si>
  <si>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</si>
  <si>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</si>
  <si>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</si>
  <si>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</si>
  <si>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</si>
  <si>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</si>
  <si>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</si>
  <si>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</si>
  <si>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</si>
  <si>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</si>
  <si>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</si>
  <si>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</si>
  <si>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</si>
  <si>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</si>
  <si>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</si>
  <si>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</si>
  <si>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</si>
  <si>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</si>
  <si>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</si>
  <si>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</si>
  <si>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</si>
  <si>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</si>
  <si>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</si>
  <si>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</si>
  <si>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</si>
  <si>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</si>
  <si>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</si>
  <si>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</si>
  <si>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</si>
  <si>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</si>
  <si>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</si>
  <si>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</si>
  <si>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</si>
  <si>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</si>
  <si>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</si>
  <si>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</si>
  <si>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</si>
  <si>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</si>
  <si>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</si>
  <si>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</si>
  <si>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</si>
  <si>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</si>
  <si>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</si>
  <si>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</si>
  <si>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</si>
  <si>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</si>
  <si>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</si>
  <si>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</si>
  <si>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</si>
  <si>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</si>
  <si>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</si>
  <si>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</si>
  <si>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</si>
  <si>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</si>
  <si>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</si>
  <si>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</si>
  <si>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</si>
  <si>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</si>
  <si>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</si>
  <si>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</si>
  <si>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</si>
  <si>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</si>
  <si>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</si>
  <si>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</si>
  <si>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</si>
  <si>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</si>
  <si>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</si>
  <si>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</si>
  <si>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</si>
  <si>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</si>
  <si>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</si>
  <si>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</si>
  <si>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</si>
  <si>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</si>
  <si>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</si>
  <si>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</si>
  <si>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</si>
  <si>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</si>
  <si>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</si>
  <si>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</si>
  <si>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</si>
  <si>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</si>
  <si>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</si>
  <si>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</si>
  <si>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</si>
  <si>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</si>
  <si>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</si>
  <si>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</si>
  <si>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</si>
  <si>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</si>
  <si>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</si>
  <si>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</si>
  <si>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</si>
  <si>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</si>
  <si>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</si>
  <si>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</si>
  <si>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</si>
  <si>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</si>
  <si>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</si>
  <si>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</si>
  <si>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</si>
  <si>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</si>
  <si>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</si>
  <si>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</si>
  <si>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</si>
  <si>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</si>
  <si>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</si>
  <si>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</si>
  <si>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</si>
  <si>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</si>
  <si>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</si>
  <si>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</si>
  <si>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</si>
  <si>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</si>
  <si>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</si>
  <si>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</si>
  <si>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</si>
  <si>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</si>
  <si>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</si>
  <si>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</si>
  <si>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</si>
  <si>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</si>
  <si>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</si>
  <si>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VINILO PLASTICO TRANPARENTE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</si>
</sst>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323850</xdr:colOff>
      <xdr:row>0</xdr:row>
      <xdr:rowOff>0</xdr:rowOff>
    </xdr:from>
    <xdr:to>
      <xdr:col>24</xdr:col>
      <xdr:colOff>76200</xdr:colOff>
      <xdr:row>6</xdr:row>
      <xdr:rowOff>287268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1A2BC3-9899-4DA1-8145-275424E2D0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77" t="19567" r="13025" b="6960"/>
        <a:stretch>
          <a:fillRect/>
        </a:stretch>
      </xdr:blipFill>
      <xdr:spPr>
        <a:xfrm>
          <a:off x="8201025" y="0"/>
          <a:ext cx="1495425" cy="20589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O3" sqref="O3:R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LV2710-1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45957</v>
      </c>
      <c r="P1" s="350"/>
      <c r="Q1" s="350"/>
      <c r="R1" s="351"/>
      <c r="S1" s="395" t="s">
        <v>3</v>
      </c>
      <c r="T1" s="396"/>
      <c r="U1" s="401"/>
      <c r="V1" s="402"/>
      <c r="W1" s="402"/>
      <c r="X1" s="402"/>
      <c r="Y1" s="403"/>
      <c r="Z1" s="296" t="s">
        <v>4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5</v>
      </c>
      <c r="D2" s="365"/>
      <c r="E2" s="366" t="s">
        <v>1388</v>
      </c>
      <c r="F2" s="367"/>
      <c r="G2" s="367"/>
      <c r="H2" s="367"/>
      <c r="I2" s="367"/>
      <c r="J2" s="367"/>
      <c r="K2" s="368"/>
      <c r="L2" s="319" t="s">
        <v>6</v>
      </c>
      <c r="M2" s="320"/>
      <c r="N2" s="321"/>
      <c r="O2" s="322" t="e">
        <f>IF(E2="","",INDEX(Listas!H2:I30,MATCH(portacarnet!E2,Intructores,0),2))</f>
        <v>#N/A</v>
      </c>
      <c r="P2" s="322"/>
      <c r="Q2" s="322"/>
      <c r="R2" s="323"/>
      <c r="S2" s="397">
        <v>12</v>
      </c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7</v>
      </c>
      <c r="D3" s="381"/>
      <c r="E3" s="382" t="s">
        <v>8</v>
      </c>
      <c r="F3" s="383"/>
      <c r="G3" s="383"/>
      <c r="H3" s="383"/>
      <c r="I3" s="383"/>
      <c r="J3" s="383"/>
      <c r="K3" s="384"/>
      <c r="L3" s="319" t="s">
        <v>9</v>
      </c>
      <c r="M3" s="320"/>
      <c r="N3" s="321"/>
      <c r="O3" s="306">
        <v>3370697</v>
      </c>
      <c r="P3" s="324"/>
      <c r="Q3" s="324"/>
      <c r="R3" s="324"/>
      <c r="S3" s="397" t="s">
        <v>10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11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12</v>
      </c>
      <c r="M4" s="354"/>
      <c r="N4" s="354"/>
      <c r="O4" s="355" t="s">
        <v>13</v>
      </c>
      <c r="P4" s="356"/>
      <c r="Q4" s="356"/>
      <c r="R4" s="356"/>
      <c r="S4" s="397">
        <v>7</v>
      </c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14</v>
      </c>
      <c r="B5" s="385"/>
      <c r="C5" s="385"/>
      <c r="D5" s="386">
        <f>IF(K5="","",(SUM(W10:Y28)-(SUMIF(U10:V28,"Restar_Pedido",W10:Y28)))/$K$5)</f>
        <v>4291.7800000000007</v>
      </c>
      <c r="E5" s="387"/>
      <c r="F5" s="388"/>
      <c r="G5" s="364" t="s">
        <v>15</v>
      </c>
      <c r="H5" s="389"/>
      <c r="I5" s="389"/>
      <c r="J5" s="365"/>
      <c r="K5" s="328">
        <v>15</v>
      </c>
      <c r="L5" s="328"/>
      <c r="M5" s="329" t="s">
        <v>16</v>
      </c>
      <c r="N5" s="329"/>
      <c r="O5" s="325">
        <f>IFERROR(IF(K5=0,"",D5*K5),"")</f>
        <v>64376.700000000012</v>
      </c>
      <c r="P5" s="326"/>
      <c r="Q5" s="326"/>
      <c r="R5" s="326"/>
      <c r="S5" s="399" t="s">
        <v>17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18</v>
      </c>
      <c r="B7" s="369"/>
      <c r="C7" s="370"/>
      <c r="D7" s="371" t="s">
        <v>19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20</v>
      </c>
      <c r="P7" s="313"/>
      <c r="Q7" s="378" t="s">
        <v>21</v>
      </c>
      <c r="R7" s="379"/>
      <c r="S7" s="397">
        <v>0.5</v>
      </c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22</v>
      </c>
      <c r="T8" s="315"/>
      <c r="U8" s="316"/>
      <c r="V8" s="317">
        <f>IF(K5="","",1/K5)</f>
        <v>6.6666666666666666E-2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23</v>
      </c>
      <c r="T9" s="314"/>
      <c r="U9" s="313" t="s">
        <v>24</v>
      </c>
      <c r="V9" s="313"/>
      <c r="W9" s="313" t="s">
        <v>25</v>
      </c>
      <c r="X9" s="313"/>
      <c r="Y9" s="313"/>
    </row>
    <row r="10" spans="1:31" ht="17.25" customHeight="1">
      <c r="A10" s="299" t="s">
        <v>1214</v>
      </c>
      <c r="B10" s="299"/>
      <c r="C10" s="300"/>
      <c r="D10" s="390" t="s">
        <v>1292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gal</v>
      </c>
      <c r="P10" s="305"/>
      <c r="Q10" s="306">
        <v>0.01</v>
      </c>
      <c r="R10" s="307"/>
      <c r="S10" s="308">
        <f>IFERROR(IF(Q10="Unidad","1",(Q10*$K$5)),"")</f>
        <v>0.15</v>
      </c>
      <c r="T10" s="309"/>
      <c r="U10" s="310" t="s">
        <v>1347</v>
      </c>
      <c r="V10" s="393"/>
      <c r="W10" s="311">
        <f>IFERROR(IF(D10="","",INDEX(Tabla_Completa,MATCH(portacarnet!D10,Materiales,0),7)*S10),"")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1214</v>
      </c>
      <c r="B11" s="299"/>
      <c r="C11" s="300"/>
      <c r="D11" s="390" t="s">
        <v>1232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1.2999999999999999E-3</v>
      </c>
      <c r="R11" s="307"/>
      <c r="S11" s="308">
        <f t="shared" ref="S11:S31" si="1">IFERROR(IF(Q11="Unidad","1",(Q11*$K$5)),"")</f>
        <v>1.95E-2</v>
      </c>
      <c r="T11" s="309"/>
      <c r="U11" s="310"/>
      <c r="V11" s="310"/>
      <c r="W11" s="311">
        <f>IFERROR(IF(D11="","",INDEX(Tabla_Completa,MATCH(portacarnet!D11,Materiales,0),7)*S11),"")</f>
        <v>0</v>
      </c>
      <c r="X11" s="311"/>
      <c r="Y11" s="311"/>
    </row>
    <row r="12" spans="1:31" ht="15.75" customHeight="1">
      <c r="A12" s="298" t="s">
        <v>231</v>
      </c>
      <c r="B12" s="299"/>
      <c r="C12" s="300"/>
      <c r="D12" s="394" t="s">
        <v>246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m</v>
      </c>
      <c r="P12" s="305"/>
      <c r="Q12" s="306">
        <v>1</v>
      </c>
      <c r="R12" s="307"/>
      <c r="S12" s="308">
        <f t="shared" si="1"/>
        <v>15</v>
      </c>
      <c r="T12" s="309"/>
      <c r="U12" s="310"/>
      <c r="V12" s="310"/>
      <c r="W12" s="311">
        <f>IFERROR(IF(D12="","",INDEX(Tabla_Completa,MATCH(portacarnet!D12,Materiales,0),7)*S12),"")</f>
        <v>6150</v>
      </c>
      <c r="X12" s="311"/>
      <c r="Y12" s="311"/>
    </row>
    <row r="13" spans="1:31" ht="15.75" customHeight="1">
      <c r="A13" s="298" t="s">
        <v>39</v>
      </c>
      <c r="B13" s="299"/>
      <c r="C13" s="300"/>
      <c r="D13" s="390" t="s">
        <v>767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U</v>
      </c>
      <c r="P13" s="305"/>
      <c r="Q13" s="306">
        <v>1</v>
      </c>
      <c r="R13" s="307"/>
      <c r="S13" s="308">
        <f t="shared" si="1"/>
        <v>15</v>
      </c>
      <c r="T13" s="309"/>
      <c r="U13" s="310"/>
      <c r="V13" s="310"/>
      <c r="W13" s="311">
        <f>IFERROR(IF(D13="","",INDEX(Tabla_Completa,MATCH(portacarnet!D13,Materiales,0),7)*S13),"")</f>
        <v>58226.700000000004</v>
      </c>
      <c r="X13" s="311"/>
      <c r="Y13" s="311"/>
    </row>
    <row r="14" spans="1:31" ht="17.25" customHeight="1">
      <c r="A14" s="298"/>
      <c r="B14" s="299"/>
      <c r="C14" s="300"/>
      <c r="D14" s="390" t="s">
        <v>1390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/>
      </c>
      <c r="P14" s="305"/>
      <c r="Q14" s="306">
        <v>4</v>
      </c>
      <c r="R14" s="307"/>
      <c r="S14" s="308">
        <f t="shared" si="1"/>
        <v>60</v>
      </c>
      <c r="T14" s="309"/>
      <c r="U14" s="310"/>
      <c r="V14" s="310"/>
      <c r="W14" s="311" t="str">
        <f>IFERROR(IF(D14="","",INDEX(Tabla_Completa,MATCH(portacarnet!D14,Materiales,0),7)*S14),"")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IFERROR(IF(D15="","",INDEX(Tabla_Completa,MATCH(portacarnet!D15,Materiales,0),7)*S15),"")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IFERROR(IF(D16="","",INDEX(Tabla_Completa,MATCH(portacarnet!D16,Materiales,0),7)*S16),"")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IFERROR(IF(D17="","",INDEX(Tabla_Completa,MATCH(portacarnet!D17,Materiales,0),7)*S17),"")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IFERROR(IF(D18="","",INDEX(Tabla_Completa,MATCH(portacarnet!D18,Materiales,0),7)*S18),"")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IFERROR(IF(D19="","",INDEX(Tabla_Completa,MATCH(portacarnet!D19,Materiales,0),7)*S19),"")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IFERROR(IF(D20="","",INDEX(Tabla_Completa,MATCH(portacarnet!D20,Materiales,0),7)*S20),"")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IFERROR(IF(D21="","",INDEX(Tabla_Completa,MATCH(portacarnet!D21,Materiales,0),7)*S21),"")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IFERROR(IF(D22="","",INDEX(Tabla_Completa,MATCH(portacarnet!D22,Materiales,0),7)*S22),"")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IFERROR(IF(D23="","",INDEX(Tabla_Completa,MATCH(portacarnet!D23,Materiales,0),7)*S23),"")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IFERROR(IF(D24="","",INDEX(Tabla_Completa,MATCH(portacarnet!D24,Materiales,0),7)*S24),"")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IFERROR(IF(D25="","",INDEX(Tabla_Completa,MATCH(portacarnet!D25,Materiales,0),7)*S25),"")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IFERROR(IF(D26="","",INDEX(Tabla_Completa,MATCH(portacarnet!D26,Materiales,0),7)*S26),"")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IFERROR(IF(D27="","",INDEX(Tabla_Completa,MATCH(portacarnet!D27,Materiales,0),7)*S27),"")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IFERROR(IF(D28="","",INDEX(Tabla_Completa,MATCH(portacarnet!D28,Materiales,0),7)*S28),"")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IFERROR(IF(D29="","",INDEX(Tabla_Completa,MATCH(portacarnet!D29,Materiales,0),7)*S29),"")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IFERROR(IF(D30="","",INDEX(Tabla_Completa,MATCH(portacarnet!D30,Materiales,0),7)*S30),"")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IFERROR(IF(D31="","",INDEX(Tabla_Completa,MATCH(portacarnet!D31,Materiales,0),7)*S31),"")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26</v>
      </c>
      <c r="B39" s="336"/>
      <c r="C39" s="336"/>
      <c r="D39" s="337" t="s">
        <v>27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29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30</v>
      </c>
      <c r="O44" s="345"/>
      <c r="P44" s="345"/>
      <c r="Q44" s="345"/>
      <c r="R44" s="342" t="s">
        <v>31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32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33</v>
      </c>
      <c r="O45" s="345"/>
      <c r="P45" s="345"/>
      <c r="Q45" s="345"/>
      <c r="R45" s="343" t="s">
        <v>34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35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36</v>
      </c>
      <c r="O46" s="345"/>
      <c r="P46" s="345"/>
      <c r="Q46" s="345"/>
      <c r="R46" s="344" t="s">
        <v>37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38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39</v>
      </c>
      <c r="O47" s="345"/>
      <c r="P47" s="345"/>
      <c r="Q47" s="345"/>
      <c r="R47" s="344" t="s">
        <v>40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41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42</v>
      </c>
      <c r="O48" s="345"/>
      <c r="P48" s="345"/>
      <c r="Q48" s="345"/>
      <c r="R48" s="344" t="s">
        <v>43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44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45</v>
      </c>
      <c r="O49" s="346"/>
      <c r="P49" s="346"/>
      <c r="Q49" s="346"/>
      <c r="R49" s="343" t="s">
        <v>46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47</v>
      </c>
      <c r="O50" s="345"/>
      <c r="P50" s="345"/>
      <c r="Q50" s="345"/>
      <c r="R50" s="344" t="s">
        <v>48</v>
      </c>
      <c r="S50" s="344"/>
      <c r="T50" s="344"/>
      <c r="U50" s="344"/>
      <c r="V50" s="344"/>
      <c r="W50" s="344"/>
      <c r="X50" s="344"/>
    </row>
    <row r="51" spans="1:24" ht="15.75">
      <c r="N51" s="345" t="s">
        <v>49</v>
      </c>
      <c r="O51" s="345"/>
      <c r="P51" s="345"/>
      <c r="Q51" s="345"/>
      <c r="R51" s="344" t="s">
        <v>50</v>
      </c>
      <c r="S51" s="344"/>
      <c r="T51" s="344"/>
      <c r="U51" s="344"/>
      <c r="V51" s="344"/>
      <c r="W51" s="344"/>
      <c r="X51" s="344"/>
    </row>
    <row r="52" spans="1:24" ht="15.75">
      <c r="N52" s="345" t="s">
        <v>51</v>
      </c>
      <c r="O52" s="345"/>
      <c r="P52" s="345"/>
      <c r="Q52" s="345"/>
      <c r="R52" s="344" t="s">
        <v>40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4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52</v>
      </c>
      <c r="E1" s="457"/>
      <c r="F1" s="457"/>
      <c r="G1" s="457"/>
      <c r="H1" s="457"/>
      <c r="I1" s="458"/>
      <c r="J1" s="485" t="s">
        <v>53</v>
      </c>
      <c r="K1" s="486"/>
      <c r="L1" s="486"/>
      <c r="M1" s="487"/>
      <c r="N1" s="488">
        <f>IF(portacarnet!O1="","",portacarnet!O1)</f>
        <v>45957</v>
      </c>
      <c r="O1" s="489"/>
      <c r="P1" s="427" t="s">
        <v>54</v>
      </c>
      <c r="Q1" s="428"/>
      <c r="R1" s="433" t="str">
        <f>IF(portacarnet!D4="","",portacarnet!D4)</f>
        <v>Complementarios Betania</v>
      </c>
      <c r="S1" s="434"/>
      <c r="Z1" t="s">
        <v>55</v>
      </c>
      <c r="AA1" s="241" t="s">
        <v>55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56</v>
      </c>
      <c r="K2" s="491"/>
      <c r="L2" s="491"/>
      <c r="M2" s="492"/>
      <c r="N2" s="493" t="str">
        <f>portacarnet!F1</f>
        <v>LV2710-1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57</v>
      </c>
      <c r="K3" s="494"/>
      <c r="L3" s="494"/>
      <c r="M3" s="494"/>
      <c r="N3" s="495">
        <f>IF(portacarnet!O3="","",portacarnet!O3)</f>
        <v>3370697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58</v>
      </c>
      <c r="K4" s="442"/>
      <c r="L4" s="442"/>
      <c r="M4" s="443" t="str">
        <f>IF(portacarnet!O4="","",portacarnet!O4)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59</v>
      </c>
      <c r="C6" s="446"/>
      <c r="D6" s="447"/>
      <c r="E6" s="451" t="s">
        <v>60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IF(portacarnet!D5&lt;= 0,"",portacarnet!D5)</f>
        <v>4291.7800000000007</v>
      </c>
      <c r="C8" s="420"/>
      <c r="D8" s="421"/>
      <c r="E8" s="422" t="s">
        <v>61</v>
      </c>
      <c r="F8" s="423"/>
      <c r="G8" s="423"/>
      <c r="H8" s="423"/>
      <c r="I8" s="424"/>
      <c r="J8" s="425" t="str">
        <f>IF(portacarnet!E2="","",portacarnet!E2)</f>
        <v>Laura Victoria Bautista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62</v>
      </c>
      <c r="C9" s="466"/>
      <c r="D9" s="469"/>
      <c r="E9" s="470" t="s">
        <v>63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64</v>
      </c>
      <c r="K10" s="477"/>
      <c r="L10" s="478"/>
      <c r="M10" s="250">
        <f>'[1]Soli_citud '!K5</f>
        <v>1</v>
      </c>
      <c r="N10" s="440" t="s">
        <v>65</v>
      </c>
      <c r="O10" s="441"/>
      <c r="P10" s="431"/>
      <c r="Q10" s="432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10" t="s">
        <v>69</v>
      </c>
      <c r="D11" s="411"/>
      <c r="E11" s="411"/>
      <c r="F11" s="41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13" t="s">
        <v>24</v>
      </c>
      <c r="M11" s="414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07" t="str">
        <f>IFERROR(IF(portacarnet!D10="","",portacarnet!D10),"")</f>
        <v>Tinta marroquinera negra</v>
      </c>
      <c r="D12" s="407"/>
      <c r="E12" s="407"/>
      <c r="F12" s="407"/>
      <c r="G12" s="213" t="str">
        <f>IF(portacarnet!O10="","",portacarnet!O10)</f>
        <v>gal</v>
      </c>
      <c r="H12" s="213" cm="1">
        <f t="array" ref="H12">_xlfn.IFS(portacarnet!S10="","",portacarnet!S10&lt;=0,"",portacarnet!S10&gt;0,portacarnet!S10)</f>
        <v>0.15</v>
      </c>
      <c r="I12" s="214"/>
      <c r="J12" s="215"/>
      <c r="K12" s="197" cm="1">
        <f t="array" ref="K12">IFERROR(_xlfn.IFS(H12="","",J12=H12,"Cumplido",J12&lt;H12,H12-J12,J12&gt;H12,"Revisar"),"")</f>
        <v>0.15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IFERROR(_xlfn.IFS(Q12&gt;0,"ENTREGADO",portacarnet!A10="HERRAMIENTAS_","DEVOLUTIVO"),"")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07" t="str">
        <f>IFERROR(IF(portacarnet!D11="","",portacarnet!D11),"")</f>
        <v>Cemento de contacto</v>
      </c>
      <c r="D13" s="407"/>
      <c r="E13" s="407"/>
      <c r="F13" s="407"/>
      <c r="G13" s="213" t="str">
        <f>IF(portacarnet!O11="","",portacarnet!O11)</f>
        <v>gal</v>
      </c>
      <c r="H13" s="213" cm="1">
        <f t="array" ref="H13">_xlfn.IFS(portacarnet!S11="","",portacarnet!S11&lt;=0,"",portacarnet!S11&gt;0,portacarnet!S11)</f>
        <v>1.95E-2</v>
      </c>
      <c r="I13" s="214"/>
      <c r="J13" s="216"/>
      <c r="K13" s="197" cm="1">
        <f t="array" ref="K13">IFERROR(_xlfn.IFS(H13="","",J13=H13,"Cumplido",J13&lt;H13,H13-J13,J13&gt;H13,"Revisar"),"")</f>
        <v>1.95E-2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IFERROR(_xlfn.IFS(Q13&gt;0,"ENTREGADO",portacarnet!A11="HERRAMIENTAS_","DEVOLUTIVO"),"")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07" t="str">
        <f>IFERROR(IF(portacarnet!D12="","",portacarnet!D12),"")</f>
        <v>CINTA FALLA _RIBETE 18 mm  CON APRESTO #3</v>
      </c>
      <c r="D14" s="407"/>
      <c r="E14" s="407"/>
      <c r="F14" s="407"/>
      <c r="G14" s="213" t="str">
        <f>IF(portacarnet!O12="","",portacarnet!O12)</f>
        <v>m</v>
      </c>
      <c r="H14" s="213" cm="1">
        <f t="array" ref="H14">_xlfn.IFS(portacarnet!S12="","",portacarnet!S12&lt;=0,"",portacarnet!S12&gt;0,portacarnet!S12)</f>
        <v>15</v>
      </c>
      <c r="I14" s="214"/>
      <c r="J14" s="216"/>
      <c r="K14" s="197" cm="1">
        <f t="array" ref="K14">IFERROR(_xlfn.IFS(H14="","",J14=H14,"Cumplido",J14&lt;H14,H14-J14,J14&gt;H14,"Revisar"),"")</f>
        <v>15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IFERROR(_xlfn.IFS(Q14&gt;0,"ENTREGADO",portacarnet!A12="HERRAMIENTAS_","DEVOLUTIVO"),"")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LV2710-1</v>
      </c>
      <c r="C15" s="407" t="str">
        <f>IFERROR(IF(portacarnet!D13="","",portacarnet!D13),"")</f>
        <v>MOSQUETÓN LLAVERO NIQUELADO 3/8</v>
      </c>
      <c r="D15" s="407"/>
      <c r="E15" s="407"/>
      <c r="F15" s="407"/>
      <c r="G15" s="213" t="str">
        <f>IF(portacarnet!O13="","",portacarnet!O13)</f>
        <v>U</v>
      </c>
      <c r="H15" s="213" cm="1">
        <f t="array" ref="H15">_xlfn.IFS(portacarnet!S13="","",portacarnet!S13&lt;=0,"",portacarnet!S13&gt;0,portacarnet!S13)</f>
        <v>15</v>
      </c>
      <c r="I15" s="214"/>
      <c r="J15" s="216"/>
      <c r="K15" s="197" cm="1">
        <f t="array" ref="K15">IFERROR(_xlfn.IFS(H15="","",J15=H15,"Cumplido",J15&lt;H15,H15-J15,J15&gt;H15,"Revisar"),"")</f>
        <v>15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IFERROR(_xlfn.IFS(Q15&gt;0,"ENTREGADO",portacarnet!A13="HERRAMIENTAS_","DEVOLUTIVO"),"")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LV2710-1</v>
      </c>
      <c r="C16" s="407" t="str">
        <f>IFERROR(IF(portacarnet!D14="","",portacarnet!D14),"")</f>
        <v>VINILO PLASTICO TRANPARENTE</v>
      </c>
      <c r="D16" s="407"/>
      <c r="E16" s="407"/>
      <c r="F16" s="407"/>
      <c r="G16" s="213" t="str">
        <f>IF(portacarnet!O14="","",portacarnet!O14)</f>
        <v/>
      </c>
      <c r="H16" s="213" cm="1">
        <f t="array" ref="H16">_xlfn.IFS(portacarnet!S14="","",portacarnet!S14&lt;=0,"",portacarnet!S14&gt;0,portacarnet!S14)</f>
        <v>60</v>
      </c>
      <c r="I16" s="214"/>
      <c r="J16" s="216"/>
      <c r="K16" s="197" cm="1">
        <f t="array" ref="K16">IFERROR(_xlfn.IFS(H16="","",J16=H16,"Cumplido",J16&lt;H16,H16-J16,J16&gt;H16,"Revisar"),"")</f>
        <v>60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IFERROR(_xlfn.IFS(Q16&gt;0,"ENTREGADO",portacarnet!A14="HERRAMIENTAS_","DEVOLUTIVO"),"")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IFERROR(IF(portacarnet!D15="","",portacarnet!D15),"")</f>
        <v/>
      </c>
      <c r="D17" s="407"/>
      <c r="E17" s="407"/>
      <c r="F17" s="407"/>
      <c r="G17" s="213" t="str">
        <f>IF(portacarnet!O15="","",portacarnet!O15)</f>
        <v/>
      </c>
      <c r="H17" s="213" t="str" cm="1">
        <f t="array" ref="H17">_xlfn.IFS(portacarnet!S15="","",portacarnet!S15&lt;=0,"",portacarnet!S15&gt;0,portacarnet!S15)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IFERROR(_xlfn.IFS(Q17&gt;0,"ENTREGADO",portacarnet!A15="HERRAMIENTAS_","DEVOLUTIVO"),"")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IFERROR(IF(portacarnet!D16="","",portacarnet!D16),"")</f>
        <v/>
      </c>
      <c r="D18" s="407"/>
      <c r="E18" s="407"/>
      <c r="F18" s="407"/>
      <c r="G18" s="213" t="str">
        <f>IF(portacarnet!O16="","",portacarnet!O16)</f>
        <v/>
      </c>
      <c r="H18" s="213" t="str" cm="1">
        <f t="array" ref="H18">_xlfn.IFS(portacarnet!S16="","",portacarnet!S16&lt;=0,"",portacarnet!S16&gt;0,portacarnet!S16)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IFERROR(_xlfn.IFS(Q18&gt;0,"ENTREGADO",portacarnet!A16="HERRAMIENTAS_","DEVOLUTIVO"),"")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IFERROR(IF(portacarnet!D17="","",portacarnet!D17),"")</f>
        <v/>
      </c>
      <c r="D19" s="407"/>
      <c r="E19" s="407"/>
      <c r="F19" s="407"/>
      <c r="G19" s="213" t="str">
        <f>IF(portacarnet!O17="","",portacarnet!O17)</f>
        <v/>
      </c>
      <c r="H19" s="213" t="str" cm="1">
        <f t="array" ref="H19">_xlfn.IFS(portacarnet!S17="","",portacarnet!S17&lt;=0,"",portacarnet!S17&gt;0,portacarnet!S17)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IFERROR(_xlfn.IFS(Q19&gt;0,"ENTREGADO",portacarnet!A17="HERRAMIENTAS_","DEVOLUTIVO"),"")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IFERROR(IF(portacarnet!D18="","",portacarnet!D18),"")</f>
        <v/>
      </c>
      <c r="D20" s="407"/>
      <c r="E20" s="407"/>
      <c r="F20" s="407"/>
      <c r="G20" s="213" t="str">
        <f>IF(portacarnet!O18="","",portacarnet!O18)</f>
        <v/>
      </c>
      <c r="H20" s="213" t="str" cm="1">
        <f t="array" ref="H20">_xlfn.IFS(portacarnet!S18="","",portacarnet!S18&lt;=0,"",portacarnet!S18&gt;0,portacarnet!S18)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IFERROR(_xlfn.IFS(Q20&gt;0,"ENTREGADO",portacarnet!A18="HERRAMIENTAS_","DEVOLUTIVO"),"")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IFERROR(IF(portacarnet!D19="","",portacarnet!D19),"")</f>
        <v/>
      </c>
      <c r="D21" s="407"/>
      <c r="E21" s="407"/>
      <c r="F21" s="407"/>
      <c r="G21" s="213" t="str">
        <f>IF(portacarnet!O19="","",portacarnet!O19)</f>
        <v/>
      </c>
      <c r="H21" s="213" t="str" cm="1">
        <f t="array" ref="H21">_xlfn.IFS(portacarnet!S19="","",portacarnet!S19&lt;=0,"",portacarnet!S19&gt;0,portacarnet!S19)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IFERROR(_xlfn.IFS(Q21&gt;0,"ENTREGADO",portacarnet!A19="HERRAMIENTAS_","DEVOLUTIVO"),"")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IFERROR(IF(portacarnet!D20="","",portacarnet!D20),"")</f>
        <v/>
      </c>
      <c r="D22" s="407"/>
      <c r="E22" s="407"/>
      <c r="F22" s="407"/>
      <c r="G22" s="213" t="str">
        <f>IF(portacarnet!O20="","",portacarnet!O20)</f>
        <v/>
      </c>
      <c r="H22" s="213" t="str" cm="1">
        <f t="array" ref="H22">_xlfn.IFS(portacarnet!S20="","",portacarnet!S20&lt;=0,"",portacarnet!S20&gt;0,portacarnet!S20)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IFERROR(_xlfn.IFS(Q22&gt;0,"ENTREGADO",portacarnet!A20="HERRAMIENTAS_","DEVOLUTIVO"),"")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IFERROR(IF(portacarnet!D21="","",portacarnet!D21),"")</f>
        <v/>
      </c>
      <c r="D23" s="407"/>
      <c r="E23" s="407"/>
      <c r="F23" s="407"/>
      <c r="G23" s="213" t="str">
        <f>IF(portacarnet!O21="","",portacarnet!O21)</f>
        <v/>
      </c>
      <c r="H23" s="213" t="str" cm="1">
        <f t="array" ref="H23">_xlfn.IFS(portacarnet!S21="","",portacarnet!S21&lt;=0,"",portacarnet!S21&gt;0,portacarnet!S21)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IFERROR(_xlfn.IFS(Q23&gt;0,"ENTREGADO",portacarnet!A21="HERRAMIENTAS_","DEVOLUTIVO"),"")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IFERROR(IF(portacarnet!D22="","",portacarnet!D22),"")</f>
        <v/>
      </c>
      <c r="D24" s="407"/>
      <c r="E24" s="407"/>
      <c r="F24" s="407"/>
      <c r="G24" s="213" t="str">
        <f>IF(portacarnet!O22="","",portacarnet!O22)</f>
        <v/>
      </c>
      <c r="H24" s="213" t="str" cm="1">
        <f t="array" ref="H24">_xlfn.IFS(portacarnet!S22="","",portacarnet!S22&lt;=0,"",portacarnet!S22&gt;0,portacarnet!S22)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IFERROR(_xlfn.IFS(Q24&gt;0,"ENTREGADO",portacarnet!A22="HERRAMIENTAS_","DEVOLUTIVO"),"")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IFERROR(IF(portacarnet!D23="","",portacarnet!D23),"")</f>
        <v/>
      </c>
      <c r="D25" s="407"/>
      <c r="E25" s="407"/>
      <c r="F25" s="407"/>
      <c r="G25" s="213" t="str">
        <f>IF(portacarnet!O23="","",portacarnet!O23)</f>
        <v/>
      </c>
      <c r="H25" s="213" t="str" cm="1">
        <f t="array" ref="H25">_xlfn.IFS(portacarnet!S23="","",portacarnet!S23&lt;=0,"",portacarnet!S23&gt;0,portacarnet!S23)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IFERROR(_xlfn.IFS(Q25&gt;0,"ENTREGADO",portacarnet!A23="HERRAMIENTAS_","DEVOLUTIVO"),"")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IFERROR(IF(portacarnet!D24="","",portacarnet!D24),"")</f>
        <v/>
      </c>
      <c r="D26" s="407"/>
      <c r="E26" s="407"/>
      <c r="F26" s="407"/>
      <c r="G26" s="213" t="str">
        <f>IF(portacarnet!O24="","",portacarnet!O24)</f>
        <v/>
      </c>
      <c r="H26" s="213" t="str" cm="1">
        <f t="array" ref="H26">_xlfn.IFS(portacarnet!S24="","",portacarnet!S24&lt;=0,"",portacarnet!S24&gt;0,portacarnet!S24)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IFERROR(_xlfn.IFS(Q26&gt;0,"ENTREGADO",portacarnet!A24="HERRAMIENTAS_","DEVOLUTIVO"),"")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IFERROR(IF(portacarnet!D25="","",portacarnet!D25),"")</f>
        <v/>
      </c>
      <c r="D27" s="407"/>
      <c r="E27" s="407"/>
      <c r="F27" s="407"/>
      <c r="G27" s="213" t="str">
        <f>IF(portacarnet!O25="","",portacarnet!O25)</f>
        <v/>
      </c>
      <c r="H27" s="213" t="str" cm="1">
        <f t="array" ref="H27">_xlfn.IFS(portacarnet!S25="","",portacarnet!S25&lt;=0,"",portacarnet!S25&gt;0,portacarnet!S25)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IFERROR(_xlfn.IFS(Q27&gt;0,"ENTREGADO",portacarnet!A25="HERRAMIENTAS_","DEVOLUTIVO"),"")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IFERROR(IF(portacarnet!D26="","",portacarnet!D26),"")</f>
        <v/>
      </c>
      <c r="D28" s="407"/>
      <c r="E28" s="407"/>
      <c r="F28" s="407"/>
      <c r="G28" s="213" t="str">
        <f>IF(portacarnet!O26="","",portacarnet!O26)</f>
        <v/>
      </c>
      <c r="H28" s="213" t="str" cm="1">
        <f t="array" ref="H28">_xlfn.IFS(portacarnet!S26="","",portacarnet!S26&lt;=0,"",portacarnet!S26&gt;0,portacarnet!S26)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IFERROR(_xlfn.IFS(Q28&gt;0,"ENTREGADO",portacarnet!A26="HERRAMIENTAS_","DEVOLUTIVO"),"")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IFERROR(IF(portacarnet!D27="","",portacarnet!D27),"")</f>
        <v/>
      </c>
      <c r="D29" s="407"/>
      <c r="E29" s="407"/>
      <c r="F29" s="407"/>
      <c r="G29" s="213" t="str">
        <f>IF(portacarnet!O27="","",portacarnet!O27)</f>
        <v/>
      </c>
      <c r="H29" s="213" t="str" cm="1">
        <f t="array" ref="H29">_xlfn.IFS(portacarnet!S27="","",portacarnet!S27&lt;=0,"",portacarnet!S27&gt;0,portacarnet!S27)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IFERROR(_xlfn.IFS(Q29&gt;0,"ENTREGADO",portacarnet!A27="HERRAMIENTAS_","DEVOLUTIVO"),"")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IFERROR(IF(portacarnet!D28="","",portacarnet!D28),"")</f>
        <v/>
      </c>
      <c r="D30" s="407"/>
      <c r="E30" s="407"/>
      <c r="F30" s="407"/>
      <c r="G30" s="213" t="str">
        <f>IF(portacarnet!O28="","",portacarnet!O28)</f>
        <v/>
      </c>
      <c r="H30" s="213" t="str" cm="1">
        <f t="array" ref="H30">_xlfn.IFS(portacarnet!S28="","",portacarnet!S28&lt;=0,"",portacarnet!S28&gt;0,portacarnet!S28)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IFERROR(_xlfn.IFS(Q30&gt;0,"ENTREGADO",portacarnet!A28="HERRAMIENTAS_","DEVOLUTIVO"),"")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IFERROR(IF(portacarnet!D29="","",portacarnet!D29),"")</f>
        <v/>
      </c>
      <c r="D31" s="407"/>
      <c r="E31" s="407"/>
      <c r="F31" s="407"/>
      <c r="G31" s="213" t="str">
        <f>IF(portacarnet!O29="","",portacarnet!O29)</f>
        <v/>
      </c>
      <c r="H31" s="213" t="str" cm="1">
        <f t="array" ref="H31">_xlfn.IFS(portacarnet!S29="","",portacarnet!S29&lt;=0,"",portacarnet!S29&gt;0,portacarnet!S29)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IFERROR(_xlfn.IFS(Q31&gt;0,"ENTREGADO",portacarnet!A29="HERRAMIENTAS_","DEVOLUTIVO"),"")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IFERROR(IF(portacarnet!D30="","",portacarnet!D30),"")</f>
        <v/>
      </c>
      <c r="D32" s="407"/>
      <c r="E32" s="407"/>
      <c r="F32" s="407"/>
      <c r="G32" s="213" t="str">
        <f>IF(portacarnet!O30="","",portacarnet!O30)</f>
        <v/>
      </c>
      <c r="H32" s="213" t="str" cm="1">
        <f t="array" ref="H32">_xlfn.IFS(portacarnet!S30="","",portacarnet!S30&lt;=0,"",portacarnet!S30&gt;0,portacarnet!S30)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IFERROR(_xlfn.IFS(Q32&gt;0,"ENTREGADO",portacarnet!A30="HERRAMIENTAS_","DEVOLUTIVO"),"")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81</v>
      </c>
      <c r="F1" s="505"/>
      <c r="H1" s="278" t="s">
        <v>82</v>
      </c>
      <c r="Z1" s="241" t="s">
        <v>83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3"/>
      <c r="D6" s="504"/>
      <c r="H6" s="501" t="s">
        <v>85</v>
      </c>
      <c r="I6" s="501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portacarnet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