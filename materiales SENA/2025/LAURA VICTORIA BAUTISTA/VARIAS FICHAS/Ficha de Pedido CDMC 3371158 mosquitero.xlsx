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D5D7BCB9-4245-42F9-ACDC-8ED116BD54C1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MOSQUITERO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<sst xmlns="http://schemas.openxmlformats.org/spreadsheetml/2006/main" count="5005" uniqueCount="1391">
  <si>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</si>
  <si>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</si>
  <si>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</si>
  <si>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</si>
  <si>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</si>
  <si>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</si>
  <si>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</si>
  <si>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</si>
  <si>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</si>
  <si>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</si>
  <si>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</si>
  <si>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</si>
  <si>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</si>
  <si>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</si>
  <si>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</si>
  <si>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</si>
  <si>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</si>
  <si>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</si>
  <si>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</si>
  <si>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</si>
  <si>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</si>
  <si>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</si>
  <si>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</si>
  <si>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</si>
  <si>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</si>
  <si>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</si>
  <si>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</si>
  <si>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</si>
  <si>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</si>
  <si>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</si>
  <si>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</si>
  <si>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</si>
  <si>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</si>
  <si>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</si>
  <si>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</si>
  <si>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</si>
  <si>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</si>
  <si>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</si>
  <si>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</si>
  <si>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</si>
  <si>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</si>
  <si>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</si>
  <si>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</si>
  <si>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</si>
  <si>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</si>
  <si>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</si>
  <si>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</si>
  <si>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</si>
  <si>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</si>
  <si>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</si>
  <si>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</si>
  <si>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</si>
  <si>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</si>
  <si>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</si>
  <si>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</si>
  <si>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</si>
  <si>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</si>
  <si>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</si>
  <si>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</si>
  <si>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</si>
  <si>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</si>
  <si>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</si>
  <si>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</si>
  <si>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</si>
  <si>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</si>
  <si>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</si>
  <si>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</si>
  <si>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</si>
  <si>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</si>
  <si>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</si>
  <si>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</si>
  <si>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</si>
  <si>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</si>
  <si>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</si>
  <si>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</si>
  <si>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</si>
  <si>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</si>
  <si>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</si>
  <si>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</si>
  <si>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</si>
  <si>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</si>
  <si>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</si>
  <si>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</si>
  <si>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</si>
  <si>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</si>
  <si>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</si>
  <si>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</si>
  <si>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</si>
  <si>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</si>
  <si>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</si>
  <si>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</si>
  <si>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</si>
  <si>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</si>
  <si>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</si>
  <si>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</si>
  <si>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</si>
  <si>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</si>
  <si>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</si>
  <si>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</si>
  <si>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</si>
  <si>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</si>
  <si>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</si>
  <si>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</si>
  <si>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</si>
  <si>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</si>
  <si>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</si>
  <si>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</si>
  <si>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</si>
  <si>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</si>
  <si>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</si>
  <si>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</si>
  <si>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</si>
  <si>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</si>
  <si>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</si>
  <si>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</si>
  <si>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</si>
  <si>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</si>
  <si>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</si>
  <si>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</si>
  <si>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</si>
  <si>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</si>
  <si>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</si>
  <si>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</si>
  <si>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</si>
  <si>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</si>
  <si>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</si>
  <si>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</si>
  <si>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</si>
  <si>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</si>
  <si>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</si>
  <si>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</si>
  <si>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</si>
  <si>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</si>
  <si>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</si>
  <si>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</si>
  <si>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</si>
  <si>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</si>
  <si>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</si>
  <si>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</si>
  <si>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</si>
  <si>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</si>
  <si>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</si>
  <si>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</si>
  <si>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</si>
  <si>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</si>
  <si>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</si>
  <si>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</si>
  <si>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</si>
  <si>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</si>
  <si>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</si>
  <si>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</si>
  <si>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</si>
  <si>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</si>
  <si>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</si>
  <si>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</si>
  <si>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</si>
  <si>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</si>
  <si>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</si>
  <si>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</si>
  <si>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</si>
  <si>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</si>
  <si>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</si>
  <si>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</si>
  <si>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</si>
  <si>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</si>
  <si>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</si>
  <si>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</si>
  <si>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</si>
  <si>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</si>
  <si>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</si>
  <si>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</si>
  <si>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</si>
  <si>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</si>
  <si>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</si>
  <si>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</si>
  <si>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</si>
  <si>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</si>
  <si>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</si>
  <si>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</si>
  <si>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</si>
  <si>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</si>
  <si>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</si>
  <si>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</si>
  <si>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</si>
  <si>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</si>
  <si>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</si>
  <si>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</si>
  <si>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</si>
  <si>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</si>
  <si>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</si>
  <si>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</si>
  <si>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</si>
  <si>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</si>
  <si>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</si>
  <si>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</si>
  <si>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</si>
  <si>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</si>
  <si>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</si>
  <si>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</si>
  <si>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</si>
  <si>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</si>
  <si>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</si>
  <si>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</si>
  <si>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</si>
  <si>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</si>
  <si>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</si>
  <si>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</si>
  <si>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</si>
  <si>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</si>
  <si>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</si>
  <si>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</si>
  <si>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</si>
  <si>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</si>
  <si>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</si>
  <si>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</si>
  <si>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</si>
  <si>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</si>
  <si>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</si>
  <si>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</si>
  <si>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</si>
  <si>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</si>
  <si>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</si>
  <si>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</si>
  <si>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</si>
  <si>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</si>
  <si>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</si>
  <si>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</si>
  <si>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</si>
  <si>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</si>
  <si>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</si>
  <si>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</si>
  <si>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</si>
  <si>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</si>
  <si>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</si>
  <si>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</si>
  <si>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</si>
  <si>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</si>
  <si>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</si>
  <si>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</si>
  <si>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</si>
  <si>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</si>
  <si>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</si>
  <si>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</si>
  <si>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</si>
  <si>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</si>
  <si>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</si>
  <si>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</si>
  <si>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</si>
  <si>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</si>
  <si>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</si>
  <si>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</si>
  <si>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</si>
  <si>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</si>
  <si>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</si>
  <si>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</si>
  <si>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</si>
  <si>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</si>
  <si>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</si>
  <si>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</si>
  <si>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</si>
  <si>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</si>
  <si>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</si>
  <si>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</si>
  <si>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</si>
  <si>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</si>
  <si>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</si>
  <si>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</si>
  <si>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</si>
  <si>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</si>
  <si>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</si>
  <si>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</si>
  <si>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</si>
  <si>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</si>
  <si>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</si>
  <si>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</si>
  <si>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</si>
  <si>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</si>
  <si>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</si>
  <si>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</si>
  <si>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</si>
  <si>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</si>
  <si>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</si>
  <si>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</si>
  <si>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</si>
  <si>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</si>
  <si>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</si>
  <si>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</si>
  <si>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</si>
  <si>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</si>
  <si>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</si>
  <si>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</si>
  <si>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</si>
  <si>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</si>
  <si>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</si>
  <si>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</si>
  <si>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</si>
  <si>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</si>
  <si>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</si>
  <si>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</si>
  <si>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</si>
  <si>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</si>
  <si>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</si>
  <si>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</si>
  <si>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</si>
  <si>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</si>
  <si>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</si>
  <si>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</si>
  <si>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</si>
  <si>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</si>
  <si>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</si>
  <si>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</si>
  <si>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</si>
  <si>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</si>
  <si>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</si>
  <si>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</si>
  <si>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</si>
  <si>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</si>
  <si>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</si>
  <si>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</si>
  <si>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</si>
  <si>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</si>
  <si>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</si>
  <si>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</si>
  <si>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</si>
  <si>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</si>
  <si>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</si>
  <si>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</si>
  <si>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</si>
  <si>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</si>
  <si>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</si>
  <si>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</si>
  <si>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</si>
  <si>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</si>
  <si>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</si>
  <si>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</si>
  <si>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</si>
  <si>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</si>
  <si>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</si>
  <si>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</si>
  <si>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</si>
  <si>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</si>
  <si>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</si>
  <si>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</si>
  <si>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</si>
  <si>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</si>
  <si>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</si>
  <si>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</si>
  <si>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</si>
  <si>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</si>
  <si>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</si>
  <si>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</si>
  <si>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</si>
  <si>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</si>
  <si>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</si>
  <si>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</si>
  <si>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</si>
  <si>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</si>
  <si>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</si>
  <si>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</si>
  <si>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</si>
  <si>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</si>
  <si>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</si>
  <si>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</si>
  <si>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</si>
  <si>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</si>
  <si>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</si>
  <si>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</si>
  <si>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</si>
  <si>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</si>
  <si>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</si>
  <si>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</si>
  <si>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</si>
  <si>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</si>
  <si>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</si>
  <si>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</si>
  <si>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</si>
  <si>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</si>
  <si>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</si>
  <si>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</si>
  <si>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</si>
  <si>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</si>
  <si>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</si>
  <si>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</si>
  <si>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</si>
  <si>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</si>
  <si>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</si>
  <si>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</si>
  <si>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</si>
  <si>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</si>
  <si>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</si>
  <si>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</si>
  <si>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</si>
  <si>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</si>
  <si>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</si>
  <si>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</si>
  <si>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</si>
  <si>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</si>
  <si>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</si>
  <si>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</si>
  <si>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</si>
  <si>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</si>
  <si>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</si>
  <si>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</si>
  <si>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</si>
  <si>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</si>
  <si>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</si>
  <si>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</si>
  <si>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</si>
  <si>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</si>
  <si>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</si>
  <si>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</si>
  <si>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</si>
  <si>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</si>
  <si>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</si>
  <si>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</si>
  <si>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</si>
  <si>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</si>
  <si>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</si>
  <si>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</si>
  <si>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</si>
  <si>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</si>
  <si>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</si>
  <si>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</si>
  <si>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</si>
  <si>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</si>
  <si>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</si>
  <si>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</si>
  <si>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</si>
  <si>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</si>
  <si>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</si>
  <si>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</si>
  <si>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</si>
  <si>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</si>
  <si>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</si>
  <si>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</si>
  <si>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</si>
  <si>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</si>
  <si>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</si>
  <si>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</si>
  <si>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</si>
  <si>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</si>
  <si>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</si>
  <si>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</si>
  <si>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</si>
  <si>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</si>
  <si>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</si>
  <si>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</si>
  <si>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</si>
  <si>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</si>
  <si>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</si>
  <si>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</si>
  <si>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</si>
  <si>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</si>
  <si>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</si>
  <si>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</si>
  <si>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</si>
  <si>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</si>
  <si>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</si>
  <si>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</si>
  <si>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</si>
  <si>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</si>
  <si>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</si>
  <si>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</si>
  <si>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</si>
  <si>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</si>
  <si>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</si>
  <si>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</si>
  <si>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</si>
  <si>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</si>
  <si>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</si>
  <si>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</si>
  <si>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</si>
  <si>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</si>
  <si>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</si>
  <si>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</si>
  <si>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</si>
  <si>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</si>
  <si>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</si>
  <si>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</si>
  <si>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</si>
  <si>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</si>
  <si>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</si>
  <si>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</si>
  <si>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</si>
  <si>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</si>
  <si>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</si>
  <si>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</si>
  <si>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</si>
  <si>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</si>
  <si>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</si>
  <si>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</si>
  <si>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</si>
  <si>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</si>
  <si>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</si>
  <si>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</si>
  <si>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</si>
  <si>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</si>
  <si>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</si>
  <si>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</si>
  <si>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</si>
  <si>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</si>
  <si>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</si>
  <si>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</si>
  <si>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</si>
  <si>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</si>
  <si>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</si>
  <si>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</si>
  <si>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</si>
  <si>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</si>
  <si>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</si>
  <si>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</si>
  <si>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</si>
  <si>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</si>
  <si>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</si>
  <si>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</si>
  <si>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</si>
  <si>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</si>
  <si>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</si>
  <si>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</si>
  <si>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</si>
  <si>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</si>
  <si>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</si>
  <si>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</si>
  <si>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</si>
  <si>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</si>
  <si>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</si>
  <si>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</si>
  <si>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</si>
  <si>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</si>
  <si>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</si>
  <si>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</si>
  <si>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</si>
  <si>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</si>
  <si>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</si>
  <si>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</si>
  <si>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</si>
  <si>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</si>
  <si>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</si>
  <si>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</si>
  <si>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</si>
  <si>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</si>
  <si>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</si>
  <si>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</si>
  <si>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</si>
  <si>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</si>
  <si>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</si>
  <si>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</si>
  <si>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</si>
  <si>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</si>
  <si>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</si>
  <si>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</si>
  <si>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</si>
  <si>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</si>
  <si>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</si>
  <si>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</si>
  <si>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</si>
  <si>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</si>
  <si>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</si>
  <si>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</si>
  <si>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</si>
  <si>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</si>
  <si>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</si>
  <si>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</si>
  <si>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</si>
  <si>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</si>
  <si>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</si>
  <si>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</si>
  <si>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</si>
  <si>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</si>
  <si>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</si>
  <si>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</si>
  <si>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</si>
  <si>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</si>
  <si>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</si>
  <si>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</si>
  <si>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</si>
  <si>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</si>
  <si>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</si>
  <si>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</si>
  <si>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</si>
  <si>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</si>
  <si>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</si>
  <si>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</si>
  <si>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</si>
  <si>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</si>
  <si>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</si>
  <si>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</si>
  <si>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</si>
  <si>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</si>
  <si>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</si>
  <si>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</si>
  <si>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</si>
  <si>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</si>
  <si>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</si>
  <si>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</si>
  <si>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</si>
  <si>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</si>
  <si>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</si>
  <si>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</si>
  <si>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</si>
  <si>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</si>
  <si>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</si>
  <si>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</si>
  <si>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</si>
  <si>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</si>
  <si>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</si>
  <si>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</si>
  <si>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</si>
  <si>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</si>
  <si>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</si>
  <si>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</si>
  <si>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</si>
  <si>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</si>
  <si>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</si>
  <si>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</si>
  <si>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</si>
  <si>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</si>
  <si>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</si>
  <si>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</si>
  <si>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</si>
  <si>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</si>
  <si>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</si>
  <si>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</si>
  <si>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</si>
  <si>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</si>
  <si>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</si>
  <si>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</si>
  <si>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</si>
  <si>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</si>
  <si>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</si>
  <si>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</si>
  <si>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</si>
  <si>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</si>
  <si>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</si>
  <si>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</si>
  <si>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</si>
  <si>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</si>
  <si>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</si>
  <si>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</si>
  <si>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</si>
  <si>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</si>
  <si>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</si>
  <si>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</si>
  <si>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</si>
  <si>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</si>
  <si>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</si>
  <si>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</si>
  <si>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</si>
  <si>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</si>
  <si>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</si>
  <si>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</si>
  <si>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</si>
  <si>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</si>
  <si>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</si>
  <si>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</si>
  <si>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</si>
  <si>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</si>
  <si>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</si>
  <si>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</si>
  <si>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</si>
  <si>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</si>
  <si>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</si>
  <si>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</si>
  <si>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</si>
  <si>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</si>
  <si>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</si>
  <si>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</si>
  <si>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</si>
  <si>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</si>
  <si>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</si>
  <si>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</si>
  <si>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</si>
  <si>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</si>
  <si>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</si>
  <si>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</si>
  <si>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</si>
  <si>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</si>
  <si>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</si>
  <si>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</si>
  <si>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</si>
  <si>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</si>
  <si>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</si>
  <si>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</si>
  <si>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</si>
  <si>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</si>
  <si>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</si>
  <si>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</si>
  <si>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</si>
  <si>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</si>
  <si>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</si>
  <si>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</si>
  <si>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</si>
  <si>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</si>
  <si>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</si>
  <si>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</si>
  <si>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</si>
  <si>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</si>
  <si>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</si>
  <si>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</si>
  <si>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</si>
  <si>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</si>
  <si>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</si>
  <si>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</si>
  <si>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</si>
  <si>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</si>
  <si>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</si>
  <si>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</si>
  <si>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</si>
  <si>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</si>
  <si>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</si>
  <si>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</si>
  <si>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</si>
  <si>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</si>
  <si>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</si>
  <si>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</si>
  <si>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</si>
  <si>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</si>
  <si>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</si>
  <si>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</si>
  <si>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</si>
  <si>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</si>
  <si>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</si>
  <si>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</si>
  <si>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</si>
  <si>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</si>
  <si>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</si>
  <si>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</si>
  <si>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</si>
  <si>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</si>
  <si>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</si>
  <si>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</si>
  <si>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</si>
  <si>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</si>
  <si>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</si>
  <si>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</si>
  <si>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</si>
  <si>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</si>
  <si>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</si>
  <si>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</si>
  <si>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</si>
  <si>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</si>
  <si>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</si>
  <si>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</si>
  <si>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</si>
  <si>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</si>
  <si>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</si>
  <si>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</si>
  <si>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</si>
  <si>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</si>
  <si>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</si>
  <si>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</si>
  <si>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</si>
  <si>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</si>
  <si>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</si>
  <si>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</si>
  <si>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</si>
  <si>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</si>
  <si>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</si>
  <si>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</si>
  <si>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</si>
  <si>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</si>
  <si>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</si>
  <si>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</si>
  <si>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</si>
  <si>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</si>
  <si>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</si>
  <si>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</si>
  <si>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</si>
  <si>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</si>
  <si>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</si>
  <si>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</si>
  <si>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</si>
  <si>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</si>
  <si>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</si>
  <si>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</si>
  <si>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</si>
  <si>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</si>
  <si>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</si>
  <si>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</si>
  <si>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</si>
  <si>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</si>
  <si>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</si>
  <si>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</si>
  <si>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</si>
  <si>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</si>
  <si>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</si>
  <si>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</si>
  <si>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</si>
  <si>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</si>
  <si>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</si>
  <si>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</si>
  <si>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</si>
  <si>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</si>
  <si>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</si>
  <si>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</si>
  <si>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</si>
  <si>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</si>
  <si>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</si>
  <si>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</si>
  <si>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</si>
  <si>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</si>
  <si>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</si>
  <si>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</si>
  <si>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</si>
  <si>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</si>
  <si>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</si>
  <si>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</si>
  <si>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</si>
  <si>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</si>
  <si>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</si>
  <si>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</si>
  <si>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</si>
  <si>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</si>
  <si>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</si>
  <si>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</si>
  <si>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</si>
  <si>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</si>
  <si>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</si>
  <si>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</si>
  <si>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</si>
  <si>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</si>
  <si>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</si>
  <si>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</si>
  <si>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</si>
  <si>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</si>
  <si>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</si>
  <si>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</si>
  <si>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</si>
  <si>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</si>
  <si>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</si>
  <si>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</si>
  <si>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</si>
  <si>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</si>
  <si>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</si>
  <si>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</si>
  <si>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</si>
  <si>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</si>
  <si>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</si>
  <si>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</si>
  <si>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</si>
  <si>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</si>
  <si>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</si>
  <si>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</si>
  <si>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</si>
  <si>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</si>
  <si>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</si>
  <si>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</si>
  <si>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</si>
  <si>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</si>
  <si>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</si>
  <si>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</si>
  <si>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</si>
  <si>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</si>
  <si>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</si>
  <si>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</si>
  <si>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</si>
  <si>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</si>
  <si>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</si>
  <si>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</si>
  <si>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</si>
  <si>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</si>
  <si>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</si>
  <si>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</si>
  <si>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</si>
  <si>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</si>
  <si>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</si>
  <si>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</si>
  <si>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</si>
  <si>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</si>
  <si>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</si>
  <si>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</si>
  <si>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</si>
  <si>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</si>
  <si>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</si>
  <si>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</si>
  <si>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</si>
  <si>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</si>
  <si>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</si>
  <si>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</si>
  <si>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</si>
  <si>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</si>
  <si>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</si>
  <si>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</si>
  <si>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</si>
  <si>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</si>
  <si>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</si>
  <si>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</si>
  <si>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</si>
  <si>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</si>
  <si>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</si>
  <si>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</si>
  <si>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</si>
  <si>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</si>
  <si>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</si>
  <si>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</si>
  <si>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</si>
  <si>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</si>
  <si>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</si>
  <si>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</si>
  <si>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</si>
  <si>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</si>
  <si>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</si>
  <si>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</si>
  <si>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</si>
  <si>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</si>
  <si>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</si>
  <si>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</si>
  <si>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</si>
  <si>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</si>
  <si>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</si>
  <si>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</si>
  <si>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</si>
  <si>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</si>
  <si>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</si>
  <si>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</si>
  <si>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</si>
  <si>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</si>
  <si>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</si>
  <si>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</si>
  <si>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</si>
  <si>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</si>
  <si>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</si>
  <si>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</si>
  <si>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</si>
  <si>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</si>
  <si>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</si>
  <si>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</si>
  <si>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</si>
  <si>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</si>
  <si>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</si>
  <si>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</si>
  <si>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</si>
  <si>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</si>
  <si>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</si>
  <si>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</si>
  <si>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</si>
  <si>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</si>
  <si>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</si>
  <si>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</si>
  <si>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</si>
  <si>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</si>
  <si>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</si>
  <si>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</si>
  <si>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</si>
  <si>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</si>
  <si>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</si>
  <si>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</si>
  <si>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</si>
  <si>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</si>
  <si>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</si>
  <si>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</si>
  <si>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</si>
  <si>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</si>
  <si>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</si>
  <si>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</si>
  <si>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</si>
  <si>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</si>
  <si>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</si>
  <si>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</si>
  <si>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</si>
  <si>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</si>
  <si>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</si>
  <si>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</si>
  <si>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</si>
  <si>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</si>
  <si>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</si>
  <si>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</si>
  <si>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</si>
  <si>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</si>
  <si>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</si>
  <si>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</si>
  <si>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</si>
  <si>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</si>
  <si>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</si>
  <si>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</si>
  <si>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</si>
  <si>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</si>
  <si>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</si>
  <si>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</si>
  <si>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</si>
  <si>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</si>
  <si>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</si>
  <si>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</si>
  <si>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</si>
  <si>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</si>
  <si>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</si>
  <si>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</si>
  <si>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</si>
  <si>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</si>
  <si>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</si>
  <si>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</si>
  <si>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</si>
  <si>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</si>
  <si>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</si>
  <si>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</si>
  <si>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</si>
  <si>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</si>
  <si>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</si>
  <si>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</si>
  <si>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</si>
  <si>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</si>
  <si>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</si>
  <si>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</si>
  <si>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</si>
  <si>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</si>
  <si>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</si>
  <si>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</si>
  <si>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</si>
  <si>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</si>
  <si>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</si>
  <si>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</si>
  <si>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</si>
  <si>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</si>
  <si>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</si>
  <si>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</si>
  <si>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</si>
  <si>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</si>
  <si>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</si>
  <si>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</si>
  <si>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</si>
  <si>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</si>
  <si>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</si>
  <si>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</si>
  <si>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</si>
  <si>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</si>
  <si>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</si>
  <si>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</si>
  <si>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</si>
  <si>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</si>
  <si>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</si>
  <si>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</si>
  <si>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</si>
  <si>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</si>
  <si>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</si>
  <si>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</si>
  <si>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</si>
  <si>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</si>
  <si>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</si>
  <si>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</si>
  <si>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</si>
  <si>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</si>
  <si>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</si>
  <si>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</si>
  <si>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</si>
  <si>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</si>
  <si>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</si>
  <si>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</si>
  <si>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</si>
  <si>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</si>
  <si>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</si>
  <si>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</si>
  <si>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</si>
  <si>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</si>
  <si>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</si>
  <si>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</si>
  <si>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</si>
  <si>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</si>
  <si>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</si>
  <si>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</si>
  <si>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</si>
  <si>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</si>
  <si>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</si>
  <si>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</si>
  <si>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</si>
  <si>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</si>
  <si>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</si>
  <si>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</si>
  <si>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</si>
  <si>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</si>
  <si>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</si>
  <si>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</si>
  <si>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</si>
  <si>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</si>
  <si>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</si>
  <si>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</si>
  <si>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</si>
  <si>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</si>
  <si>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</si>
  <si>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</si>
  <si>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</si>
  <si>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</si>
  <si>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</si>
  <si>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</si>
  <si>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</si>
  <si>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</si>
  <si>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</si>
  <si>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</si>
  <si>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</si>
  <si>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</si>
  <si>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</si>
  <si>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</si>
  <si>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</si>
  <si>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</si>
  <si>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</si>
  <si>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</si>
  <si>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</si>
  <si>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</si>
  <si>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</si>
  <si>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</si>
  <si>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</si>
  <si>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</si>
  <si>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</si>
  <si>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</si>
  <si>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</si>
  <si>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</si>
  <si>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</si>
  <si>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</si>
  <si>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</si>
  <si>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</si>
  <si>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</si>
  <si>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</si>
  <si>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</si>
  <si>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</si>
  <si>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</si>
  <si>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</si>
  <si>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</si>
  <si>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</si>
  <si>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</si>
  <si>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</si>
  <si>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</si>
  <si>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</si>
  <si>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</si>
  <si>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</si>
  <si>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</si>
  <si>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</si>
  <si>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</si>
  <si>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</si>
  <si>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</si>
  <si>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</si>
  <si>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</si>
  <si>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</si>
  <si>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</si>
  <si>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</si>
  <si>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</si>
  <si>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</si>
  <si>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</si>
  <si>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</si>
  <si>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</si>
  <si>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</si>
  <si>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</si>
  <si>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</si>
  <si>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</si>
  <si>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</si>
  <si>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</si>
  <si>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</si>
  <si>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</si>
  <si>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</si>
  <si>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</si>
  <si>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</si>
  <si>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</si>
  <si>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</si>
  <si>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</si>
  <si>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</si>
  <si>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</si>
  <si>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</si>
  <si>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</si>
  <si>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</si>
  <si>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</si>
  <si>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</si>
  <si>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</si>
  <si>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</si>
  <si>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</si>
  <si>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</si>
  <si>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</si>
  <si>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</si>
  <si>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</si>
  <si>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</si>
  <si>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</si>
  <si>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</si>
  <si>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</si>
  <si>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</si>
  <si>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</si>
  <si>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</si>
  <si>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</si>
  <si>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</si>
  <si>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</si>
  <si>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</si>
  <si>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</si>
  <si>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</si>
  <si>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</si>
  <si>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</si>
  <si>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</si>
  <si>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</si>
  <si>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</si>
  <si>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</si>
  <si>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</si>
  <si>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</si>
  <si>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</si>
  <si>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</si>
  <si>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</si>
  <si>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</si>
  <si>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</si>
  <si>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</si>
  <si>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</si>
  <si>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</si>
  <si>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</si>
  <si>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</si>
  <si>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</si>
  <si>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</si>
  <si>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</si>
  <si>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</si>
  <si>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</si>
  <si>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</si>
  <si>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</si>
  <si>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</si>
  <si>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</si>
  <si>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</si>
  <si>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</si>
  <si>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</si>
  <si>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</si>
  <si>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</si>
  <si>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</si>
  <si>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</si>
  <si>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</si>
  <si>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</si>
  <si>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</si>
  <si>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</si>
  <si>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</si>
  <si>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</si>
  <si>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</si>
  <si>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</si>
  <si>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</si>
  <si>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</si>
  <si>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</si>
  <si>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</si>
  <si>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</si>
  <si>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</si>
  <si>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</si>
  <si>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</si>
  <si>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</si>
  <si>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</si>
  <si>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</si>
  <si>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</si>
  <si>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</si>
  <si>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</si>
  <si>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</si>
  <si>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</si>
  <si>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</si>
  <si>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</si>
  <si>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</si>
  <si>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</si>
  <si>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</si>
  <si>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</si>
  <si>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</si>
  <si>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</si>
  <si>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</si>
  <si>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</si>
  <si>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</si>
  <si>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</si>
  <si>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</si>
  <si>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</si>
  <si>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</si>
  <si>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</si>
  <si>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</si>
  <si>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</si>
  <si>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</si>
  <si>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</si>
  <si>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</si>
  <si>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</si>
  <si>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</si>
  <si>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</si>
  <si>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</si>
  <si>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</si>
  <si>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</si>
  <si>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</si>
  <si>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</si>
  <si>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</si>
  <si>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</si>
  <si>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</si>
  <si>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</si>
  <si>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</si>
  <si>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</si>
  <si>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</si>
  <si>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</si>
  <si>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</si>
  <si>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</si>
  <si>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</si>
  <si>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</si>
  <si>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</si>
  <si>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</si>
  <si>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</si>
  <si>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</si>
  <si>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</si>
  <si>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</si>
  <si>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</si>
  <si>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</si>
  <si>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</si>
  <si>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</si>
  <si>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</si>
  <si>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</si>
  <si>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</si>
  <si>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</si>
  <si>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</si>
  <si>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</si>
  <si>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</si>
  <si>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</si>
  <si>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</si>
  <si>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</si>
  <si>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</si>
  <si>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</si>
  <si>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</si>
  <si>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</si>
  <si>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</si>
  <si>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</si>
  <si>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</si>
  <si>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</si>
  <si>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</si>
  <si>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</si>
  <si>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</si>
  <si>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</si>
  <si>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</si>
  <si>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</si>
  <si>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</si>
  <si>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</si>
  <si>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</si>
  <si>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</si>
  <si>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</si>
  <si>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</si>
  <si>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</si>
  <si>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</si>
  <si>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</si>
  <si>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</si>
  <si>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</si>
  <si>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</si>
  <si>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</si>
  <si>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</si>
  <si>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</si>
  <si>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</si>
  <si>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</si>
  <si>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</si>
  <si>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</si>
  <si>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</si>
  <si>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</si>
  <si>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</si>
  <si>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</si>
  <si>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</si>
  <si>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</si>
  <si>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</si>
  <si>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</si>
  <si>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</si>
  <si>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</si>
  <si>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</si>
  <si>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</si>
  <si>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</si>
  <si>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</si>
  <si>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</si>
  <si>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</si>
  <si>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</si>
  <si>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</si>
  <si>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</si>
  <si>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</si>
  <si>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</si>
  <si>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</si>
  <si>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</si>
  <si>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</si>
  <si>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</si>
  <si>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</si>
  <si>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</si>
  <si>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</si>
  <si>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</si>
  <si>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</si>
  <si>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</si>
  <si>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</si>
  <si>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</si>
  <si>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</si>
  <si>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</si>
  <si>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</si>
  <si>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</si>
  <si>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</si>
  <si>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</si>
  <si>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</si>
  <si>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</si>
  <si>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</si>
  <si>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</si>
  <si>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</si>
  <si>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</si>
  <si>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</si>
  <si>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</si>
  <si>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</si>
  <si>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</si>
  <si>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</si>
  <si>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</si>
  <si>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</si>
  <si>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</si>
  <si>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</si>
  <si>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</si>
  <si>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</si>
  <si>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</si>
  <si>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</si>
  <si>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</si>
  <si>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PALO DE BALSO REDONDO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</si>
</sst>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</xdr:colOff>
      <xdr:row>0</xdr:row>
      <xdr:rowOff>180974</xdr:rowOff>
    </xdr:from>
    <xdr:to>
      <xdr:col>24</xdr:col>
      <xdr:colOff>510539</xdr:colOff>
      <xdr:row>4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F2B478-E81E-063B-35F5-F4395D672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181" t="50195" r="4444" b="10894"/>
        <a:stretch>
          <a:fillRect/>
        </a:stretch>
      </xdr:blipFill>
      <xdr:spPr>
        <a:xfrm>
          <a:off x="7905750" y="180974"/>
          <a:ext cx="2225039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IF(E2="","",INDEX(Listas!H2:I30,MATCH(MOSQUITERO!E2,Intructores,0),2))</f>
        <v>#N/A</v>
      </c>
      <c r="P2" s="322"/>
      <c r="Q2" s="322"/>
      <c r="R2" s="323"/>
      <c r="S2" s="397">
        <v>12.5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3371158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8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0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0.2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IFERROR(IF(D10="","",INDEX(Tabla_Completa,MATCH(MOSQUITERO!D10,Materiales,0),7)*S10),"")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IFERROR(IF(D11="","",INDEX(Tabla_Completa,MATCH(MOSQUITERO!D11,Materiales,0),7)*S11),"")</f>
        <v>0</v>
      </c>
      <c r="X11" s="311"/>
      <c r="Y11" s="311"/>
    </row>
    <row r="12" spans="1:31" ht="15.75" customHeight="1">
      <c r="A12" s="298"/>
      <c r="B12" s="299"/>
      <c r="C12" s="300"/>
      <c r="D12" s="394" t="s">
        <v>1390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>
        <v>1</v>
      </c>
      <c r="R12" s="307"/>
      <c r="S12" s="308">
        <f t="shared" si="1"/>
        <v>15</v>
      </c>
      <c r="T12" s="309"/>
      <c r="U12" s="310"/>
      <c r="V12" s="310"/>
      <c r="W12" s="311" t="str">
        <f>IFERROR(IF(D12="","",INDEX(Tabla_Completa,MATCH(MOSQUITERO!D12,Materiales,0),7)*S12),"")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IFERROR(IF(D13="","",INDEX(Tabla_Completa,MATCH(MOSQUITERO!D13,Materiales,0),7)*S13),"")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IFERROR(IF(D14="","",INDEX(Tabla_Completa,MATCH(MOSQUITERO!D14,Materiales,0),7)*S14),"")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IFERROR(IF(D15="","",INDEX(Tabla_Completa,MATCH(MOSQUITERO!D15,Materiales,0),7)*S15),"")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IFERROR(IF(D16="","",INDEX(Tabla_Completa,MATCH(MOSQUITERO!D16,Materiales,0),7)*S16),"")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IFERROR(IF(D17="","",INDEX(Tabla_Completa,MATCH(MOSQUITERO!D17,Materiales,0),7)*S17),"")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IFERROR(IF(D18="","",INDEX(Tabla_Completa,MATCH(MOSQUITERO!D18,Materiales,0),7)*S18),"")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IFERROR(IF(D19="","",INDEX(Tabla_Completa,MATCH(MOSQUITERO!D19,Materiales,0),7)*S19),"")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IFERROR(IF(D20="","",INDEX(Tabla_Completa,MATCH(MOSQUITERO!D20,Materiales,0),7)*S20),"")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IFERROR(IF(D21="","",INDEX(Tabla_Completa,MATCH(MOSQUITERO!D21,Materiales,0),7)*S21),"")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IFERROR(IF(D22="","",INDEX(Tabla_Completa,MATCH(MOSQUITERO!D22,Materiales,0),7)*S22),"")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IFERROR(IF(D23="","",INDEX(Tabla_Completa,MATCH(MOSQUITERO!D23,Materiales,0),7)*S23),"")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IFERROR(IF(D24="","",INDEX(Tabla_Completa,MATCH(MOSQUITERO!D24,Materiales,0),7)*S24),"")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IFERROR(IF(D25="","",INDEX(Tabla_Completa,MATCH(MOSQUITERO!D25,Materiales,0),7)*S25),"")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IFERROR(IF(D26="","",INDEX(Tabla_Completa,MATCH(MOSQUITERO!D26,Materiales,0),7)*S26),"")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IFERROR(IF(D27="","",INDEX(Tabla_Completa,MATCH(MOSQUITERO!D27,Materiales,0),7)*S27),"")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IFERROR(IF(D28="","",INDEX(Tabla_Completa,MATCH(MOSQUITERO!D28,Materiales,0),7)*S28),"")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IFERROR(IF(D29="","",INDEX(Tabla_Completa,MATCH(MOSQUITERO!D29,Materiales,0),7)*S29),"")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IFERROR(IF(D30="","",INDEX(Tabla_Completa,MATCH(MOSQUITERO!D30,Materiales,0),7)*S30),"")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IFERROR(IF(D31="","",INDEX(Tabla_Completa,MATCH(MOSQUITERO!D31,Materiales,0),7)*S31),"")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IF(MOSQUITERO!O1="","",MOSQUITERO!O1)</f>
        <v>45957</v>
      </c>
      <c r="O1" s="489"/>
      <c r="P1" s="427" t="s">
        <v>54</v>
      </c>
      <c r="Q1" s="428"/>
      <c r="R1" s="433" t="str">
        <f>IF(MOSQUITERO!D4="","",MOSQUITERO!D4)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MOSQUITERO!F1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IF(MOSQUITERO!O3="","",MOSQUITERO!O3)</f>
        <v>3371158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IF(MOSQUITERO!O4="","",MOSQUITERO!O4)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IF(MOSQUITERO!D5&lt;= 0,"",MOSQUITERO!D5)</f>
        <v/>
      </c>
      <c r="C8" s="420"/>
      <c r="D8" s="421"/>
      <c r="E8" s="422" t="s">
        <v>61</v>
      </c>
      <c r="F8" s="423"/>
      <c r="G8" s="423"/>
      <c r="H8" s="423"/>
      <c r="I8" s="424"/>
      <c r="J8" s="425" t="str">
        <f>IF(MOSQUITERO!E2="","",MOSQUITERO!E2)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IFERROR(IF(MOSQUITERO!D10="","",MOSQUITERO!D10),"")</f>
        <v>Tinta marroquinera negra</v>
      </c>
      <c r="D12" s="407"/>
      <c r="E12" s="407"/>
      <c r="F12" s="407"/>
      <c r="G12" s="213" t="str">
        <f>IF(MOSQUITERO!O10="","",MOSQUITERO!O10)</f>
        <v>gal</v>
      </c>
      <c r="H12" s="213" cm="1">
        <f t="array" ref="H12">_xlfn.IFS(MOSQUITERO!S10="","",MOSQUITERO!S10&lt;=0,"",MOSQUITERO!S10&gt;0,MOSQUITERO!S10)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IFERROR(_xlfn.IFS(Q12&gt;0,"ENTREGADO",MOSQUITERO!A10="HERRAMIENTAS_","DEVOLUTIVO"),"")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IFERROR(IF(MOSQUITERO!D11="","",MOSQUITERO!D11),"")</f>
        <v>Cemento de contacto</v>
      </c>
      <c r="D13" s="407"/>
      <c r="E13" s="407"/>
      <c r="F13" s="407"/>
      <c r="G13" s="213" t="str">
        <f>IF(MOSQUITERO!O11="","",MOSQUITERO!O11)</f>
        <v>gal</v>
      </c>
      <c r="H13" s="213" cm="1">
        <f t="array" ref="H13">_xlfn.IFS(MOSQUITERO!S11="","",MOSQUITERO!S11&lt;=0,"",MOSQUITERO!S11&gt;0,MOSQUITERO!S11)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IFERROR(_xlfn.IFS(Q13&gt;0,"ENTREGADO",MOSQUITERO!A11="HERRAMIENTAS_","DEVOLUTIVO"),"")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IFERROR(IF(MOSQUITERO!D12="","",MOSQUITERO!D12),"")</f>
        <v>PALO DE BALSO REDONDO #12</v>
      </c>
      <c r="D14" s="407"/>
      <c r="E14" s="407"/>
      <c r="F14" s="407"/>
      <c r="G14" s="213" t="str">
        <f>IF(MOSQUITERO!O12="","",MOSQUITERO!O12)</f>
        <v/>
      </c>
      <c r="H14" s="213" cm="1">
        <f t="array" ref="H14">_xlfn.IFS(MOSQUITERO!S12="","",MOSQUITERO!S12&lt;=0,"",MOSQUITERO!S12&gt;0,MOSQUITERO!S12)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IFERROR(_xlfn.IFS(Q14&gt;0,"ENTREGADO",MOSQUITERO!A12="HERRAMIENTAS_","DEVOLUTIVO"),"")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IFERROR(IF(MOSQUITERO!D13="","",MOSQUITERO!D13),"")</f>
        <v/>
      </c>
      <c r="D15" s="407"/>
      <c r="E15" s="407"/>
      <c r="F15" s="407"/>
      <c r="G15" s="213" t="str">
        <f>IF(MOSQUITERO!O13="","",MOSQUITERO!O13)</f>
        <v/>
      </c>
      <c r="H15" s="213" t="str" cm="1">
        <f t="array" ref="H15">_xlfn.IFS(MOSQUITERO!S13="","",MOSQUITERO!S13&lt;=0,"",MOSQUITERO!S13&gt;0,MOSQUITERO!S13)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IFERROR(_xlfn.IFS(Q15&gt;0,"ENTREGADO",MOSQUITERO!A13="HERRAMIENTAS_","DEVOLUTIVO"),"")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IFERROR(IF(MOSQUITERO!D14="","",MOSQUITERO!D14),"")</f>
        <v/>
      </c>
      <c r="D16" s="407"/>
      <c r="E16" s="407"/>
      <c r="F16" s="407"/>
      <c r="G16" s="213" t="str">
        <f>IF(MOSQUITERO!O14="","",MOSQUITERO!O14)</f>
        <v/>
      </c>
      <c r="H16" s="213" t="str" cm="1">
        <f t="array" ref="H16">_xlfn.IFS(MOSQUITERO!S14="","",MOSQUITERO!S14&lt;=0,"",MOSQUITERO!S14&gt;0,MOSQUITERO!S14)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IFERROR(_xlfn.IFS(Q16&gt;0,"ENTREGADO",MOSQUITERO!A14="HERRAMIENTAS_","DEVOLUTIVO"),"")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IFERROR(IF(MOSQUITERO!D15="","",MOSQUITERO!D15),"")</f>
        <v/>
      </c>
      <c r="D17" s="407"/>
      <c r="E17" s="407"/>
      <c r="F17" s="407"/>
      <c r="G17" s="213" t="str">
        <f>IF(MOSQUITERO!O15="","",MOSQUITERO!O15)</f>
        <v/>
      </c>
      <c r="H17" s="213" t="str" cm="1">
        <f t="array" ref="H17">_xlfn.IFS(MOSQUITERO!S15="","",MOSQUITERO!S15&lt;=0,"",MOSQUITERO!S15&gt;0,MOSQUITERO!S15)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IFERROR(_xlfn.IFS(Q17&gt;0,"ENTREGADO",MOSQUITERO!A15="HERRAMIENTAS_","DEVOLUTIVO"),"")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IFERROR(IF(MOSQUITERO!D16="","",MOSQUITERO!D16),"")</f>
        <v/>
      </c>
      <c r="D18" s="407"/>
      <c r="E18" s="407"/>
      <c r="F18" s="407"/>
      <c r="G18" s="213" t="str">
        <f>IF(MOSQUITERO!O16="","",MOSQUITERO!O16)</f>
        <v/>
      </c>
      <c r="H18" s="213" t="str" cm="1">
        <f t="array" ref="H18">_xlfn.IFS(MOSQUITERO!S16="","",MOSQUITERO!S16&lt;=0,"",MOSQUITERO!S16&gt;0,MOSQUITERO!S16)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IFERROR(_xlfn.IFS(Q18&gt;0,"ENTREGADO",MOSQUITERO!A16="HERRAMIENTAS_","DEVOLUTIVO"),"")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IFERROR(IF(MOSQUITERO!D17="","",MOSQUITERO!D17),"")</f>
        <v/>
      </c>
      <c r="D19" s="407"/>
      <c r="E19" s="407"/>
      <c r="F19" s="407"/>
      <c r="G19" s="213" t="str">
        <f>IF(MOSQUITERO!O17="","",MOSQUITERO!O17)</f>
        <v/>
      </c>
      <c r="H19" s="213" t="str" cm="1">
        <f t="array" ref="H19">_xlfn.IFS(MOSQUITERO!S17="","",MOSQUITERO!S17&lt;=0,"",MOSQUITERO!S17&gt;0,MOSQUITERO!S17)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IFERROR(_xlfn.IFS(Q19&gt;0,"ENTREGADO",MOSQUITERO!A17="HERRAMIENTAS_","DEVOLUTIVO"),"")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IFERROR(IF(MOSQUITERO!D18="","",MOSQUITERO!D18),"")</f>
        <v/>
      </c>
      <c r="D20" s="407"/>
      <c r="E20" s="407"/>
      <c r="F20" s="407"/>
      <c r="G20" s="213" t="str">
        <f>IF(MOSQUITERO!O18="","",MOSQUITERO!O18)</f>
        <v/>
      </c>
      <c r="H20" s="213" t="str" cm="1">
        <f t="array" ref="H20">_xlfn.IFS(MOSQUITERO!S18="","",MOSQUITERO!S18&lt;=0,"",MOSQUITERO!S18&gt;0,MOSQUITERO!S18)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IFERROR(_xlfn.IFS(Q20&gt;0,"ENTREGADO",MOSQUITERO!A18="HERRAMIENTAS_","DEVOLUTIVO"),"")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IFERROR(IF(MOSQUITERO!D19="","",MOSQUITERO!D19),"")</f>
        <v/>
      </c>
      <c r="D21" s="407"/>
      <c r="E21" s="407"/>
      <c r="F21" s="407"/>
      <c r="G21" s="213" t="str">
        <f>IF(MOSQUITERO!O19="","",MOSQUITERO!O19)</f>
        <v/>
      </c>
      <c r="H21" s="213" t="str" cm="1">
        <f t="array" ref="H21">_xlfn.IFS(MOSQUITERO!S19="","",MOSQUITERO!S19&lt;=0,"",MOSQUITERO!S19&gt;0,MOSQUITERO!S19)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IFERROR(_xlfn.IFS(Q21&gt;0,"ENTREGADO",MOSQUITERO!A19="HERRAMIENTAS_","DEVOLUTIVO"),"")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IFERROR(IF(MOSQUITERO!D20="","",MOSQUITERO!D20),"")</f>
        <v/>
      </c>
      <c r="D22" s="407"/>
      <c r="E22" s="407"/>
      <c r="F22" s="407"/>
      <c r="G22" s="213" t="str">
        <f>IF(MOSQUITERO!O20="","",MOSQUITERO!O20)</f>
        <v/>
      </c>
      <c r="H22" s="213" t="str" cm="1">
        <f t="array" ref="H22">_xlfn.IFS(MOSQUITERO!S20="","",MOSQUITERO!S20&lt;=0,"",MOSQUITERO!S20&gt;0,MOSQUITERO!S20)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IFERROR(_xlfn.IFS(Q22&gt;0,"ENTREGADO",MOSQUITERO!A20="HERRAMIENTAS_","DEVOLUTIVO"),"")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IFERROR(IF(MOSQUITERO!D21="","",MOSQUITERO!D21),"")</f>
        <v/>
      </c>
      <c r="D23" s="407"/>
      <c r="E23" s="407"/>
      <c r="F23" s="407"/>
      <c r="G23" s="213" t="str">
        <f>IF(MOSQUITERO!O21="","",MOSQUITERO!O21)</f>
        <v/>
      </c>
      <c r="H23" s="213" t="str" cm="1">
        <f t="array" ref="H23">_xlfn.IFS(MOSQUITERO!S21="","",MOSQUITERO!S21&lt;=0,"",MOSQUITERO!S21&gt;0,MOSQUITERO!S21)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IFERROR(_xlfn.IFS(Q23&gt;0,"ENTREGADO",MOSQUITERO!A21="HERRAMIENTAS_","DEVOLUTIVO"),"")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IFERROR(IF(MOSQUITERO!D22="","",MOSQUITERO!D22),"")</f>
        <v/>
      </c>
      <c r="D24" s="407"/>
      <c r="E24" s="407"/>
      <c r="F24" s="407"/>
      <c r="G24" s="213" t="str">
        <f>IF(MOSQUITERO!O22="","",MOSQUITERO!O22)</f>
        <v/>
      </c>
      <c r="H24" s="213" t="str" cm="1">
        <f t="array" ref="H24">_xlfn.IFS(MOSQUITERO!S22="","",MOSQUITERO!S22&lt;=0,"",MOSQUITERO!S22&gt;0,MOSQUITERO!S22)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IFERROR(_xlfn.IFS(Q24&gt;0,"ENTREGADO",MOSQUITERO!A22="HERRAMIENTAS_","DEVOLUTIVO"),"")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IFERROR(IF(MOSQUITERO!D23="","",MOSQUITERO!D23),"")</f>
        <v/>
      </c>
      <c r="D25" s="407"/>
      <c r="E25" s="407"/>
      <c r="F25" s="407"/>
      <c r="G25" s="213" t="str">
        <f>IF(MOSQUITERO!O23="","",MOSQUITERO!O23)</f>
        <v/>
      </c>
      <c r="H25" s="213" t="str" cm="1">
        <f t="array" ref="H25">_xlfn.IFS(MOSQUITERO!S23="","",MOSQUITERO!S23&lt;=0,"",MOSQUITERO!S23&gt;0,MOSQUITERO!S23)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IFERROR(_xlfn.IFS(Q25&gt;0,"ENTREGADO",MOSQUITERO!A23="HERRAMIENTAS_","DEVOLUTIVO"),"")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IFERROR(IF(MOSQUITERO!D24="","",MOSQUITERO!D24),"")</f>
        <v/>
      </c>
      <c r="D26" s="407"/>
      <c r="E26" s="407"/>
      <c r="F26" s="407"/>
      <c r="G26" s="213" t="str">
        <f>IF(MOSQUITERO!O24="","",MOSQUITERO!O24)</f>
        <v/>
      </c>
      <c r="H26" s="213" t="str" cm="1">
        <f t="array" ref="H26">_xlfn.IFS(MOSQUITERO!S24="","",MOSQUITERO!S24&lt;=0,"",MOSQUITERO!S24&gt;0,MOSQUITERO!S24)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IFERROR(_xlfn.IFS(Q26&gt;0,"ENTREGADO",MOSQUITERO!A24="HERRAMIENTAS_","DEVOLUTIVO"),"")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IFERROR(IF(MOSQUITERO!D25="","",MOSQUITERO!D25),"")</f>
        <v/>
      </c>
      <c r="D27" s="407"/>
      <c r="E27" s="407"/>
      <c r="F27" s="407"/>
      <c r="G27" s="213" t="str">
        <f>IF(MOSQUITERO!O25="","",MOSQUITERO!O25)</f>
        <v/>
      </c>
      <c r="H27" s="213" t="str" cm="1">
        <f t="array" ref="H27">_xlfn.IFS(MOSQUITERO!S25="","",MOSQUITERO!S25&lt;=0,"",MOSQUITERO!S25&gt;0,MOSQUITERO!S25)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IFERROR(_xlfn.IFS(Q27&gt;0,"ENTREGADO",MOSQUITERO!A25="HERRAMIENTAS_","DEVOLUTIVO"),"")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IFERROR(IF(MOSQUITERO!D26="","",MOSQUITERO!D26),"")</f>
        <v/>
      </c>
      <c r="D28" s="407"/>
      <c r="E28" s="407"/>
      <c r="F28" s="407"/>
      <c r="G28" s="213" t="str">
        <f>IF(MOSQUITERO!O26="","",MOSQUITERO!O26)</f>
        <v/>
      </c>
      <c r="H28" s="213" t="str" cm="1">
        <f t="array" ref="H28">_xlfn.IFS(MOSQUITERO!S26="","",MOSQUITERO!S26&lt;=0,"",MOSQUITERO!S26&gt;0,MOSQUITERO!S26)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IFERROR(_xlfn.IFS(Q28&gt;0,"ENTREGADO",MOSQUITERO!A26="HERRAMIENTAS_","DEVOLUTIVO"),"")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IFERROR(IF(MOSQUITERO!D27="","",MOSQUITERO!D27),"")</f>
        <v/>
      </c>
      <c r="D29" s="407"/>
      <c r="E29" s="407"/>
      <c r="F29" s="407"/>
      <c r="G29" s="213" t="str">
        <f>IF(MOSQUITERO!O27="","",MOSQUITERO!O27)</f>
        <v/>
      </c>
      <c r="H29" s="213" t="str" cm="1">
        <f t="array" ref="H29">_xlfn.IFS(MOSQUITERO!S27="","",MOSQUITERO!S27&lt;=0,"",MOSQUITERO!S27&gt;0,MOSQUITERO!S27)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IFERROR(_xlfn.IFS(Q29&gt;0,"ENTREGADO",MOSQUITERO!A27="HERRAMIENTAS_","DEVOLUTIVO"),"")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IFERROR(IF(MOSQUITERO!D28="","",MOSQUITERO!D28),"")</f>
        <v/>
      </c>
      <c r="D30" s="407"/>
      <c r="E30" s="407"/>
      <c r="F30" s="407"/>
      <c r="G30" s="213" t="str">
        <f>IF(MOSQUITERO!O28="","",MOSQUITERO!O28)</f>
        <v/>
      </c>
      <c r="H30" s="213" t="str" cm="1">
        <f t="array" ref="H30">_xlfn.IFS(MOSQUITERO!S28="","",MOSQUITERO!S28&lt;=0,"",MOSQUITERO!S28&gt;0,MOSQUITERO!S28)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IFERROR(_xlfn.IFS(Q30&gt;0,"ENTREGADO",MOSQUITERO!A28="HERRAMIENTAS_","DEVOLUTIVO"),"")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IFERROR(IF(MOSQUITERO!D29="","",MOSQUITERO!D29),"")</f>
        <v/>
      </c>
      <c r="D31" s="407"/>
      <c r="E31" s="407"/>
      <c r="F31" s="407"/>
      <c r="G31" s="213" t="str">
        <f>IF(MOSQUITERO!O29="","",MOSQUITERO!O29)</f>
        <v/>
      </c>
      <c r="H31" s="213" t="str" cm="1">
        <f t="array" ref="H31">_xlfn.IFS(MOSQUITERO!S29="","",MOSQUITERO!S29&lt;=0,"",MOSQUITERO!S29&gt;0,MOSQUITERO!S29)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IFERROR(_xlfn.IFS(Q31&gt;0,"ENTREGADO",MOSQUITERO!A29="HERRAMIENTAS_","DEVOLUTIVO"),"")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IFERROR(IF(MOSQUITERO!D30="","",MOSQUITERO!D30),"")</f>
        <v/>
      </c>
      <c r="D32" s="407"/>
      <c r="E32" s="407"/>
      <c r="F32" s="407"/>
      <c r="G32" s="213" t="str">
        <f>IF(MOSQUITERO!O30="","",MOSQUITERO!O30)</f>
        <v/>
      </c>
      <c r="H32" s="213" t="str" cm="1">
        <f t="array" ref="H32">_xlfn.IFS(MOSQUITERO!S30="","",MOSQUITERO!S30&lt;=0,"",MOSQUITERO!S30&gt;0,MOSQUITERO!S30)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IFERROR(_xlfn.IFS(Q32&gt;0,"ENTREGADO",MOSQUITERO!A30="HERRAMIENTAS_","DEVOLUTIVO"),"")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MOSQUITERO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