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NA\PEDIDOS\betania\productos en cuero\"/>
    </mc:Choice>
  </mc:AlternateContent>
  <xr:revisionPtr revIDLastSave="0" documentId="13_ncr:1_{B20EF686-9077-4054-9F89-6ED812819791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portacarnet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J1172" i="38" s="1"/>
  <c r="A1173" i="38"/>
  <c r="A1174" i="38" s="1"/>
  <c r="A1175" i="38" s="1"/>
  <c r="A1176" i="38" s="1"/>
  <c r="J1176" i="38" s="1"/>
  <c r="J1110" i="38"/>
  <c r="J661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A1282" i="38" s="1"/>
  <c r="J1280" i="38"/>
  <c r="J1279" i="38"/>
  <c r="W13" i="43"/>
  <c r="A1113" i="38"/>
  <c r="J1113" i="38" s="1"/>
  <c r="J230" i="38"/>
  <c r="A1177" i="38"/>
  <c r="A1178" i="38" s="1"/>
  <c r="A1179" i="38" s="1"/>
  <c r="J240" i="38"/>
  <c r="J231" i="38"/>
  <c r="A1333" i="38"/>
  <c r="A1334" i="38" s="1"/>
  <c r="J241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256" i="38"/>
  <c r="J281" i="38"/>
  <c r="J1174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663" i="38" l="1"/>
  <c r="J662" i="38"/>
  <c r="J1281" i="38"/>
  <c r="J1333" i="38"/>
  <c r="J1173" i="38"/>
  <c r="J1177" i="38"/>
  <c r="J1175" i="38"/>
  <c r="A617" i="38"/>
  <c r="J1179" i="38"/>
  <c r="A1180" i="38"/>
  <c r="J1178" i="38"/>
  <c r="J1282" i="38"/>
  <c r="A1283" i="38"/>
  <c r="A66" i="38"/>
  <c r="J65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617" i="38" l="1"/>
  <c r="A618" i="38"/>
  <c r="A664" i="38"/>
  <c r="J663" i="38"/>
  <c r="J1335" i="38"/>
  <c r="A1336" i="38"/>
  <c r="A1115" i="38"/>
  <c r="J1114" i="38"/>
  <c r="A1284" i="38"/>
  <c r="J1283" i="38"/>
  <c r="A67" i="38"/>
  <c r="J66" i="38"/>
  <c r="A1422" i="38"/>
  <c r="J1421" i="38"/>
  <c r="J1180" i="38"/>
  <c r="A1181" i="38"/>
  <c r="A11" i="38"/>
  <c r="J10" i="38"/>
  <c r="D5" i="43"/>
  <c r="B8" i="61" s="1"/>
  <c r="J664" i="38" l="1"/>
  <c r="A665" i="38"/>
  <c r="A619" i="38"/>
  <c r="J618" i="38"/>
  <c r="J1422" i="38"/>
  <c r="A1423" i="38"/>
  <c r="J1115" i="38"/>
  <c r="A1116" i="38"/>
  <c r="J1181" i="38"/>
  <c r="A1182" i="38"/>
  <c r="J67" i="38"/>
  <c r="A68" i="38"/>
  <c r="A1285" i="38"/>
  <c r="J1284" i="38"/>
  <c r="A1337" i="38"/>
  <c r="J1336" i="38"/>
  <c r="J11" i="38"/>
  <c r="A12" i="38"/>
  <c r="O5" i="43"/>
  <c r="J619" i="38" l="1"/>
  <c r="A620" i="38"/>
  <c r="J665" i="38"/>
  <c r="A666" i="38"/>
  <c r="A1338" i="38"/>
  <c r="J1337" i="38"/>
  <c r="A1183" i="38"/>
  <c r="J1182" i="38"/>
  <c r="A69" i="38"/>
  <c r="J68" i="38"/>
  <c r="J1116" i="38"/>
  <c r="A1117" i="38"/>
  <c r="A1286" i="38"/>
  <c r="J1285" i="38"/>
  <c r="A13" i="38"/>
  <c r="J12" i="38"/>
  <c r="A1424" i="38"/>
  <c r="J1423" i="38"/>
  <c r="A667" i="38" l="1"/>
  <c r="J666" i="38"/>
  <c r="A621" i="38"/>
  <c r="J620" i="38"/>
  <c r="A1425" i="38"/>
  <c r="J1424" i="38"/>
  <c r="A14" i="38"/>
  <c r="J13" i="38"/>
  <c r="A70" i="38"/>
  <c r="J69" i="38"/>
  <c r="J1286" i="38"/>
  <c r="A1287" i="38"/>
  <c r="A1184" i="38"/>
  <c r="J1183" i="38"/>
  <c r="A1118" i="38"/>
  <c r="J1117" i="38"/>
  <c r="A1339" i="38"/>
  <c r="J1338" i="38"/>
  <c r="A622" i="38" l="1"/>
  <c r="J621" i="38"/>
  <c r="A668" i="38"/>
  <c r="J667" i="38"/>
  <c r="A1119" i="38"/>
  <c r="J1118" i="38"/>
  <c r="A15" i="38"/>
  <c r="J14" i="38"/>
  <c r="J70" i="38"/>
  <c r="A71" i="38"/>
  <c r="A1185" i="38"/>
  <c r="J1184" i="38"/>
  <c r="A1288" i="38"/>
  <c r="J1287" i="38"/>
  <c r="A1340" i="38"/>
  <c r="J1339" i="38"/>
  <c r="J1425" i="38"/>
  <c r="A1426" i="38"/>
  <c r="A669" i="38" l="1"/>
  <c r="J668" i="38"/>
  <c r="A623" i="38"/>
  <c r="J622" i="38"/>
  <c r="A1289" i="38"/>
  <c r="J1288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A624" i="38" l="1"/>
  <c r="J623" i="38"/>
  <c r="J669" i="38"/>
  <c r="A670" i="38"/>
  <c r="J1427" i="38"/>
  <c r="A1428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71" i="38" l="1"/>
  <c r="J670" i="38"/>
  <c r="J624" i="38"/>
  <c r="A625" i="38"/>
  <c r="A74" i="38"/>
  <c r="J73" i="38"/>
  <c r="J17" i="38"/>
  <c r="A18" i="38"/>
  <c r="A1122" i="38"/>
  <c r="J1121" i="38"/>
  <c r="A1291" i="38"/>
  <c r="J1290" i="38"/>
  <c r="A1343" i="38"/>
  <c r="J1342" i="38"/>
  <c r="J1428" i="38"/>
  <c r="A1429" i="38"/>
  <c r="A1188" i="38"/>
  <c r="J1187" i="38"/>
  <c r="J625" i="38" l="1"/>
  <c r="A626" i="38"/>
  <c r="A672" i="38"/>
  <c r="J671" i="38"/>
  <c r="A1123" i="38"/>
  <c r="J1122" i="38"/>
  <c r="J18" i="38"/>
  <c r="A19" i="38"/>
  <c r="J1291" i="38"/>
  <c r="A1292" i="38"/>
  <c r="A1430" i="38"/>
  <c r="J1429" i="38"/>
  <c r="J1188" i="38"/>
  <c r="A1189" i="38"/>
  <c r="A1344" i="38"/>
  <c r="J1343" i="38"/>
  <c r="A75" i="38"/>
  <c r="J74" i="38"/>
  <c r="A673" i="38" l="1"/>
  <c r="J672" i="38"/>
  <c r="A627" i="38"/>
  <c r="J626" i="38"/>
  <c r="J1292" i="38"/>
  <c r="A1293" i="38"/>
  <c r="A1345" i="38"/>
  <c r="J1344" i="38"/>
  <c r="J19" i="38"/>
  <c r="A20" i="38"/>
  <c r="J1189" i="38"/>
  <c r="A1190" i="38"/>
  <c r="J75" i="38"/>
  <c r="A76" i="38"/>
  <c r="J1430" i="38"/>
  <c r="A1431" i="38"/>
  <c r="A1124" i="38"/>
  <c r="J1123" i="38"/>
  <c r="A628" i="38" l="1"/>
  <c r="J627" i="38"/>
  <c r="A674" i="38"/>
  <c r="J673" i="38"/>
  <c r="A1432" i="38"/>
  <c r="J1431" i="38"/>
  <c r="A1346" i="38"/>
  <c r="J1345" i="38"/>
  <c r="J1190" i="38"/>
  <c r="A1191" i="38"/>
  <c r="A1294" i="38"/>
  <c r="J1293" i="38"/>
  <c r="J76" i="38"/>
  <c r="A77" i="38"/>
  <c r="A1125" i="38"/>
  <c r="J1124" i="38"/>
  <c r="A675" i="38" l="1"/>
  <c r="J674" i="38"/>
  <c r="A629" i="38"/>
  <c r="J628" i="38"/>
  <c r="J1346" i="38"/>
  <c r="A1347" i="38"/>
  <c r="A78" i="38"/>
  <c r="J77" i="38"/>
  <c r="J1191" i="38"/>
  <c r="A1192" i="38"/>
  <c r="J1125" i="38"/>
  <c r="A1126" i="38"/>
  <c r="J1294" i="38"/>
  <c r="A1295" i="38"/>
  <c r="J1432" i="38"/>
  <c r="A1433" i="38"/>
  <c r="J629" i="38" l="1"/>
  <c r="A630" i="38"/>
  <c r="A676" i="38"/>
  <c r="J675" i="38"/>
  <c r="A1434" i="38"/>
  <c r="J1433" i="38"/>
  <c r="A79" i="38"/>
  <c r="J78" i="38"/>
  <c r="A1296" i="38"/>
  <c r="J1295" i="38"/>
  <c r="A1127" i="38"/>
  <c r="J1126" i="38"/>
  <c r="A1348" i="38"/>
  <c r="J1347" i="38"/>
  <c r="A1193" i="38"/>
  <c r="J1192" i="38"/>
  <c r="A677" i="38" l="1"/>
  <c r="J676" i="38"/>
  <c r="A631" i="38"/>
  <c r="J630" i="38"/>
  <c r="A1194" i="38"/>
  <c r="J1193" i="38"/>
  <c r="J79" i="38"/>
  <c r="A80" i="38"/>
  <c r="J1348" i="38"/>
  <c r="A1349" i="38"/>
  <c r="A1297" i="38"/>
  <c r="J1296" i="38"/>
  <c r="J1127" i="38"/>
  <c r="A1128" i="38"/>
  <c r="A1435" i="38"/>
  <c r="J1434" i="38"/>
  <c r="J631" i="38" l="1"/>
  <c r="A632" i="38"/>
  <c r="A678" i="38"/>
  <c r="J677" i="38"/>
  <c r="A1129" i="38"/>
  <c r="J1128" i="38"/>
  <c r="J80" i="38"/>
  <c r="A81" i="38"/>
  <c r="A1350" i="38"/>
  <c r="J1349" i="38"/>
  <c r="A1436" i="38"/>
  <c r="J1435" i="38"/>
  <c r="A1298" i="38"/>
  <c r="J1297" i="38"/>
  <c r="A1195" i="38"/>
  <c r="J1194" i="38"/>
  <c r="A679" i="38" l="1"/>
  <c r="J678" i="38"/>
  <c r="A633" i="38"/>
  <c r="J632" i="38"/>
  <c r="A1196" i="38"/>
  <c r="J1195" i="38"/>
  <c r="A1351" i="38"/>
  <c r="J1350" i="38"/>
  <c r="A82" i="38"/>
  <c r="J81" i="38"/>
  <c r="A1299" i="38"/>
  <c r="J1298" i="38"/>
  <c r="A1437" i="38"/>
  <c r="J1436" i="38"/>
  <c r="A1130" i="38"/>
  <c r="J1129" i="38"/>
  <c r="J633" i="38" l="1"/>
  <c r="A634" i="38"/>
  <c r="J679" i="38"/>
  <c r="A680" i="38"/>
  <c r="J1130" i="38"/>
  <c r="A1131" i="38"/>
  <c r="A1300" i="38"/>
  <c r="J1299" i="38"/>
  <c r="A1438" i="38"/>
  <c r="J1437" i="38"/>
  <c r="J82" i="38"/>
  <c r="A83" i="38"/>
  <c r="J1351" i="38"/>
  <c r="A1352" i="38"/>
  <c r="A1197" i="38"/>
  <c r="J1196" i="38"/>
  <c r="A681" i="38" l="1"/>
  <c r="J680" i="38"/>
  <c r="A635" i="38"/>
  <c r="J634" i="38"/>
  <c r="J1438" i="38"/>
  <c r="A1439" i="38"/>
  <c r="A1301" i="38"/>
  <c r="J1300" i="38"/>
  <c r="J1352" i="38"/>
  <c r="A1353" i="38"/>
  <c r="A1132" i="38"/>
  <c r="J1131" i="38"/>
  <c r="J83" i="38"/>
  <c r="A84" i="38"/>
  <c r="A1198" i="38"/>
  <c r="J1197" i="38"/>
  <c r="J635" i="38" l="1"/>
  <c r="A636" i="38"/>
  <c r="A682" i="38"/>
  <c r="J681" i="38"/>
  <c r="A1199" i="38"/>
  <c r="J1198" i="38"/>
  <c r="A1302" i="38"/>
  <c r="A1303" i="38" s="1"/>
  <c r="J1301" i="38"/>
  <c r="A85" i="38"/>
  <c r="J84" i="38"/>
  <c r="J1353" i="38"/>
  <c r="A1354" i="38"/>
  <c r="A1440" i="38"/>
  <c r="J1439" i="38"/>
  <c r="J1132" i="38"/>
  <c r="A1133" i="38"/>
  <c r="A683" i="38" l="1"/>
  <c r="J682" i="38"/>
  <c r="J636" i="38"/>
  <c r="A637" i="38"/>
  <c r="A86" i="38"/>
  <c r="J85" i="38"/>
  <c r="A1441" i="38"/>
  <c r="J1440" i="38"/>
  <c r="A1304" i="38"/>
  <c r="J1303" i="38"/>
  <c r="A1355" i="38"/>
  <c r="J1354" i="38"/>
  <c r="J1133" i="38"/>
  <c r="A1134" i="38"/>
  <c r="A1200" i="38"/>
  <c r="J1199" i="38"/>
  <c r="J637" i="38" l="1"/>
  <c r="A638" i="38"/>
  <c r="J638" i="38" s="1"/>
  <c r="A684" i="38"/>
  <c r="J683" i="38"/>
  <c r="A1201" i="38"/>
  <c r="J1200" i="38"/>
  <c r="A1442" i="38"/>
  <c r="J1441" i="38"/>
  <c r="J1134" i="38"/>
  <c r="A1135" i="38"/>
  <c r="A1305" i="38"/>
  <c r="J1304" i="38"/>
  <c r="A1356" i="38"/>
  <c r="J1355" i="38"/>
  <c r="A87" i="38"/>
  <c r="J86" i="38"/>
  <c r="A685" i="38" l="1"/>
  <c r="J684" i="38"/>
  <c r="A1306" i="38"/>
  <c r="J1305" i="38"/>
  <c r="A1357" i="38"/>
  <c r="J1356" i="38"/>
  <c r="A1443" i="38"/>
  <c r="J1442" i="38"/>
  <c r="A1136" i="38"/>
  <c r="J1135" i="38"/>
  <c r="A88" i="38"/>
  <c r="J87" i="38"/>
  <c r="A1202" i="38"/>
  <c r="J1201" i="38"/>
  <c r="J685" i="38" l="1"/>
  <c r="A686" i="38"/>
  <c r="A1137" i="38"/>
  <c r="J1136" i="38"/>
  <c r="A1203" i="38"/>
  <c r="J1202" i="38"/>
  <c r="J1443" i="38"/>
  <c r="A1444" i="38"/>
  <c r="A1358" i="38"/>
  <c r="J1357" i="38"/>
  <c r="A89" i="38"/>
  <c r="J88" i="38"/>
  <c r="A1307" i="38"/>
  <c r="J1306" i="38"/>
  <c r="J686" i="38" l="1"/>
  <c r="A687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688" i="38" l="1"/>
  <c r="J687" i="38"/>
  <c r="A1205" i="38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89" i="38" l="1"/>
  <c r="J688" i="38"/>
  <c r="A1447" i="38"/>
  <c r="J1446" i="38"/>
  <c r="J1360" i="38"/>
  <c r="A1361" i="38"/>
  <c r="J91" i="38"/>
  <c r="A92" i="38"/>
  <c r="A1311" i="38"/>
  <c r="J1310" i="38"/>
  <c r="J1139" i="38"/>
  <c r="A1140" i="38"/>
  <c r="A1206" i="38"/>
  <c r="J1205" i="38"/>
  <c r="A690" i="38" l="1"/>
  <c r="J689" i="38"/>
  <c r="A1141" i="38"/>
  <c r="J1140" i="38"/>
  <c r="A93" i="38"/>
  <c r="J92" i="38"/>
  <c r="A1362" i="38"/>
  <c r="J1361" i="38"/>
  <c r="J1206" i="38"/>
  <c r="A1207" i="38"/>
  <c r="A1312" i="38"/>
  <c r="J1311" i="38"/>
  <c r="A1448" i="38"/>
  <c r="J1447" i="38"/>
  <c r="J690" i="38" l="1"/>
  <c r="A691" i="38"/>
  <c r="A1363" i="38"/>
  <c r="J1362" i="38"/>
  <c r="A1208" i="38"/>
  <c r="J1207" i="38"/>
  <c r="A1313" i="38"/>
  <c r="J1312" i="38"/>
  <c r="A94" i="38"/>
  <c r="J93" i="38"/>
  <c r="J1448" i="38"/>
  <c r="A1449" i="38"/>
  <c r="A1142" i="38"/>
  <c r="J1141" i="38"/>
  <c r="A692" i="38" l="1"/>
  <c r="J691" i="38"/>
  <c r="J1142" i="38"/>
  <c r="A1143" i="38"/>
  <c r="A1209" i="38"/>
  <c r="J1208" i="38"/>
  <c r="A1314" i="38"/>
  <c r="J1313" i="38"/>
  <c r="A1450" i="38"/>
  <c r="J1449" i="38"/>
  <c r="A95" i="38"/>
  <c r="J94" i="38"/>
  <c r="J1363" i="38"/>
  <c r="A1364" i="38"/>
  <c r="A693" i="38" l="1"/>
  <c r="J692" i="38"/>
  <c r="A1315" i="38"/>
  <c r="J1314" i="38"/>
  <c r="J1209" i="38"/>
  <c r="A1210" i="38"/>
  <c r="A96" i="38"/>
  <c r="J95" i="38"/>
  <c r="J1450" i="38"/>
  <c r="A1451" i="38"/>
  <c r="A1365" i="38"/>
  <c r="J1364" i="38"/>
  <c r="A1144" i="38"/>
  <c r="J1143" i="38"/>
  <c r="A694" i="38" l="1"/>
  <c r="J693" i="38"/>
  <c r="A1145" i="38"/>
  <c r="J1144" i="38"/>
  <c r="A97" i="38"/>
  <c r="J96" i="38"/>
  <c r="J1365" i="38"/>
  <c r="A1366" i="38"/>
  <c r="J1451" i="38"/>
  <c r="A1452" i="38"/>
  <c r="J1210" i="38"/>
  <c r="A1211" i="38"/>
  <c r="A1316" i="38"/>
  <c r="J1316" i="38" s="1"/>
  <c r="J1315" i="38"/>
  <c r="A695" i="38" l="1"/>
  <c r="J694" i="38"/>
  <c r="J1366" i="38"/>
  <c r="A1367" i="38"/>
  <c r="A98" i="38"/>
  <c r="J97" i="38"/>
  <c r="A1212" i="38"/>
  <c r="J1211" i="38"/>
  <c r="A1453" i="38"/>
  <c r="J1452" i="38"/>
  <c r="J1145" i="38"/>
  <c r="A1146" i="38"/>
  <c r="A696" i="38" l="1"/>
  <c r="J695" i="38"/>
  <c r="A1213" i="38"/>
  <c r="J1212" i="38"/>
  <c r="A99" i="38"/>
  <c r="J98" i="38"/>
  <c r="A1454" i="38"/>
  <c r="J1453" i="38"/>
  <c r="J1146" i="38"/>
  <c r="A1147" i="38"/>
  <c r="J1367" i="38"/>
  <c r="A1368" i="38"/>
  <c r="A697" i="38" l="1"/>
  <c r="J696" i="38"/>
  <c r="J1454" i="38"/>
  <c r="A1455" i="38"/>
  <c r="J1147" i="38"/>
  <c r="A1148" i="38"/>
  <c r="A100" i="38"/>
  <c r="J99" i="38"/>
  <c r="J1368" i="38"/>
  <c r="A1369" i="38"/>
  <c r="A1214" i="38"/>
  <c r="J1213" i="38"/>
  <c r="J697" i="38" l="1"/>
  <c r="A698" i="38"/>
  <c r="A101" i="38"/>
  <c r="J100" i="38"/>
  <c r="A1149" i="38"/>
  <c r="J1148" i="38"/>
  <c r="A1215" i="38"/>
  <c r="J1214" i="38"/>
  <c r="A1370" i="38"/>
  <c r="J1369" i="38"/>
  <c r="A1456" i="38"/>
  <c r="J1455" i="38"/>
  <c r="A699" i="38" l="1"/>
  <c r="J698" i="38"/>
  <c r="J1215" i="38"/>
  <c r="A1216" i="38"/>
  <c r="A1457" i="38"/>
  <c r="J1456" i="38"/>
  <c r="A1150" i="38"/>
  <c r="J1149" i="38"/>
  <c r="A1371" i="38"/>
  <c r="J1370" i="38"/>
  <c r="A102" i="38"/>
  <c r="J101" i="38"/>
  <c r="A700" i="38" l="1"/>
  <c r="J699" i="38"/>
  <c r="A1151" i="38"/>
  <c r="J1151" i="38" s="1"/>
  <c r="J1150" i="38"/>
  <c r="A1458" i="38"/>
  <c r="J1457" i="38"/>
  <c r="J102" i="38"/>
  <c r="A103" i="38"/>
  <c r="J1216" i="38"/>
  <c r="A1217" i="38"/>
  <c r="A1372" i="38"/>
  <c r="J1371" i="38"/>
  <c r="A701" i="38" l="1"/>
  <c r="J700" i="38"/>
  <c r="J1217" i="38"/>
  <c r="A1218" i="38"/>
  <c r="J103" i="38"/>
  <c r="A104" i="38"/>
  <c r="A1373" i="38"/>
  <c r="J1372" i="38"/>
  <c r="A1459" i="38"/>
  <c r="J1458" i="38"/>
  <c r="J701" i="38" l="1"/>
  <c r="A702" i="38"/>
  <c r="J1373" i="38"/>
  <c r="A1374" i="38"/>
  <c r="A105" i="38"/>
  <c r="J104" i="38"/>
  <c r="A1219" i="38"/>
  <c r="J1218" i="38"/>
  <c r="J1459" i="38"/>
  <c r="A1460" i="38"/>
  <c r="A703" i="38" l="1"/>
  <c r="J702" i="38"/>
  <c r="A1220" i="38"/>
  <c r="J1219" i="38"/>
  <c r="A106" i="38"/>
  <c r="J105" i="38"/>
  <c r="A1461" i="38"/>
  <c r="J1460" i="38"/>
  <c r="A1375" i="38"/>
  <c r="J1374" i="38"/>
  <c r="A704" i="38" l="1"/>
  <c r="J703" i="38"/>
  <c r="J1461" i="38"/>
  <c r="A1462" i="38"/>
  <c r="J106" i="38"/>
  <c r="A107" i="38"/>
  <c r="A1376" i="38"/>
  <c r="J1375" i="38"/>
  <c r="A1221" i="38"/>
  <c r="J1220" i="38"/>
  <c r="A705" i="38" l="1"/>
  <c r="J704" i="38"/>
  <c r="J1221" i="38"/>
  <c r="A1222" i="38"/>
  <c r="J1376" i="38"/>
  <c r="A1377" i="38"/>
  <c r="J107" i="38"/>
  <c r="A108" i="38"/>
  <c r="A1463" i="38"/>
  <c r="J1462" i="38"/>
  <c r="J705" i="38" l="1"/>
  <c r="A706" i="38"/>
  <c r="A109" i="38"/>
  <c r="J108" i="38"/>
  <c r="J1377" i="38"/>
  <c r="A1378" i="38"/>
  <c r="J1222" i="38"/>
  <c r="A1223" i="38"/>
  <c r="A1464" i="38"/>
  <c r="J1463" i="38"/>
  <c r="J706" i="38" l="1"/>
  <c r="A707" i="38"/>
  <c r="A1224" i="38"/>
  <c r="J1223" i="38"/>
  <c r="J1378" i="38"/>
  <c r="A1379" i="38"/>
  <c r="A110" i="38"/>
  <c r="J109" i="38"/>
  <c r="A1465" i="38"/>
  <c r="J1464" i="38"/>
  <c r="A708" i="38" l="1"/>
  <c r="J707" i="38"/>
  <c r="J110" i="38"/>
  <c r="A111" i="38"/>
  <c r="A1466" i="38"/>
  <c r="J1465" i="38"/>
  <c r="J1379" i="38"/>
  <c r="A1380" i="38"/>
  <c r="A1225" i="38"/>
  <c r="J1224" i="38"/>
  <c r="A709" i="38" l="1"/>
  <c r="J708" i="38"/>
  <c r="A1381" i="38"/>
  <c r="J1380" i="38"/>
  <c r="A1467" i="38"/>
  <c r="J1466" i="38"/>
  <c r="A112" i="38"/>
  <c r="J111" i="38"/>
  <c r="A1226" i="38"/>
  <c r="J1225" i="38"/>
  <c r="A710" i="38" l="1"/>
  <c r="J709" i="38"/>
  <c r="A113" i="38"/>
  <c r="J112" i="38"/>
  <c r="A1468" i="38"/>
  <c r="J1467" i="38"/>
  <c r="A1382" i="38"/>
  <c r="J1381" i="38"/>
  <c r="A1227" i="38"/>
  <c r="J1226" i="38"/>
  <c r="A711" i="38" l="1"/>
  <c r="J710" i="38"/>
  <c r="J1227" i="38"/>
  <c r="A1228" i="38"/>
  <c r="J1382" i="38"/>
  <c r="A1383" i="38"/>
  <c r="J1468" i="38"/>
  <c r="A1469" i="38"/>
  <c r="A114" i="38"/>
  <c r="J113" i="38"/>
  <c r="A712" i="38" l="1"/>
  <c r="J711" i="38"/>
  <c r="A1384" i="38"/>
  <c r="J1383" i="38"/>
  <c r="J1228" i="38"/>
  <c r="A1229" i="38"/>
  <c r="A1470" i="38"/>
  <c r="J1469" i="38"/>
  <c r="J114" i="38"/>
  <c r="A115" i="38"/>
  <c r="A713" i="38" l="1"/>
  <c r="J712" i="38"/>
  <c r="A1471" i="38"/>
  <c r="J1470" i="38"/>
  <c r="J1229" i="38"/>
  <c r="A1230" i="38"/>
  <c r="J1230" i="38" s="1"/>
  <c r="J1384" i="38"/>
  <c r="A1385" i="38"/>
  <c r="J115" i="38"/>
  <c r="A116" i="38"/>
  <c r="A714" i="38" l="1"/>
  <c r="J713" i="38"/>
  <c r="A117" i="38"/>
  <c r="J116" i="38"/>
  <c r="A1386" i="38"/>
  <c r="J1385" i="38"/>
  <c r="A1472" i="38"/>
  <c r="J1471" i="38"/>
  <c r="A715" i="38" l="1"/>
  <c r="J714" i="38"/>
  <c r="A1473" i="38"/>
  <c r="J1472" i="38"/>
  <c r="A1387" i="38"/>
  <c r="J1386" i="38"/>
  <c r="A118" i="38"/>
  <c r="J117" i="38"/>
  <c r="A716" i="38" l="1"/>
  <c r="J715" i="38"/>
  <c r="A1388" i="38"/>
  <c r="J1387" i="38"/>
  <c r="A119" i="38"/>
  <c r="J118" i="38"/>
  <c r="A1474" i="38"/>
  <c r="J1473" i="38"/>
  <c r="A717" i="38" l="1"/>
  <c r="J716" i="38"/>
  <c r="J1474" i="38"/>
  <c r="A1475" i="38"/>
  <c r="J119" i="38"/>
  <c r="A120" i="38"/>
  <c r="A1389" i="38"/>
  <c r="J1388" i="38"/>
  <c r="A718" i="38" l="1"/>
  <c r="J717" i="38"/>
  <c r="J1389" i="38"/>
  <c r="A1390" i="38"/>
  <c r="A121" i="38"/>
  <c r="J120" i="38"/>
  <c r="A1476" i="38"/>
  <c r="J1475" i="38"/>
  <c r="A719" i="38" l="1"/>
  <c r="J718" i="38"/>
  <c r="J1476" i="38"/>
  <c r="A1477" i="38"/>
  <c r="A122" i="38"/>
  <c r="J121" i="38"/>
  <c r="A1391" i="38"/>
  <c r="J1390" i="38"/>
  <c r="A720" i="38" l="1"/>
  <c r="J719" i="38"/>
  <c r="J1391" i="38"/>
  <c r="A1392" i="38"/>
  <c r="J122" i="38"/>
  <c r="A123" i="38"/>
  <c r="A1478" i="38"/>
  <c r="J1477" i="38"/>
  <c r="A721" i="38" l="1"/>
  <c r="J720" i="38"/>
  <c r="J1478" i="38"/>
  <c r="A1479" i="38"/>
  <c r="J123" i="38"/>
  <c r="A124" i="38"/>
  <c r="J1392" i="38"/>
  <c r="A1393" i="38"/>
  <c r="A722" i="38" l="1"/>
  <c r="J721" i="38"/>
  <c r="J1393" i="38"/>
  <c r="A1394" i="38"/>
  <c r="J124" i="38"/>
  <c r="A125" i="38"/>
  <c r="J1479" i="38"/>
  <c r="A1480" i="38"/>
  <c r="A723" i="38" l="1"/>
  <c r="J722" i="38"/>
  <c r="A1481" i="38"/>
  <c r="J1480" i="38"/>
  <c r="A126" i="38"/>
  <c r="J125" i="38"/>
  <c r="J1394" i="38"/>
  <c r="A1395" i="38"/>
  <c r="A724" i="38" l="1"/>
  <c r="J723" i="38"/>
  <c r="A127" i="38"/>
  <c r="J126" i="38"/>
  <c r="J1395" i="38"/>
  <c r="A1396" i="38"/>
  <c r="J1396" i="38" s="1"/>
  <c r="A1482" i="38"/>
  <c r="J1481" i="38"/>
  <c r="A725" i="38" l="1"/>
  <c r="J724" i="38"/>
  <c r="J1482" i="38"/>
  <c r="A1483" i="38"/>
  <c r="A128" i="38"/>
  <c r="J127" i="38"/>
  <c r="A726" i="38" l="1"/>
  <c r="J725" i="38"/>
  <c r="A129" i="38"/>
  <c r="J128" i="38"/>
  <c r="A1484" i="38"/>
  <c r="J1483" i="38"/>
  <c r="J726" i="38" l="1"/>
  <c r="A727" i="38"/>
  <c r="J1484" i="38"/>
  <c r="A1485" i="38"/>
  <c r="A130" i="38"/>
  <c r="J129" i="38"/>
  <c r="A728" i="38" l="1"/>
  <c r="J727" i="38"/>
  <c r="J130" i="38"/>
  <c r="A131" i="38"/>
  <c r="J1485" i="38"/>
  <c r="A1486" i="38"/>
  <c r="J728" i="38" l="1"/>
  <c r="A729" i="38"/>
  <c r="A1487" i="38"/>
  <c r="J1486" i="38"/>
  <c r="A132" i="38"/>
  <c r="J131" i="38"/>
  <c r="A730" i="38" l="1"/>
  <c r="J729" i="38"/>
  <c r="A133" i="38"/>
  <c r="J132" i="38"/>
  <c r="J1487" i="38"/>
  <c r="A1488" i="38"/>
  <c r="A731" i="38" l="1"/>
  <c r="J730" i="38"/>
  <c r="A1489" i="38"/>
  <c r="J1488" i="38"/>
  <c r="J133" i="38"/>
  <c r="A134" i="38"/>
  <c r="A732" i="38" l="1"/>
  <c r="J731" i="38"/>
  <c r="A1490" i="38"/>
  <c r="J1489" i="38"/>
  <c r="A135" i="38"/>
  <c r="J134" i="38"/>
  <c r="J732" i="38" l="1"/>
  <c r="A733" i="38"/>
  <c r="A136" i="38"/>
  <c r="J135" i="38"/>
  <c r="J1490" i="38"/>
  <c r="A1491" i="38"/>
  <c r="A734" i="38" l="1"/>
  <c r="J733" i="38"/>
  <c r="J1491" i="38"/>
  <c r="A1492" i="38"/>
  <c r="J136" i="38"/>
  <c r="A137" i="38"/>
  <c r="A735" i="38" l="1"/>
  <c r="J734" i="38"/>
  <c r="A138" i="38"/>
  <c r="J137" i="38"/>
  <c r="A1493" i="38"/>
  <c r="J1492" i="38"/>
  <c r="A736" i="38" l="1"/>
  <c r="J735" i="38"/>
  <c r="J1493" i="38"/>
  <c r="A1494" i="38"/>
  <c r="J138" i="38"/>
  <c r="A139" i="38"/>
  <c r="A737" i="38" l="1"/>
  <c r="J736" i="38"/>
  <c r="J139" i="38"/>
  <c r="A140" i="38"/>
  <c r="J1494" i="38"/>
  <c r="A1495" i="38"/>
  <c r="J737" i="38" l="1"/>
  <c r="A738" i="38"/>
  <c r="A1496" i="38"/>
  <c r="J1495" i="38"/>
  <c r="A141" i="38"/>
  <c r="J140" i="38"/>
  <c r="A739" i="38" l="1"/>
  <c r="J738" i="38"/>
  <c r="A142" i="38"/>
  <c r="J141" i="38"/>
  <c r="A1497" i="38"/>
  <c r="J1496" i="38"/>
  <c r="A740" i="38" l="1"/>
  <c r="J739" i="38"/>
  <c r="J1497" i="38"/>
  <c r="A1498" i="38"/>
  <c r="A143" i="38"/>
  <c r="J142" i="38"/>
  <c r="A741" i="38" l="1"/>
  <c r="J740" i="38"/>
  <c r="A144" i="38"/>
  <c r="J143" i="38"/>
  <c r="A1499" i="38"/>
  <c r="J1499" i="38" s="1"/>
  <c r="J1498" i="38"/>
  <c r="J741" i="38" l="1"/>
  <c r="A742" i="38"/>
  <c r="J144" i="38"/>
  <c r="A145" i="38"/>
  <c r="A743" i="38" l="1"/>
  <c r="J742" i="38"/>
  <c r="J145" i="38"/>
  <c r="A146" i="38"/>
  <c r="J743" i="38" l="1"/>
  <c r="A744" i="38"/>
  <c r="A147" i="38"/>
  <c r="J146" i="38"/>
  <c r="A745" i="38" l="1"/>
  <c r="J744" i="38"/>
  <c r="A148" i="38"/>
  <c r="J147" i="38"/>
  <c r="A746" i="38" l="1"/>
  <c r="J745" i="38"/>
  <c r="A149" i="38"/>
  <c r="J148" i="38"/>
  <c r="A747" i="38" l="1"/>
  <c r="J746" i="38"/>
  <c r="A150" i="38"/>
  <c r="J149" i="38"/>
  <c r="A748" i="38" l="1"/>
  <c r="J747" i="38"/>
  <c r="A151" i="38"/>
  <c r="J150" i="38"/>
  <c r="A749" i="38" l="1"/>
  <c r="J748" i="38"/>
  <c r="J151" i="38"/>
  <c r="A152" i="38"/>
  <c r="A750" i="38" l="1"/>
  <c r="J749" i="38"/>
  <c r="J152" i="38"/>
  <c r="A153" i="38"/>
  <c r="A751" i="38" l="1"/>
  <c r="J750" i="38"/>
  <c r="A154" i="38"/>
  <c r="J153" i="38"/>
  <c r="J751" i="38" l="1"/>
  <c r="A752" i="38"/>
  <c r="A155" i="38"/>
  <c r="J154" i="38"/>
  <c r="A753" i="38" l="1"/>
  <c r="J752" i="38"/>
  <c r="A156" i="38"/>
  <c r="J155" i="38"/>
  <c r="A754" i="38" l="1"/>
  <c r="J753" i="38"/>
  <c r="A157" i="38"/>
  <c r="J156" i="38"/>
  <c r="A755" i="38" l="1"/>
  <c r="J754" i="38"/>
  <c r="A158" i="38"/>
  <c r="J157" i="38"/>
  <c r="A756" i="38" l="1"/>
  <c r="J755" i="38"/>
  <c r="J158" i="38"/>
  <c r="A159" i="38"/>
  <c r="A757" i="38" l="1"/>
  <c r="J756" i="38"/>
  <c r="J159" i="38"/>
  <c r="A160" i="38"/>
  <c r="A758" i="38" l="1"/>
  <c r="J757" i="38"/>
  <c r="J160" i="38"/>
  <c r="A161" i="38"/>
  <c r="A759" i="38" l="1"/>
  <c r="J758" i="38"/>
  <c r="A162" i="38"/>
  <c r="J161" i="38"/>
  <c r="A760" i="38" l="1"/>
  <c r="J759" i="38"/>
  <c r="A163" i="38"/>
  <c r="J162" i="38"/>
  <c r="A761" i="38" l="1"/>
  <c r="J760" i="38"/>
  <c r="J163" i="38"/>
  <c r="A164" i="38"/>
  <c r="A762" i="38" l="1"/>
  <c r="J761" i="38"/>
  <c r="J164" i="38"/>
  <c r="A165" i="38"/>
  <c r="A763" i="38" l="1"/>
  <c r="J762" i="38"/>
  <c r="A166" i="38"/>
  <c r="J165" i="38"/>
  <c r="J763" i="38" l="1"/>
  <c r="A764" i="38"/>
  <c r="A167" i="38"/>
  <c r="J166" i="38"/>
  <c r="A765" i="38" l="1"/>
  <c r="J764" i="38"/>
  <c r="A168" i="38"/>
  <c r="J167" i="38"/>
  <c r="A766" i="38" l="1"/>
  <c r="J765" i="38"/>
  <c r="A169" i="38"/>
  <c r="J169" i="38" s="1"/>
  <c r="J168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J967" i="38" l="1"/>
  <c r="A968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J1003" i="38" l="1"/>
  <c r="A1004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J1056" i="38" l="1"/>
  <c r="A1057" i="38"/>
  <c r="A1058" i="38" l="1"/>
  <c r="J1057" i="38"/>
  <c r="J1058" i="38" l="1"/>
  <c r="A1059" i="38"/>
  <c r="A1060" i="38" l="1"/>
  <c r="J1059" i="38"/>
  <c r="J1060" i="38" l="1"/>
  <c r="A1061" i="38"/>
  <c r="A1062" i="38" l="1"/>
  <c r="J1061" i="38"/>
  <c r="J1062" i="38" l="1"/>
  <c r="A1063" i="38"/>
  <c r="A1064" i="38" l="1"/>
  <c r="J1063" i="38"/>
  <c r="J1064" i="38" l="1"/>
  <c r="A1065" i="38"/>
  <c r="A1066" i="38" l="1"/>
  <c r="J1065" i="38"/>
  <c r="J1066" i="38" l="1"/>
  <c r="A1067" i="38"/>
  <c r="A1068" i="38" l="1"/>
  <c r="J1067" i="38"/>
  <c r="J1068" i="38" l="1"/>
  <c r="A1069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<sst xmlns="http://schemas.openxmlformats.org/spreadsheetml/2006/main" count="5009" uniqueCount="1391">
  <si>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</si>
  <si>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</si>
  <si>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</si>
  <si>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</si>
  <si>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</si>
  <si>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</si>
  <si>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</si>
  <si>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</si>
  <si>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</si>
  <si>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</si>
  <si>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</si>
  <si>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</si>
  <si>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</si>
  <si>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</si>
  <si>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</si>
  <si>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</si>
  <si>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</si>
  <si>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</si>
  <si>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</si>
  <si>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</si>
  <si>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</si>
  <si>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</si>
  <si>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</si>
  <si>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</si>
  <si>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</si>
  <si>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</si>
  <si>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</si>
  <si>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</si>
  <si>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</si>
  <si>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</si>
  <si>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</si>
  <si>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</si>
  <si>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</si>
  <si>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</si>
  <si>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</si>
  <si>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</si>
  <si>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</si>
  <si>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</si>
  <si>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</si>
  <si>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</si>
  <si>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</si>
  <si>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</si>
  <si>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</si>
  <si>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</si>
  <si>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</si>
  <si>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</si>
  <si>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</si>
  <si>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</si>
  <si>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</si>
  <si>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</si>
  <si>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</si>
  <si>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</si>
  <si>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</si>
  <si>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</si>
  <si>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</si>
  <si>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</si>
  <si>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</si>
  <si>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</si>
  <si>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</si>
  <si>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</si>
  <si>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</si>
  <si>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</si>
  <si>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</si>
  <si>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</si>
  <si>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</si>
  <si>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</si>
  <si>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</si>
  <si>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</si>
  <si>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</si>
  <si>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</si>
  <si>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</si>
  <si>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</si>
  <si>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</si>
  <si>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</si>
  <si>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</si>
  <si>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</si>
  <si>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</si>
  <si>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</si>
  <si>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</si>
  <si>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</si>
  <si>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</si>
  <si>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</si>
  <si>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</si>
  <si>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</si>
  <si>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</si>
  <si>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</si>
  <si>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</si>
  <si>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</si>
  <si>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</si>
  <si>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</si>
  <si>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</si>
  <si>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</si>
  <si>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</si>
  <si>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</si>
  <si>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</si>
  <si>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</si>
  <si>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</si>
  <si>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</si>
  <si>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</si>
  <si>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</si>
  <si>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</si>
  <si>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</si>
  <si>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</si>
  <si>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</si>
  <si>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</si>
  <si>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</si>
  <si>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</si>
  <si>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</si>
  <si>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</si>
  <si>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</si>
  <si>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</si>
  <si>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</si>
  <si>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</si>
  <si>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</si>
  <si>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</si>
  <si>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</si>
  <si>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</si>
  <si>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</si>
  <si>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</si>
  <si>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</si>
  <si>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</si>
  <si>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</si>
  <si>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</si>
  <si>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</si>
  <si>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</si>
  <si>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</si>
  <si>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</si>
  <si>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</si>
  <si>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</si>
  <si>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</si>
  <si>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</si>
  <si>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</si>
  <si>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</si>
  <si>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</si>
  <si>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</si>
  <si>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</si>
  <si>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</si>
  <si>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</si>
  <si>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</si>
  <si>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</si>
  <si>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</si>
  <si>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</si>
  <si>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</si>
  <si>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</si>
  <si>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</si>
  <si>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</si>
  <si>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</si>
  <si>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</si>
  <si>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</si>
  <si>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</si>
  <si>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</si>
  <si>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</si>
  <si>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</si>
  <si>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</si>
  <si>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</si>
  <si>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</si>
  <si>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</si>
  <si>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</si>
  <si>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</si>
  <si>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</si>
  <si>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</si>
  <si>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</si>
  <si>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</si>
  <si>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</si>
  <si>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</si>
  <si>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</si>
  <si>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</si>
  <si>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</si>
  <si>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</si>
  <si>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</si>
  <si>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</si>
  <si>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</si>
  <si>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</si>
  <si>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</si>
  <si>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</si>
  <si>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</si>
  <si>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</si>
  <si>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</si>
  <si>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</si>
  <si>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</si>
  <si>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</si>
  <si>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</si>
  <si>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</si>
  <si>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</si>
  <si>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</si>
  <si>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</si>
  <si>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</si>
  <si>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</si>
  <si>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</si>
  <si>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</si>
  <si>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</si>
  <si>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</si>
  <si>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</si>
  <si>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</si>
  <si>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</si>
  <si>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</si>
  <si>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</si>
  <si>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</si>
  <si>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</si>
  <si>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</si>
  <si>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</si>
  <si>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</si>
  <si>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</si>
  <si>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</si>
  <si>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</si>
  <si>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</si>
  <si>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</si>
  <si>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</si>
  <si>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</si>
  <si>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</si>
  <si>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</si>
  <si>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</si>
  <si>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</si>
  <si>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</si>
  <si>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</si>
  <si>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</si>
  <si>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</si>
  <si>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</si>
  <si>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</si>
  <si>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</si>
  <si>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</si>
  <si>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</si>
  <si>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</si>
  <si>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</si>
  <si>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</si>
  <si>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</si>
  <si>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</si>
  <si>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</si>
  <si>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</si>
  <si>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</si>
  <si>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</si>
  <si>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</si>
  <si>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</si>
  <si>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</si>
  <si>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</si>
  <si>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</si>
  <si>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</si>
  <si>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</si>
  <si>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</si>
  <si>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</si>
  <si>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</si>
  <si>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</si>
  <si>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</si>
  <si>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</si>
  <si>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</si>
  <si>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</si>
  <si>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</si>
  <si>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</si>
  <si>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</si>
  <si>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</si>
  <si>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</si>
  <si>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</si>
  <si>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</si>
  <si>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</si>
  <si>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</si>
  <si>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</si>
  <si>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</si>
  <si>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</si>
  <si>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</si>
  <si>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</si>
  <si>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</si>
  <si>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</si>
  <si>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</si>
  <si>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</si>
  <si>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</si>
  <si>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</si>
  <si>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</si>
  <si>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</si>
  <si>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</si>
  <si>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</si>
  <si>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</si>
  <si>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</si>
  <si>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</si>
  <si>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</si>
  <si>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</si>
  <si>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</si>
  <si>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</si>
  <si>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</si>
  <si>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</si>
  <si>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</si>
  <si>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</si>
  <si>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</si>
  <si>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</si>
  <si>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</si>
  <si>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</si>
  <si>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</si>
  <si>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</si>
  <si>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</si>
  <si>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</si>
  <si>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</si>
  <si>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</si>
  <si>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</si>
  <si>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</si>
  <si>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</si>
  <si>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</si>
  <si>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</si>
  <si>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</si>
  <si>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</si>
  <si>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</si>
  <si>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</si>
  <si>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</si>
  <si>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</si>
  <si>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</si>
  <si>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</si>
  <si>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</si>
  <si>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</si>
  <si>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</si>
  <si>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</si>
  <si>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</si>
  <si>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</si>
  <si>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</si>
  <si>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</si>
  <si>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</si>
  <si>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</si>
  <si>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</si>
  <si>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</si>
  <si>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</si>
  <si>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</si>
  <si>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</si>
  <si>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</si>
  <si>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</si>
  <si>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</si>
  <si>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</si>
  <si>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</si>
  <si>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</si>
  <si>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</si>
  <si>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</si>
  <si>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</si>
  <si>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</si>
  <si>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</si>
  <si>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</si>
  <si>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</si>
  <si>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</si>
  <si>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</si>
  <si>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</si>
  <si>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</si>
  <si>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</si>
  <si>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</si>
  <si>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</si>
  <si>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</si>
  <si>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</si>
  <si>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</si>
  <si>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</si>
  <si>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</si>
  <si>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</si>
  <si>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</si>
  <si>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</si>
  <si>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</si>
  <si>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</si>
  <si>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</si>
  <si>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</si>
  <si>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</si>
  <si>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</si>
  <si>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</si>
  <si>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</si>
  <si>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</si>
  <si>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</si>
  <si>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</si>
  <si>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</si>
  <si>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</si>
  <si>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</si>
  <si>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</si>
  <si>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</si>
  <si>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</si>
  <si>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</si>
  <si>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</si>
  <si>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</si>
  <si>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</si>
  <si>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</si>
  <si>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</si>
  <si>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</si>
  <si>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</si>
  <si>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</si>
  <si>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</si>
  <si>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</si>
  <si>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</si>
  <si>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</si>
  <si>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</si>
  <si>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</si>
  <si>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</si>
  <si>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</si>
  <si>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</si>
  <si>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</si>
  <si>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</si>
  <si>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</si>
  <si>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</si>
  <si>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</si>
  <si>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</si>
  <si>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</si>
  <si>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</si>
  <si>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</si>
  <si>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</si>
  <si>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</si>
  <si>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</si>
  <si>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</si>
  <si>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</si>
  <si>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</si>
  <si>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</si>
  <si>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</si>
  <si>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</si>
  <si>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</si>
  <si>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</si>
  <si>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</si>
  <si>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</si>
  <si>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</si>
  <si>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</si>
  <si>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</si>
  <si>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</si>
  <si>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</si>
  <si>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</si>
  <si>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</si>
  <si>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</si>
  <si>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</si>
  <si>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</si>
  <si>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</si>
  <si>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</si>
  <si>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</si>
  <si>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</si>
  <si>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</si>
  <si>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</si>
  <si>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</si>
  <si>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</si>
  <si>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</si>
  <si>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</si>
  <si>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</si>
  <si>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</si>
  <si>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</si>
  <si>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</si>
  <si>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</si>
  <si>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</si>
  <si>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</si>
  <si>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</si>
  <si>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</si>
  <si>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</si>
  <si>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</si>
  <si>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</si>
  <si>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</si>
  <si>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</si>
  <si>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</si>
  <si>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</si>
  <si>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</si>
  <si>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</si>
  <si>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</si>
  <si>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</si>
  <si>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</si>
  <si>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</si>
  <si>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</si>
  <si>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</si>
  <si>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</si>
  <si>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</si>
  <si>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</si>
  <si>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</si>
  <si>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</si>
  <si>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</si>
  <si>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</si>
  <si>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</si>
  <si>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</si>
  <si>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</si>
  <si>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</si>
  <si>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</si>
  <si>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</si>
  <si>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</si>
  <si>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</si>
  <si>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</si>
  <si>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</si>
  <si>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</si>
  <si>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</si>
  <si>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</si>
  <si>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</si>
  <si>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</si>
  <si>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</si>
  <si>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</si>
  <si>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</si>
  <si>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</si>
  <si>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</si>
  <si>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</si>
  <si>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</si>
  <si>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</si>
  <si>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</si>
  <si>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</si>
  <si>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</si>
  <si>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</si>
  <si>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</si>
  <si>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</si>
  <si>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</si>
  <si>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</si>
  <si>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</si>
  <si>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</si>
  <si>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</si>
  <si>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</si>
  <si>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</si>
  <si>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</si>
  <si>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</si>
  <si>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</si>
  <si>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</si>
  <si>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</si>
  <si>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</si>
  <si>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</si>
  <si>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</si>
  <si>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</si>
  <si>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</si>
  <si>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</si>
  <si>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</si>
  <si>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</si>
  <si>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</si>
  <si>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</si>
  <si>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</si>
  <si>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</si>
  <si>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</si>
  <si>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</si>
  <si>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</si>
  <si>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</si>
  <si>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</si>
  <si>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</si>
  <si>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</si>
  <si>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</si>
  <si>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</si>
  <si>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</si>
  <si>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</si>
  <si>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</si>
  <si>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</si>
  <si>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</si>
  <si>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</si>
  <si>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</si>
  <si>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</si>
  <si>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</si>
  <si>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</si>
  <si>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</si>
  <si>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</si>
  <si>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</si>
  <si>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</si>
  <si>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</si>
  <si>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</si>
  <si>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</si>
  <si>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</si>
  <si>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</si>
  <si>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</si>
  <si>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</si>
  <si>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</si>
  <si>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</si>
  <si>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</si>
  <si>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</si>
  <si>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</si>
  <si>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</si>
  <si>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</si>
  <si>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</si>
  <si>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</si>
  <si>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</si>
  <si>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</si>
  <si>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</si>
  <si>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</si>
  <si>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</si>
  <si>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</si>
  <si>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</si>
  <si>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</si>
  <si>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</si>
  <si>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</si>
  <si>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</si>
  <si>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</si>
  <si>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</si>
  <si>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</si>
  <si>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</si>
  <si>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</si>
  <si>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</si>
  <si>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</si>
  <si>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</si>
  <si>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</si>
  <si>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</si>
  <si>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</si>
  <si>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</si>
  <si>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</si>
  <si>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</si>
  <si>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</si>
  <si>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</si>
  <si>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</si>
  <si>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</si>
  <si>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</si>
  <si>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</si>
  <si>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</si>
  <si>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</si>
  <si>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</si>
  <si>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</si>
  <si>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</si>
  <si>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</si>
  <si>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</si>
  <si>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</si>
  <si>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</si>
  <si>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</si>
  <si>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</si>
  <si>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</si>
  <si>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</si>
  <si>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</si>
  <si>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</si>
  <si>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</si>
  <si>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</si>
  <si>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</si>
  <si>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</si>
  <si>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</si>
  <si>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</si>
  <si>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</si>
  <si>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</si>
  <si>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</si>
  <si>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</si>
  <si>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</si>
  <si>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</si>
  <si>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</si>
  <si>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</si>
  <si>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</si>
  <si>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</si>
  <si>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</si>
  <si>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</si>
  <si>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</si>
  <si>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</si>
  <si>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</si>
  <si>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</si>
  <si>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</si>
  <si>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</si>
  <si>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</si>
  <si>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</si>
  <si>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</si>
  <si>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</si>
  <si>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</si>
  <si>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</si>
  <si>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</si>
  <si>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</si>
  <si>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</si>
  <si>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</si>
  <si>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</si>
  <si>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</si>
  <si>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</si>
  <si>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</si>
  <si>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</si>
  <si>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</si>
  <si>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</si>
  <si>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</si>
  <si>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</si>
  <si>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</si>
  <si>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</si>
  <si>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</si>
  <si>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</si>
  <si>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</si>
  <si>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</si>
  <si>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</si>
  <si>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</si>
  <si>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</si>
  <si>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</si>
  <si>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</si>
  <si>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</si>
  <si>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</si>
  <si>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</si>
  <si>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</si>
  <si>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</si>
  <si>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</si>
  <si>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</si>
  <si>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</si>
  <si>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</si>
  <si>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</si>
  <si>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</si>
  <si>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</si>
  <si>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</si>
  <si>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</si>
  <si>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</si>
  <si>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</si>
  <si>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</si>
  <si>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</si>
  <si>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</si>
  <si>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</si>
  <si>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</si>
  <si>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</si>
  <si>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</si>
  <si>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</si>
  <si>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</si>
  <si>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</si>
  <si>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</si>
  <si>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</si>
  <si>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</si>
  <si>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</si>
  <si>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</si>
  <si>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</si>
  <si>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</si>
  <si>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</si>
  <si>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</si>
  <si>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</si>
  <si>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</si>
  <si>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</si>
  <si>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</si>
  <si>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</si>
  <si>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</si>
  <si>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</si>
  <si>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</si>
  <si>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</si>
  <si>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</si>
  <si>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</si>
  <si>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</si>
  <si>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</si>
  <si>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</si>
  <si>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</si>
  <si>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</si>
  <si>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</si>
  <si>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</si>
  <si>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</si>
  <si>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</si>
  <si>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</si>
  <si>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</si>
  <si>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</si>
  <si>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</si>
  <si>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</si>
  <si>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</si>
  <si>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</si>
  <si>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</si>
  <si>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</si>
  <si>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</si>
  <si>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</si>
  <si>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</si>
  <si>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</si>
  <si>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</si>
  <si>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</si>
  <si>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</si>
  <si>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</si>
  <si>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</si>
  <si>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</si>
  <si>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</si>
  <si>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</si>
  <si>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</si>
  <si>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</si>
  <si>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</si>
  <si>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</si>
  <si>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</si>
  <si>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</si>
  <si>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</si>
  <si>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</si>
  <si>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</si>
  <si>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</si>
  <si>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</si>
  <si>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</si>
  <si>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</si>
  <si>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</si>
  <si>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</si>
  <si>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</si>
  <si>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</si>
  <si>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</si>
  <si>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</si>
  <si>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</si>
  <si>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</si>
  <si>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</si>
  <si>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</si>
  <si>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</si>
  <si>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</si>
  <si>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</si>
  <si>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</si>
  <si>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</si>
  <si>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</si>
  <si>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</si>
  <si>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</si>
  <si>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</si>
  <si>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</si>
  <si>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</si>
  <si>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</si>
  <si>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</si>
  <si>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</si>
  <si>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</si>
  <si>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</si>
  <si>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</si>
  <si>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</si>
  <si>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</si>
  <si>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</si>
  <si>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</si>
  <si>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</si>
  <si>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</si>
  <si>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</si>
  <si>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</si>
  <si>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</si>
  <si>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</si>
  <si>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</si>
  <si>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</si>
  <si>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</si>
  <si>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</si>
  <si>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</si>
  <si>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</si>
  <si>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</si>
  <si>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</si>
  <si>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</si>
  <si>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</si>
  <si>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</si>
  <si>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</si>
  <si>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</si>
  <si>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</si>
  <si>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</si>
  <si>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</si>
  <si>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</si>
  <si>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</si>
  <si>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</si>
  <si>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</si>
  <si>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</si>
  <si>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</si>
  <si>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</si>
  <si>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</si>
  <si>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</si>
  <si>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</si>
  <si>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</si>
  <si>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</si>
  <si>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</si>
  <si>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</si>
  <si>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</si>
  <si>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</si>
  <si>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</si>
  <si>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</si>
  <si>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</si>
  <si>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</si>
  <si>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</si>
  <si>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</si>
  <si>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</si>
  <si>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</si>
  <si>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</si>
  <si>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</si>
  <si>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</si>
  <si>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</si>
  <si>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</si>
  <si>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</si>
  <si>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</si>
  <si>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</si>
  <si>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</si>
  <si>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</si>
  <si>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</si>
  <si>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</si>
  <si>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</si>
  <si>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</si>
  <si>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</si>
  <si>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</si>
  <si>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</si>
  <si>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</si>
  <si>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</si>
  <si>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</si>
  <si>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</si>
  <si>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</si>
  <si>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</si>
  <si>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</si>
  <si>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</si>
  <si>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</si>
  <si>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</si>
  <si>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</si>
  <si>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</si>
  <si>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</si>
  <si>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</si>
  <si>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</si>
  <si>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</si>
  <si>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</si>
  <si>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</si>
  <si>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</si>
  <si>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</si>
  <si>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</si>
  <si>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</si>
  <si>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</si>
  <si>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</si>
  <si>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</si>
  <si>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</si>
  <si>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</si>
  <si>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</si>
  <si>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</si>
  <si>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</si>
  <si>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</si>
  <si>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</si>
  <si>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</si>
  <si>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</si>
  <si>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</si>
  <si>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</si>
  <si>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</si>
  <si>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</si>
  <si>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</si>
  <si>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</si>
  <si>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</si>
  <si>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</si>
  <si>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</si>
  <si>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</si>
  <si>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</si>
  <si>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</si>
  <si>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</si>
  <si>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</si>
  <si>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</si>
  <si>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</si>
  <si>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</si>
  <si>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</si>
  <si>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</si>
  <si>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</si>
  <si>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</si>
  <si>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</si>
  <si>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</si>
  <si>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</si>
  <si>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</si>
  <si>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</si>
  <si>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</si>
  <si>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</si>
  <si>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</si>
  <si>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</si>
  <si>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</si>
  <si>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</si>
  <si>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</si>
  <si>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</si>
  <si>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</si>
  <si>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</si>
  <si>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</si>
  <si>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</si>
  <si>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</si>
  <si>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</si>
  <si>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</si>
  <si>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</si>
  <si>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</si>
  <si>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</si>
  <si>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</si>
  <si>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</si>
  <si>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</si>
  <si>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</si>
  <si>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</si>
  <si>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</si>
  <si>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</si>
  <si>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</si>
  <si>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</si>
  <si>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</si>
  <si>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</si>
  <si>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</si>
  <si>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</si>
  <si>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</si>
  <si>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</si>
  <si>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</si>
  <si>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</si>
  <si>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</si>
  <si>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</si>
  <si>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</si>
  <si>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</si>
  <si>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</si>
  <si>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</si>
  <si>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</si>
  <si>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</si>
  <si>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</si>
  <si>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</si>
  <si>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</si>
  <si>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</si>
  <si>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</si>
  <si>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</si>
  <si>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</si>
  <si>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</si>
  <si>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</si>
  <si>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</si>
  <si>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</si>
  <si>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</si>
  <si>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</si>
  <si>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</si>
  <si>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</si>
  <si>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</si>
  <si>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</si>
  <si>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</si>
  <si>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</si>
  <si>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</si>
  <si>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</si>
  <si>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</si>
  <si>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</si>
  <si>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</si>
  <si>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</si>
  <si>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</si>
  <si>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</si>
  <si>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</si>
  <si>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</si>
  <si>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</si>
  <si>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</si>
  <si>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</si>
  <si>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</si>
  <si>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</si>
  <si>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</si>
  <si>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</si>
  <si>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</si>
  <si>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</si>
  <si>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</si>
  <si>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</si>
  <si>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</si>
  <si>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</si>
  <si>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</si>
  <si>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</si>
  <si>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</si>
  <si>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</si>
  <si>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</si>
  <si>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</si>
  <si>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</si>
  <si>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</si>
  <si>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</si>
  <si>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</si>
  <si>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</si>
  <si>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</si>
  <si>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</si>
  <si>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</si>
  <si>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</si>
  <si>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</si>
  <si>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</si>
  <si>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</si>
  <si>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</si>
  <si>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</si>
  <si>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</si>
  <si>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</si>
  <si>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</si>
  <si>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</si>
  <si>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</si>
  <si>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</si>
  <si>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</si>
  <si>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</si>
  <si>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</si>
  <si>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</si>
  <si>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</si>
  <si>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</si>
  <si>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</si>
  <si>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</si>
  <si>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</si>
  <si>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</si>
  <si>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</si>
  <si>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</si>
  <si>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</si>
  <si>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</si>
  <si>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</si>
  <si>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</si>
  <si>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</si>
  <si>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</si>
  <si>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</si>
  <si>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</si>
  <si>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</si>
  <si>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</si>
  <si>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</si>
  <si>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</si>
  <si>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</si>
  <si>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</si>
  <si>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</si>
  <si>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</si>
  <si>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</si>
  <si>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</si>
  <si>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</si>
  <si>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</si>
  <si>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</si>
  <si>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</si>
  <si>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</si>
  <si>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</si>
  <si>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</si>
  <si>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</si>
  <si>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</si>
  <si>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</si>
  <si>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</si>
  <si>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</si>
  <si>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</si>
  <si>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</si>
  <si>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</si>
  <si>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</si>
  <si>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</si>
  <si>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</si>
  <si>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</si>
  <si>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</si>
  <si>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</si>
  <si>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</si>
  <si>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</si>
  <si>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</si>
  <si>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</si>
  <si>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</si>
  <si>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</si>
  <si>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</si>
  <si>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</si>
  <si>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</si>
  <si>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</si>
  <si>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</si>
  <si>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</si>
  <si>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</si>
  <si>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</si>
  <si>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</si>
  <si>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</si>
  <si>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</si>
  <si>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</si>
  <si>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</si>
  <si>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</si>
  <si>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</si>
  <si>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</si>
  <si>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</si>
  <si>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</si>
  <si>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</si>
  <si>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</si>
  <si>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</si>
  <si>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</si>
  <si>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</si>
  <si>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</si>
  <si>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</si>
  <si>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</si>
  <si>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</si>
  <si>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</si>
  <si>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</si>
  <si>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</si>
  <si>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</si>
  <si>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</si>
  <si>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</si>
  <si>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</si>
  <si>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</si>
  <si>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</si>
  <si>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</si>
  <si>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</si>
  <si>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</si>
  <si>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</si>
  <si>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</si>
  <si>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</si>
  <si>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</si>
  <si>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</si>
  <si>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</si>
  <si>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</si>
  <si>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</si>
  <si>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</si>
  <si>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</si>
  <si>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</si>
  <si>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</si>
  <si>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</si>
  <si>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</si>
  <si>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</si>
  <si>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</si>
  <si>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</si>
  <si>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</si>
  <si>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</si>
  <si>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</si>
  <si>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</si>
  <si>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</si>
  <si>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</si>
  <si>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</si>
  <si>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</si>
  <si>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</si>
  <si>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</si>
  <si>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</si>
  <si>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</si>
  <si>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</si>
  <si>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</si>
  <si>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</si>
  <si>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</si>
  <si>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</si>
  <si>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</si>
  <si>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</si>
  <si>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</si>
  <si>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</si>
  <si>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</si>
  <si>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</si>
  <si>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</si>
  <si>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</si>
  <si>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</si>
  <si>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</si>
  <si>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</si>
  <si>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</si>
  <si>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</si>
  <si>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</si>
  <si>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</si>
  <si>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</si>
  <si>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</si>
  <si>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</si>
  <si>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</si>
  <si>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</si>
  <si>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</si>
  <si>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</si>
  <si>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</si>
  <si>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</si>
  <si>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</si>
  <si>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</si>
  <si>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</si>
  <si>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</si>
  <si>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</si>
  <si>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</si>
  <si>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</si>
  <si>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</si>
  <si>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</si>
  <si>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</si>
  <si>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</si>
  <si>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</si>
  <si>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</si>
  <si>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</si>
  <si>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</si>
  <si>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</si>
  <si>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</si>
  <si>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</si>
  <si>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</si>
  <si>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</si>
  <si>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</si>
  <si>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</si>
  <si>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</si>
  <si>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</si>
  <si>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</si>
  <si>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</si>
  <si>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</si>
  <si>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</si>
  <si>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</si>
  <si>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</si>
  <si>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</si>
  <si>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</si>
  <si>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</si>
  <si>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</si>
  <si>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</si>
  <si>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</si>
  <si>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</si>
  <si>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</si>
  <si>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</si>
  <si>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</si>
  <si>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</si>
  <si>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</si>
  <si>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</si>
  <si>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</si>
  <si>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</si>
  <si>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</si>
  <si>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</si>
  <si>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</si>
  <si>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</si>
  <si>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</si>
  <si>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</si>
  <si>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</si>
  <si>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</si>
  <si>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</si>
  <si>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</si>
  <si>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</si>
  <si>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</si>
  <si>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</si>
  <si>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</si>
  <si>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</si>
  <si>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</si>
  <si>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</si>
  <si>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</si>
  <si>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</si>
  <si>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</si>
  <si>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</si>
  <si>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</si>
  <si>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</si>
  <si>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</si>
  <si>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</si>
  <si>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</si>
  <si>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</si>
  <si>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</si>
  <si>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</si>
  <si>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</si>
  <si>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</si>
  <si>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</si>
  <si>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</si>
  <si>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</si>
  <si>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</si>
  <si>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</si>
  <si>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</si>
  <si>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</si>
  <si>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</si>
  <si>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</si>
  <si>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</si>
  <si>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</si>
  <si>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</si>
  <si>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</si>
  <si>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</si>
  <si>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</si>
  <si>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</si>
  <si>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</si>
  <si>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</si>
  <si>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</si>
  <si>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</si>
  <si>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</si>
  <si>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</si>
  <si>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</si>
  <si>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</si>
  <si>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</si>
  <si>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</si>
  <si>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</si>
  <si>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</si>
  <si>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</si>
  <si>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</si>
  <si>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</si>
  <si>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</si>
  <si>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</si>
  <si>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</si>
  <si>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</si>
  <si>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</si>
  <si>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</si>
  <si>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</si>
  <si>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</si>
  <si>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</si>
  <si>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</si>
  <si>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</si>
  <si>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</si>
  <si>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</si>
  <si>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</si>
  <si>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</si>
  <si>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</si>
  <si>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</si>
  <si>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</si>
  <si>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</si>
  <si>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</si>
  <si>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</si>
  <si>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</si>
  <si>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</si>
  <si>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</si>
  <si>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</si>
  <si>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</si>
  <si>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</si>
  <si>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</si>
  <si>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</si>
  <si>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</si>
  <si>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</si>
  <si>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</si>
  <si>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</si>
  <si>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</si>
  <si>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</si>
  <si>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</si>
  <si>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</si>
  <si>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</si>
  <si>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</si>
  <si>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</si>
  <si>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</si>
  <si>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</si>
  <si>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</si>
  <si>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</si>
  <si>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</si>
  <si>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</si>
  <si>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</si>
  <si>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</si>
  <si>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</si>
  <si>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</si>
  <si>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</si>
  <si>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</si>
  <si>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</si>
  <si>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</si>
  <si>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</si>
  <si>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</si>
  <si>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</si>
  <si>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</si>
  <si>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</si>
  <si>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</si>
  <si>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</si>
  <si>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</si>
  <si>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</si>
  <si>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</si>
  <si>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</si>
  <si>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</si>
  <si>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</si>
  <si>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</si>
  <si>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</si>
  <si>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</si>
  <si>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</si>
  <si>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</si>
  <si>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</si>
  <si>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</si>
  <si>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</si>
  <si>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</si>
  <si>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</si>
  <si>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</si>
  <si>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</si>
  <si>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</si>
  <si>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</si>
  <si>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</si>
  <si>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</si>
  <si>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</si>
  <si>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</si>
  <si>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</si>
  <si>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</si>
  <si>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</si>
  <si>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</si>
  <si>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</si>
  <si>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</si>
  <si>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</si>
  <si>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</si>
  <si>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</si>
  <si>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</si>
  <si>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</si>
  <si>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</si>
  <si>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</si>
  <si>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</si>
  <si>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</si>
  <si>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</si>
  <si>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</si>
  <si>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</si>
  <si>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</si>
  <si>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</si>
  <si>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</si>
  <si>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</si>
  <si>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</si>
  <si>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</si>
  <si>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</si>
  <si>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</si>
  <si>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</si>
  <si>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</si>
  <si>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</si>
  <si>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</si>
  <si>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</si>
  <si>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</si>
  <si>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</si>
  <si>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</si>
  <si>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</si>
  <si>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</si>
  <si>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</si>
  <si>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</si>
  <si>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</si>
  <si>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</si>
  <si>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</si>
  <si>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</si>
  <si>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Betania</t>
  </si>
  <si>
    <t>VINILO PLASTICO TRANPARENTE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</si>
</sst>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323850</xdr:colOff>
      <xdr:row>0</xdr:row>
      <xdr:rowOff>0</xdr:rowOff>
    </xdr:from>
    <xdr:to>
      <xdr:col>24</xdr:col>
      <xdr:colOff>76200</xdr:colOff>
      <xdr:row>6</xdr:row>
      <xdr:rowOff>287268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41A2BC3-9899-4DA1-8145-275424E2D0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77" t="19567" r="13025" b="6960"/>
        <a:stretch>
          <a:fillRect/>
        </a:stretch>
      </xdr:blipFill>
      <xdr:spPr>
        <a:xfrm>
          <a:off x="8201025" y="0"/>
          <a:ext cx="1495425" cy="20589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E3" sqref="E3:K3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LV2710-1</v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>
        <v>45957</v>
      </c>
      <c r="P1" s="355"/>
      <c r="Q1" s="355"/>
      <c r="R1" s="356"/>
      <c r="S1" s="296" t="s">
        <v>3</v>
      </c>
      <c r="T1" s="297"/>
      <c r="U1" s="302"/>
      <c r="V1" s="303"/>
      <c r="W1" s="303"/>
      <c r="X1" s="303"/>
      <c r="Y1" s="304"/>
      <c r="Z1" s="384" t="s">
        <v>4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5</v>
      </c>
      <c r="D2" s="350"/>
      <c r="E2" s="369" t="s">
        <v>1388</v>
      </c>
      <c r="F2" s="370"/>
      <c r="G2" s="370"/>
      <c r="H2" s="370"/>
      <c r="I2" s="370"/>
      <c r="J2" s="370"/>
      <c r="K2" s="371"/>
      <c r="L2" s="392" t="s">
        <v>6</v>
      </c>
      <c r="M2" s="393"/>
      <c r="N2" s="353"/>
      <c r="O2" s="394" t="e">
        <f>IF(E2="","",INDEX(Listas!H2:I30,MATCH(portacarnet!E2,Intructores,0),2))</f>
        <v>#N/A</v>
      </c>
      <c r="P2" s="394"/>
      <c r="Q2" s="394"/>
      <c r="R2" s="395"/>
      <c r="S2" s="298">
        <v>12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7</v>
      </c>
      <c r="D3" s="340"/>
      <c r="E3" s="341" t="s">
        <v>1316</v>
      </c>
      <c r="F3" s="342"/>
      <c r="G3" s="342"/>
      <c r="H3" s="342"/>
      <c r="I3" s="342"/>
      <c r="J3" s="342"/>
      <c r="K3" s="343"/>
      <c r="L3" s="392" t="s">
        <v>9</v>
      </c>
      <c r="M3" s="393"/>
      <c r="N3" s="353"/>
      <c r="O3" s="316">
        <v>3371158</v>
      </c>
      <c r="P3" s="396"/>
      <c r="Q3" s="396"/>
      <c r="R3" s="396"/>
      <c r="S3" s="298" t="s">
        <v>10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11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12</v>
      </c>
      <c r="M4" s="359"/>
      <c r="N4" s="359"/>
      <c r="O4" s="360" t="s">
        <v>13</v>
      </c>
      <c r="P4" s="361"/>
      <c r="Q4" s="361"/>
      <c r="R4" s="361"/>
      <c r="S4" s="298">
        <v>7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14</v>
      </c>
      <c r="B5" s="344"/>
      <c r="C5" s="344"/>
      <c r="D5" s="345">
        <f>IF(K5="","",(SUM(W10:Y28)-(SUMIF(U10:V28,"Restar_Pedido",W10:Y28)))/$K$5)</f>
        <v>4291.7800000000007</v>
      </c>
      <c r="E5" s="346"/>
      <c r="F5" s="347"/>
      <c r="G5" s="348" t="s">
        <v>15</v>
      </c>
      <c r="H5" s="349"/>
      <c r="I5" s="349"/>
      <c r="J5" s="350"/>
      <c r="K5" s="400">
        <v>15</v>
      </c>
      <c r="L5" s="400"/>
      <c r="M5" s="401" t="s">
        <v>16</v>
      </c>
      <c r="N5" s="401"/>
      <c r="O5" s="397">
        <f>IFERROR(IF(K5=0,"",D5*K5),"")</f>
        <v>64376.700000000012</v>
      </c>
      <c r="P5" s="398"/>
      <c r="Q5" s="398"/>
      <c r="R5" s="398"/>
      <c r="S5" s="300" t="s">
        <v>17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18</v>
      </c>
      <c r="B7" s="327"/>
      <c r="C7" s="328"/>
      <c r="D7" s="329" t="s">
        <v>19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20</v>
      </c>
      <c r="P7" s="336"/>
      <c r="Q7" s="337" t="s">
        <v>21</v>
      </c>
      <c r="R7" s="338"/>
      <c r="S7" s="298">
        <v>0.5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22</v>
      </c>
      <c r="T8" s="388"/>
      <c r="U8" s="389"/>
      <c r="V8" s="390">
        <f>IF(K5="","",1/K5)</f>
        <v>6.6666666666666666E-2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23</v>
      </c>
      <c r="T9" s="387"/>
      <c r="U9" s="336" t="s">
        <v>24</v>
      </c>
      <c r="V9" s="336"/>
      <c r="W9" s="336" t="s">
        <v>25</v>
      </c>
      <c r="X9" s="336"/>
      <c r="Y9" s="336"/>
    </row>
    <row r="10" spans="1:31" ht="17.25" customHeight="1">
      <c r="A10" s="309" t="s">
        <v>1214</v>
      </c>
      <c r="B10" s="309"/>
      <c r="C10" s="310"/>
      <c r="D10" s="322" t="s">
        <v>1292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gal</v>
      </c>
      <c r="P10" s="315"/>
      <c r="Q10" s="316">
        <v>0.01</v>
      </c>
      <c r="R10" s="317"/>
      <c r="S10" s="318">
        <f>IFERROR(IF(Q10="Unidad","1",(Q10*$K$5)),"")</f>
        <v>0.15</v>
      </c>
      <c r="T10" s="319"/>
      <c r="U10" s="320" t="s">
        <v>1347</v>
      </c>
      <c r="V10" s="326"/>
      <c r="W10" s="321">
        <f>IFERROR(IF(D10="","",INDEX(Tabla_Completa,MATCH(portacarnet!D10,Materiales,0),7)*S10),"")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1214</v>
      </c>
      <c r="B11" s="309"/>
      <c r="C11" s="310"/>
      <c r="D11" s="322" t="s">
        <v>1232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gal</v>
      </c>
      <c r="P11" s="315"/>
      <c r="Q11" s="316">
        <v>1.2999999999999999E-3</v>
      </c>
      <c r="R11" s="317"/>
      <c r="S11" s="318">
        <f t="shared" ref="S11:S31" si="1">IFERROR(IF(Q11="Unidad","1",(Q11*$K$5)),"")</f>
        <v>1.95E-2</v>
      </c>
      <c r="T11" s="319"/>
      <c r="U11" s="320"/>
      <c r="V11" s="320"/>
      <c r="W11" s="321">
        <f>IFERROR(IF(D11="","",INDEX(Tabla_Completa,MATCH(portacarnet!D11,Materiales,0),7)*S11),"")</f>
        <v>0</v>
      </c>
      <c r="X11" s="321"/>
      <c r="Y11" s="321"/>
    </row>
    <row r="12" spans="1:31" ht="15.75" customHeight="1">
      <c r="A12" s="308" t="s">
        <v>231</v>
      </c>
      <c r="B12" s="309"/>
      <c r="C12" s="310"/>
      <c r="D12" s="325" t="s">
        <v>246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m</v>
      </c>
      <c r="P12" s="315"/>
      <c r="Q12" s="316">
        <v>1</v>
      </c>
      <c r="R12" s="317"/>
      <c r="S12" s="318">
        <f t="shared" si="1"/>
        <v>15</v>
      </c>
      <c r="T12" s="319"/>
      <c r="U12" s="320"/>
      <c r="V12" s="320"/>
      <c r="W12" s="321">
        <f>IFERROR(IF(D12="","",INDEX(Tabla_Completa,MATCH(portacarnet!D12,Materiales,0),7)*S12),"")</f>
        <v>6150</v>
      </c>
      <c r="X12" s="321"/>
      <c r="Y12" s="321"/>
    </row>
    <row r="13" spans="1:31" ht="15.75" customHeight="1">
      <c r="A13" s="308" t="s">
        <v>39</v>
      </c>
      <c r="B13" s="309"/>
      <c r="C13" s="310"/>
      <c r="D13" s="322" t="s">
        <v>767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U</v>
      </c>
      <c r="P13" s="315"/>
      <c r="Q13" s="316">
        <v>1</v>
      </c>
      <c r="R13" s="317"/>
      <c r="S13" s="318">
        <f t="shared" si="1"/>
        <v>15</v>
      </c>
      <c r="T13" s="319"/>
      <c r="U13" s="320"/>
      <c r="V13" s="320"/>
      <c r="W13" s="321">
        <f>IFERROR(IF(D13="","",INDEX(Tabla_Completa,MATCH(portacarnet!D13,Materiales,0),7)*S13),"")</f>
        <v>58226.700000000004</v>
      </c>
      <c r="X13" s="321"/>
      <c r="Y13" s="321"/>
    </row>
    <row r="14" spans="1:31" ht="17.25" customHeight="1">
      <c r="A14" s="308"/>
      <c r="B14" s="309"/>
      <c r="C14" s="310"/>
      <c r="D14" s="322" t="s">
        <v>1390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/>
      </c>
      <c r="P14" s="315"/>
      <c r="Q14" s="316">
        <v>4</v>
      </c>
      <c r="R14" s="317"/>
      <c r="S14" s="318">
        <f t="shared" si="1"/>
        <v>60</v>
      </c>
      <c r="T14" s="319"/>
      <c r="U14" s="320"/>
      <c r="V14" s="320"/>
      <c r="W14" s="321" t="str">
        <f>IFERROR(IF(D14="","",INDEX(Tabla_Completa,MATCH(portacarnet!D14,Materiales,0),7)*S14),"")</f>
        <v/>
      </c>
      <c r="X14" s="321"/>
      <c r="Y14" s="321"/>
    </row>
    <row r="15" spans="1:31" ht="15.75" customHeight="1">
      <c r="A15" s="308"/>
      <c r="B15" s="309"/>
      <c r="C15" s="310"/>
      <c r="D15" s="322"/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/>
      <c r="R15" s="317"/>
      <c r="S15" s="318">
        <f t="shared" si="1"/>
        <v>0</v>
      </c>
      <c r="T15" s="319"/>
      <c r="U15" s="320"/>
      <c r="V15" s="320"/>
      <c r="W15" s="321" t="str">
        <f>IFERROR(IF(D15="","",INDEX(Tabla_Completa,MATCH(portacarnet!D15,Materiales,0),7)*S15),"")</f>
        <v/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IFERROR(IF(D16="","",INDEX(Tabla_Completa,MATCH(portacarnet!D16,Materiales,0),7)*S16),"")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IFERROR(IF(D17="","",INDEX(Tabla_Completa,MATCH(portacarnet!D17,Materiales,0),7)*S17),"")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IFERROR(IF(D18="","",INDEX(Tabla_Completa,MATCH(portacarnet!D18,Materiales,0),7)*S18),"")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IFERROR(IF(D19="","",INDEX(Tabla_Completa,MATCH(portacarnet!D19,Materiales,0),7)*S19),"")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IFERROR(IF(D20="","",INDEX(Tabla_Completa,MATCH(portacarnet!D20,Materiales,0),7)*S20),"")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IFERROR(IF(D21="","",INDEX(Tabla_Completa,MATCH(portacarnet!D21,Materiales,0),7)*S21),"")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IFERROR(IF(D22="","",INDEX(Tabla_Completa,MATCH(portacarnet!D22,Materiales,0),7)*S22),"")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IFERROR(IF(D23="","",INDEX(Tabla_Completa,MATCH(portacarnet!D23,Materiales,0),7)*S23),"")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IFERROR(IF(D24="","",INDEX(Tabla_Completa,MATCH(portacarnet!D24,Materiales,0),7)*S24),"")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IFERROR(IF(D25="","",INDEX(Tabla_Completa,MATCH(portacarnet!D25,Materiales,0),7)*S25),"")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IFERROR(IF(D26="","",INDEX(Tabla_Completa,MATCH(portacarnet!D26,Materiales,0),7)*S26),"")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IFERROR(IF(D27="","",INDEX(Tabla_Completa,MATCH(portacarnet!D27,Materiales,0),7)*S27),"")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IFERROR(IF(D28="","",INDEX(Tabla_Completa,MATCH(portacarnet!D28,Materiales,0),7)*S28),"")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IFERROR(IF(D29="","",INDEX(Tabla_Completa,MATCH(portacarnet!D29,Materiales,0),7)*S29),"")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IFERROR(IF(D30="","",INDEX(Tabla_Completa,MATCH(portacarnet!D30,Materiales,0),7)*S30),"")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IFERROR(IF(D31="","",INDEX(Tabla_Completa,MATCH(portacarnet!D31,Materiales,0),7)*S31),"")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26</v>
      </c>
      <c r="B39" s="376"/>
      <c r="C39" s="376"/>
      <c r="D39" s="377" t="s">
        <v>27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29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30</v>
      </c>
      <c r="O44" s="373"/>
      <c r="P44" s="373"/>
      <c r="Q44" s="373"/>
      <c r="R44" s="382" t="s">
        <v>31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32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33</v>
      </c>
      <c r="O45" s="373"/>
      <c r="P45" s="373"/>
      <c r="Q45" s="373"/>
      <c r="R45" s="383" t="s">
        <v>34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35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36</v>
      </c>
      <c r="O46" s="373"/>
      <c r="P46" s="373"/>
      <c r="Q46" s="373"/>
      <c r="R46" s="372" t="s">
        <v>37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38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39</v>
      </c>
      <c r="O47" s="373"/>
      <c r="P47" s="373"/>
      <c r="Q47" s="373"/>
      <c r="R47" s="372" t="s">
        <v>40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41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42</v>
      </c>
      <c r="O48" s="373"/>
      <c r="P48" s="373"/>
      <c r="Q48" s="373"/>
      <c r="R48" s="372" t="s">
        <v>43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44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45</v>
      </c>
      <c r="O49" s="374"/>
      <c r="P49" s="374"/>
      <c r="Q49" s="374"/>
      <c r="R49" s="383" t="s">
        <v>46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47</v>
      </c>
      <c r="O50" s="373"/>
      <c r="P50" s="373"/>
      <c r="Q50" s="373"/>
      <c r="R50" s="372" t="s">
        <v>48</v>
      </c>
      <c r="S50" s="372"/>
      <c r="T50" s="372"/>
      <c r="U50" s="372"/>
      <c r="V50" s="372"/>
      <c r="W50" s="372"/>
      <c r="X50" s="372"/>
    </row>
    <row r="51" spans="1:24" ht="15.75">
      <c r="N51" s="373" t="s">
        <v>49</v>
      </c>
      <c r="O51" s="373"/>
      <c r="P51" s="373"/>
      <c r="Q51" s="373"/>
      <c r="R51" s="372" t="s">
        <v>50</v>
      </c>
      <c r="S51" s="372"/>
      <c r="T51" s="372"/>
      <c r="U51" s="372"/>
      <c r="V51" s="372"/>
      <c r="W51" s="372"/>
      <c r="X51" s="372"/>
    </row>
    <row r="52" spans="1:24" ht="15.75">
      <c r="N52" s="373" t="s">
        <v>51</v>
      </c>
      <c r="O52" s="373"/>
      <c r="P52" s="373"/>
      <c r="Q52" s="373"/>
      <c r="R52" s="372" t="s">
        <v>40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52</v>
      </c>
      <c r="E1" s="482"/>
      <c r="F1" s="482"/>
      <c r="G1" s="482"/>
      <c r="H1" s="482"/>
      <c r="I1" s="483"/>
      <c r="J1" s="413" t="s">
        <v>53</v>
      </c>
      <c r="K1" s="414"/>
      <c r="L1" s="414"/>
      <c r="M1" s="415"/>
      <c r="N1" s="416">
        <f>IF(portacarnet!O1="","",portacarnet!O1)</f>
        <v>45957</v>
      </c>
      <c r="O1" s="417"/>
      <c r="P1" s="452" t="s">
        <v>54</v>
      </c>
      <c r="Q1" s="453"/>
      <c r="R1" s="458" t="str">
        <f>IF(portacarnet!D4="","",portacarnet!D4)</f>
        <v>Complementarios Betania</v>
      </c>
      <c r="S1" s="459"/>
      <c r="Z1" t="s">
        <v>55</v>
      </c>
      <c r="AA1" s="241" t="s">
        <v>55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56</v>
      </c>
      <c r="K2" s="419"/>
      <c r="L2" s="419"/>
      <c r="M2" s="420"/>
      <c r="N2" s="421" t="str">
        <f>portacarnet!F1</f>
        <v>LV2710-1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57</v>
      </c>
      <c r="K3" s="423"/>
      <c r="L3" s="423"/>
      <c r="M3" s="423"/>
      <c r="N3" s="424">
        <f>IF(portacarnet!O3="","",portacarnet!O3)</f>
        <v>3371158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58</v>
      </c>
      <c r="K4" s="467"/>
      <c r="L4" s="467"/>
      <c r="M4" s="468" t="str">
        <f>IF(portacarnet!O4="","",portacarnet!O4)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59</v>
      </c>
      <c r="C6" s="471"/>
      <c r="D6" s="472"/>
      <c r="E6" s="476" t="s">
        <v>60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IF(portacarnet!D5&lt;= 0,"",portacarnet!D5)</f>
        <v>4291.7800000000007</v>
      </c>
      <c r="C8" s="445"/>
      <c r="D8" s="446"/>
      <c r="E8" s="447" t="s">
        <v>61</v>
      </c>
      <c r="F8" s="448"/>
      <c r="G8" s="448"/>
      <c r="H8" s="448"/>
      <c r="I8" s="449"/>
      <c r="J8" s="450" t="str">
        <f>IF(portacarnet!E2="","",portacarnet!E2)</f>
        <v>Laura Victoria Bautista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62</v>
      </c>
      <c r="C9" s="427"/>
      <c r="D9" s="430"/>
      <c r="E9" s="431" t="s">
        <v>63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64</v>
      </c>
      <c r="K10" s="438"/>
      <c r="L10" s="439"/>
      <c r="M10" s="250">
        <f>'[1]Soli_citud '!K5</f>
        <v>1</v>
      </c>
      <c r="N10" s="465" t="s">
        <v>65</v>
      </c>
      <c r="O10" s="466"/>
      <c r="P10" s="456"/>
      <c r="Q10" s="457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90" t="s">
        <v>69</v>
      </c>
      <c r="D11" s="491"/>
      <c r="E11" s="491"/>
      <c r="F11" s="49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22" t="s">
        <v>24</v>
      </c>
      <c r="M11" s="493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LV2710-1</v>
      </c>
      <c r="C12" s="494" t="str">
        <f>IFERROR(IF(portacarnet!D10="","",portacarnet!D10),"")</f>
        <v>Tinta marroquinera negra</v>
      </c>
      <c r="D12" s="494"/>
      <c r="E12" s="494"/>
      <c r="F12" s="494"/>
      <c r="G12" s="213" t="str">
        <f>IF(portacarnet!O10="","",portacarnet!O10)</f>
        <v>gal</v>
      </c>
      <c r="H12" s="213" cm="1">
        <f t="array" ref="H12">_xlfn.IFS(portacarnet!S10="","",portacarnet!S10&lt;=0,"",portacarnet!S10&gt;0,portacarnet!S10)</f>
        <v>0.15</v>
      </c>
      <c r="I12" s="214"/>
      <c r="J12" s="215"/>
      <c r="K12" s="197" cm="1">
        <f t="array" ref="K12">IFERROR(_xlfn.IFS(H12="","",J12=H12,"Cumplido",J12&lt;H12,H12-J12,J12&gt;H12,"Revisar"),"")</f>
        <v>0.15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IFERROR(_xlfn.IFS(Q12&gt;0,"ENTREGADO",portacarnet!A10="HERRAMIENTAS_","DEVOLUTIVO"),"")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LV2710-1</v>
      </c>
      <c r="C13" s="494" t="str">
        <f>IFERROR(IF(portacarnet!D11="","",portacarnet!D11),"")</f>
        <v>Cemento de contacto</v>
      </c>
      <c r="D13" s="494"/>
      <c r="E13" s="494"/>
      <c r="F13" s="494"/>
      <c r="G13" s="213" t="str">
        <f>IF(portacarnet!O11="","",portacarnet!O11)</f>
        <v>gal</v>
      </c>
      <c r="H13" s="213" cm="1">
        <f t="array" ref="H13">_xlfn.IFS(portacarnet!S11="","",portacarnet!S11&lt;=0,"",portacarnet!S11&gt;0,portacarnet!S11)</f>
        <v>1.95E-2</v>
      </c>
      <c r="I13" s="214"/>
      <c r="J13" s="216"/>
      <c r="K13" s="197" cm="1">
        <f t="array" ref="K13">IFERROR(_xlfn.IFS(H13="","",J13=H13,"Cumplido",J13&lt;H13,H13-J13,J13&gt;H13,"Revisar"),"")</f>
        <v>1.95E-2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IFERROR(_xlfn.IFS(Q13&gt;0,"ENTREGADO",portacarnet!A11="HERRAMIENTAS_","DEVOLUTIVO"),"")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LV2710-1</v>
      </c>
      <c r="C14" s="494" t="str">
        <f>IFERROR(IF(portacarnet!D12="","",portacarnet!D12),"")</f>
        <v>CINTA FALLA _RIBETE 18 mm  CON APRESTO #3</v>
      </c>
      <c r="D14" s="494"/>
      <c r="E14" s="494"/>
      <c r="F14" s="494"/>
      <c r="G14" s="213" t="str">
        <f>IF(portacarnet!O12="","",portacarnet!O12)</f>
        <v>m</v>
      </c>
      <c r="H14" s="213" cm="1">
        <f t="array" ref="H14">_xlfn.IFS(portacarnet!S12="","",portacarnet!S12&lt;=0,"",portacarnet!S12&gt;0,portacarnet!S12)</f>
        <v>15</v>
      </c>
      <c r="I14" s="214"/>
      <c r="J14" s="216"/>
      <c r="K14" s="197" cm="1">
        <f t="array" ref="K14">IFERROR(_xlfn.IFS(H14="","",J14=H14,"Cumplido",J14&lt;H14,H14-J14,J14&gt;H14,"Revisar"),"")</f>
        <v>15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IFERROR(_xlfn.IFS(Q14&gt;0,"ENTREGADO",portacarnet!A12="HERRAMIENTAS_","DEVOLUTIVO"),"")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LV2710-1</v>
      </c>
      <c r="C15" s="494" t="str">
        <f>IFERROR(IF(portacarnet!D13="","",portacarnet!D13),"")</f>
        <v>MOSQUETÓN LLAVERO NIQUELADO 3/8</v>
      </c>
      <c r="D15" s="494"/>
      <c r="E15" s="494"/>
      <c r="F15" s="494"/>
      <c r="G15" s="213" t="str">
        <f>IF(portacarnet!O13="","",portacarnet!O13)</f>
        <v>U</v>
      </c>
      <c r="H15" s="213" cm="1">
        <f t="array" ref="H15">_xlfn.IFS(portacarnet!S13="","",portacarnet!S13&lt;=0,"",portacarnet!S13&gt;0,portacarnet!S13)</f>
        <v>15</v>
      </c>
      <c r="I15" s="214"/>
      <c r="J15" s="216"/>
      <c r="K15" s="197" cm="1">
        <f t="array" ref="K15">IFERROR(_xlfn.IFS(H15="","",J15=H15,"Cumplido",J15&lt;H15,H15-J15,J15&gt;H15,"Revisar"),"")</f>
        <v>15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IFERROR(_xlfn.IFS(Q15&gt;0,"ENTREGADO",portacarnet!A13="HERRAMIENTAS_","DEVOLUTIVO"),"")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LV2710-1</v>
      </c>
      <c r="C16" s="494" t="str">
        <f>IFERROR(IF(portacarnet!D14="","",portacarnet!D14),"")</f>
        <v>VINILO PLASTICO TRANPARENTE</v>
      </c>
      <c r="D16" s="494"/>
      <c r="E16" s="494"/>
      <c r="F16" s="494"/>
      <c r="G16" s="213" t="str">
        <f>IF(portacarnet!O14="","",portacarnet!O14)</f>
        <v/>
      </c>
      <c r="H16" s="213" cm="1">
        <f t="array" ref="H16">_xlfn.IFS(portacarnet!S14="","",portacarnet!S14&lt;=0,"",portacarnet!S14&gt;0,portacarnet!S14)</f>
        <v>60</v>
      </c>
      <c r="I16" s="214"/>
      <c r="J16" s="216"/>
      <c r="K16" s="197" cm="1">
        <f t="array" ref="K16">IFERROR(_xlfn.IFS(H16="","",J16=H16,"Cumplido",J16&lt;H16,H16-J16,J16&gt;H16,"Revisar"),"")</f>
        <v>60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IFERROR(_xlfn.IFS(Q16&gt;0,"ENTREGADO",portacarnet!A14="HERRAMIENTAS_","DEVOLUTIVO"),"")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94" t="str">
        <f>IFERROR(IF(portacarnet!D15="","",portacarnet!D15),"")</f>
        <v/>
      </c>
      <c r="D17" s="494"/>
      <c r="E17" s="494"/>
      <c r="F17" s="494"/>
      <c r="G17" s="213" t="str">
        <f>IF(portacarnet!O15="","",portacarnet!O15)</f>
        <v/>
      </c>
      <c r="H17" s="213" t="str" cm="1">
        <f t="array" ref="H17">_xlfn.IFS(portacarnet!S15="","",portacarnet!S15&lt;=0,"",portacarnet!S15&gt;0,portacarnet!S15)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IFERROR(_xlfn.IFS(Q17&gt;0,"ENTREGADO",portacarnet!A15="HERRAMIENTAS_","DEVOLUTIVO"),"")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4" t="str">
        <f>IFERROR(IF(portacarnet!D16="","",portacarnet!D16),"")</f>
        <v/>
      </c>
      <c r="D18" s="494"/>
      <c r="E18" s="494"/>
      <c r="F18" s="494"/>
      <c r="G18" s="213" t="str">
        <f>IF(portacarnet!O16="","",portacarnet!O16)</f>
        <v/>
      </c>
      <c r="H18" s="213" t="str" cm="1">
        <f t="array" ref="H18">_xlfn.IFS(portacarnet!S16="","",portacarnet!S16&lt;=0,"",portacarnet!S16&gt;0,portacarnet!S16)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IFERROR(_xlfn.IFS(Q18&gt;0,"ENTREGADO",portacarnet!A16="HERRAMIENTAS_","DEVOLUTIVO"),"")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IFERROR(IF(portacarnet!D17="","",portacarnet!D17),"")</f>
        <v/>
      </c>
      <c r="D19" s="494"/>
      <c r="E19" s="494"/>
      <c r="F19" s="494"/>
      <c r="G19" s="213" t="str">
        <f>IF(portacarnet!O17="","",portacarnet!O17)</f>
        <v/>
      </c>
      <c r="H19" s="213" t="str" cm="1">
        <f t="array" ref="H19">_xlfn.IFS(portacarnet!S17="","",portacarnet!S17&lt;=0,"",portacarnet!S17&gt;0,portacarnet!S17)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IFERROR(_xlfn.IFS(Q19&gt;0,"ENTREGADO",portacarnet!A17="HERRAMIENTAS_","DEVOLUTIVO"),"")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IFERROR(IF(portacarnet!D18="","",portacarnet!D18),"")</f>
        <v/>
      </c>
      <c r="D20" s="494"/>
      <c r="E20" s="494"/>
      <c r="F20" s="494"/>
      <c r="G20" s="213" t="str">
        <f>IF(portacarnet!O18="","",portacarnet!O18)</f>
        <v/>
      </c>
      <c r="H20" s="213" t="str" cm="1">
        <f t="array" ref="H20">_xlfn.IFS(portacarnet!S18="","",portacarnet!S18&lt;=0,"",portacarnet!S18&gt;0,portacarnet!S18)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IFERROR(_xlfn.IFS(Q20&gt;0,"ENTREGADO",portacarnet!A18="HERRAMIENTAS_","DEVOLUTIVO"),"")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IFERROR(IF(portacarnet!D19="","",portacarnet!D19),"")</f>
        <v/>
      </c>
      <c r="D21" s="494"/>
      <c r="E21" s="494"/>
      <c r="F21" s="494"/>
      <c r="G21" s="213" t="str">
        <f>IF(portacarnet!O19="","",portacarnet!O19)</f>
        <v/>
      </c>
      <c r="H21" s="213" t="str" cm="1">
        <f t="array" ref="H21">_xlfn.IFS(portacarnet!S19="","",portacarnet!S19&lt;=0,"",portacarnet!S19&gt;0,portacarnet!S19)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IFERROR(_xlfn.IFS(Q21&gt;0,"ENTREGADO",portacarnet!A19="HERRAMIENTAS_","DEVOLUTIVO"),"")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IFERROR(IF(portacarnet!D20="","",portacarnet!D20),"")</f>
        <v/>
      </c>
      <c r="D22" s="494"/>
      <c r="E22" s="494"/>
      <c r="F22" s="494"/>
      <c r="G22" s="213" t="str">
        <f>IF(portacarnet!O20="","",portacarnet!O20)</f>
        <v/>
      </c>
      <c r="H22" s="213" t="str" cm="1">
        <f t="array" ref="H22">_xlfn.IFS(portacarnet!S20="","",portacarnet!S20&lt;=0,"",portacarnet!S20&gt;0,portacarnet!S20)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IFERROR(_xlfn.IFS(Q22&gt;0,"ENTREGADO",portacarnet!A20="HERRAMIENTAS_","DEVOLUTIVO"),"")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IFERROR(IF(portacarnet!D21="","",portacarnet!D21),"")</f>
        <v/>
      </c>
      <c r="D23" s="494"/>
      <c r="E23" s="494"/>
      <c r="F23" s="494"/>
      <c r="G23" s="213" t="str">
        <f>IF(portacarnet!O21="","",portacarnet!O21)</f>
        <v/>
      </c>
      <c r="H23" s="213" t="str" cm="1">
        <f t="array" ref="H23">_xlfn.IFS(portacarnet!S21="","",portacarnet!S21&lt;=0,"",portacarnet!S21&gt;0,portacarnet!S21)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IFERROR(_xlfn.IFS(Q23&gt;0,"ENTREGADO",portacarnet!A21="HERRAMIENTAS_","DEVOLUTIVO"),"")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IFERROR(IF(portacarnet!D22="","",portacarnet!D22),"")</f>
        <v/>
      </c>
      <c r="D24" s="494"/>
      <c r="E24" s="494"/>
      <c r="F24" s="494"/>
      <c r="G24" s="213" t="str">
        <f>IF(portacarnet!O22="","",portacarnet!O22)</f>
        <v/>
      </c>
      <c r="H24" s="213" t="str" cm="1">
        <f t="array" ref="H24">_xlfn.IFS(portacarnet!S22="","",portacarnet!S22&lt;=0,"",portacarnet!S22&gt;0,portacarnet!S22)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IFERROR(_xlfn.IFS(Q24&gt;0,"ENTREGADO",portacarnet!A22="HERRAMIENTAS_","DEVOLUTIVO"),"")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IFERROR(IF(portacarnet!D23="","",portacarnet!D23),"")</f>
        <v/>
      </c>
      <c r="D25" s="494"/>
      <c r="E25" s="494"/>
      <c r="F25" s="494"/>
      <c r="G25" s="213" t="str">
        <f>IF(portacarnet!O23="","",portacarnet!O23)</f>
        <v/>
      </c>
      <c r="H25" s="213" t="str" cm="1">
        <f t="array" ref="H25">_xlfn.IFS(portacarnet!S23="","",portacarnet!S23&lt;=0,"",portacarnet!S23&gt;0,portacarnet!S23)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IFERROR(_xlfn.IFS(Q25&gt;0,"ENTREGADO",portacarnet!A23="HERRAMIENTAS_","DEVOLUTIVO"),"")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IFERROR(IF(portacarnet!D24="","",portacarnet!D24),"")</f>
        <v/>
      </c>
      <c r="D26" s="494"/>
      <c r="E26" s="494"/>
      <c r="F26" s="494"/>
      <c r="G26" s="213" t="str">
        <f>IF(portacarnet!O24="","",portacarnet!O24)</f>
        <v/>
      </c>
      <c r="H26" s="213" t="str" cm="1">
        <f t="array" ref="H26">_xlfn.IFS(portacarnet!S24="","",portacarnet!S24&lt;=0,"",portacarnet!S24&gt;0,portacarnet!S24)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IFERROR(_xlfn.IFS(Q26&gt;0,"ENTREGADO",portacarnet!A24="HERRAMIENTAS_","DEVOLUTIVO"),"")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IFERROR(IF(portacarnet!D25="","",portacarnet!D25),"")</f>
        <v/>
      </c>
      <c r="D27" s="494"/>
      <c r="E27" s="494"/>
      <c r="F27" s="494"/>
      <c r="G27" s="213" t="str">
        <f>IF(portacarnet!O25="","",portacarnet!O25)</f>
        <v/>
      </c>
      <c r="H27" s="213" t="str" cm="1">
        <f t="array" ref="H27">_xlfn.IFS(portacarnet!S25="","",portacarnet!S25&lt;=0,"",portacarnet!S25&gt;0,portacarnet!S25)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IFERROR(_xlfn.IFS(Q27&gt;0,"ENTREGADO",portacarnet!A25="HERRAMIENTAS_","DEVOLUTIVO"),"")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IFERROR(IF(portacarnet!D26="","",portacarnet!D26),"")</f>
        <v/>
      </c>
      <c r="D28" s="494"/>
      <c r="E28" s="494"/>
      <c r="F28" s="494"/>
      <c r="G28" s="213" t="str">
        <f>IF(portacarnet!O26="","",portacarnet!O26)</f>
        <v/>
      </c>
      <c r="H28" s="213" t="str" cm="1">
        <f t="array" ref="H28">_xlfn.IFS(portacarnet!S26="","",portacarnet!S26&lt;=0,"",portacarnet!S26&gt;0,portacarnet!S26)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IFERROR(_xlfn.IFS(Q28&gt;0,"ENTREGADO",portacarnet!A26="HERRAMIENTAS_","DEVOLUTIVO"),"")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IFERROR(IF(portacarnet!D27="","",portacarnet!D27),"")</f>
        <v/>
      </c>
      <c r="D29" s="494"/>
      <c r="E29" s="494"/>
      <c r="F29" s="494"/>
      <c r="G29" s="213" t="str">
        <f>IF(portacarnet!O27="","",portacarnet!O27)</f>
        <v/>
      </c>
      <c r="H29" s="213" t="str" cm="1">
        <f t="array" ref="H29">_xlfn.IFS(portacarnet!S27="","",portacarnet!S27&lt;=0,"",portacarnet!S27&gt;0,portacarnet!S27)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IFERROR(_xlfn.IFS(Q29&gt;0,"ENTREGADO",portacarnet!A27="HERRAMIENTAS_","DEVOLUTIVO"),"")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IFERROR(IF(portacarnet!D28="","",portacarnet!D28),"")</f>
        <v/>
      </c>
      <c r="D30" s="494"/>
      <c r="E30" s="494"/>
      <c r="F30" s="494"/>
      <c r="G30" s="213" t="str">
        <f>IF(portacarnet!O28="","",portacarnet!O28)</f>
        <v/>
      </c>
      <c r="H30" s="213" t="str" cm="1">
        <f t="array" ref="H30">_xlfn.IFS(portacarnet!S28="","",portacarnet!S28&lt;=0,"",portacarnet!S28&gt;0,portacarnet!S28)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IFERROR(_xlfn.IFS(Q30&gt;0,"ENTREGADO",portacarnet!A28="HERRAMIENTAS_","DEVOLUTIVO"),"")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IFERROR(IF(portacarnet!D29="","",portacarnet!D29),"")</f>
        <v/>
      </c>
      <c r="D31" s="494"/>
      <c r="E31" s="494"/>
      <c r="F31" s="494"/>
      <c r="G31" s="213" t="str">
        <f>IF(portacarnet!O29="","",portacarnet!O29)</f>
        <v/>
      </c>
      <c r="H31" s="213" t="str" cm="1">
        <f t="array" ref="H31">_xlfn.IFS(portacarnet!S29="","",portacarnet!S29&lt;=0,"",portacarnet!S29&gt;0,portacarnet!S29)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IFERROR(_xlfn.IFS(Q31&gt;0,"ENTREGADO",portacarnet!A29="HERRAMIENTAS_","DEVOLUTIVO"),"")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IFERROR(IF(portacarnet!D30="","",portacarnet!D30),"")</f>
        <v/>
      </c>
      <c r="D32" s="494"/>
      <c r="E32" s="494"/>
      <c r="F32" s="494"/>
      <c r="G32" s="213" t="str">
        <f>IF(portacarnet!O30="","",portacarnet!O30)</f>
        <v/>
      </c>
      <c r="H32" s="213" t="str" cm="1">
        <f t="array" ref="H32">_xlfn.IFS(portacarnet!S30="","",portacarnet!S30&lt;=0,"",portacarnet!S30&gt;0,portacarnet!S30)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IFERROR(_xlfn.IFS(Q32&gt;0,"ENTREGADO",portacarnet!A30="HERRAMIENTAS_","DEVOLUTIVO"),"")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81</v>
      </c>
      <c r="F1" s="502"/>
      <c r="H1" s="278" t="s">
        <v>82</v>
      </c>
      <c r="Z1" s="241" t="s">
        <v>83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499"/>
      <c r="D6" s="500"/>
      <c r="H6" s="497" t="s">
        <v>85</v>
      </c>
      <c r="I6" s="497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portacarnet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Laura Victoria Bautista Barrante</cp:lastModifiedBy>
  <cp:revision/>
  <dcterms:created xsi:type="dcterms:W3CDTF">2012-12-07T12:25:35Z</dcterms:created>
  <dcterms:modified xsi:type="dcterms:W3CDTF">2025-10-28T02:17:58Z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