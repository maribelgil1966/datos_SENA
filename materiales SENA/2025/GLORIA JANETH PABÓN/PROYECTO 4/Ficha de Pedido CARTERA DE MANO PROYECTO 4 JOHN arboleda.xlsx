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PROYECTO 4\"/>
    </mc:Choice>
  </mc:AlternateContent>
  <xr:revisionPtr revIDLastSave="0" documentId="13_ncr:1_{50F2FA27-B5DD-4ACC-90F2-54DB1CFCA3F2}" xr6:coauthVersionLast="36" xr6:coauthVersionMax="4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D5" i="43" s="1"/>
  <c r="B8" i="61" s="1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<sst xmlns="http://schemas.openxmlformats.org/spreadsheetml/2006/main" count="5020" uniqueCount="1397">
  <si>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</si>
  <si>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</si>
  <si>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</si>
  <si>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</si>
  <si>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</si>
  <si>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</si>
  <si>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</si>
  <si>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</si>
  <si>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</si>
  <si>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</si>
  <si>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</si>
  <si>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</si>
  <si>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</si>
  <si>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</si>
  <si>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</si>
  <si>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</si>
  <si>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</si>
  <si>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</si>
  <si>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</si>
  <si>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</si>
  <si>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</si>
  <si>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</si>
  <si>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</si>
  <si>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</si>
  <si>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</si>
  <si>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</si>
  <si>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</si>
  <si>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</si>
  <si>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</si>
  <si>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</si>
  <si>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</si>
  <si>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</si>
  <si>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</si>
  <si>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</si>
  <si>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</si>
  <si>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</si>
  <si>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</si>
  <si>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</si>
  <si>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</si>
  <si>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</si>
  <si>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</si>
  <si>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</si>
  <si>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</si>
  <si>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</si>
  <si>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</si>
  <si>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</si>
  <si>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</si>
  <si>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</si>
  <si>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</si>
  <si>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</si>
  <si>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</si>
  <si>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</si>
  <si>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</si>
  <si>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</si>
  <si>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</si>
  <si>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</si>
  <si>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</si>
  <si>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</si>
  <si>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</si>
  <si>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</si>
  <si>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</si>
  <si>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</si>
  <si>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</si>
  <si>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</si>
  <si>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</si>
  <si>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</si>
  <si>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</si>
  <si>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</si>
  <si>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</si>
  <si>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</si>
  <si>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</si>
  <si>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</si>
  <si>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</si>
  <si>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</si>
  <si>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</si>
  <si>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</si>
  <si>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</si>
  <si>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</si>
  <si>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</si>
  <si>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</si>
  <si>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</si>
  <si>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</si>
  <si>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</si>
  <si>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</si>
  <si>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</si>
  <si>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</si>
  <si>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</si>
  <si>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</si>
  <si>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</si>
  <si>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</si>
  <si>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</si>
  <si>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</si>
  <si>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</si>
  <si>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</si>
  <si>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</si>
  <si>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</si>
  <si>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</si>
  <si>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</si>
  <si>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</si>
  <si>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</si>
  <si>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</si>
  <si>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</si>
  <si>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</si>
  <si>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</si>
  <si>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</si>
  <si>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</si>
  <si>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</si>
  <si>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</si>
  <si>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</si>
  <si>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</si>
  <si>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</si>
  <si>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</si>
  <si>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</si>
  <si>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</si>
  <si>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</si>
  <si>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</si>
  <si>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</si>
  <si>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</si>
  <si>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</si>
  <si>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</si>
  <si>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</si>
  <si>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</si>
  <si>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</si>
  <si>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</si>
  <si>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</si>
  <si>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</si>
  <si>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</si>
  <si>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</si>
  <si>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</si>
  <si>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</si>
  <si>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</si>
  <si>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</si>
  <si>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</si>
  <si>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</si>
  <si>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</si>
  <si>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</si>
  <si>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</si>
  <si>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</si>
  <si>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</si>
  <si>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</si>
  <si>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</si>
  <si>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</si>
  <si>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</si>
  <si>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</si>
  <si>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</si>
  <si>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</si>
  <si>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</si>
  <si>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</si>
  <si>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</si>
  <si>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</si>
  <si>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</si>
  <si>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</si>
  <si>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</si>
  <si>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</si>
  <si>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</si>
  <si>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</si>
  <si>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</si>
  <si>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</si>
  <si>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</si>
  <si>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</si>
  <si>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</si>
  <si>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</si>
  <si>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</si>
  <si>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</si>
  <si>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</si>
  <si>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</si>
  <si>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</si>
  <si>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</si>
  <si>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</si>
  <si>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</si>
  <si>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</si>
  <si>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</si>
  <si>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</si>
  <si>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</si>
  <si>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</si>
  <si>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</si>
  <si>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</si>
  <si>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</si>
  <si>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</si>
  <si>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</si>
  <si>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</si>
  <si>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</si>
  <si>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</si>
  <si>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</si>
  <si>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</si>
  <si>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</si>
  <si>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</si>
  <si>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</si>
  <si>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</si>
  <si>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</si>
  <si>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</si>
  <si>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</si>
  <si>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</si>
  <si>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</si>
  <si>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</si>
  <si>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</si>
  <si>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</si>
  <si>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</si>
  <si>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</si>
  <si>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</si>
  <si>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</si>
  <si>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</si>
  <si>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</si>
  <si>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</si>
  <si>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</si>
  <si>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</si>
  <si>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</si>
  <si>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</si>
  <si>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</si>
  <si>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</si>
  <si>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</si>
  <si>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</si>
  <si>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</si>
  <si>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</si>
  <si>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</si>
  <si>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</si>
  <si>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</si>
  <si>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</si>
  <si>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</si>
  <si>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</si>
  <si>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</si>
  <si>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</si>
  <si>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</si>
  <si>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</si>
  <si>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</si>
  <si>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</si>
  <si>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</si>
  <si>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</si>
  <si>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</si>
  <si>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</si>
  <si>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</si>
  <si>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</si>
  <si>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</si>
  <si>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</si>
  <si>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</si>
  <si>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</si>
  <si>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</si>
  <si>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</si>
  <si>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</si>
  <si>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</si>
  <si>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</si>
  <si>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</si>
  <si>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</si>
  <si>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</si>
  <si>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</si>
  <si>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</si>
  <si>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</si>
  <si>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</si>
  <si>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</si>
  <si>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</si>
  <si>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</si>
  <si>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</si>
  <si>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</si>
  <si>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</si>
  <si>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</si>
  <si>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</si>
  <si>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</si>
  <si>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</si>
  <si>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</si>
  <si>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</si>
  <si>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</si>
  <si>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</si>
  <si>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</si>
  <si>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</si>
  <si>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</si>
  <si>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</si>
  <si>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</si>
  <si>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</si>
  <si>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</si>
  <si>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</si>
  <si>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</si>
  <si>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</si>
  <si>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</si>
  <si>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</si>
  <si>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</si>
  <si>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</si>
  <si>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</si>
  <si>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</si>
  <si>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</si>
  <si>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</si>
  <si>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</si>
  <si>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</si>
  <si>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</si>
  <si>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</si>
  <si>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</si>
  <si>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</si>
  <si>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</si>
  <si>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</si>
  <si>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</si>
  <si>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</si>
  <si>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</si>
  <si>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</si>
  <si>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</si>
  <si>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</si>
  <si>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</si>
  <si>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</si>
  <si>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</si>
  <si>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</si>
  <si>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</si>
  <si>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</si>
  <si>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</si>
  <si>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</si>
  <si>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</si>
  <si>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</si>
  <si>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</si>
  <si>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</si>
  <si>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</si>
  <si>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</si>
  <si>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</si>
  <si>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</si>
  <si>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</si>
  <si>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</si>
  <si>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</si>
  <si>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</si>
  <si>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</si>
  <si>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</si>
  <si>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</si>
  <si>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</si>
  <si>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</si>
  <si>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</si>
  <si>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</si>
  <si>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</si>
  <si>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</si>
  <si>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</si>
  <si>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</si>
  <si>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</si>
  <si>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</si>
  <si>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</si>
  <si>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</si>
  <si>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</si>
  <si>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</si>
  <si>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</si>
  <si>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</si>
  <si>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</si>
  <si>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</si>
  <si>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</si>
  <si>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</si>
  <si>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</si>
  <si>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</si>
  <si>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</si>
  <si>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</si>
  <si>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</si>
  <si>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</si>
  <si>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</si>
  <si>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</si>
  <si>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</si>
  <si>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</si>
  <si>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</si>
  <si>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</si>
  <si>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</si>
  <si>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</si>
  <si>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</si>
  <si>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</si>
  <si>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</si>
  <si>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</si>
  <si>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</si>
  <si>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</si>
  <si>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</si>
  <si>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</si>
  <si>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</si>
  <si>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</si>
  <si>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</si>
  <si>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</si>
  <si>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</si>
  <si>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</si>
  <si>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</si>
  <si>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</si>
  <si>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</si>
  <si>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</si>
  <si>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</si>
  <si>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</si>
  <si>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</si>
  <si>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</si>
  <si>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</si>
  <si>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</si>
  <si>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</si>
  <si>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</si>
  <si>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</si>
  <si>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</si>
  <si>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</si>
  <si>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</si>
  <si>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</si>
  <si>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</si>
  <si>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</si>
  <si>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</si>
  <si>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</si>
  <si>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</si>
  <si>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</si>
  <si>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</si>
  <si>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</si>
  <si>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</si>
  <si>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</si>
  <si>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</si>
  <si>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</si>
  <si>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</si>
  <si>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</si>
  <si>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</si>
  <si>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</si>
  <si>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</si>
  <si>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</si>
  <si>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</si>
  <si>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</si>
  <si>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</si>
  <si>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</si>
  <si>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</si>
  <si>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</si>
  <si>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</si>
  <si>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</si>
  <si>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</si>
  <si>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</si>
  <si>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</si>
  <si>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</si>
  <si>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</si>
  <si>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</si>
  <si>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</si>
  <si>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</si>
  <si>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</si>
  <si>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</si>
  <si>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</si>
  <si>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</si>
  <si>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</si>
  <si>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</si>
  <si>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</si>
  <si>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</si>
  <si>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</si>
  <si>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</si>
  <si>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</si>
  <si>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</si>
  <si>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</si>
  <si>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</si>
  <si>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</si>
  <si>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</si>
  <si>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</si>
  <si>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</si>
  <si>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</si>
  <si>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</si>
  <si>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</si>
  <si>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</si>
  <si>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</si>
  <si>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</si>
  <si>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</si>
  <si>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</si>
  <si>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</si>
  <si>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</si>
  <si>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</si>
  <si>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</si>
  <si>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</si>
  <si>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</si>
  <si>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</si>
  <si>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</si>
  <si>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</si>
  <si>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</si>
  <si>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</si>
  <si>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</si>
  <si>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</si>
  <si>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</si>
  <si>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</si>
  <si>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</si>
  <si>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</si>
  <si>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</si>
  <si>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</si>
  <si>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</si>
  <si>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</si>
  <si>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</si>
  <si>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</si>
  <si>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</si>
  <si>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</si>
  <si>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</si>
  <si>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</si>
  <si>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</si>
  <si>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</si>
  <si>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</si>
  <si>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</si>
  <si>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</si>
  <si>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</si>
  <si>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</si>
  <si>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</si>
  <si>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</si>
  <si>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</si>
  <si>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</si>
  <si>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</si>
  <si>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</si>
  <si>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</si>
  <si>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</si>
  <si>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</si>
  <si>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</si>
  <si>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</si>
  <si>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</si>
  <si>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</si>
  <si>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</si>
  <si>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</si>
  <si>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</si>
  <si>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</si>
  <si>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</si>
  <si>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</si>
  <si>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</si>
  <si>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</si>
  <si>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</si>
  <si>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</si>
  <si>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</si>
  <si>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</si>
  <si>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</si>
  <si>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</si>
  <si>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</si>
  <si>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</si>
  <si>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</si>
  <si>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</si>
  <si>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</si>
  <si>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</si>
  <si>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</si>
  <si>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</si>
  <si>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</si>
  <si>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</si>
  <si>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</si>
  <si>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</si>
  <si>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</si>
  <si>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</si>
  <si>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</si>
  <si>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</si>
  <si>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</si>
  <si>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</si>
  <si>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</si>
  <si>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</si>
  <si>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</si>
  <si>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</si>
  <si>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</si>
  <si>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</si>
  <si>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</si>
  <si>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</si>
  <si>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</si>
  <si>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</si>
  <si>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</si>
  <si>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</si>
  <si>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</si>
  <si>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</si>
  <si>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</si>
  <si>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</si>
  <si>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</si>
  <si>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</si>
  <si>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</si>
  <si>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</si>
  <si>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</si>
  <si>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</si>
  <si>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</si>
  <si>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</si>
  <si>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</si>
  <si>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</si>
  <si>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</si>
  <si>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</si>
  <si>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</si>
  <si>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</si>
  <si>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</si>
  <si>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</si>
  <si>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</si>
  <si>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</si>
  <si>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</si>
  <si>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</si>
  <si>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</si>
  <si>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</si>
  <si>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</si>
  <si>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</si>
  <si>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</si>
  <si>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</si>
  <si>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</si>
  <si>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</si>
  <si>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</si>
  <si>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</si>
  <si>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</si>
  <si>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</si>
  <si>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</si>
  <si>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</si>
  <si>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</si>
  <si>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</si>
  <si>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</si>
  <si>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</si>
  <si>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</si>
  <si>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</si>
  <si>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</si>
  <si>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</si>
  <si>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</si>
  <si>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</si>
  <si>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</si>
  <si>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</si>
  <si>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</si>
  <si>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</si>
  <si>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</si>
  <si>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</si>
  <si>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</si>
  <si>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</si>
  <si>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</si>
  <si>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</si>
  <si>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</si>
  <si>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</si>
  <si>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</si>
  <si>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</si>
  <si>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</si>
  <si>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</si>
  <si>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</si>
  <si>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</si>
  <si>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</si>
  <si>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</si>
  <si>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</si>
  <si>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</si>
  <si>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</si>
  <si>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</si>
  <si>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</si>
  <si>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</si>
  <si>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</si>
  <si>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</si>
  <si>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</si>
  <si>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</si>
  <si>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</si>
  <si>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</si>
  <si>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</si>
  <si>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</si>
  <si>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</si>
  <si>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</si>
  <si>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</si>
  <si>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</si>
  <si>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</si>
  <si>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</si>
  <si>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</si>
  <si>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</si>
  <si>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</si>
  <si>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</si>
  <si>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</si>
  <si>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</si>
  <si>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</si>
  <si>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</si>
  <si>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</si>
  <si>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</si>
  <si>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</si>
  <si>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</si>
  <si>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</si>
  <si>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</si>
  <si>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</si>
  <si>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</si>
  <si>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</si>
  <si>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</si>
  <si>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</si>
  <si>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</si>
  <si>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</si>
  <si>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</si>
  <si>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</si>
  <si>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</si>
  <si>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</si>
  <si>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</si>
  <si>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</si>
  <si>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</si>
  <si>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</si>
  <si>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</si>
  <si>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</si>
  <si>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</si>
  <si>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</si>
  <si>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</si>
  <si>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</si>
  <si>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</si>
  <si>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</si>
  <si>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</si>
  <si>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</si>
  <si>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</si>
  <si>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</si>
  <si>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</si>
  <si>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</si>
  <si>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</si>
  <si>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</si>
  <si>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</si>
  <si>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</si>
  <si>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</si>
  <si>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</si>
  <si>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</si>
  <si>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</si>
  <si>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</si>
  <si>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</si>
  <si>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</si>
  <si>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</si>
  <si>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</si>
  <si>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</si>
  <si>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</si>
  <si>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</si>
  <si>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</si>
  <si>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</si>
  <si>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</si>
  <si>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</si>
  <si>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</si>
  <si>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</si>
  <si>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</si>
  <si>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</si>
  <si>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</si>
  <si>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</si>
  <si>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</si>
  <si>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</si>
  <si>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</si>
  <si>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</si>
  <si>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</si>
  <si>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</si>
  <si>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</si>
  <si>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</si>
  <si>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</si>
  <si>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</si>
  <si>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</si>
  <si>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</si>
  <si>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</si>
  <si>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</si>
  <si>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</si>
  <si>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</si>
  <si>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</si>
  <si>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</si>
  <si>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</si>
  <si>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</si>
  <si>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</si>
  <si>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</si>
  <si>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</si>
  <si>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</si>
  <si>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</si>
  <si>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</si>
  <si>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</si>
  <si>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</si>
  <si>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</si>
  <si>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</si>
  <si>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</si>
  <si>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</si>
  <si>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</si>
  <si>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</si>
  <si>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</si>
  <si>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</si>
  <si>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</si>
  <si>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</si>
  <si>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</si>
  <si>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</si>
  <si>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</si>
  <si>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</si>
  <si>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</si>
  <si>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</si>
  <si>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</si>
  <si>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</si>
  <si>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</si>
  <si>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</si>
  <si>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</si>
  <si>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</si>
  <si>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</si>
  <si>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</si>
  <si>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</si>
  <si>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</si>
  <si>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</si>
  <si>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</si>
  <si>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</si>
  <si>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</si>
  <si>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</si>
  <si>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</si>
  <si>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</si>
  <si>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</si>
  <si>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</si>
  <si>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</si>
  <si>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</si>
  <si>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</si>
  <si>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</si>
  <si>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</si>
  <si>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</si>
  <si>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</si>
  <si>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</si>
  <si>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</si>
  <si>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</si>
  <si>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</si>
  <si>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</si>
  <si>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</si>
  <si>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</si>
  <si>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</si>
  <si>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</si>
  <si>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</si>
  <si>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</si>
  <si>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</si>
  <si>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</si>
  <si>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</si>
  <si>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</si>
  <si>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</si>
  <si>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</si>
  <si>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</si>
  <si>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</si>
  <si>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</si>
  <si>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</si>
  <si>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</si>
  <si>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</si>
  <si>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</si>
  <si>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</si>
  <si>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</si>
  <si>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</si>
  <si>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</si>
  <si>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</si>
  <si>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</si>
  <si>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</si>
  <si>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</si>
  <si>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</si>
  <si>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</si>
  <si>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</si>
  <si>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</si>
  <si>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</si>
  <si>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</si>
  <si>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</si>
  <si>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</si>
  <si>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</si>
  <si>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</si>
  <si>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</si>
  <si>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</si>
  <si>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</si>
  <si>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</si>
  <si>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</si>
  <si>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</si>
  <si>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</si>
  <si>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</si>
  <si>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</si>
  <si>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</si>
  <si>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</si>
  <si>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</si>
  <si>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</si>
  <si>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</si>
  <si>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</si>
  <si>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</si>
  <si>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</si>
  <si>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</si>
  <si>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</si>
  <si>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</si>
  <si>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</si>
  <si>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</si>
  <si>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</si>
  <si>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</si>
  <si>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</si>
  <si>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</si>
  <si>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</si>
  <si>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</si>
  <si>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</si>
  <si>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</si>
  <si>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</si>
  <si>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</si>
  <si>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</si>
  <si>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</si>
  <si>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</si>
  <si>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</si>
  <si>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</si>
  <si>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</si>
  <si>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</si>
  <si>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</si>
  <si>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</si>
  <si>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</si>
  <si>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</si>
  <si>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</si>
  <si>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</si>
  <si>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</si>
  <si>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</si>
  <si>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</si>
  <si>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</si>
  <si>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</si>
  <si>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</si>
  <si>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</si>
  <si>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</si>
  <si>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</si>
  <si>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</si>
  <si>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</si>
  <si>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</si>
  <si>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</si>
  <si>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</si>
  <si>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</si>
  <si>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</si>
  <si>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</si>
  <si>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</si>
  <si>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</si>
  <si>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</si>
  <si>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</si>
  <si>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</si>
  <si>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</si>
  <si>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</si>
  <si>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</si>
  <si>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</si>
  <si>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</si>
  <si>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</si>
  <si>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</si>
  <si>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</si>
  <si>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</si>
  <si>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</si>
  <si>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</si>
  <si>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</si>
  <si>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</si>
  <si>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</si>
  <si>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</si>
  <si>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</si>
  <si>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</si>
  <si>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</si>
  <si>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</si>
  <si>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</si>
  <si>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</si>
  <si>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</si>
  <si>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</si>
  <si>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</si>
  <si>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</si>
  <si>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</si>
  <si>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</si>
  <si>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</si>
  <si>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</si>
  <si>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</si>
  <si>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</si>
  <si>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</si>
  <si>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</si>
  <si>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</si>
  <si>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</si>
  <si>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</si>
  <si>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</si>
  <si>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</si>
  <si>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</si>
  <si>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</si>
  <si>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</si>
  <si>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</si>
  <si>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</si>
  <si>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</si>
  <si>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</si>
  <si>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</si>
  <si>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</si>
  <si>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</si>
  <si>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</si>
  <si>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</si>
  <si>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</si>
  <si>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</si>
  <si>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</si>
  <si>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</si>
  <si>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</si>
  <si>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</si>
  <si>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</si>
  <si>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</si>
  <si>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</si>
  <si>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</si>
  <si>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</si>
  <si>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</si>
  <si>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</si>
  <si>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</si>
  <si>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</si>
  <si>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</si>
  <si>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</si>
  <si>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</si>
  <si>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</si>
  <si>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</si>
  <si>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</si>
  <si>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</si>
  <si>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</si>
  <si>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</si>
  <si>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</si>
  <si>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</si>
  <si>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</si>
  <si>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</si>
  <si>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</si>
  <si>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</si>
  <si>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</si>
  <si>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</si>
  <si>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</si>
  <si>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</si>
  <si>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</si>
  <si>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</si>
  <si>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</si>
  <si>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</si>
  <si>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</si>
  <si>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</si>
  <si>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</si>
  <si>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</si>
  <si>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</si>
  <si>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</si>
  <si>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</si>
  <si>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</si>
  <si>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</si>
  <si>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</si>
  <si>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</si>
  <si>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</si>
  <si>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</si>
  <si>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</si>
  <si>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</si>
  <si>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</si>
  <si>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</si>
  <si>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</si>
  <si>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</si>
  <si>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</si>
  <si>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</si>
  <si>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</si>
  <si>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</si>
  <si>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</si>
  <si>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</si>
  <si>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</si>
  <si>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</si>
  <si>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</si>
  <si>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</si>
  <si>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</si>
  <si>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</si>
  <si>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</si>
  <si>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</si>
  <si>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</si>
  <si>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</si>
  <si>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</si>
  <si>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</si>
  <si>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</si>
  <si>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</si>
  <si>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</si>
  <si>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</si>
  <si>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</si>
  <si>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</si>
  <si>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</si>
  <si>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</si>
  <si>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</si>
  <si>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</si>
  <si>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</si>
  <si>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</si>
  <si>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</si>
  <si>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</si>
  <si>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</si>
  <si>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</si>
  <si>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</si>
  <si>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</si>
  <si>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</si>
  <si>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</si>
  <si>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</si>
  <si>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</si>
  <si>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</si>
  <si>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</si>
  <si>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</si>
  <si>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</si>
  <si>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</si>
  <si>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</si>
  <si>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</si>
  <si>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</si>
  <si>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</si>
  <si>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</si>
  <si>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</si>
  <si>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</si>
  <si>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</si>
  <si>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</si>
  <si>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</si>
  <si>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</si>
  <si>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</si>
  <si>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</si>
  <si>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</si>
  <si>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</si>
  <si>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</si>
  <si>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</si>
  <si>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</si>
  <si>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</si>
  <si>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</si>
  <si>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</si>
  <si>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</si>
  <si>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</si>
  <si>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</si>
  <si>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</si>
  <si>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</si>
  <si>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</si>
  <si>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</si>
  <si>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</si>
  <si>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</si>
  <si>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</si>
  <si>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</si>
  <si>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</si>
  <si>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</si>
  <si>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</si>
  <si>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</si>
  <si>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</si>
  <si>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</si>
  <si>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</si>
  <si>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</si>
  <si>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</si>
  <si>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</si>
  <si>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</si>
  <si>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</si>
  <si>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</si>
  <si>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</si>
  <si>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</si>
  <si>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</si>
  <si>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</si>
  <si>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</si>
  <si>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</si>
  <si>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</si>
  <si>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</si>
  <si>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</si>
  <si>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</si>
  <si>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</si>
  <si>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</si>
  <si>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</si>
  <si>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</si>
  <si>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</si>
  <si>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</si>
  <si>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</si>
  <si>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</si>
  <si>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</si>
  <si>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</si>
  <si>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</si>
  <si>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</si>
  <si>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</si>
  <si>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</si>
  <si>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</si>
  <si>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</si>
  <si>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</si>
  <si>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</si>
  <si>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</si>
  <si>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</si>
  <si>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</si>
  <si>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</si>
  <si>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</si>
  <si>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</si>
  <si>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</si>
  <si>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</si>
  <si>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</si>
  <si>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</si>
  <si>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</si>
  <si>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</si>
  <si>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</si>
  <si>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</si>
  <si>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</si>
  <si>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</si>
  <si>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</si>
  <si>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</si>
  <si>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</si>
  <si>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</si>
  <si>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</si>
  <si>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</si>
  <si>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</si>
  <si>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</si>
  <si>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</si>
  <si>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</si>
  <si>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</si>
  <si>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</si>
  <si>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</si>
  <si>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</si>
  <si>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</si>
  <si>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</si>
  <si>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</si>
  <si>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</si>
  <si>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</si>
  <si>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</si>
  <si>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</si>
  <si>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</si>
  <si>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</si>
  <si>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</si>
  <si>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</si>
  <si>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</si>
  <si>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</si>
  <si>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</si>
  <si>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</si>
  <si>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</si>
  <si>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</si>
  <si>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</si>
  <si>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</si>
  <si>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</si>
  <si>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</si>
  <si>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</si>
  <si>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</si>
  <si>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</si>
  <si>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</si>
  <si>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</si>
  <si>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</si>
  <si>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</si>
  <si>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</si>
  <si>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</si>
  <si>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</si>
  <si>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</si>
  <si>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</si>
  <si>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</si>
  <si>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</si>
  <si>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</si>
  <si>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</si>
  <si>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</si>
  <si>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</si>
  <si>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</si>
  <si>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</si>
  <si>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</si>
  <si>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</si>
  <si>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</si>
  <si>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</si>
  <si>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</si>
  <si>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</si>
  <si>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</si>
  <si>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</si>
  <si>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</si>
  <si>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</si>
  <si>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</si>
  <si>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</si>
  <si>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</si>
  <si>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</si>
  <si>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</si>
  <si>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</si>
  <si>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</si>
  <si>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</si>
  <si>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</si>
  <si>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</si>
  <si>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</si>
  <si>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</si>
  <si>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</si>
  <si>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</si>
  <si>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</si>
  <si>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</si>
  <si>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</si>
  <si>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</si>
  <si>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</si>
  <si>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</si>
  <si>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</si>
  <si>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</si>
  <si>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</si>
  <si>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</si>
  <si>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</si>
  <si>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</si>
  <si>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</si>
  <si>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</si>
  <si>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</si>
  <si>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</si>
  <si>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</si>
  <si>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</si>
  <si>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</si>
  <si>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</si>
  <si>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</si>
  <si>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</si>
  <si>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</si>
  <si>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</si>
  <si>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</si>
  <si>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</si>
  <si>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</si>
  <si>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</si>
  <si>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</si>
  <si>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</si>
  <si>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</si>
  <si>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</si>
  <si>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</si>
  <si>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</si>
  <si>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</si>
  <si>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</si>
  <si>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</si>
  <si>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</si>
  <si>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</si>
  <si>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</si>
  <si>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</si>
  <si>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</si>
  <si>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</si>
  <si>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</si>
  <si>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</si>
  <si>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</si>
  <si>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</si>
  <si>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</si>
  <si>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</si>
  <si>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</si>
  <si>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</si>
  <si>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</si>
  <si>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</si>
  <si>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</si>
  <si>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</si>
  <si>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</si>
  <si>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</si>
  <si>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</si>
  <si>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</si>
  <si>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</si>
  <si>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</si>
  <si>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</si>
  <si>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</si>
  <si>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</si>
  <si>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</si>
  <si>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</si>
  <si>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</si>
  <si>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</si>
  <si>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</si>
  <si>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</si>
  <si>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</si>
  <si>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</si>
  <si>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</si>
  <si>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</si>
  <si>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</si>
  <si>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</si>
  <si>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</si>
  <si>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</si>
  <si>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</si>
  <si>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</si>
  <si>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</si>
  <si>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</si>
  <si>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</si>
  <si>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</si>
  <si>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</si>
  <si>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</si>
  <si>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</si>
  <si>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</si>
  <si>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</si>
  <si>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</si>
  <si>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</si>
  <si>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</si>
  <si>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</si>
  <si>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</si>
  <si>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</si>
  <si>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</si>
  <si>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</si>
  <si>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</si>
  <si>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</si>
  <si>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</si>
  <si>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</si>
  <si>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</si>
  <si>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</si>
  <si>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</si>
  <si>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</si>
  <si>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</si>
  <si>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</si>
  <si>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</si>
  <si>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</si>
  <si>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</si>
  <si>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</si>
  <si>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</si>
  <si>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</si>
  <si>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</si>
  <si>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</si>
  <si>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</si>
  <si>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</si>
  <si>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</si>
  <si>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</si>
  <si>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</si>
  <si>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</si>
  <si>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</si>
  <si>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</si>
  <si>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</si>
  <si>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</si>
  <si>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</si>
  <si>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</si>
  <si>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</si>
  <si>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</si>
  <si>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</si>
  <si>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</si>
  <si>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</si>
  <si>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</si>
  <si>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</si>
  <si>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</si>
  <si>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</si>
  <si>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</si>
  <si>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</si>
  <si>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</si>
  <si>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</si>
  <si>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</si>
  <si>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</si>
  <si>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</si>
  <si>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</si>
  <si>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</si>
  <si>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</si>
  <si>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</si>
  <si>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</si>
  <si>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</si>
  <si>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</si>
  <si>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</si>
  <si>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</si>
  <si>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</si>
  <si>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</si>
  <si>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</si>
  <si>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</si>
  <si>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</si>
  <si>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</si>
  <si>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</si>
  <si>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</si>
  <si>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</si>
  <si>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</si>
  <si>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</si>
  <si>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</si>
  <si>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</si>
  <si>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</si>
  <si>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</si>
  <si>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</si>
  <si>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</si>
  <si>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</si>
  <si>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</si>
  <si>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</si>
  <si>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</si>
  <si>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</si>
  <si>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</si>
  <si>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</si>
  <si>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</si>
  <si>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</si>
  <si>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</si>
  <si>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</si>
  <si>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</si>
  <si>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</si>
  <si>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</si>
  <si>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</si>
  <si>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</si>
  <si>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</si>
  <si>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</si>
  <si>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</si>
  <si>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</si>
  <si>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</si>
  <si>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</si>
  <si>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</si>
  <si>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</si>
  <si>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</si>
  <si>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</si>
  <si>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</si>
  <si>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</si>
  <si>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</si>
  <si>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</si>
  <si>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</si>
  <si>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gloria pabon</t>
  </si>
  <si>
    <t>CARTERA DE MANO</t>
  </si>
  <si>
    <t>CREMALLERA #6</t>
  </si>
  <si>
    <t>CREMALLERA #3</t>
  </si>
  <si>
    <t>LLAVE #3</t>
  </si>
  <si>
    <t>LLAVE #6</t>
  </si>
  <si>
    <t>HEBILLA</t>
  </si>
  <si>
    <t>TRABILLA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</si>
</sst>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252007</xdr:colOff>
      <xdr:row>0</xdr:row>
      <xdr:rowOff>123825</xdr:rowOff>
    </xdr:from>
    <xdr:to>
      <xdr:col>24</xdr:col>
      <xdr:colOff>238126</xdr:colOff>
      <xdr:row>6</xdr:row>
      <xdr:rowOff>167122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2AAACA1-78B9-4C54-BDFE-1C0EFC6FA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9182" y="123825"/>
          <a:ext cx="1729194" cy="1814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U1" sqref="U1:Y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gp2810-4</v>
      </c>
      <c r="G1" s="405"/>
      <c r="H1" s="406"/>
      <c r="I1" s="351" t="s">
        <v>1</v>
      </c>
      <c r="J1" s="352"/>
      <c r="K1" s="232">
        <v>4</v>
      </c>
      <c r="L1" s="353" t="s">
        <v>2</v>
      </c>
      <c r="M1" s="354"/>
      <c r="N1" s="354"/>
      <c r="O1" s="355">
        <v>45958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>
        <v>30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2908248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>
        <v>30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68674.673214285707</v>
      </c>
      <c r="E5" s="346"/>
      <c r="F5" s="347"/>
      <c r="G5" s="348" t="s">
        <v>16</v>
      </c>
      <c r="H5" s="349"/>
      <c r="I5" s="349"/>
      <c r="J5" s="350"/>
      <c r="K5" s="400">
        <v>1</v>
      </c>
      <c r="L5" s="400"/>
      <c r="M5" s="401" t="s">
        <v>17</v>
      </c>
      <c r="N5" s="401"/>
      <c r="O5" s="397">
        <f>IFERROR(IF(K5=0,"",D5*K5),"")</f>
        <v>68674.673214285707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>
        <v>8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1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50</v>
      </c>
      <c r="B10" s="309"/>
      <c r="C10" s="310"/>
      <c r="D10" s="322" t="s">
        <v>944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23660</v>
      </c>
      <c r="R10" s="317"/>
      <c r="S10" s="318">
        <f>IFERROR(IF(Q10="Unidad","1",(Q10*$K$5)),"")</f>
        <v>23660</v>
      </c>
      <c r="T10" s="319"/>
      <c r="U10" s="320"/>
      <c r="V10" s="326"/>
      <c r="W10" s="321">
        <f>IFERROR(IF(D10="","",INDEX(Tabla_Completa,MATCH('Soli_citud '!D10,Materiales,0),7)*S10),"")</f>
        <v>66079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934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30.23</v>
      </c>
      <c r="R11" s="317"/>
      <c r="S11" s="318">
        <f t="shared" ref="S11:S31" si="1">IFERROR(IF(Q11="Unidad","1",(Q11*$K$5)),"")</f>
        <v>30.23</v>
      </c>
      <c r="T11" s="319"/>
      <c r="U11" s="320"/>
      <c r="V11" s="320"/>
      <c r="W11" s="321">
        <f>IFERROR(IF(D11="","",INDEX(Tabla_Completa,MATCH('Soli_citud '!D11,Materiales,0),7)*S11),"")</f>
        <v>20.513214285714287</v>
      </c>
      <c r="X11" s="321"/>
      <c r="Y11" s="321"/>
    </row>
    <row r="12" spans="1:31" ht="15.75" customHeight="1">
      <c r="A12" s="308" t="s">
        <v>40</v>
      </c>
      <c r="B12" s="309"/>
      <c r="C12" s="310"/>
      <c r="D12" s="325" t="s">
        <v>597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2</v>
      </c>
      <c r="R12" s="317"/>
      <c r="S12" s="318">
        <f t="shared" si="1"/>
        <v>2</v>
      </c>
      <c r="T12" s="319"/>
      <c r="U12" s="320"/>
      <c r="V12" s="320"/>
      <c r="W12" s="321">
        <f>IFERROR(IF(D12="","",INDEX(Tabla_Completa,MATCH('Soli_citud '!D12,Materiales,0),7)*S12),"")</f>
        <v>2346.6799999999998</v>
      </c>
      <c r="X12" s="321"/>
      <c r="Y12" s="321"/>
    </row>
    <row r="13" spans="1:31" ht="15.75" customHeight="1">
      <c r="A13" s="308" t="s">
        <v>1058</v>
      </c>
      <c r="B13" s="309"/>
      <c r="C13" s="310"/>
      <c r="D13" s="322" t="s">
        <v>1391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>
        <v>28</v>
      </c>
      <c r="R13" s="317"/>
      <c r="S13" s="318">
        <f t="shared" si="1"/>
        <v>28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 t="s">
        <v>1058</v>
      </c>
      <c r="B14" s="309"/>
      <c r="C14" s="310"/>
      <c r="D14" s="322" t="s">
        <v>1392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>
        <v>28</v>
      </c>
      <c r="R14" s="317"/>
      <c r="S14" s="318">
        <f t="shared" si="1"/>
        <v>28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 t="s">
        <v>40</v>
      </c>
      <c r="B15" s="309"/>
      <c r="C15" s="310"/>
      <c r="D15" s="322" t="s">
        <v>1393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>
        <v>1</v>
      </c>
      <c r="R15" s="317"/>
      <c r="S15" s="318">
        <f t="shared" si="1"/>
        <v>1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40</v>
      </c>
      <c r="B16" s="309"/>
      <c r="C16" s="310"/>
      <c r="D16" s="322" t="s">
        <v>1394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>
        <v>1</v>
      </c>
      <c r="R16" s="317"/>
      <c r="S16" s="318">
        <f t="shared" si="1"/>
        <v>1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40</v>
      </c>
      <c r="B17" s="309"/>
      <c r="C17" s="310"/>
      <c r="D17" s="322" t="s">
        <v>1395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>
        <v>1</v>
      </c>
      <c r="R17" s="317"/>
      <c r="S17" s="318">
        <f t="shared" si="1"/>
        <v>1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 t="s">
        <v>40</v>
      </c>
      <c r="B18" s="309"/>
      <c r="C18" s="310"/>
      <c r="D18" s="322" t="s">
        <v>861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2</v>
      </c>
      <c r="R18" s="317"/>
      <c r="S18" s="318">
        <f t="shared" si="1"/>
        <v>2</v>
      </c>
      <c r="T18" s="319"/>
      <c r="U18" s="320"/>
      <c r="V18" s="320"/>
      <c r="W18" s="321">
        <f>IFERROR(IF(D18="","",INDEX(Tabla_Completa,MATCH('Soli_citud '!D18,Materiales,0),7)*S18),"")</f>
        <v>228.48</v>
      </c>
      <c r="X18" s="321"/>
      <c r="Y18" s="321"/>
    </row>
    <row r="19" spans="1:25" ht="15.75">
      <c r="A19" s="308" t="s">
        <v>40</v>
      </c>
      <c r="B19" s="309"/>
      <c r="C19" s="310"/>
      <c r="D19" s="311" t="s">
        <v>1396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>
        <v>1</v>
      </c>
      <c r="R19" s="317"/>
      <c r="S19" s="318">
        <f t="shared" si="1"/>
        <v>1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J22" sqref="J22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45958</v>
      </c>
      <c r="O1" s="417"/>
      <c r="P1" s="452" t="s">
        <v>55</v>
      </c>
      <c r="Q1" s="453"/>
      <c r="R1" s="458" t="str">
        <f>IF('Soli_citud '!D4="","",'Soli_citud '!D4)</f>
        <v>CARTERA DE MANO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gp2810-4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2908248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68674.673214285707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gloria pabon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gp2810-4</v>
      </c>
      <c r="C12" s="494" t="str">
        <f>IFERROR(IF('Soli_citud '!D10="","",'Soli_citud '!D10),"")</f>
        <v>SINTETICO PVC</v>
      </c>
      <c r="D12" s="494"/>
      <c r="E12" s="494"/>
      <c r="F12" s="494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23660</v>
      </c>
      <c r="I12" s="214">
        <v>45959</v>
      </c>
      <c r="J12" s="215">
        <v>23660</v>
      </c>
      <c r="K12" s="197" t="str" cm="1">
        <f t="array" ref="K12">IFERROR(_xlfn.IFS(H12="","",J12=H12,"Cumplido",J12&lt;H12,H12-J12,J12&gt;H12,"Revisar"),"")</f>
        <v>Cumplido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gp2810-4</v>
      </c>
      <c r="C13" s="494" t="str">
        <f>IFERROR(IF('Soli_citud '!D11="","",'Soli_citud '!D11),"")</f>
        <v>SEDA CONOCIDA COMO: TIFON O 30-100</v>
      </c>
      <c r="D13" s="494"/>
      <c r="E13" s="494"/>
      <c r="F13" s="49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30.23</v>
      </c>
      <c r="I13" s="214">
        <v>45959</v>
      </c>
      <c r="J13" s="216">
        <v>30.23</v>
      </c>
      <c r="K13" s="197" t="str" cm="1">
        <f t="array" ref="K13">IFERROR(_xlfn.IFS(H13="","",J13=H13,"Cumplido",J13&lt;H13,H13-J13,J13&gt;H13,"Revisar"),"")</f>
        <v>Cumplido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gp2810-4</v>
      </c>
      <c r="C14" s="494" t="str">
        <f>IFERROR(IF('Soli_citud '!D12="","",'Soli_citud '!D12),"")</f>
        <v>CUADRANTE DE LUJO 3/4 X 5/8" ORO</v>
      </c>
      <c r="D14" s="494"/>
      <c r="E14" s="494"/>
      <c r="F14" s="494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2</v>
      </c>
      <c r="I14" s="214">
        <v>45959</v>
      </c>
      <c r="J14" s="216">
        <v>2</v>
      </c>
      <c r="K14" s="197" t="str" cm="1">
        <f t="array" ref="K14">IFERROR(_xlfn.IFS(H14="","",J14=H14,"Cumplido",J14&lt;H14,H14-J14,J14&gt;H14,"Revisar"),"")</f>
        <v>Cumplido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gp2810-4</v>
      </c>
      <c r="C15" s="494" t="str">
        <f>IFERROR(IF('Soli_citud '!D13="","",'Soli_citud '!D13),"")</f>
        <v>CREMALLERA #6</v>
      </c>
      <c r="D15" s="494"/>
      <c r="E15" s="494"/>
      <c r="F15" s="494"/>
      <c r="G15" s="213" t="str">
        <f>IF('Soli_citud '!O13="","",'Soli_citud '!O13)</f>
        <v/>
      </c>
      <c r="H15" s="213" cm="1">
        <f t="array" ref="H15">_xlfn.IFS('Soli_citud '!S13="","",'Soli_citud '!S13&lt;=0,"",'Soli_citud '!S13&gt;0,'Soli_citud '!S13)</f>
        <v>28</v>
      </c>
      <c r="I15" s="214">
        <v>45959</v>
      </c>
      <c r="J15" s="216">
        <v>28</v>
      </c>
      <c r="K15" s="197" t="str" cm="1">
        <f t="array" ref="K15">IFERROR(_xlfn.IFS(H15="","",J15=H15,"Cumplido",J15&lt;H15,H15-J15,J15&gt;H15,"Revisar"),"")</f>
        <v>Cumplido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gp2810-4</v>
      </c>
      <c r="C16" s="494" t="str">
        <f>IFERROR(IF('Soli_citud '!D14="","",'Soli_citud '!D14),"")</f>
        <v>CREMALLERA #3</v>
      </c>
      <c r="D16" s="494"/>
      <c r="E16" s="494"/>
      <c r="F16" s="494"/>
      <c r="G16" s="213" t="str">
        <f>IF('Soli_citud '!O14="","",'Soli_citud '!O14)</f>
        <v/>
      </c>
      <c r="H16" s="213" cm="1">
        <f t="array" ref="H16">_xlfn.IFS('Soli_citud '!S14="","",'Soli_citud '!S14&lt;=0,"",'Soli_citud '!S14&gt;0,'Soli_citud '!S14)</f>
        <v>28</v>
      </c>
      <c r="I16" s="214">
        <v>45959</v>
      </c>
      <c r="J16" s="216">
        <v>28</v>
      </c>
      <c r="K16" s="197" t="str" cm="1">
        <f t="array" ref="K16">IFERROR(_xlfn.IFS(H16="","",J16=H16,"Cumplido",J16&lt;H16,H16-J16,J16&gt;H16,"Revisar"),"")</f>
        <v>Cumplido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gp2810-4</v>
      </c>
      <c r="C17" s="494" t="str">
        <f>IFERROR(IF('Soli_citud '!D15="","",'Soli_citud '!D15),"")</f>
        <v>LLAVE #3</v>
      </c>
      <c r="D17" s="494"/>
      <c r="E17" s="494"/>
      <c r="F17" s="494"/>
      <c r="G17" s="213" t="str">
        <f>IF('Soli_citud '!O15="","",'Soli_citud '!O15)</f>
        <v/>
      </c>
      <c r="H17" s="213" cm="1">
        <f t="array" ref="H17">_xlfn.IFS('Soli_citud '!S15="","",'Soli_citud '!S15&lt;=0,"",'Soli_citud '!S15&gt;0,'Soli_citud '!S15)</f>
        <v>1</v>
      </c>
      <c r="I17" s="214">
        <v>45959</v>
      </c>
      <c r="J17" s="216">
        <v>1</v>
      </c>
      <c r="K17" s="197" t="str" cm="1">
        <f t="array" ref="K17">IFERROR(_xlfn.IFS(H17="","",J17=H17,"Cumplido",J17&lt;H17,H17-J17,J17&gt;H17,"Revisar"),"")</f>
        <v>Cumplido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gp2810-4</v>
      </c>
      <c r="C18" s="494" t="str">
        <f>IFERROR(IF('Soli_citud '!D16="","",'Soli_citud '!D16),"")</f>
        <v>LLAVE #6</v>
      </c>
      <c r="D18" s="494"/>
      <c r="E18" s="494"/>
      <c r="F18" s="494"/>
      <c r="G18" s="213" t="str">
        <f>IF('Soli_citud '!O16="","",'Soli_citud '!O16)</f>
        <v/>
      </c>
      <c r="H18" s="213" cm="1">
        <f t="array" ref="H18">_xlfn.IFS('Soli_citud '!S16="","",'Soli_citud '!S16&lt;=0,"",'Soli_citud '!S16&gt;0,'Soli_citud '!S16)</f>
        <v>1</v>
      </c>
      <c r="I18" s="214">
        <v>45959</v>
      </c>
      <c r="J18" s="216">
        <v>1</v>
      </c>
      <c r="K18" s="197" t="str" cm="1">
        <f t="array" ref="K18">IFERROR(_xlfn.IFS(H18="","",J18=H18,"Cumplido",J18&lt;H18,H18-J18,J18&gt;H18,"Revisar"),"")</f>
        <v>Cumplido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gp2810-4</v>
      </c>
      <c r="C19" s="494" t="str">
        <f>IFERROR(IF('Soli_citud '!D17="","",'Soli_citud '!D17),"")</f>
        <v>HEBILLA</v>
      </c>
      <c r="D19" s="494"/>
      <c r="E19" s="494"/>
      <c r="F19" s="494"/>
      <c r="G19" s="213" t="str">
        <f>IF('Soli_citud '!O17="","",'Soli_citud '!O17)</f>
        <v/>
      </c>
      <c r="H19" s="213" cm="1">
        <f t="array" ref="H19">_xlfn.IFS('Soli_citud '!S17="","",'Soli_citud '!S17&lt;=0,"",'Soli_citud '!S17&gt;0,'Soli_citud '!S17)</f>
        <v>1</v>
      </c>
      <c r="I19" s="214">
        <v>45959</v>
      </c>
      <c r="J19" s="216">
        <v>1</v>
      </c>
      <c r="K19" s="197" t="str" cm="1">
        <f t="array" ref="K19">IFERROR(_xlfn.IFS(H19="","",J19=H19,"Cumplido",J19&lt;H19,H19-J19,J19&gt;H19,"Revisar"),"")</f>
        <v>Cumplido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gp2810-4</v>
      </c>
      <c r="C20" s="494" t="str">
        <f>IFERROR(IF('Soli_citud '!D18="","",'Soli_citud '!D18),"")</f>
        <v>REMACHE SENCILLO #8 ORO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2</v>
      </c>
      <c r="I20" s="214">
        <v>45959</v>
      </c>
      <c r="J20" s="216">
        <v>2</v>
      </c>
      <c r="K20" s="197" t="str" cm="1">
        <f t="array" ref="K20">IFERROR(_xlfn.IFS(H20="","",J20=H20,"Cumplido",J20&lt;H20,H20-J20,J20&gt;H20,"Revisar"),"")</f>
        <v>Cumplido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gp2810-4</v>
      </c>
      <c r="C21" s="494" t="str">
        <f>IFERROR(IF('Soli_citud '!D19="","",'Soli_citud '!D19),"")</f>
        <v>TRABILLA</v>
      </c>
      <c r="D21" s="494"/>
      <c r="E21" s="494"/>
      <c r="F21" s="494"/>
      <c r="G21" s="213" t="str">
        <f>IF('Soli_citud '!O19="","",'Soli_citud '!O19)</f>
        <v/>
      </c>
      <c r="H21" s="213" cm="1">
        <f t="array" ref="H21">_xlfn.IFS('Soli_citud '!S19="","",'Soli_citud '!S19&lt;=0,"",'Soli_citud '!S19&gt;0,'Soli_citud '!S19)</f>
        <v>1</v>
      </c>
      <c r="I21" s="214">
        <v>45959</v>
      </c>
      <c r="J21" s="216">
        <v>1</v>
      </c>
      <c r="K21" s="197" t="str" cm="1">
        <f t="array" ref="K21">IFERROR(_xlfn.IFS(H21="","",J21=H21,"Cumplido",J21&lt;H21,H21-J21,J21&gt;H21,"Revisar"),"")</f>
        <v>Cumplido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2025-10-29T16:36:00Z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