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D93F696E-9F35-4D82-A2D4-A4E5718F2B4F}" xr6:coauthVersionLast="36" xr6:coauthVersionMax="4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 s="1"/>
  <c r="P16" i="61" a="1"/>
  <c r="P16" i="6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D5" i="43" s="1"/>
  <c r="B8" i="61" s="1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<sst xmlns="http://schemas.openxmlformats.org/spreadsheetml/2006/main" count="5008" uniqueCount="1391">
  <si>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</si>
  <si>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</si>
  <si>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</si>
  <si>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</si>
  <si>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</si>
  <si>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</si>
  <si>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</si>
  <si>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</si>
  <si>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</si>
  <si>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</si>
  <si>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</si>
  <si>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</si>
  <si>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</si>
  <si>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</si>
  <si>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</si>
  <si>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</si>
  <si>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</si>
  <si>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</si>
  <si>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</si>
  <si>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</si>
  <si>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</si>
  <si>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</si>
  <si>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</si>
  <si>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</si>
  <si>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</si>
  <si>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</si>
  <si>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</si>
  <si>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</si>
  <si>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</si>
  <si>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</si>
  <si>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</si>
  <si>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</si>
  <si>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</si>
  <si>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</si>
  <si>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</si>
  <si>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</si>
  <si>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</si>
  <si>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</si>
  <si>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</si>
  <si>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</si>
  <si>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</si>
  <si>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</si>
  <si>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</si>
  <si>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</si>
  <si>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</si>
  <si>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</si>
  <si>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</si>
  <si>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</si>
  <si>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</si>
  <si>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</si>
  <si>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</si>
  <si>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</si>
  <si>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</si>
  <si>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</si>
  <si>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</si>
  <si>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</si>
  <si>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</si>
  <si>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</si>
  <si>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</si>
  <si>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</si>
  <si>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</si>
  <si>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</si>
  <si>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</si>
  <si>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</si>
  <si>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</si>
  <si>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</si>
  <si>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</si>
  <si>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</si>
  <si>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</si>
  <si>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</si>
  <si>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</si>
  <si>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</si>
  <si>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</si>
  <si>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</si>
  <si>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</si>
  <si>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</si>
  <si>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</si>
  <si>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</si>
  <si>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</si>
  <si>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</si>
  <si>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</si>
  <si>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</si>
  <si>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</si>
  <si>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</si>
  <si>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</si>
  <si>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</si>
  <si>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</si>
  <si>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</si>
  <si>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</si>
  <si>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</si>
  <si>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</si>
  <si>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</si>
  <si>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</si>
  <si>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</si>
  <si>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</si>
  <si>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</si>
  <si>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</si>
  <si>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</si>
  <si>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</si>
  <si>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</si>
  <si>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</si>
  <si>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</si>
  <si>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</si>
  <si>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</si>
  <si>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</si>
  <si>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</si>
  <si>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</si>
  <si>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</si>
  <si>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</si>
  <si>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</si>
  <si>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</si>
  <si>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</si>
  <si>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</si>
  <si>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</si>
  <si>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</si>
  <si>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</si>
  <si>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</si>
  <si>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</si>
  <si>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</si>
  <si>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</si>
  <si>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</si>
  <si>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</si>
  <si>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</si>
  <si>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</si>
  <si>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</si>
  <si>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</si>
  <si>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</si>
  <si>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</si>
  <si>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</si>
  <si>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</si>
  <si>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</si>
  <si>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</si>
  <si>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</si>
  <si>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</si>
  <si>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</si>
  <si>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</si>
  <si>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</si>
  <si>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</si>
  <si>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</si>
  <si>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</si>
  <si>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</si>
  <si>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</si>
  <si>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</si>
  <si>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</si>
  <si>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</si>
  <si>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</si>
  <si>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</si>
  <si>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</si>
  <si>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</si>
  <si>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</si>
  <si>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</si>
  <si>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</si>
  <si>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</si>
  <si>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</si>
  <si>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</si>
  <si>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</si>
  <si>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</si>
  <si>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</si>
  <si>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</si>
  <si>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</si>
  <si>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</si>
  <si>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</si>
  <si>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</si>
  <si>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</si>
  <si>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</si>
  <si>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</si>
  <si>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</si>
  <si>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</si>
  <si>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</si>
  <si>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</si>
  <si>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</si>
  <si>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</si>
  <si>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</si>
  <si>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</si>
  <si>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</si>
  <si>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</si>
  <si>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</si>
  <si>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</si>
  <si>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</si>
  <si>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</si>
  <si>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</si>
  <si>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</si>
  <si>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</si>
  <si>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</si>
  <si>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</si>
  <si>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</si>
  <si>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</si>
  <si>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</si>
  <si>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</si>
  <si>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</si>
  <si>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</si>
  <si>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</si>
  <si>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</si>
  <si>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</si>
  <si>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</si>
  <si>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</si>
  <si>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</si>
  <si>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</si>
  <si>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</si>
  <si>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</si>
  <si>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</si>
  <si>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</si>
  <si>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</si>
  <si>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</si>
  <si>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</si>
  <si>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</si>
  <si>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</si>
  <si>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</si>
  <si>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</si>
  <si>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</si>
  <si>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</si>
  <si>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</si>
  <si>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</si>
  <si>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</si>
  <si>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</si>
  <si>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</si>
  <si>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</si>
  <si>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</si>
  <si>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</si>
  <si>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</si>
  <si>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</si>
  <si>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</si>
  <si>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</si>
  <si>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</si>
  <si>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</si>
  <si>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</si>
  <si>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</si>
  <si>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</si>
  <si>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</si>
  <si>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</si>
  <si>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</si>
  <si>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</si>
  <si>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</si>
  <si>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</si>
  <si>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</si>
  <si>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</si>
  <si>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</si>
  <si>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</si>
  <si>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</si>
  <si>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</si>
  <si>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</si>
  <si>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</si>
  <si>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</si>
  <si>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</si>
  <si>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</si>
  <si>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</si>
  <si>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</si>
  <si>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</si>
  <si>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</si>
  <si>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</si>
  <si>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</si>
  <si>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</si>
  <si>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</si>
  <si>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</si>
  <si>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</si>
  <si>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</si>
  <si>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</si>
  <si>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</si>
  <si>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</si>
  <si>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</si>
  <si>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</si>
  <si>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</si>
  <si>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</si>
  <si>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</si>
  <si>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</si>
  <si>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</si>
  <si>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</si>
  <si>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</si>
  <si>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</si>
  <si>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</si>
  <si>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</si>
  <si>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</si>
  <si>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</si>
  <si>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</si>
  <si>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</si>
  <si>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</si>
  <si>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</si>
  <si>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</si>
  <si>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</si>
  <si>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</si>
  <si>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</si>
  <si>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</si>
  <si>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</si>
  <si>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</si>
  <si>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</si>
  <si>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</si>
  <si>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</si>
  <si>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</si>
  <si>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</si>
  <si>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</si>
  <si>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</si>
  <si>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</si>
  <si>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</si>
  <si>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</si>
  <si>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</si>
  <si>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</si>
  <si>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</si>
  <si>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</si>
  <si>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</si>
  <si>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</si>
  <si>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</si>
  <si>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</si>
  <si>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</si>
  <si>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</si>
  <si>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</si>
  <si>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</si>
  <si>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</si>
  <si>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</si>
  <si>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</si>
  <si>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</si>
  <si>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</si>
  <si>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</si>
  <si>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</si>
  <si>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</si>
  <si>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</si>
  <si>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</si>
  <si>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</si>
  <si>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</si>
  <si>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</si>
  <si>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</si>
  <si>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</si>
  <si>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</si>
  <si>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</si>
  <si>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</si>
  <si>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</si>
  <si>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</si>
  <si>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</si>
  <si>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</si>
  <si>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</si>
  <si>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</si>
  <si>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</si>
  <si>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</si>
  <si>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</si>
  <si>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</si>
  <si>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</si>
  <si>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</si>
  <si>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</si>
  <si>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</si>
  <si>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</si>
  <si>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</si>
  <si>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</si>
  <si>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</si>
  <si>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</si>
  <si>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</si>
  <si>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</si>
  <si>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</si>
  <si>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</si>
  <si>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</si>
  <si>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</si>
  <si>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</si>
  <si>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</si>
  <si>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</si>
  <si>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</si>
  <si>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</si>
  <si>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</si>
  <si>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</si>
  <si>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</si>
  <si>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</si>
  <si>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</si>
  <si>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</si>
  <si>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</si>
  <si>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</si>
  <si>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</si>
  <si>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</si>
  <si>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</si>
  <si>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</si>
  <si>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</si>
  <si>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</si>
  <si>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</si>
  <si>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</si>
  <si>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</si>
  <si>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</si>
  <si>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</si>
  <si>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</si>
  <si>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</si>
  <si>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</si>
  <si>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</si>
  <si>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</si>
  <si>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</si>
  <si>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</si>
  <si>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</si>
  <si>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</si>
  <si>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</si>
  <si>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</si>
  <si>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</si>
  <si>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</si>
  <si>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</si>
  <si>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</si>
  <si>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</si>
  <si>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</si>
  <si>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</si>
  <si>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</si>
  <si>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</si>
  <si>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</si>
  <si>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</si>
  <si>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</si>
  <si>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</si>
  <si>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</si>
  <si>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</si>
  <si>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</si>
  <si>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</si>
  <si>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</si>
  <si>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</si>
  <si>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</si>
  <si>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</si>
  <si>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</si>
  <si>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</si>
  <si>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</si>
  <si>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</si>
  <si>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</si>
  <si>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</si>
  <si>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</si>
  <si>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</si>
  <si>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</si>
  <si>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</si>
  <si>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</si>
  <si>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</si>
  <si>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</si>
  <si>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</si>
  <si>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</si>
  <si>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</si>
  <si>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</si>
  <si>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</si>
  <si>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</si>
  <si>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</si>
  <si>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</si>
  <si>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</si>
  <si>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</si>
  <si>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</si>
  <si>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</si>
  <si>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</si>
  <si>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</si>
  <si>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</si>
  <si>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</si>
  <si>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</si>
  <si>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</si>
  <si>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</si>
  <si>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</si>
  <si>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</si>
  <si>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</si>
  <si>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</si>
  <si>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</si>
  <si>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</si>
  <si>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</si>
  <si>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</si>
  <si>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</si>
  <si>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</si>
  <si>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</si>
  <si>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</si>
  <si>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</si>
  <si>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</si>
  <si>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</si>
  <si>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</si>
  <si>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</si>
  <si>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</si>
  <si>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</si>
  <si>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</si>
  <si>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</si>
  <si>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</si>
  <si>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</si>
  <si>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</si>
  <si>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</si>
  <si>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</si>
  <si>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</si>
  <si>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</si>
  <si>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</si>
  <si>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</si>
  <si>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</si>
  <si>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</si>
  <si>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</si>
  <si>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</si>
  <si>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</si>
  <si>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</si>
  <si>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</si>
  <si>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</si>
  <si>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</si>
  <si>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</si>
  <si>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</si>
  <si>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</si>
  <si>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</si>
  <si>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</si>
  <si>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</si>
  <si>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</si>
  <si>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</si>
  <si>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</si>
  <si>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</si>
  <si>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</si>
  <si>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</si>
  <si>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</si>
  <si>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</si>
  <si>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</si>
  <si>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</si>
  <si>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</si>
  <si>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</si>
  <si>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</si>
  <si>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</si>
  <si>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</si>
  <si>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</si>
  <si>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</si>
  <si>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</si>
  <si>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</si>
  <si>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</si>
  <si>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</si>
  <si>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</si>
  <si>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</si>
  <si>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</si>
  <si>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</si>
  <si>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</si>
  <si>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</si>
  <si>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</si>
  <si>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</si>
  <si>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</si>
  <si>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</si>
  <si>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</si>
  <si>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</si>
  <si>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</si>
  <si>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</si>
  <si>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</si>
  <si>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</si>
  <si>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</si>
  <si>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</si>
  <si>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</si>
  <si>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</si>
  <si>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</si>
  <si>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</si>
  <si>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</si>
  <si>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</si>
  <si>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</si>
  <si>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</si>
  <si>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</si>
  <si>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</si>
  <si>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</si>
  <si>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</si>
  <si>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</si>
  <si>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</si>
  <si>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</si>
  <si>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</si>
  <si>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</si>
  <si>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</si>
  <si>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</si>
  <si>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</si>
  <si>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</si>
  <si>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</si>
  <si>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</si>
  <si>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</si>
  <si>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</si>
  <si>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</si>
  <si>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</si>
  <si>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</si>
  <si>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</si>
  <si>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</si>
  <si>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</si>
  <si>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</si>
  <si>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</si>
  <si>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</si>
  <si>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</si>
  <si>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</si>
  <si>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</si>
  <si>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</si>
  <si>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</si>
  <si>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</si>
  <si>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</si>
  <si>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</si>
  <si>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</si>
  <si>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</si>
  <si>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</si>
  <si>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</si>
  <si>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</si>
  <si>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</si>
  <si>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</si>
  <si>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</si>
  <si>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</si>
  <si>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</si>
  <si>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</si>
  <si>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</si>
  <si>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</si>
  <si>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</si>
  <si>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</si>
  <si>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</si>
  <si>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</si>
  <si>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</si>
  <si>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</si>
  <si>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</si>
  <si>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</si>
  <si>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</si>
  <si>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</si>
  <si>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</si>
  <si>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</si>
  <si>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</si>
  <si>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</si>
  <si>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</si>
  <si>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</si>
  <si>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</si>
  <si>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</si>
  <si>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</si>
  <si>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</si>
  <si>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</si>
  <si>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</si>
  <si>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</si>
  <si>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</si>
  <si>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</si>
  <si>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</si>
  <si>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</si>
  <si>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</si>
  <si>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</si>
  <si>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</si>
  <si>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</si>
  <si>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</si>
  <si>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</si>
  <si>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</si>
  <si>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</si>
  <si>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</si>
  <si>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</si>
  <si>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</si>
  <si>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</si>
  <si>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</si>
  <si>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</si>
  <si>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</si>
  <si>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</si>
  <si>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</si>
  <si>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</si>
  <si>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</si>
  <si>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</si>
  <si>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</si>
  <si>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</si>
  <si>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</si>
  <si>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</si>
  <si>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</si>
  <si>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</si>
  <si>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</si>
  <si>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</si>
  <si>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</si>
  <si>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</si>
  <si>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</si>
  <si>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</si>
  <si>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</si>
  <si>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</si>
  <si>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</si>
  <si>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</si>
  <si>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</si>
  <si>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</si>
  <si>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</si>
  <si>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</si>
  <si>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</si>
  <si>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</si>
  <si>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</si>
  <si>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</si>
  <si>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</si>
  <si>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</si>
  <si>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</si>
  <si>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</si>
  <si>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</si>
  <si>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</si>
  <si>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</si>
  <si>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</si>
  <si>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</si>
  <si>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</si>
  <si>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</si>
  <si>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</si>
  <si>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</si>
  <si>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</si>
  <si>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</si>
  <si>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</si>
  <si>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</si>
  <si>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</si>
  <si>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</si>
  <si>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</si>
  <si>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</si>
  <si>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</si>
  <si>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</si>
  <si>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</si>
  <si>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</si>
  <si>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</si>
  <si>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</si>
  <si>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</si>
  <si>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</si>
  <si>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</si>
  <si>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</si>
  <si>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</si>
  <si>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</si>
  <si>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</si>
  <si>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</si>
  <si>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</si>
  <si>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</si>
  <si>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</si>
  <si>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</si>
  <si>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</si>
  <si>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</si>
  <si>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</si>
  <si>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</si>
  <si>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</si>
  <si>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</si>
  <si>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</si>
  <si>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</si>
  <si>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</si>
  <si>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</si>
  <si>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</si>
  <si>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</si>
  <si>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</si>
  <si>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</si>
  <si>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</si>
  <si>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</si>
  <si>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</si>
  <si>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</si>
  <si>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</si>
  <si>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</si>
  <si>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</si>
  <si>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</si>
  <si>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</si>
  <si>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</si>
  <si>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</si>
  <si>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</si>
  <si>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</si>
  <si>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</si>
  <si>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</si>
  <si>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</si>
  <si>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</si>
  <si>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</si>
  <si>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</si>
  <si>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</si>
  <si>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</si>
  <si>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</si>
  <si>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</si>
  <si>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</si>
  <si>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</si>
  <si>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</si>
  <si>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</si>
  <si>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</si>
  <si>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</si>
  <si>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</si>
  <si>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</si>
  <si>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</si>
  <si>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</si>
  <si>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</si>
  <si>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</si>
  <si>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</si>
  <si>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</si>
  <si>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</si>
  <si>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</si>
  <si>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</si>
  <si>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</si>
  <si>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</si>
  <si>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</si>
  <si>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</si>
  <si>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</si>
  <si>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</si>
  <si>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</si>
  <si>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</si>
  <si>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</si>
  <si>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</si>
  <si>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</si>
  <si>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</si>
  <si>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</si>
  <si>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</si>
  <si>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</si>
  <si>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</si>
  <si>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</si>
  <si>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</si>
  <si>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</si>
  <si>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</si>
  <si>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</si>
  <si>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</si>
  <si>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</si>
  <si>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</si>
  <si>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</si>
  <si>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</si>
  <si>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</si>
  <si>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</si>
  <si>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</si>
  <si>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</si>
  <si>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</si>
  <si>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</si>
  <si>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</si>
  <si>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</si>
  <si>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</si>
  <si>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</si>
  <si>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</si>
  <si>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</si>
  <si>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</si>
  <si>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</si>
  <si>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</si>
  <si>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</si>
  <si>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</si>
  <si>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</si>
  <si>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</si>
  <si>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</si>
  <si>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</si>
  <si>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</si>
  <si>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</si>
  <si>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</si>
  <si>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</si>
  <si>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</si>
  <si>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</si>
  <si>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</si>
  <si>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</si>
  <si>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</si>
  <si>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</si>
  <si>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</si>
  <si>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</si>
  <si>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</si>
  <si>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</si>
  <si>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</si>
  <si>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</si>
  <si>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</si>
  <si>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</si>
  <si>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</si>
  <si>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</si>
  <si>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</si>
  <si>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</si>
  <si>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</si>
  <si>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</si>
  <si>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</si>
  <si>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</si>
  <si>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</si>
  <si>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</si>
  <si>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</si>
  <si>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</si>
  <si>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</si>
  <si>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</si>
  <si>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</si>
  <si>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</si>
  <si>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</si>
  <si>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</si>
  <si>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</si>
  <si>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</si>
  <si>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</si>
  <si>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</si>
  <si>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</si>
  <si>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</si>
  <si>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</si>
  <si>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</si>
  <si>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</si>
  <si>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</si>
  <si>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</si>
  <si>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</si>
  <si>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</si>
  <si>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</si>
  <si>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</si>
  <si>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</si>
  <si>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</si>
  <si>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</si>
  <si>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</si>
  <si>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</si>
  <si>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</si>
  <si>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</si>
  <si>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</si>
  <si>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</si>
  <si>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</si>
  <si>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</si>
  <si>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</si>
  <si>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</si>
  <si>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</si>
  <si>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</si>
  <si>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</si>
  <si>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</si>
  <si>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</si>
  <si>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</si>
  <si>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</si>
  <si>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</si>
  <si>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</si>
  <si>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</si>
  <si>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</si>
  <si>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</si>
  <si>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</si>
  <si>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</si>
  <si>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</si>
  <si>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</si>
  <si>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</si>
  <si>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</si>
  <si>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</si>
  <si>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</si>
  <si>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</si>
  <si>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</si>
  <si>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</si>
  <si>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</si>
  <si>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</si>
  <si>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</si>
  <si>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</si>
  <si>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</si>
  <si>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</si>
  <si>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</si>
  <si>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</si>
  <si>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</si>
  <si>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</si>
  <si>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</si>
  <si>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</si>
  <si>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</si>
  <si>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</si>
  <si>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</si>
  <si>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</si>
  <si>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</si>
  <si>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</si>
  <si>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</si>
  <si>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</si>
  <si>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</si>
  <si>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</si>
  <si>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</si>
  <si>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</si>
  <si>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</si>
  <si>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</si>
  <si>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</si>
  <si>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</si>
  <si>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</si>
  <si>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</si>
  <si>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</si>
  <si>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</si>
  <si>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</si>
  <si>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</si>
  <si>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</si>
  <si>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</si>
  <si>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</si>
  <si>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</si>
  <si>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</si>
  <si>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</si>
  <si>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</si>
  <si>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</si>
  <si>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</si>
  <si>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</si>
  <si>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</si>
  <si>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</si>
  <si>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</si>
  <si>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</si>
  <si>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</si>
  <si>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</si>
  <si>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</si>
  <si>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</si>
  <si>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</si>
  <si>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</si>
  <si>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</si>
  <si>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</si>
  <si>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</si>
  <si>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</si>
  <si>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</si>
  <si>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</si>
  <si>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</si>
  <si>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</si>
  <si>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</si>
  <si>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</si>
  <si>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</si>
  <si>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</si>
  <si>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</si>
  <si>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</si>
  <si>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</si>
  <si>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</si>
  <si>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</si>
  <si>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</si>
  <si>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</si>
  <si>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</si>
  <si>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</si>
  <si>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</si>
  <si>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</si>
  <si>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</si>
  <si>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</si>
  <si>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</si>
  <si>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</si>
  <si>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</si>
  <si>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</si>
  <si>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</si>
  <si>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</si>
  <si>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</si>
  <si>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</si>
  <si>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</si>
  <si>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</si>
  <si>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</si>
  <si>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</si>
  <si>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</si>
  <si>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</si>
  <si>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</si>
  <si>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</si>
  <si>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</si>
  <si>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</si>
  <si>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</si>
  <si>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</si>
  <si>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</si>
  <si>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</si>
  <si>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</si>
  <si>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</si>
  <si>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</si>
  <si>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</si>
  <si>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</si>
  <si>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</si>
  <si>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</si>
  <si>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</si>
  <si>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</si>
  <si>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</si>
  <si>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</si>
  <si>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</si>
  <si>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</si>
  <si>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</si>
  <si>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</si>
  <si>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</si>
  <si>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</si>
  <si>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</si>
  <si>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</si>
  <si>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</si>
  <si>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</si>
  <si>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</si>
  <si>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</si>
  <si>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</si>
  <si>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</si>
  <si>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</si>
  <si>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</si>
  <si>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</si>
  <si>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</si>
  <si>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</si>
  <si>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</si>
  <si>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</si>
  <si>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</si>
  <si>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</si>
  <si>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</si>
  <si>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</si>
  <si>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</si>
  <si>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</si>
  <si>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</si>
  <si>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</si>
  <si>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</si>
  <si>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</si>
  <si>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</si>
  <si>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</si>
  <si>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</si>
  <si>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</si>
  <si>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</si>
  <si>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</si>
  <si>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</si>
  <si>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</si>
  <si>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</si>
  <si>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</si>
  <si>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</si>
  <si>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</si>
  <si>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</si>
  <si>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</si>
  <si>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</si>
  <si>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</si>
  <si>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</si>
  <si>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</si>
  <si>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</si>
  <si>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</si>
  <si>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</si>
  <si>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</si>
  <si>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</si>
  <si>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</si>
  <si>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</si>
  <si>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</si>
  <si>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</si>
  <si>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</si>
  <si>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</si>
  <si>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</si>
  <si>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</si>
  <si>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</si>
  <si>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</si>
  <si>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</si>
  <si>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</si>
  <si>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</si>
  <si>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</si>
  <si>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</si>
  <si>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</si>
  <si>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</si>
  <si>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</si>
  <si>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</si>
  <si>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</si>
  <si>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</si>
  <si>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</si>
  <si>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</si>
  <si>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</si>
  <si>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</si>
  <si>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</si>
  <si>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</si>
  <si>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</si>
  <si>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</si>
  <si>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</si>
  <si>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</si>
  <si>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</si>
  <si>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</si>
  <si>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</si>
  <si>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</si>
  <si>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</si>
  <si>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</si>
  <si>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</si>
  <si>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</si>
  <si>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</si>
  <si>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</si>
  <si>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</si>
  <si>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</si>
  <si>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</si>
  <si>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</si>
  <si>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</si>
  <si>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</si>
  <si>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</si>
  <si>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</si>
  <si>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</si>
  <si>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</si>
  <si>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</si>
  <si>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</si>
  <si>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</si>
  <si>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</si>
  <si>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</si>
  <si>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</si>
  <si>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</si>
  <si>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</si>
  <si>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</si>
  <si>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</si>
  <si>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</si>
  <si>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</si>
  <si>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</si>
  <si>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</si>
  <si>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</si>
  <si>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</si>
  <si>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</si>
  <si>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</si>
  <si>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</si>
  <si>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</si>
  <si>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</si>
  <si>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</si>
  <si>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</si>
  <si>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</si>
  <si>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</si>
  <si>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</si>
  <si>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</si>
  <si>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</si>
  <si>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</si>
  <si>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</si>
  <si>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</si>
  <si>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</si>
  <si>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</si>
  <si>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</si>
  <si>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</si>
  <si>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</si>
  <si>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</si>
  <si>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</si>
  <si>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</si>
  <si>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</si>
  <si>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</si>
  <si>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</si>
  <si>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</si>
  <si>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</si>
  <si>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</si>
  <si>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</si>
  <si>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</si>
  <si>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</si>
  <si>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</si>
  <si>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</si>
  <si>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</si>
  <si>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</si>
  <si>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</si>
  <si>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</si>
  <si>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</si>
  <si>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</si>
  <si>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</si>
  <si>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</si>
  <si>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</si>
  <si>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</si>
  <si>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</si>
  <si>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</si>
  <si>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</si>
  <si>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</si>
  <si>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</si>
  <si>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</si>
  <si>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</si>
  <si>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</si>
  <si>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</si>
  <si>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</si>
  <si>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</si>
  <si>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</si>
  <si>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</si>
  <si>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</si>
  <si>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</si>
  <si>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</si>
  <si>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</si>
  <si>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</si>
  <si>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</si>
  <si>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</si>
  <si>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</si>
  <si>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</si>
  <si>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</si>
  <si>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</si>
  <si>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</si>
  <si>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</si>
  <si>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</si>
  <si>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</si>
  <si>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</si>
  <si>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</si>
  <si>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</si>
  <si>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</si>
  <si>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</si>
  <si>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</si>
  <si>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</si>
  <si>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</si>
  <si>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</si>
  <si>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</si>
  <si>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</si>
  <si>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</si>
  <si>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</si>
  <si>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</si>
  <si>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</si>
  <si>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</si>
  <si>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</si>
  <si>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</si>
  <si>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</si>
  <si>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</si>
  <si>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</si>
  <si>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</si>
  <si>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</si>
  <si>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</si>
  <si>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</si>
  <si>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</si>
  <si>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</si>
  <si>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</si>
  <si>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</si>
  <si>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</si>
  <si>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</si>
  <si>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</si>
  <si>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</si>
  <si>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</si>
  <si>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</si>
  <si>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</si>
  <si>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</si>
  <si>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</si>
  <si>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</si>
  <si>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</si>
  <si>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</si>
  <si>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</si>
  <si>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</si>
  <si>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</si>
  <si>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</si>
  <si>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</si>
  <si>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</si>
  <si>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</si>
  <si>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</si>
  <si>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</si>
  <si>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</si>
  <si>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</si>
  <si>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</si>
  <si>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</si>
  <si>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</si>
  <si>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</si>
  <si>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</si>
  <si>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</si>
  <si>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</si>
  <si>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</si>
  <si>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</si>
  <si>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</si>
  <si>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</si>
  <si>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</si>
  <si>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</si>
  <si>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</si>
  <si>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</si>
  <si>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</si>
  <si>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</si>
  <si>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</si>
  <si>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</si>
  <si>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</si>
  <si>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</si>
  <si>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</si>
  <si>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</si>
  <si>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</si>
  <si>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</si>
  <si>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</si>
  <si>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</si>
  <si>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</si>
  <si>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</si>
  <si>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</si>
  <si>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</si>
  <si>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</si>
  <si>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</si>
  <si>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</si>
  <si>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</si>
  <si>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</si>
  <si>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</si>
  <si>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</si>
  <si>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</si>
  <si>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</si>
  <si>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</si>
  <si>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</si>
  <si>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</si>
  <si>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</si>
  <si>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</si>
  <si>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</si>
  <si>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</si>
  <si>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</si>
  <si>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</si>
  <si>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</si>
  <si>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</si>
  <si>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</si>
  <si>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</si>
  <si>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</si>
  <si>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</si>
  <si>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</si>
  <si>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</si>
  <si>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</si>
  <si>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</si>
  <si>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</si>
  <si>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</si>
  <si>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</si>
  <si>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</si>
  <si>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</si>
  <si>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</si>
  <si>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</si>
  <si>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</si>
  <si>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</si>
  <si>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</si>
  <si>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</si>
  <si>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</si>
  <si>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</si>
  <si>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</si>
  <si>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</si>
  <si>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</si>
  <si>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</si>
  <si>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</si>
  <si>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</si>
  <si>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</si>
  <si>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</si>
  <si>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</si>
  <si>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</si>
  <si>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</si>
  <si>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</si>
  <si>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</si>
  <si>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</si>
  <si>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</si>
  <si>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</si>
  <si>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</si>
  <si>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</si>
  <si>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</si>
  <si>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</si>
  <si>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</si>
  <si>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</si>
  <si>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</si>
  <si>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</si>
  <si>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</si>
  <si>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</si>
  <si>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</si>
  <si>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</si>
  <si>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</si>
  <si>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</si>
  <si>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</si>
  <si>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</si>
  <si>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</si>
  <si>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</si>
  <si>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</si>
  <si>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</si>
  <si>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</si>
  <si>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</si>
  <si>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</si>
  <si>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</si>
  <si>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</si>
  <si>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</si>
  <si>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</si>
  <si>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</si>
  <si>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</si>
  <si>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</si>
  <si>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</si>
  <si>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</si>
  <si>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</si>
  <si>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</si>
  <si>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</si>
  <si>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</si>
  <si>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</si>
  <si>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</si>
  <si>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</si>
  <si>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</si>
  <si>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</si>
  <si>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</si>
  <si>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</si>
  <si>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</si>
  <si>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</si>
  <si>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</si>
  <si>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</si>
  <si>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</si>
  <si>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</si>
  <si>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</si>
  <si>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</si>
  <si>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</si>
  <si>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</si>
  <si>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</si>
  <si>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</si>
  <si>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</si>
  <si>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</si>
  <si>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</si>
  <si>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</si>
  <si>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</si>
  <si>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</si>
  <si>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</si>
  <si>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</si>
  <si>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</si>
  <si>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</si>
  <si>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</si>
  <si>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</si>
  <si>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</si>
  <si>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</si>
  <si>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</si>
  <si>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gloria pabon</t>
  </si>
  <si>
    <t xml:space="preserve">CARTERA DE MANO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</si>
</sst>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320951</xdr:colOff>
      <xdr:row>0</xdr:row>
      <xdr:rowOff>37963</xdr:rowOff>
    </xdr:from>
    <xdr:to>
      <xdr:col>24</xdr:col>
      <xdr:colOff>227771</xdr:colOff>
      <xdr:row>6</xdr:row>
      <xdr:rowOff>258832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270F36-4D31-406B-B7A2-FBC9BFE70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489" y="37963"/>
          <a:ext cx="1656521" cy="2001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="92" zoomScaleNormal="100" workbookViewId="0">
      <pane ySplit="8" topLeftCell="A9" activePane="bottomLeft" state="frozen"/>
      <selection pane="bottomLeft" activeCell="D13" sqref="D13:N1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gp2810-4</v>
      </c>
      <c r="G1" s="333"/>
      <c r="H1" s="334"/>
      <c r="I1" s="347" t="s">
        <v>1</v>
      </c>
      <c r="J1" s="348"/>
      <c r="K1" s="232">
        <v>4</v>
      </c>
      <c r="L1" s="321" t="s">
        <v>2</v>
      </c>
      <c r="M1" s="349"/>
      <c r="N1" s="349"/>
      <c r="O1" s="350">
        <v>45958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30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>
        <v>22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150397.08714285714</v>
      </c>
      <c r="E5" s="387"/>
      <c r="F5" s="388"/>
      <c r="G5" s="364" t="s">
        <v>16</v>
      </c>
      <c r="H5" s="389"/>
      <c r="I5" s="389"/>
      <c r="J5" s="365"/>
      <c r="K5" s="328">
        <v>1</v>
      </c>
      <c r="L5" s="328"/>
      <c r="M5" s="329" t="s">
        <v>17</v>
      </c>
      <c r="N5" s="329"/>
      <c r="O5" s="325">
        <f>IFERROR(IF(K5=0,"",D5*K5),"")</f>
        <v>150397.08714285714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>
        <v>9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50</v>
      </c>
      <c r="B10" s="299"/>
      <c r="C10" s="300"/>
      <c r="D10" s="390" t="s">
        <v>944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46469</v>
      </c>
      <c r="R10" s="307"/>
      <c r="S10" s="308">
        <f>IFERROR(IF(Q10="Unidad","1",(Q10*$K$5)),"")</f>
        <v>46469</v>
      </c>
      <c r="T10" s="309"/>
      <c r="U10" s="310"/>
      <c r="V10" s="393"/>
      <c r="W10" s="311">
        <f>IFERROR(IF(D10="","",INDEX(Tabla_Completa,MATCH('Soli_citud '!D10,Materiales,0),7)*S10),"")</f>
        <v>129781.27857142857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934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13552</v>
      </c>
      <c r="R11" s="307"/>
      <c r="S11" s="308">
        <f t="shared" ref="S11:S31" si="1">IFERROR(IF(Q11="Unidad","1",(Q11*$K$5)),"")</f>
        <v>13552</v>
      </c>
      <c r="T11" s="309"/>
      <c r="U11" s="310"/>
      <c r="V11" s="310"/>
      <c r="W11" s="311">
        <f>IFERROR(IF(D11="","",INDEX(Tabla_Completa,MATCH('Soli_citud '!D11,Materiales,0),7)*S11),"")</f>
        <v>9196</v>
      </c>
      <c r="X11" s="311"/>
      <c r="Y11" s="311"/>
    </row>
    <row r="12" spans="1:31" ht="15.75" customHeight="1">
      <c r="A12" s="298" t="s">
        <v>40</v>
      </c>
      <c r="B12" s="299"/>
      <c r="C12" s="300"/>
      <c r="D12" s="394" t="s">
        <v>541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2</v>
      </c>
      <c r="R12" s="307"/>
      <c r="S12" s="308">
        <f t="shared" si="1"/>
        <v>2</v>
      </c>
      <c r="T12" s="309"/>
      <c r="U12" s="310"/>
      <c r="V12" s="310"/>
      <c r="W12" s="311">
        <f>IFERROR(IF(D12="","",INDEX(Tabla_Completa,MATCH('Soli_citud '!D12,Materiales,0),7)*S12),"")</f>
        <v>2560.88</v>
      </c>
      <c r="X12" s="311"/>
      <c r="Y12" s="311"/>
    </row>
    <row r="13" spans="1:31" ht="15.75" customHeight="1">
      <c r="A13" s="298" t="s">
        <v>232</v>
      </c>
      <c r="B13" s="299"/>
      <c r="C13" s="300"/>
      <c r="D13" s="390" t="s">
        <v>432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11275</v>
      </c>
      <c r="R13" s="307"/>
      <c r="S13" s="308">
        <f t="shared" si="1"/>
        <v>11275</v>
      </c>
      <c r="T13" s="309"/>
      <c r="U13" s="310"/>
      <c r="V13" s="310"/>
      <c r="W13" s="311">
        <f>IFERROR(IF(D13="","",INDEX(Tabla_Completa,MATCH('Soli_citud '!D13,Materiales,0),7)*S13),"")</f>
        <v>8858.9285714285706</v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3" sqref="L13:M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45958</v>
      </c>
      <c r="O1" s="489"/>
      <c r="P1" s="427" t="s">
        <v>55</v>
      </c>
      <c r="Q1" s="428"/>
      <c r="R1" s="433" t="str">
        <f>IF('Soli_citud '!D4="","",'Soli_citud '!D4)</f>
        <v xml:space="preserve">CARTERA DE MANO 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gp2810-4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150397.08714285714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gloria pabon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gp2810-4</v>
      </c>
      <c r="C12" s="407" t="str">
        <f>IFERROR(IF('Soli_citud '!D10="","",'Soli_citud '!D10),"")</f>
        <v>SINTETICO PVC</v>
      </c>
      <c r="D12" s="407"/>
      <c r="E12" s="407"/>
      <c r="F12" s="407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46469</v>
      </c>
      <c r="I12" s="214">
        <v>45959</v>
      </c>
      <c r="J12" s="215">
        <v>46469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gp2810-4</v>
      </c>
      <c r="C13" s="407" t="str">
        <f>IFERROR(IF('Soli_citud '!D11="","",'Soli_citud '!D11),"")</f>
        <v>SEDA CONOCIDA COMO: TIFON O 30-100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13552</v>
      </c>
      <c r="I13" s="214">
        <v>45959</v>
      </c>
      <c r="J13" s="216">
        <v>13552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gp2810-4</v>
      </c>
      <c r="C14" s="407" t="str">
        <f>IFERROR(IF('Soli_citud '!D12="","",'Soli_citud '!D12),"")</f>
        <v>BROCHE IMÁN DORADO CAZUELA</v>
      </c>
      <c r="D14" s="407"/>
      <c r="E14" s="407"/>
      <c r="F14" s="407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</v>
      </c>
      <c r="I14" s="214">
        <v>45959</v>
      </c>
      <c r="J14" s="216">
        <v>2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gp2810-4</v>
      </c>
      <c r="C15" s="407" t="str">
        <f>IFERROR(IF('Soli_citud '!D13="","",'Soli_citud '!D13),"")</f>
        <v>SALPA 0.5mm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11275</v>
      </c>
      <c r="I15" s="214">
        <v>45959</v>
      </c>
      <c r="J15" s="216">
        <v>11275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/>
      </c>
      <c r="D16" s="407"/>
      <c r="E16" s="407"/>
      <c r="F16" s="407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2025-10-29T21:16:36Z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