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DANIELA ALVAREZ\"/>
    </mc:Choice>
  </mc:AlternateContent>
  <xr:revisionPtr revIDLastSave="0" documentId="13_ncr:1_{59CDFFDF-D429-4F63-B67F-01488F4A8346}" xr6:coauthVersionLast="36" xr6:coauthVersionMax="47" xr10:uidLastSave="{00000000-0000-0000-0000-000000000000}"/>
  <bookViews>
    <workbookView xWindow="-120" yWindow="-120" windowWidth="1560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/>
  <c r="O23" i="43"/>
  <c r="G25" i="61" s="1"/>
  <c r="O24" i="43"/>
  <c r="G26" i="61"/>
  <c r="O25" i="43"/>
  <c r="G27" i="61" s="1"/>
  <c r="O26" i="43"/>
  <c r="G28" i="61"/>
  <c r="O27" i="43"/>
  <c r="G29" i="61" s="1"/>
  <c r="O28" i="43"/>
  <c r="G30" i="6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G12" i="6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B8" i="61" s="1"/>
  <c r="A1177" i="38"/>
  <c r="O5" i="43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K30" i="61" l="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<sst xmlns="http://schemas.openxmlformats.org/spreadsheetml/2006/main" count="5032" uniqueCount="1392">
  <si>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</si>
  <si>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</si>
  <si>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</si>
  <si>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</si>
  <si>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</si>
  <si>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</si>
  <si>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</si>
  <si>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</si>
  <si>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</si>
  <si>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</si>
  <si>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</si>
  <si>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</si>
  <si>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</si>
  <si>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</si>
  <si>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</si>
  <si>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</si>
  <si>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</si>
  <si>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</si>
  <si>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</si>
  <si>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</si>
  <si>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</si>
  <si>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</si>
  <si>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</si>
  <si>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</si>
  <si>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</si>
  <si>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</si>
  <si>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</si>
  <si>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</si>
  <si>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</si>
  <si>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</si>
  <si>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</si>
  <si>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</si>
  <si>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</si>
  <si>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</si>
  <si>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</si>
  <si>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</si>
  <si>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</si>
  <si>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</si>
  <si>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</si>
  <si>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</si>
  <si>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</si>
  <si>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</si>
  <si>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</si>
  <si>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</si>
  <si>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</si>
  <si>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</si>
  <si>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</si>
  <si>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</si>
  <si>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</si>
  <si>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</si>
  <si>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</si>
  <si>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</si>
  <si>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</si>
  <si>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</si>
  <si>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</si>
  <si>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</si>
  <si>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</si>
  <si>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</si>
  <si>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</si>
  <si>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</si>
  <si>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</si>
  <si>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</si>
  <si>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</si>
  <si>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</si>
  <si>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</si>
  <si>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</si>
  <si>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</si>
  <si>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</si>
  <si>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</si>
  <si>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</si>
  <si>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</si>
  <si>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</si>
  <si>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</si>
  <si>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</si>
  <si>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</si>
  <si>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</si>
  <si>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</si>
  <si>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</si>
  <si>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</si>
  <si>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</si>
  <si>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</si>
  <si>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</si>
  <si>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</si>
  <si>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</si>
  <si>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</si>
  <si>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</si>
  <si>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</si>
  <si>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</si>
  <si>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</si>
  <si>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</si>
  <si>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</si>
  <si>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</si>
  <si>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</si>
  <si>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</si>
  <si>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</si>
  <si>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</si>
  <si>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</si>
  <si>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</si>
  <si>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</si>
  <si>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</si>
  <si>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</si>
  <si>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</si>
  <si>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</si>
  <si>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</si>
  <si>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</si>
  <si>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</si>
  <si>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</si>
  <si>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</si>
  <si>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</si>
  <si>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</si>
  <si>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</si>
  <si>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</si>
  <si>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</si>
  <si>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</si>
  <si>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</si>
  <si>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</si>
  <si>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</si>
  <si>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</si>
  <si>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</si>
  <si>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</si>
  <si>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</si>
  <si>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</si>
  <si>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</si>
  <si>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</si>
  <si>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</si>
  <si>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</si>
  <si>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</si>
  <si>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</si>
  <si>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</si>
  <si>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</si>
  <si>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</si>
  <si>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</si>
  <si>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</si>
  <si>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</si>
  <si>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</si>
  <si>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</si>
  <si>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</si>
  <si>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</si>
  <si>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</si>
  <si>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</si>
  <si>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</si>
  <si>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</si>
  <si>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</si>
  <si>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</si>
  <si>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</si>
  <si>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</si>
  <si>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</si>
  <si>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</si>
  <si>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</si>
  <si>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</si>
  <si>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</si>
  <si>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</si>
  <si>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</si>
  <si>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</si>
  <si>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</si>
  <si>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</si>
  <si>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</si>
  <si>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</si>
  <si>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</si>
  <si>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</si>
  <si>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</si>
  <si>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</si>
  <si>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</si>
  <si>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</si>
  <si>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</si>
  <si>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</si>
  <si>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</si>
  <si>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</si>
  <si>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</si>
  <si>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</si>
  <si>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</si>
  <si>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</si>
  <si>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</si>
  <si>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</si>
  <si>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</si>
  <si>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</si>
  <si>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</si>
  <si>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</si>
  <si>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</si>
  <si>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</si>
  <si>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</si>
  <si>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</si>
  <si>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</si>
  <si>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</si>
  <si>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</si>
  <si>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</si>
  <si>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</si>
  <si>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</si>
  <si>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</si>
  <si>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</si>
  <si>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</si>
  <si>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</si>
  <si>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</si>
  <si>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</si>
  <si>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</si>
  <si>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</si>
  <si>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</si>
  <si>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</si>
  <si>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</si>
  <si>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</si>
  <si>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</si>
  <si>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</si>
  <si>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</si>
  <si>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</si>
  <si>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</si>
  <si>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</si>
  <si>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</si>
  <si>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</si>
  <si>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</si>
  <si>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</si>
  <si>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</si>
  <si>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</si>
  <si>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</si>
  <si>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</si>
  <si>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</si>
  <si>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</si>
  <si>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</si>
  <si>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</si>
  <si>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</si>
  <si>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</si>
  <si>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</si>
  <si>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</si>
  <si>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</si>
  <si>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</si>
  <si>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</si>
  <si>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</si>
  <si>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</si>
  <si>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</si>
  <si>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</si>
  <si>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</si>
  <si>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</si>
  <si>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</si>
  <si>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</si>
  <si>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</si>
  <si>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</si>
  <si>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</si>
  <si>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</si>
  <si>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</si>
  <si>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</si>
  <si>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</si>
  <si>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</si>
  <si>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</si>
  <si>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</si>
  <si>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</si>
  <si>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</si>
  <si>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</si>
  <si>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</si>
  <si>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</si>
  <si>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</si>
  <si>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</si>
  <si>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</si>
  <si>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</si>
  <si>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</si>
  <si>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</si>
  <si>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</si>
  <si>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</si>
  <si>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</si>
  <si>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</si>
  <si>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</si>
  <si>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</si>
  <si>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</si>
  <si>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</si>
  <si>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</si>
  <si>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</si>
  <si>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</si>
  <si>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</si>
  <si>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</si>
  <si>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</si>
  <si>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</si>
  <si>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</si>
  <si>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</si>
  <si>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</si>
  <si>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</si>
  <si>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</si>
  <si>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</si>
  <si>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</si>
  <si>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</si>
  <si>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</si>
  <si>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</si>
  <si>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</si>
  <si>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</si>
  <si>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</si>
  <si>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</si>
  <si>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</si>
  <si>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</si>
  <si>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</si>
  <si>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</si>
  <si>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</si>
  <si>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</si>
  <si>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</si>
  <si>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</si>
  <si>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</si>
  <si>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</si>
  <si>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</si>
  <si>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</si>
  <si>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</si>
  <si>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</si>
  <si>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</si>
  <si>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</si>
  <si>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</si>
  <si>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</si>
  <si>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</si>
  <si>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</si>
  <si>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</si>
  <si>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</si>
  <si>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</si>
  <si>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</si>
  <si>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</si>
  <si>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</si>
  <si>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</si>
  <si>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</si>
  <si>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</si>
  <si>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</si>
  <si>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</si>
  <si>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</si>
  <si>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</si>
  <si>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</si>
  <si>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</si>
  <si>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</si>
  <si>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</si>
  <si>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</si>
  <si>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</si>
  <si>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</si>
  <si>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</si>
  <si>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</si>
  <si>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</si>
  <si>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</si>
  <si>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</si>
  <si>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</si>
  <si>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</si>
  <si>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</si>
  <si>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</si>
  <si>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</si>
  <si>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</si>
  <si>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</si>
  <si>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</si>
  <si>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</si>
  <si>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</si>
  <si>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</si>
  <si>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</si>
  <si>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</si>
  <si>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</si>
  <si>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</si>
  <si>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</si>
  <si>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</si>
  <si>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</si>
  <si>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</si>
  <si>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</si>
  <si>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</si>
  <si>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</si>
  <si>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</si>
  <si>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</si>
  <si>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</si>
  <si>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</si>
  <si>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</si>
  <si>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</si>
  <si>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</si>
  <si>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</si>
  <si>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</si>
  <si>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</si>
  <si>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</si>
  <si>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</si>
  <si>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</si>
  <si>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</si>
  <si>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</si>
  <si>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</si>
  <si>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</si>
  <si>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</si>
  <si>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</si>
  <si>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</si>
  <si>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</si>
  <si>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</si>
  <si>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</si>
  <si>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</si>
  <si>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</si>
  <si>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</si>
  <si>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</si>
  <si>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</si>
  <si>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</si>
  <si>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</si>
  <si>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</si>
  <si>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</si>
  <si>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</si>
  <si>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</si>
  <si>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</si>
  <si>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</si>
  <si>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</si>
  <si>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</si>
  <si>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</si>
  <si>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</si>
  <si>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</si>
  <si>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</si>
  <si>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</si>
  <si>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</si>
  <si>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</si>
  <si>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</si>
  <si>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</si>
  <si>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</si>
  <si>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</si>
  <si>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</si>
  <si>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</si>
  <si>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</si>
  <si>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</si>
  <si>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</si>
  <si>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</si>
  <si>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</si>
  <si>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</si>
  <si>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</si>
  <si>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</si>
  <si>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</si>
  <si>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</si>
  <si>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</si>
  <si>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</si>
  <si>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</si>
  <si>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</si>
  <si>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</si>
  <si>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</si>
  <si>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</si>
  <si>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</si>
  <si>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</si>
  <si>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</si>
  <si>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</si>
  <si>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</si>
  <si>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</si>
  <si>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</si>
  <si>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</si>
  <si>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</si>
  <si>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</si>
  <si>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</si>
  <si>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</si>
  <si>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</si>
  <si>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</si>
  <si>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</si>
  <si>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</si>
  <si>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</si>
  <si>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</si>
  <si>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</si>
  <si>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</si>
  <si>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</si>
  <si>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</si>
  <si>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</si>
  <si>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</si>
  <si>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</si>
  <si>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</si>
  <si>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</si>
  <si>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</si>
  <si>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</si>
  <si>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</si>
  <si>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</si>
  <si>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</si>
  <si>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</si>
  <si>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</si>
  <si>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</si>
  <si>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</si>
  <si>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</si>
  <si>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</si>
  <si>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</si>
  <si>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</si>
  <si>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</si>
  <si>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</si>
  <si>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</si>
  <si>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</si>
  <si>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</si>
  <si>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</si>
  <si>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</si>
  <si>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</si>
  <si>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</si>
  <si>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</si>
  <si>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</si>
  <si>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</si>
  <si>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</si>
  <si>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</si>
  <si>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</si>
  <si>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</si>
  <si>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</si>
  <si>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</si>
  <si>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</si>
  <si>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</si>
  <si>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</si>
  <si>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</si>
  <si>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</si>
  <si>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</si>
  <si>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</si>
  <si>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</si>
  <si>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</si>
  <si>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</si>
  <si>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</si>
  <si>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</si>
  <si>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</si>
  <si>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</si>
  <si>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</si>
  <si>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</si>
  <si>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</si>
  <si>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</si>
  <si>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</si>
  <si>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</si>
  <si>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</si>
  <si>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</si>
  <si>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</si>
  <si>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</si>
  <si>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</si>
  <si>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</si>
  <si>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</si>
  <si>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</si>
  <si>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</si>
  <si>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</si>
  <si>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</si>
  <si>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</si>
  <si>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</si>
  <si>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</si>
  <si>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</si>
  <si>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</si>
  <si>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</si>
  <si>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</si>
  <si>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</si>
  <si>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</si>
  <si>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</si>
  <si>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</si>
  <si>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</si>
  <si>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</si>
  <si>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</si>
  <si>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</si>
  <si>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</si>
  <si>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</si>
  <si>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</si>
  <si>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</si>
  <si>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</si>
  <si>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</si>
  <si>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</si>
  <si>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</si>
  <si>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</si>
  <si>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</si>
  <si>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</si>
  <si>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</si>
  <si>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</si>
  <si>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</si>
  <si>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</si>
  <si>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</si>
  <si>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</si>
  <si>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</si>
  <si>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</si>
  <si>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</si>
  <si>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</si>
  <si>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</si>
  <si>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</si>
  <si>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</si>
  <si>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</si>
  <si>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</si>
  <si>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</si>
  <si>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</si>
  <si>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</si>
  <si>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</si>
  <si>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</si>
  <si>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</si>
  <si>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</si>
  <si>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</si>
  <si>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</si>
  <si>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</si>
  <si>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</si>
  <si>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</si>
  <si>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</si>
  <si>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</si>
  <si>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</si>
  <si>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</si>
  <si>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</si>
  <si>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</si>
  <si>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</si>
  <si>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</si>
  <si>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</si>
  <si>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</si>
  <si>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</si>
  <si>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</si>
  <si>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</si>
  <si>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</si>
  <si>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</si>
  <si>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</si>
  <si>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</si>
  <si>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</si>
  <si>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</si>
  <si>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</si>
  <si>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</si>
  <si>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</si>
  <si>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</si>
  <si>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</si>
  <si>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</si>
  <si>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</si>
  <si>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</si>
  <si>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</si>
  <si>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</si>
  <si>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</si>
  <si>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</si>
  <si>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</si>
  <si>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</si>
  <si>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</si>
  <si>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</si>
  <si>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</si>
  <si>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</si>
  <si>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</si>
  <si>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</si>
  <si>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</si>
  <si>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</si>
  <si>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</si>
  <si>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</si>
  <si>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</si>
  <si>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</si>
  <si>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</si>
  <si>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</si>
  <si>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</si>
  <si>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</si>
  <si>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</si>
  <si>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</si>
  <si>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</si>
  <si>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</si>
  <si>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</si>
  <si>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</si>
  <si>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</si>
  <si>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</si>
  <si>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</si>
  <si>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</si>
  <si>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</si>
  <si>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</si>
  <si>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</si>
  <si>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</si>
  <si>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</si>
  <si>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</si>
  <si>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</si>
  <si>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</si>
  <si>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</si>
  <si>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</si>
  <si>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</si>
  <si>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</si>
  <si>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</si>
  <si>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</si>
  <si>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</si>
  <si>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</si>
  <si>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</si>
  <si>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</si>
  <si>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</si>
  <si>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</si>
  <si>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</si>
  <si>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</si>
  <si>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</si>
  <si>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</si>
  <si>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</si>
  <si>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</si>
  <si>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</si>
  <si>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</si>
  <si>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</si>
  <si>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</si>
  <si>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</si>
  <si>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</si>
  <si>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</si>
  <si>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</si>
  <si>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</si>
  <si>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</si>
  <si>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</si>
  <si>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</si>
  <si>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</si>
  <si>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</si>
  <si>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</si>
  <si>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</si>
  <si>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</si>
  <si>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</si>
  <si>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</si>
  <si>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</si>
  <si>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</si>
  <si>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</si>
  <si>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</si>
  <si>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</si>
  <si>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</si>
  <si>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</si>
  <si>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</si>
  <si>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</si>
  <si>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</si>
  <si>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</si>
  <si>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</si>
  <si>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</si>
  <si>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</si>
  <si>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</si>
  <si>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</si>
  <si>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</si>
  <si>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</si>
  <si>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</si>
  <si>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</si>
  <si>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</si>
  <si>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</si>
  <si>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</si>
  <si>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</si>
  <si>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</si>
  <si>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</si>
  <si>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</si>
  <si>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</si>
  <si>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</si>
  <si>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</si>
  <si>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</si>
  <si>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</si>
  <si>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</si>
  <si>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</si>
  <si>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</si>
  <si>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</si>
  <si>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</si>
  <si>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</si>
  <si>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</si>
  <si>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</si>
  <si>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</si>
  <si>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</si>
  <si>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</si>
  <si>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</si>
  <si>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</si>
  <si>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</si>
  <si>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</si>
  <si>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</si>
  <si>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</si>
  <si>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</si>
  <si>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</si>
  <si>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</si>
  <si>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</si>
  <si>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</si>
  <si>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</si>
  <si>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</si>
  <si>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</si>
  <si>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</si>
  <si>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</si>
  <si>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</si>
  <si>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</si>
  <si>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</si>
  <si>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</si>
  <si>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</si>
  <si>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</si>
  <si>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</si>
  <si>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</si>
  <si>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</si>
  <si>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</si>
  <si>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</si>
  <si>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</si>
  <si>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</si>
  <si>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</si>
  <si>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</si>
  <si>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</si>
  <si>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</si>
  <si>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</si>
  <si>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</si>
  <si>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</si>
  <si>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</si>
  <si>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</si>
  <si>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</si>
  <si>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</si>
  <si>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</si>
  <si>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</si>
  <si>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</si>
  <si>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</si>
  <si>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</si>
  <si>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</si>
  <si>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</si>
  <si>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</si>
  <si>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</si>
  <si>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</si>
  <si>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</si>
  <si>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</si>
  <si>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</si>
  <si>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</si>
  <si>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</si>
  <si>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</si>
  <si>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</si>
  <si>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</si>
  <si>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</si>
  <si>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</si>
  <si>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</si>
  <si>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</si>
  <si>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</si>
  <si>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</si>
  <si>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</si>
  <si>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</si>
  <si>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</si>
  <si>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</si>
  <si>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</si>
  <si>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</si>
  <si>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</si>
  <si>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</si>
  <si>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</si>
  <si>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</si>
  <si>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</si>
  <si>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</si>
  <si>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</si>
  <si>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</si>
  <si>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</si>
  <si>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</si>
  <si>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</si>
  <si>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</si>
  <si>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</si>
  <si>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</si>
  <si>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</si>
  <si>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</si>
  <si>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</si>
  <si>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</si>
  <si>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</si>
  <si>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</si>
  <si>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</si>
  <si>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</si>
  <si>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</si>
  <si>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</si>
  <si>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</si>
  <si>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</si>
  <si>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</si>
  <si>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</si>
  <si>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</si>
  <si>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</si>
  <si>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</si>
  <si>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</si>
  <si>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</si>
  <si>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</si>
  <si>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</si>
  <si>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</si>
  <si>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</si>
  <si>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</si>
  <si>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</si>
  <si>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</si>
  <si>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</si>
  <si>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</si>
  <si>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</si>
  <si>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</si>
  <si>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</si>
  <si>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</si>
  <si>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</si>
  <si>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</si>
  <si>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</si>
  <si>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</si>
  <si>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</si>
  <si>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</si>
  <si>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</si>
  <si>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</si>
  <si>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</si>
  <si>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</si>
  <si>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</si>
  <si>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</si>
  <si>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</si>
  <si>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</si>
  <si>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</si>
  <si>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</si>
  <si>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</si>
  <si>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</si>
  <si>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</si>
  <si>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</si>
  <si>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</si>
  <si>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</si>
  <si>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</si>
  <si>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</si>
  <si>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</si>
  <si>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</si>
  <si>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</si>
  <si>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</si>
  <si>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</si>
  <si>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</si>
  <si>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</si>
  <si>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</si>
  <si>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</si>
  <si>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</si>
  <si>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</si>
  <si>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</si>
  <si>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</si>
  <si>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</si>
  <si>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</si>
  <si>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</si>
  <si>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</si>
  <si>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</si>
  <si>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</si>
  <si>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</si>
  <si>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</si>
  <si>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</si>
  <si>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</si>
  <si>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</si>
  <si>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</si>
  <si>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</si>
  <si>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</si>
  <si>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</si>
  <si>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</si>
  <si>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</si>
  <si>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</si>
  <si>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</si>
  <si>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</si>
  <si>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</si>
  <si>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</si>
  <si>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</si>
  <si>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</si>
  <si>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</si>
  <si>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</si>
  <si>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</si>
  <si>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</si>
  <si>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</si>
  <si>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</si>
  <si>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</si>
  <si>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</si>
  <si>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</si>
  <si>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</si>
  <si>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</si>
  <si>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</si>
  <si>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</si>
  <si>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</si>
  <si>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</si>
  <si>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</si>
  <si>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</si>
  <si>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</si>
  <si>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</si>
  <si>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</si>
  <si>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</si>
  <si>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</si>
  <si>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</si>
  <si>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</si>
  <si>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</si>
  <si>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</si>
  <si>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</si>
  <si>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</si>
  <si>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</si>
  <si>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</si>
  <si>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</si>
  <si>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</si>
  <si>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</si>
  <si>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</si>
  <si>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</si>
  <si>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</si>
  <si>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</si>
  <si>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</si>
  <si>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</si>
  <si>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</si>
  <si>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</si>
  <si>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</si>
  <si>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</si>
  <si>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</si>
  <si>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</si>
  <si>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</si>
  <si>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</si>
  <si>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</si>
  <si>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</si>
  <si>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</si>
  <si>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</si>
  <si>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</si>
  <si>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</si>
  <si>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</si>
  <si>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</si>
  <si>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</si>
  <si>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</si>
  <si>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</si>
  <si>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</si>
  <si>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</si>
  <si>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</si>
  <si>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</si>
  <si>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</si>
  <si>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</si>
  <si>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</si>
  <si>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</si>
  <si>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</si>
  <si>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</si>
  <si>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</si>
  <si>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</si>
  <si>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</si>
  <si>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</si>
  <si>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</si>
  <si>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</si>
  <si>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</si>
  <si>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</si>
  <si>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</si>
  <si>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</si>
  <si>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</si>
  <si>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</si>
  <si>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</si>
  <si>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</si>
  <si>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</si>
  <si>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</si>
  <si>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</si>
  <si>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</si>
  <si>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</si>
  <si>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</si>
  <si>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</si>
  <si>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</si>
  <si>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</si>
  <si>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</si>
  <si>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</si>
  <si>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</si>
  <si>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</si>
  <si>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</si>
  <si>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</si>
  <si>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</si>
  <si>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</si>
  <si>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</si>
  <si>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</si>
  <si>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</si>
  <si>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</si>
  <si>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</si>
  <si>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</si>
  <si>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</si>
  <si>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</si>
  <si>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</si>
  <si>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</si>
  <si>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</si>
  <si>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</si>
  <si>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</si>
  <si>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</si>
  <si>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</si>
  <si>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</si>
  <si>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</si>
  <si>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</si>
  <si>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</si>
  <si>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</si>
  <si>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</si>
  <si>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</si>
  <si>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</si>
  <si>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</si>
  <si>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</si>
  <si>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</si>
  <si>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</si>
  <si>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</si>
  <si>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</si>
  <si>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</si>
  <si>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</si>
  <si>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</si>
  <si>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</si>
  <si>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</si>
  <si>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</si>
  <si>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</si>
  <si>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</si>
  <si>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</si>
  <si>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</si>
  <si>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</si>
  <si>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</si>
  <si>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</si>
  <si>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</si>
  <si>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</si>
  <si>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</si>
  <si>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</si>
  <si>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</si>
  <si>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</si>
  <si>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</si>
  <si>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</si>
  <si>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</si>
  <si>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</si>
  <si>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</si>
  <si>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</si>
  <si>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</si>
  <si>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</si>
  <si>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</si>
  <si>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</si>
  <si>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</si>
  <si>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</si>
  <si>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</si>
  <si>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</si>
  <si>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</si>
  <si>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</si>
  <si>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</si>
  <si>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</si>
  <si>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</si>
  <si>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</si>
  <si>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</si>
  <si>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</si>
  <si>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</si>
  <si>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</si>
  <si>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</si>
  <si>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</si>
  <si>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</si>
  <si>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</si>
  <si>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</si>
  <si>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</si>
  <si>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</si>
  <si>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</si>
  <si>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</si>
  <si>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</si>
  <si>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</si>
  <si>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</si>
  <si>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</si>
  <si>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</si>
  <si>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</si>
  <si>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</si>
  <si>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</si>
  <si>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</si>
  <si>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</si>
  <si>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</si>
  <si>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</si>
  <si>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</si>
  <si>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</si>
  <si>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</si>
  <si>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</si>
  <si>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</si>
  <si>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</si>
  <si>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</si>
  <si>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</si>
  <si>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</si>
  <si>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</si>
  <si>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</si>
  <si>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</si>
  <si>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</si>
  <si>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</si>
  <si>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</si>
  <si>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</si>
  <si>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</si>
  <si>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</si>
  <si>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</si>
  <si>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</si>
  <si>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</si>
  <si>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</si>
  <si>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</si>
  <si>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</si>
  <si>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</si>
  <si>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</si>
  <si>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</si>
  <si>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</si>
  <si>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</si>
  <si>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</si>
  <si>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</si>
  <si>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</si>
  <si>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</si>
  <si>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</si>
  <si>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</si>
  <si>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</si>
  <si>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</si>
  <si>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</si>
  <si>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</si>
  <si>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</si>
  <si>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</si>
  <si>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</si>
  <si>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</si>
  <si>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</si>
  <si>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</si>
  <si>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</si>
  <si>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</si>
  <si>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</si>
  <si>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</si>
  <si>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</si>
  <si>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</si>
  <si>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</si>
  <si>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</si>
  <si>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</si>
  <si>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</si>
  <si>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</si>
  <si>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</si>
  <si>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</si>
  <si>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</si>
  <si>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</si>
  <si>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</si>
  <si>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</si>
  <si>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</si>
  <si>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</si>
  <si>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</si>
  <si>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</si>
  <si>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</si>
  <si>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</si>
  <si>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</si>
  <si>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</si>
  <si>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</si>
  <si>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</si>
  <si>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</si>
  <si>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</si>
  <si>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</si>
  <si>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</si>
  <si>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</si>
  <si>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</si>
  <si>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</si>
  <si>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</si>
  <si>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</si>
  <si>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</si>
  <si>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</si>
  <si>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</si>
  <si>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</si>
  <si>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</si>
  <si>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</si>
  <si>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</si>
  <si>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</si>
  <si>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</si>
  <si>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</si>
  <si>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</si>
  <si>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</si>
  <si>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</si>
  <si>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</si>
  <si>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</si>
  <si>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</si>
  <si>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</si>
  <si>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</si>
  <si>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</si>
  <si>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</si>
  <si>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</si>
  <si>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</si>
  <si>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</si>
  <si>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</si>
  <si>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</si>
  <si>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</si>
  <si>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</si>
  <si>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</si>
  <si>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</si>
  <si>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</si>
  <si>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</si>
  <si>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</si>
  <si>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</si>
  <si>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</si>
  <si>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</si>
  <si>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</si>
  <si>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</si>
  <si>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</si>
  <si>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</si>
  <si>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</si>
  <si>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</si>
  <si>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</si>
  <si>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</si>
  <si>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</si>
  <si>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</si>
  <si>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</si>
  <si>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</si>
  <si>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</si>
  <si>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</si>
  <si>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</si>
  <si>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</si>
  <si>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</si>
  <si>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</si>
  <si>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</si>
  <si>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</si>
  <si>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</si>
  <si>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</si>
  <si>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</si>
  <si>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</si>
  <si>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</si>
  <si>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</si>
  <si>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</si>
  <si>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</si>
  <si>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</si>
  <si>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</si>
  <si>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</si>
  <si>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</si>
  <si>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</si>
  <si>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</si>
  <si>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</si>
  <si>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</si>
  <si>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</si>
  <si>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</si>
  <si>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</si>
  <si>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</si>
  <si>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</si>
  <si>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</si>
  <si>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</si>
  <si>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</si>
  <si>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</si>
  <si>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</si>
  <si>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</si>
  <si>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</si>
  <si>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</si>
  <si>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</si>
  <si>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</si>
  <si>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</si>
  <si>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</si>
  <si>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</si>
  <si>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</si>
  <si>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</si>
  <si>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</si>
  <si>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</si>
  <si>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</si>
  <si>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</si>
  <si>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</si>
  <si>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</si>
  <si>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</si>
  <si>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</si>
  <si>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</si>
  <si>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</si>
  <si>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</si>
  <si>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</si>
  <si>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</si>
  <si>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</si>
  <si>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</si>
  <si>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</si>
  <si>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</si>
  <si>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</si>
  <si>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</si>
  <si>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</si>
  <si>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</si>
  <si>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</si>
  <si>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</si>
  <si>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</si>
  <si>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</si>
  <si>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</si>
  <si>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</si>
  <si>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</si>
  <si>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</si>
  <si>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</si>
  <si>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</si>
  <si>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</si>
  <si>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</si>
  <si>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</si>
  <si>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</si>
  <si>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</si>
  <si>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</si>
  <si>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</si>
  <si>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</si>
  <si>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</si>
  <si>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</si>
  <si>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</si>
  <si>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</si>
  <si>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</si>
  <si>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</si>
  <si>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</si>
  <si>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</si>
  <si>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</si>
  <si>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</si>
  <si>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</si>
  <si>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</si>
  <si>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</si>
  <si>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</si>
  <si>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</si>
  <si>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</si>
  <si>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</si>
  <si>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</si>
  <si>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</si>
  <si>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</si>
  <si>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</si>
  <si>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</si>
  <si>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</si>
  <si>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</si>
  <si>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</si>
  <si>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</si>
  <si>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</si>
  <si>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</si>
  <si>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</si>
  <si>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</si>
  <si>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</si>
  <si>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</si>
  <si>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</si>
  <si>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</si>
  <si>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</si>
  <si>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</si>
  <si>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</si>
  <si>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</si>
  <si>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</si>
  <si>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</si>
  <si>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</si>
  <si>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</si>
  <si>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</si>
  <si>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</si>
  <si>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</si>
  <si>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</si>
  <si>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</si>
  <si>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</si>
  <si>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</si>
  <si>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</si>
  <si>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</si>
  <si>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</si>
  <si>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</si>
  <si>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</si>
  <si>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</si>
  <si>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</si>
  <si>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</si>
  <si>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</si>
  <si>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</si>
  <si>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</si>
  <si>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</si>
  <si>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</si>
  <si>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</si>
  <si>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</si>
  <si>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</si>
  <si>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</si>
  <si>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</si>
  <si>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</si>
  <si>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</si>
  <si>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</si>
  <si>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</si>
  <si>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</si>
  <si>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</si>
  <si>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</si>
  <si>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</si>
  <si>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</si>
  <si>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</si>
  <si>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</si>
  <si>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</si>
  <si>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</si>
  <si>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</si>
  <si>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</si>
  <si>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</si>
  <si>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</si>
  <si>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</si>
  <si>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</si>
  <si>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</si>
  <si>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</si>
  <si>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</si>
  <si>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</si>
  <si>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</si>
  <si>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</si>
  <si>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</si>
  <si>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</si>
  <si>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</si>
  <si>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</si>
  <si>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</si>
  <si>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</si>
  <si>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</si>
  <si>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</si>
  <si>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</si>
  <si>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desarrollo de colecciones</t>
  </si>
  <si>
    <t>24 CM</t>
  </si>
  <si>
    <t>CREMALLERA #3</t>
  </si>
  <si>
    <t xml:space="preserve"> CREMALLERA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</si>
</sst>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9" fillId="0" borderId="20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333375</xdr:colOff>
      <xdr:row>0</xdr:row>
      <xdr:rowOff>76200</xdr:rowOff>
    </xdr:from>
    <xdr:to>
      <xdr:col>24</xdr:col>
      <xdr:colOff>123825</xdr:colOff>
      <xdr:row>6</xdr:row>
      <xdr:rowOff>9829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5EC2188-32E5-08D3-476A-D29B25097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10550" y="76200"/>
          <a:ext cx="1533525" cy="1705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topLeftCell="E1" zoomScaleNormal="100" workbookViewId="0">
      <pane ySplit="8" topLeftCell="A9" activePane="bottomLeft" state="frozen"/>
      <selection pane="bottomLeft" activeCell="U1" sqref="U1:Y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/>
      </c>
      <c r="G1" s="333"/>
      <c r="H1" s="334"/>
      <c r="I1" s="347" t="s">
        <v>1</v>
      </c>
      <c r="J1" s="348"/>
      <c r="K1" s="232">
        <v>17</v>
      </c>
      <c r="L1" s="321" t="s">
        <v>2</v>
      </c>
      <c r="M1" s="349"/>
      <c r="N1" s="349"/>
      <c r="O1" s="350">
        <v>45889</v>
      </c>
      <c r="P1" s="350"/>
      <c r="Q1" s="350"/>
      <c r="R1" s="351"/>
      <c r="S1" s="396" t="s">
        <v>3</v>
      </c>
      <c r="T1" s="397"/>
      <c r="U1" s="402"/>
      <c r="V1" s="403"/>
      <c r="W1" s="403"/>
      <c r="X1" s="403"/>
      <c r="Y1" s="404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/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str">
        <f>IF(E2="","",INDEX(Listas!H2:I30,MATCH('Soli_citud '!E2,Intructores,0),2))</f>
        <v/>
      </c>
      <c r="P2" s="322"/>
      <c r="Q2" s="322"/>
      <c r="R2" s="323"/>
      <c r="S2" s="398">
        <v>25</v>
      </c>
      <c r="T2" s="399"/>
      <c r="U2" s="402"/>
      <c r="V2" s="403"/>
      <c r="W2" s="403"/>
      <c r="X2" s="403"/>
      <c r="Y2" s="404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8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2908248</v>
      </c>
      <c r="P3" s="324"/>
      <c r="Q3" s="324"/>
      <c r="R3" s="324"/>
      <c r="S3" s="398" t="s">
        <v>10</v>
      </c>
      <c r="T3" s="399"/>
      <c r="U3" s="402"/>
      <c r="V3" s="403"/>
      <c r="W3" s="403"/>
      <c r="X3" s="403"/>
      <c r="Y3" s="404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1388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8">
        <v>30</v>
      </c>
      <c r="T4" s="399"/>
      <c r="U4" s="402"/>
      <c r="V4" s="403"/>
      <c r="W4" s="403"/>
      <c r="X4" s="403"/>
      <c r="Y4" s="404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 t="str">
        <f>IF(K5="","",(SUM(W10:Y28)-(SUMIF(U10:V28,"Restar_Pedido",W10:Y28)))/$K$5)</f>
        <v/>
      </c>
      <c r="E5" s="387"/>
      <c r="F5" s="388"/>
      <c r="G5" s="364" t="s">
        <v>15</v>
      </c>
      <c r="H5" s="389"/>
      <c r="I5" s="389"/>
      <c r="J5" s="365"/>
      <c r="K5" s="328"/>
      <c r="L5" s="328"/>
      <c r="M5" s="329" t="s">
        <v>16</v>
      </c>
      <c r="N5" s="329"/>
      <c r="O5" s="325" t="str">
        <f>IFERROR(IF(K5=0,"",D5*K5),"")</f>
        <v/>
      </c>
      <c r="P5" s="326"/>
      <c r="Q5" s="326"/>
      <c r="R5" s="326"/>
      <c r="S5" s="400" t="s">
        <v>17</v>
      </c>
      <c r="T5" s="401"/>
      <c r="U5" s="402"/>
      <c r="V5" s="403"/>
      <c r="W5" s="403"/>
      <c r="X5" s="403"/>
      <c r="Y5" s="404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2"/>
      <c r="V6" s="403"/>
      <c r="W6" s="403"/>
      <c r="X6" s="403"/>
      <c r="Y6" s="404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8">
        <v>10</v>
      </c>
      <c r="T7" s="399"/>
      <c r="U7" s="405"/>
      <c r="V7" s="406"/>
      <c r="W7" s="406"/>
      <c r="X7" s="406"/>
      <c r="Y7" s="407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 t="str">
        <f>IF(K5="","",1/K5)</f>
        <v/>
      </c>
      <c r="W8" s="318"/>
      <c r="X8" s="103"/>
      <c r="Y8" s="104" t="str">
        <f>IFERROR((V8*X8)," ")</f>
        <v xml:space="preserve"> 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36</v>
      </c>
      <c r="B10" s="299"/>
      <c r="C10" s="300"/>
      <c r="D10" s="390" t="s">
        <v>473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53.29851</v>
      </c>
      <c r="R10" s="307"/>
      <c r="S10" s="308">
        <f>IFERROR(IF(Q10="Unidad","1",(Q10*$K$5)),"")</f>
        <v>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36</v>
      </c>
      <c r="B11" s="299"/>
      <c r="C11" s="300"/>
      <c r="D11" s="390" t="s">
        <v>473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dm2</v>
      </c>
      <c r="P11" s="305"/>
      <c r="Q11" s="306">
        <v>19.23189</v>
      </c>
      <c r="R11" s="307"/>
      <c r="S11" s="308">
        <f t="shared" ref="S11:S31" si="1">IFERROR(IF(Q11="Unidad","1",(Q11*$K$5)),"")</f>
        <v>0</v>
      </c>
      <c r="T11" s="309"/>
      <c r="U11" s="310"/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36</v>
      </c>
      <c r="B12" s="299"/>
      <c r="C12" s="300"/>
      <c r="D12" s="394" t="s">
        <v>473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dm2</v>
      </c>
      <c r="P12" s="305"/>
      <c r="Q12" s="306">
        <v>4.6336500000000003</v>
      </c>
      <c r="R12" s="307"/>
      <c r="S12" s="308">
        <f t="shared" si="1"/>
        <v>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49</v>
      </c>
      <c r="B13" s="299"/>
      <c r="C13" s="300"/>
      <c r="D13" s="390" t="s">
        <v>933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5369.5510000000004</v>
      </c>
      <c r="R13" s="307"/>
      <c r="S13" s="308">
        <f t="shared" si="1"/>
        <v>0</v>
      </c>
      <c r="T13" s="309"/>
      <c r="U13" s="310"/>
      <c r="V13" s="310"/>
      <c r="W13" s="311">
        <f>IFERROR(IF(D13="","",INDEX(Tabla_Completa,MATCH('Soli_citud '!D13,Materiales,0),7)*S13),"")</f>
        <v>0</v>
      </c>
      <c r="X13" s="311"/>
      <c r="Y13" s="311"/>
    </row>
    <row r="14" spans="1:31" ht="17.25" customHeight="1">
      <c r="A14" s="298" t="s">
        <v>231</v>
      </c>
      <c r="B14" s="299"/>
      <c r="C14" s="300"/>
      <c r="D14" s="390" t="s">
        <v>370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2303.4</v>
      </c>
      <c r="R14" s="307"/>
      <c r="S14" s="308">
        <f t="shared" si="1"/>
        <v>0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231</v>
      </c>
      <c r="B15" s="299"/>
      <c r="C15" s="300"/>
      <c r="D15" s="390" t="s">
        <v>430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535.91999999999996</v>
      </c>
      <c r="R15" s="307"/>
      <c r="S15" s="308">
        <f t="shared" si="1"/>
        <v>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39</v>
      </c>
      <c r="B16" s="299"/>
      <c r="C16" s="300"/>
      <c r="D16" s="390" t="s">
        <v>577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U</v>
      </c>
      <c r="P16" s="305"/>
      <c r="Q16" s="306">
        <v>2</v>
      </c>
      <c r="R16" s="307"/>
      <c r="S16" s="308">
        <f t="shared" si="1"/>
        <v>0</v>
      </c>
      <c r="T16" s="309"/>
      <c r="U16" s="310"/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 t="s">
        <v>39</v>
      </c>
      <c r="B17" s="299"/>
      <c r="C17" s="300"/>
      <c r="D17" s="390" t="s">
        <v>888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U</v>
      </c>
      <c r="P17" s="305"/>
      <c r="Q17" s="306">
        <v>1</v>
      </c>
      <c r="R17" s="307"/>
      <c r="S17" s="308">
        <f t="shared" si="1"/>
        <v>0</v>
      </c>
      <c r="T17" s="309"/>
      <c r="U17" s="310"/>
      <c r="V17" s="310"/>
      <c r="W17" s="311">
        <f>IFERROR(IF(D17="","",INDEX(Tabla_Completa,MATCH('Soli_citud '!D17,Materiales,0),7)*S17),"")</f>
        <v>0</v>
      </c>
      <c r="X17" s="311"/>
      <c r="Y17" s="311"/>
    </row>
    <row r="18" spans="1:25" ht="15.75" customHeight="1">
      <c r="A18" s="298" t="s">
        <v>39</v>
      </c>
      <c r="B18" s="299"/>
      <c r="C18" s="300"/>
      <c r="D18" s="390" t="s">
        <v>623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1</v>
      </c>
      <c r="R18" s="307"/>
      <c r="S18" s="308">
        <f t="shared" si="1"/>
        <v>0</v>
      </c>
      <c r="T18" s="309"/>
      <c r="U18" s="310"/>
      <c r="V18" s="310"/>
      <c r="W18" s="311">
        <f>IFERROR(IF(D18="","",INDEX(Tabla_Completa,MATCH('Soli_citud '!D18,Materiales,0),7)*S18),"")</f>
        <v>0</v>
      </c>
      <c r="X18" s="311"/>
      <c r="Y18" s="311"/>
    </row>
    <row r="19" spans="1:25" ht="15.75">
      <c r="A19" s="298" t="s">
        <v>39</v>
      </c>
      <c r="B19" s="299"/>
      <c r="C19" s="300"/>
      <c r="D19" s="301" t="s">
        <v>1391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95" t="s">
        <v>1389</v>
      </c>
      <c r="R19" s="307"/>
      <c r="S19" s="308" t="str">
        <f t="shared" si="1"/>
        <v/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 t="s">
        <v>39</v>
      </c>
      <c r="B20" s="299"/>
      <c r="C20" s="300"/>
      <c r="D20" s="301" t="s">
        <v>1390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 t="s">
        <v>1389</v>
      </c>
      <c r="R20" s="307"/>
      <c r="S20" s="308" t="str">
        <f t="shared" si="1"/>
        <v/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 t="s">
        <v>39</v>
      </c>
      <c r="B21" s="299"/>
      <c r="C21" s="300"/>
      <c r="D21" s="301" t="s">
        <v>718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>U</v>
      </c>
      <c r="P21" s="305"/>
      <c r="Q21" s="306">
        <v>1</v>
      </c>
      <c r="R21" s="307"/>
      <c r="S21" s="308">
        <f t="shared" si="1"/>
        <v>0</v>
      </c>
      <c r="T21" s="309"/>
      <c r="U21" s="310"/>
      <c r="V21" s="310"/>
      <c r="W21" s="311">
        <f>IFERROR(IF(D21="","",INDEX(Tabla_Completa,MATCH('Soli_citud '!D21,Materiales,0),7)*S21),"")</f>
        <v>0</v>
      </c>
      <c r="X21" s="311"/>
      <c r="Y21" s="311"/>
    </row>
    <row r="22" spans="1:25" ht="15.75">
      <c r="A22" s="298" t="s">
        <v>39</v>
      </c>
      <c r="B22" s="299"/>
      <c r="C22" s="300"/>
      <c r="D22" s="301" t="s">
        <v>723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>U</v>
      </c>
      <c r="P22" s="305"/>
      <c r="Q22" s="306">
        <v>1</v>
      </c>
      <c r="R22" s="307"/>
      <c r="S22" s="308">
        <f t="shared" si="1"/>
        <v>0</v>
      </c>
      <c r="T22" s="309"/>
      <c r="U22" s="310"/>
      <c r="V22" s="310"/>
      <c r="W22" s="311">
        <f>IFERROR(IF(D22="","",INDEX(Tabla_Completa,MATCH('Soli_citud '!D22,Materiales,0),7)*S22),"")</f>
        <v>0</v>
      </c>
      <c r="X22" s="311"/>
      <c r="Y22" s="311"/>
    </row>
    <row r="23" spans="1:25" ht="15.75">
      <c r="A23" s="298" t="s">
        <v>231</v>
      </c>
      <c r="B23" s="299"/>
      <c r="C23" s="300"/>
      <c r="D23" s="301" t="s">
        <v>347</v>
      </c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>Cono</v>
      </c>
      <c r="P23" s="305"/>
      <c r="Q23" s="306">
        <v>2</v>
      </c>
      <c r="R23" s="307"/>
      <c r="S23" s="308">
        <f t="shared" si="1"/>
        <v>0</v>
      </c>
      <c r="T23" s="309"/>
      <c r="U23" s="310"/>
      <c r="V23" s="310"/>
      <c r="W23" s="311">
        <f>IFERROR(IF(D23="","",INDEX(Tabla_Completa,MATCH('Soli_citud '!D23,Materiales,0),7)*S23),"")</f>
        <v>0</v>
      </c>
      <c r="X23" s="311"/>
      <c r="Y23" s="311"/>
    </row>
    <row r="24" spans="1:25" ht="15.75">
      <c r="A24" s="298" t="s">
        <v>231</v>
      </c>
      <c r="B24" s="299"/>
      <c r="C24" s="300"/>
      <c r="D24" s="301" t="s">
        <v>346</v>
      </c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>Cono</v>
      </c>
      <c r="P24" s="305"/>
      <c r="Q24" s="306">
        <v>1</v>
      </c>
      <c r="R24" s="307"/>
      <c r="S24" s="308">
        <f t="shared" si="1"/>
        <v>0</v>
      </c>
      <c r="T24" s="309"/>
      <c r="U24" s="310"/>
      <c r="V24" s="310"/>
      <c r="W24" s="311">
        <f>IFERROR(IF(D24="","",INDEX(Tabla_Completa,MATCH('Soli_citud '!D24,Materiales,0),7)*S24),"")</f>
        <v>0</v>
      </c>
      <c r="X24" s="311"/>
      <c r="Y24" s="311"/>
    </row>
    <row r="25" spans="1:25" ht="15.75">
      <c r="A25" s="298" t="s">
        <v>231</v>
      </c>
      <c r="B25" s="299"/>
      <c r="C25" s="300"/>
      <c r="D25" s="301" t="s">
        <v>409</v>
      </c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>m</v>
      </c>
      <c r="P25" s="305"/>
      <c r="Q25" s="306">
        <v>1.7</v>
      </c>
      <c r="R25" s="307"/>
      <c r="S25" s="308">
        <f t="shared" si="1"/>
        <v>0</v>
      </c>
      <c r="T25" s="309"/>
      <c r="U25" s="310"/>
      <c r="V25" s="310"/>
      <c r="W25" s="311">
        <f>IFERROR(IF(D25="","",INDEX(Tabla_Completa,MATCH('Soli_citud '!D25,Materiales,0),7)*S25),"")</f>
        <v>0</v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0"/>
      <c r="C1" s="481"/>
      <c r="D1" s="457" t="s">
        <v>52</v>
      </c>
      <c r="E1" s="458"/>
      <c r="F1" s="458"/>
      <c r="G1" s="458"/>
      <c r="H1" s="458"/>
      <c r="I1" s="459"/>
      <c r="J1" s="486" t="s">
        <v>53</v>
      </c>
      <c r="K1" s="487"/>
      <c r="L1" s="487"/>
      <c r="M1" s="488"/>
      <c r="N1" s="489">
        <f>IF('Soli_citud '!O1="","",'Soli_citud '!O1)</f>
        <v>45889</v>
      </c>
      <c r="O1" s="490"/>
      <c r="P1" s="428" t="s">
        <v>54</v>
      </c>
      <c r="Q1" s="429"/>
      <c r="R1" s="434" t="str">
        <f>IF('Soli_citud '!D4="","",'Soli_citud '!D4)</f>
        <v>desarrollo de colecciones</v>
      </c>
      <c r="S1" s="435"/>
      <c r="Z1" t="s">
        <v>55</v>
      </c>
      <c r="AA1" s="241" t="s">
        <v>55</v>
      </c>
    </row>
    <row r="2" spans="1:27" ht="15.75" customHeight="1" thickBot="1">
      <c r="A2" s="240"/>
      <c r="B2" s="482"/>
      <c r="C2" s="483"/>
      <c r="D2" s="460"/>
      <c r="E2" s="461"/>
      <c r="F2" s="461"/>
      <c r="G2" s="461"/>
      <c r="H2" s="461"/>
      <c r="I2" s="462"/>
      <c r="J2" s="491" t="s">
        <v>56</v>
      </c>
      <c r="K2" s="492"/>
      <c r="L2" s="492"/>
      <c r="M2" s="493"/>
      <c r="N2" s="494" t="str">
        <f>'Soli_citud '!F1</f>
        <v/>
      </c>
      <c r="O2" s="414"/>
      <c r="P2" s="430"/>
      <c r="Q2" s="431"/>
      <c r="R2" s="436"/>
      <c r="S2" s="437"/>
    </row>
    <row r="3" spans="1:27" ht="15.75" customHeight="1">
      <c r="A3" s="240"/>
      <c r="B3" s="482"/>
      <c r="C3" s="483"/>
      <c r="D3" s="460"/>
      <c r="E3" s="461"/>
      <c r="F3" s="461"/>
      <c r="G3" s="461"/>
      <c r="H3" s="461"/>
      <c r="I3" s="462"/>
      <c r="J3" s="495" t="s">
        <v>57</v>
      </c>
      <c r="K3" s="495"/>
      <c r="L3" s="495"/>
      <c r="M3" s="495"/>
      <c r="N3" s="496">
        <f>IF('Soli_citud '!O3="","",'Soli_citud '!O3)</f>
        <v>2908248</v>
      </c>
      <c r="O3" s="497"/>
      <c r="P3" s="430"/>
      <c r="Q3" s="431"/>
      <c r="R3" s="438" t="str" cm="1">
        <f t="array" ref="R3">IFERROR(_xlfn.IFS(L4="Calzado Producción","Entrega de Producto",L4="Marroquinería  Producción","Entrega Producto"),"")</f>
        <v/>
      </c>
      <c r="S3" s="439"/>
    </row>
    <row r="4" spans="1:27" ht="15.75" customHeight="1">
      <c r="A4" s="240"/>
      <c r="B4" s="484"/>
      <c r="C4" s="485"/>
      <c r="D4" s="463"/>
      <c r="E4" s="464"/>
      <c r="F4" s="464"/>
      <c r="G4" s="464"/>
      <c r="H4" s="464"/>
      <c r="I4" s="465"/>
      <c r="J4" s="443" t="s">
        <v>58</v>
      </c>
      <c r="K4" s="443"/>
      <c r="L4" s="443"/>
      <c r="M4" s="444" t="str">
        <f>IF('Soli_citud '!O4="","",'Soli_citud '!O4)</f>
        <v>Marroquinería Formación</v>
      </c>
      <c r="N4" s="444"/>
      <c r="O4" s="445"/>
      <c r="P4" s="430"/>
      <c r="Q4" s="431"/>
      <c r="R4" s="305"/>
      <c r="S4" s="440"/>
    </row>
    <row r="5" spans="1:27" ht="2.25" customHeight="1">
      <c r="A5" s="240"/>
      <c r="P5" s="430"/>
      <c r="Q5" s="431"/>
    </row>
    <row r="6" spans="1:27" ht="27" customHeight="1">
      <c r="A6" s="240"/>
      <c r="B6" s="446" t="s">
        <v>59</v>
      </c>
      <c r="C6" s="447"/>
      <c r="D6" s="448"/>
      <c r="E6" s="452" t="s">
        <v>60</v>
      </c>
      <c r="F6" s="452"/>
      <c r="G6" s="452"/>
      <c r="H6" s="452"/>
      <c r="I6" s="453"/>
      <c r="J6" s="454"/>
      <c r="K6" s="455"/>
      <c r="L6" s="455"/>
      <c r="M6" s="455"/>
      <c r="N6" s="456"/>
      <c r="O6" s="456"/>
      <c r="P6" s="430"/>
      <c r="Q6" s="431"/>
      <c r="R6" s="416" t="str">
        <f>IF(R3="","","Valor de Producción ($)")</f>
        <v/>
      </c>
      <c r="S6" s="417"/>
    </row>
    <row r="7" spans="1:27" ht="3.75" customHeight="1">
      <c r="A7" s="240"/>
      <c r="B7" s="449"/>
      <c r="C7" s="450"/>
      <c r="D7" s="45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0"/>
      <c r="Q7" s="431"/>
      <c r="R7" s="418" t="str">
        <f>IFERROR(IF(R3="","",G9*M10),"")</f>
        <v/>
      </c>
      <c r="S7" s="419"/>
    </row>
    <row r="8" spans="1:27" ht="20.25" customHeight="1">
      <c r="A8" s="240"/>
      <c r="B8" s="420" t="str">
        <f>IF('Soli_citud '!D5&lt;= 0,"",'Soli_citud '!D5)</f>
        <v/>
      </c>
      <c r="C8" s="421"/>
      <c r="D8" s="422"/>
      <c r="E8" s="423" t="s">
        <v>61</v>
      </c>
      <c r="F8" s="424"/>
      <c r="G8" s="424"/>
      <c r="H8" s="424"/>
      <c r="I8" s="425"/>
      <c r="J8" s="426" t="str">
        <f>IF('Soli_citud '!E2="","",'Soli_citud '!E2)</f>
        <v/>
      </c>
      <c r="K8" s="427"/>
      <c r="L8" s="427"/>
      <c r="M8" s="427"/>
      <c r="N8" s="427"/>
      <c r="O8" s="427"/>
      <c r="P8" s="430"/>
      <c r="Q8" s="431"/>
      <c r="R8" s="418"/>
      <c r="S8" s="419"/>
    </row>
    <row r="9" spans="1:27" ht="3.75" customHeight="1">
      <c r="A9" s="240"/>
      <c r="B9" s="466" t="s">
        <v>62</v>
      </c>
      <c r="C9" s="467"/>
      <c r="D9" s="470"/>
      <c r="E9" s="471" t="s">
        <v>63</v>
      </c>
      <c r="F9" s="471"/>
      <c r="G9" s="472" t="str">
        <f>IFERROR(IF(D9="","",ROUNDUP(B8*(1+D9),-2)),"")</f>
        <v/>
      </c>
      <c r="H9" s="473"/>
      <c r="I9" s="474"/>
      <c r="J9" s="105"/>
      <c r="K9" s="105"/>
      <c r="L9" s="105"/>
      <c r="M9" s="105"/>
      <c r="N9" s="105"/>
      <c r="O9" s="105"/>
      <c r="P9" s="430"/>
      <c r="Q9" s="431"/>
    </row>
    <row r="10" spans="1:27" ht="27.75" customHeight="1" thickBot="1">
      <c r="A10" s="240"/>
      <c r="B10" s="468"/>
      <c r="C10" s="469"/>
      <c r="D10" s="470"/>
      <c r="E10" s="471"/>
      <c r="F10" s="471"/>
      <c r="G10" s="475"/>
      <c r="H10" s="476"/>
      <c r="I10" s="477"/>
      <c r="J10" s="478" t="s">
        <v>64</v>
      </c>
      <c r="K10" s="478"/>
      <c r="L10" s="479"/>
      <c r="M10" s="250">
        <f>'[1]Soli_citud '!K5</f>
        <v>1</v>
      </c>
      <c r="N10" s="441" t="s">
        <v>65</v>
      </c>
      <c r="O10" s="442"/>
      <c r="P10" s="432"/>
      <c r="Q10" s="433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1" t="s">
        <v>69</v>
      </c>
      <c r="D11" s="412"/>
      <c r="E11" s="412"/>
      <c r="F11" s="413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4" t="s">
        <v>24</v>
      </c>
      <c r="M11" s="415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/>
      </c>
      <c r="C12" s="408" t="str">
        <f>IFERROR(IF('Soli_citud '!D10="","",'Soli_citud '!D10),"")</f>
        <v>NAPPA</v>
      </c>
      <c r="D12" s="408"/>
      <c r="E12" s="408"/>
      <c r="F12" s="408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09"/>
      <c r="M12" s="41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08" t="str">
        <f>IFERROR(IF('Soli_citud '!D11="","",'Soli_citud '!D11),"")</f>
        <v>NAPPA</v>
      </c>
      <c r="D13" s="408"/>
      <c r="E13" s="408"/>
      <c r="F13" s="408"/>
      <c r="G13" s="213" t="str">
        <f>IF('Soli_citud '!O11="","",'Soli_citud '!O11)</f>
        <v>dm2</v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09"/>
      <c r="M13" s="41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8" t="str">
        <f>IFERROR(IF('Soli_citud '!D12="","",'Soli_citud '!D12),"")</f>
        <v>NAPPA</v>
      </c>
      <c r="D14" s="408"/>
      <c r="E14" s="408"/>
      <c r="F14" s="408"/>
      <c r="G14" s="213" t="str">
        <f>IF('Soli_citud '!O12="","",'Soli_citud '!O12)</f>
        <v>dm2</v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9"/>
      <c r="M14" s="410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8" t="str">
        <f>IFERROR(IF('Soli_citud '!D13="","",'Soli_citud '!D13),"")</f>
        <v>SEDA CONOCIDA COMO: TIFON O 30-100</v>
      </c>
      <c r="D15" s="408"/>
      <c r="E15" s="408"/>
      <c r="F15" s="408"/>
      <c r="G15" s="213" t="str">
        <f>IF('Soli_citud '!O13="","",'Soli_citud '!O13)</f>
        <v>cm2</v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9"/>
      <c r="M15" s="41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8" t="str">
        <f>IFERROR(IF('Soli_citud '!D14="","",'Soli_citud '!D14),"")</f>
        <v>lAMBRILLA 8 mm ( EVA)</v>
      </c>
      <c r="D16" s="408"/>
      <c r="E16" s="408"/>
      <c r="F16" s="408"/>
      <c r="G16" s="213" t="str">
        <f>IF('Soli_citud '!O14="","",'Soli_citud '!O14)</f>
        <v>cm2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9"/>
      <c r="M16" s="41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8" t="str">
        <f>IFERROR(IF('Soli_citud '!D15="","",'Soli_citud '!D15),"")</f>
        <v>SALPA 0.3mm</v>
      </c>
      <c r="D17" s="408"/>
      <c r="E17" s="408"/>
      <c r="F17" s="408"/>
      <c r="G17" s="213" t="str">
        <f>IF('Soli_citud '!O15="","",'Soli_citud '!O15)</f>
        <v>cm2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9"/>
      <c r="M17" s="41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8" t="str">
        <f>IFERROR(IF('Soli_citud '!D16="","",'Soli_citud '!D16),"")</f>
        <v xml:space="preserve">CUADRANTE 1 1/2" PAVÓN </v>
      </c>
      <c r="D18" s="408"/>
      <c r="E18" s="408"/>
      <c r="F18" s="408"/>
      <c r="G18" s="213" t="str">
        <f>IF('Soli_citud '!O16="","",'Soli_citud '!O16)</f>
        <v>U</v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9"/>
      <c r="M18" s="410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8" t="str">
        <f>IFERROR(IF('Soli_citud '!D17="","",'Soli_citud '!D17),"")</f>
        <v xml:space="preserve">TRABILLA 1 1/2" PAVÓN </v>
      </c>
      <c r="D19" s="408"/>
      <c r="E19" s="408"/>
      <c r="F19" s="408"/>
      <c r="G19" s="213" t="str">
        <f>IF('Soli_citud '!O17="","",'Soli_citud '!O17)</f>
        <v>U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9"/>
      <c r="M19" s="410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8" t="str">
        <f>IFERROR(IF('Soli_citud '!D18="","",'Soli_citud '!D18),"")</f>
        <v>HEBILLA BURBUJA MORRALERA METÁLICA 1" X 2", PAVÓN"</v>
      </c>
      <c r="D20" s="408"/>
      <c r="E20" s="408"/>
      <c r="F20" s="408"/>
      <c r="G20" s="213" t="str">
        <f>IF('Soli_citud '!O18="","",'Soli_citud '!O18)</f>
        <v>U</v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9"/>
      <c r="M20" s="41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8" t="str">
        <f>IFERROR(IF('Soli_citud '!D19="","",'Soli_citud '!D19),"")</f>
        <v xml:space="preserve"> CREMALLERA #6</v>
      </c>
      <c r="D21" s="408"/>
      <c r="E21" s="408"/>
      <c r="F21" s="408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9"/>
      <c r="M21" s="410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8" t="str">
        <f>IFERROR(IF('Soli_citud '!D20="","",'Soli_citud '!D20),"")</f>
        <v>CREMALLERA #3</v>
      </c>
      <c r="D22" s="408"/>
      <c r="E22" s="408"/>
      <c r="F22" s="408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9"/>
      <c r="M22" s="41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8" t="str">
        <f>IFERROR(IF('Soli_citud '!D21="","",'Soli_citud '!D21),"")</f>
        <v>LLAVE METÁLICA DESLIZADOR   #3 PARA CREMALLERA - PAVÓN</v>
      </c>
      <c r="D23" s="408"/>
      <c r="E23" s="408"/>
      <c r="F23" s="408"/>
      <c r="G23" s="213" t="str">
        <f>IF('Soli_citud '!O21="","",'Soli_citud '!O21)</f>
        <v>U</v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9"/>
      <c r="M23" s="41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8" t="str">
        <f>IFERROR(IF('Soli_citud '!D22="","",'Soli_citud '!D22),"")</f>
        <v>LLAVE METÁLICA DESLIZADOR   #6 PARA CREMALLERA - PAVÓN</v>
      </c>
      <c r="D24" s="408"/>
      <c r="E24" s="408"/>
      <c r="F24" s="408"/>
      <c r="G24" s="213" t="str">
        <f>IF('Soli_citud '!O22="","",'Soli_citud '!O22)</f>
        <v>U</v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9"/>
      <c r="M24" s="41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8" t="str">
        <f>IFERROR(IF('Soli_citud '!D23="","",'Soli_citud '!D23),"")</f>
        <v xml:space="preserve">HILO NYLON #40
</v>
      </c>
      <c r="D25" s="408"/>
      <c r="E25" s="408"/>
      <c r="F25" s="408"/>
      <c r="G25" s="213" t="str">
        <f>IF('Soli_citud '!O23="","",'Soli_citud '!O23)</f>
        <v>Cono</v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9"/>
      <c r="M25" s="41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8" t="str">
        <f>IFERROR(IF('Soli_citud '!D24="","",'Soli_citud '!D24),"")</f>
        <v xml:space="preserve">HILO NYLON #20
</v>
      </c>
      <c r="D26" s="408"/>
      <c r="E26" s="408"/>
      <c r="F26" s="408"/>
      <c r="G26" s="213" t="str">
        <f>IF('Soli_citud '!O24="","",'Soli_citud '!O24)</f>
        <v>Cono</v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9"/>
      <c r="M26" s="41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8" t="str">
        <f>IFERROR(IF('Soli_citud '!D25="","",'Soli_citud '!D25),"")</f>
        <v>REATA POLIESTER</v>
      </c>
      <c r="D27" s="408"/>
      <c r="E27" s="408"/>
      <c r="F27" s="408"/>
      <c r="G27" s="213" t="str">
        <f>IF('Soli_citud '!O25="","",'Soli_citud '!O25)</f>
        <v>m</v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9"/>
      <c r="M27" s="41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8" t="str">
        <f>IFERROR(IF('Soli_citud '!D26="","",'Soli_citud '!D26),"")</f>
        <v/>
      </c>
      <c r="D28" s="408"/>
      <c r="E28" s="408"/>
      <c r="F28" s="408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9"/>
      <c r="M28" s="41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8" t="str">
        <f>IFERROR(IF('Soli_citud '!D27="","",'Soli_citud '!D27),"")</f>
        <v/>
      </c>
      <c r="D29" s="408"/>
      <c r="E29" s="408"/>
      <c r="F29" s="408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9"/>
      <c r="M29" s="41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8" t="str">
        <f>IFERROR(IF('Soli_citud '!D28="","",'Soli_citud '!D28),"")</f>
        <v/>
      </c>
      <c r="D30" s="408"/>
      <c r="E30" s="408"/>
      <c r="F30" s="408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9"/>
      <c r="M30" s="41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8" t="str">
        <f>IFERROR(IF('Soli_citud '!D29="","",'Soli_citud '!D29),"")</f>
        <v/>
      </c>
      <c r="D31" s="408"/>
      <c r="E31" s="408"/>
      <c r="F31" s="408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9"/>
      <c r="M31" s="41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8" t="str">
        <f>IFERROR(IF('Soli_citud '!D30="","",'Soli_citud '!D30),"")</f>
        <v/>
      </c>
      <c r="D32" s="408"/>
      <c r="E32" s="408"/>
      <c r="F32" s="40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9"/>
      <c r="M32" s="41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3"/>
      <c r="B1" s="503"/>
      <c r="C1" s="503"/>
      <c r="D1" s="503"/>
      <c r="E1" s="506" t="s">
        <v>81</v>
      </c>
      <c r="F1" s="506"/>
      <c r="H1" s="278" t="s">
        <v>82</v>
      </c>
      <c r="Z1" s="241" t="s">
        <v>83</v>
      </c>
    </row>
    <row r="2" spans="1:26" ht="18.75" customHeight="1">
      <c r="A2" s="503"/>
      <c r="B2" s="503"/>
      <c r="C2" s="503"/>
      <c r="D2" s="503"/>
      <c r="E2" s="506"/>
      <c r="F2" s="506"/>
    </row>
    <row r="3" spans="1:26" ht="24" customHeight="1">
      <c r="A3" s="503"/>
      <c r="B3" s="503"/>
      <c r="C3" s="503"/>
      <c r="D3" s="503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4"/>
      <c r="D6" s="505"/>
      <c r="H6" s="502" t="s">
        <v>85</v>
      </c>
      <c r="I6" s="502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8"/>
      <c r="D612" s="498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9"/>
      <c r="D658" s="500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8"/>
      <c r="D1107" s="498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1"/>
      <c r="D1166" s="500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8"/>
      <c r="D1275" s="498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8"/>
      <c r="D1331" s="498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8"/>
      <c r="D1416" s="498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8"/>
      <c r="D1510" s="498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2025-09-03T23:38:15Z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