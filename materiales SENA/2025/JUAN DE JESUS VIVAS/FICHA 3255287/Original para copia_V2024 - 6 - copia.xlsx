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JUAN DE JESUS VIVAS\FICHA 3255287\"/>
    </mc:Choice>
  </mc:AlternateContent>
  <xr:revisionPtr revIDLastSave="0" documentId="13_ncr:1_{7D4F1628-94A7-4B63-BFCA-033EBA3C84D0}" xr6:coauthVersionLast="36" xr6:coauthVersionMax="36" xr10:uidLastSave="{00000000-0000-0000-0000-000000000000}"/>
  <bookViews>
    <workbookView xWindow="0" yWindow="0" windowWidth="2049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W18" i="43" s="1"/>
  <c r="H20" i="6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K31" i="61" s="1" a="1"/>
  <c r="K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/>
  <c r="O24" i="43"/>
  <c r="G26" i="61" s="1"/>
  <c r="O25" i="43"/>
  <c r="G27" i="61" s="1"/>
  <c r="O26" i="43"/>
  <c r="G28" i="61" s="1"/>
  <c r="O27" i="43"/>
  <c r="G29" i="61"/>
  <c r="O28" i="43"/>
  <c r="G30" i="61" s="1"/>
  <c r="O29" i="43"/>
  <c r="G31" i="6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3" i="43" l="1"/>
  <c r="D5" i="43" s="1"/>
  <c r="O5" i="43" s="1"/>
  <c r="O27" i="61"/>
  <c r="B27" i="61"/>
  <c r="B23" i="61"/>
  <c r="K23" i="61" a="1"/>
  <c r="K23" i="61" s="1"/>
  <c r="O21" i="61"/>
  <c r="B21" i="61"/>
  <c r="K21" i="61" a="1"/>
  <c r="K21" i="61" s="1"/>
  <c r="K17" i="61" a="1"/>
  <c r="K17" i="61" s="1"/>
  <c r="O17" i="61"/>
  <c r="B17" i="61"/>
  <c r="O28" i="61"/>
  <c r="B28" i="61"/>
  <c r="K13" i="61" a="1"/>
  <c r="K13" i="61" s="1"/>
  <c r="O13" i="61"/>
  <c r="B13" i="61"/>
  <c r="K30" i="61" a="1"/>
  <c r="K30" i="61" s="1"/>
  <c r="O30" i="61"/>
  <c r="B30" i="61"/>
  <c r="K22" i="61" a="1"/>
  <c r="K22" i="61" s="1"/>
  <c r="B22" i="61"/>
  <c r="O22" i="61"/>
  <c r="K12" i="61" a="1"/>
  <c r="K12" i="61" s="1"/>
  <c r="B12" i="61"/>
  <c r="O12" i="61"/>
  <c r="K29" i="61" a="1"/>
  <c r="K29" i="61" s="1"/>
  <c r="O29" i="61"/>
  <c r="B29" i="61"/>
  <c r="O32" i="61"/>
  <c r="K32" i="61" a="1"/>
  <c r="K32" i="61" s="1"/>
  <c r="B32" i="61"/>
  <c r="K20" i="61" a="1"/>
  <c r="K20" i="61" s="1"/>
  <c r="B20" i="61"/>
  <c r="O20" i="61"/>
  <c r="K19" i="61" a="1"/>
  <c r="K19" i="61" s="1"/>
  <c r="B19" i="61"/>
  <c r="O19" i="61"/>
  <c r="K18" i="61" a="1"/>
  <c r="K18" i="61" s="1"/>
  <c r="B18" i="61"/>
  <c r="O18" i="61"/>
  <c r="O26" i="61"/>
  <c r="K26" i="61" a="1"/>
  <c r="K26" i="61" s="1"/>
  <c r="B26" i="61"/>
  <c r="K25" i="61" a="1"/>
  <c r="K25" i="61" s="1"/>
  <c r="O25" i="61"/>
  <c r="B25" i="61"/>
  <c r="O16" i="61"/>
  <c r="K16" i="61" a="1"/>
  <c r="K16" i="61" s="1"/>
  <c r="B16" i="61"/>
  <c r="K24" i="61" a="1"/>
  <c r="K24" i="61" s="1"/>
  <c r="B24" i="61"/>
  <c r="O24" i="61"/>
  <c r="B15" i="61"/>
  <c r="K15" i="61" a="1"/>
  <c r="K15" i="61" s="1"/>
  <c r="O15" i="61"/>
  <c r="K14" i="61" a="1"/>
  <c r="K14" i="61" s="1"/>
  <c r="B14" i="61"/>
  <c r="O14" i="61"/>
  <c r="K28" i="61" a="1"/>
  <c r="K28" i="61" s="1"/>
  <c r="K27" i="61" a="1"/>
  <c r="K27" i="61" s="1"/>
  <c r="O31" i="61"/>
  <c r="B31" i="61"/>
  <c r="O23" i="6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<sst xmlns="http://schemas.openxmlformats.org/spreadsheetml/2006/main" count="5012" uniqueCount="1390">
  <si>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</si>
  <si>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</si>
  <si>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</si>
  <si>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</si>
  <si>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</si>
  <si>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</si>
  <si>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</si>
  <si>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</si>
  <si>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</si>
  <si>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</si>
  <si>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</si>
  <si>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</si>
  <si>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</si>
  <si>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</si>
  <si>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</si>
  <si>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</si>
  <si>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</si>
  <si>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</si>
  <si>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</si>
  <si>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</si>
  <si>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</si>
  <si>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</si>
  <si>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</si>
  <si>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</si>
  <si>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</si>
  <si>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</si>
  <si>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</si>
  <si>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</si>
  <si>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</si>
  <si>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</si>
  <si>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</si>
  <si>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</si>
  <si>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</si>
  <si>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</si>
  <si>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</si>
  <si>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</si>
  <si>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</si>
  <si>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</si>
  <si>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</si>
  <si>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</si>
  <si>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</si>
  <si>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</si>
  <si>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</si>
  <si>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</si>
  <si>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</si>
  <si>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</si>
  <si>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</si>
  <si>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</si>
  <si>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</si>
  <si>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</si>
  <si>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</si>
  <si>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</si>
  <si>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</si>
  <si>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</si>
  <si>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</si>
  <si>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</si>
  <si>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</si>
  <si>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</si>
  <si>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</si>
  <si>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</si>
  <si>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</si>
  <si>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</si>
  <si>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</si>
  <si>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</si>
  <si>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</si>
  <si>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</si>
  <si>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</si>
  <si>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</si>
  <si>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</si>
  <si>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</si>
  <si>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</si>
  <si>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</si>
  <si>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</si>
  <si>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</si>
  <si>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</si>
  <si>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</si>
  <si>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</si>
  <si>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</si>
  <si>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</si>
  <si>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</si>
  <si>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</si>
  <si>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</si>
  <si>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</si>
  <si>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</si>
  <si>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</si>
  <si>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</si>
  <si>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</si>
  <si>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</si>
  <si>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</si>
  <si>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</si>
  <si>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</si>
  <si>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</si>
  <si>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</si>
  <si>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</si>
  <si>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</si>
  <si>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</si>
  <si>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</si>
  <si>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</si>
  <si>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</si>
  <si>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</si>
  <si>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</si>
  <si>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</si>
  <si>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</si>
  <si>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</si>
  <si>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</si>
  <si>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</si>
  <si>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</si>
  <si>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</si>
  <si>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</si>
  <si>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</si>
  <si>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</si>
  <si>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</si>
  <si>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</si>
  <si>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</si>
  <si>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</si>
  <si>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</si>
  <si>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</si>
  <si>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</si>
  <si>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</si>
  <si>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</si>
  <si>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</si>
  <si>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</si>
  <si>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</si>
  <si>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</si>
  <si>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</si>
  <si>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</si>
  <si>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</si>
  <si>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</si>
  <si>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</si>
  <si>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</si>
  <si>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</si>
  <si>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</si>
  <si>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</si>
  <si>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</si>
  <si>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</si>
  <si>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</si>
  <si>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</si>
  <si>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</si>
  <si>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</si>
  <si>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</si>
  <si>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</si>
  <si>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</si>
  <si>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</si>
  <si>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</si>
  <si>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</si>
  <si>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</si>
  <si>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</si>
  <si>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</si>
  <si>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</si>
  <si>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</si>
  <si>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</si>
  <si>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</si>
  <si>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</si>
  <si>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</si>
  <si>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</si>
  <si>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</si>
  <si>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</si>
  <si>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</si>
  <si>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</si>
  <si>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</si>
  <si>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</si>
  <si>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</si>
  <si>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</si>
  <si>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</si>
  <si>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</si>
  <si>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</si>
  <si>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</si>
  <si>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</si>
  <si>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</si>
  <si>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</si>
  <si>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</si>
  <si>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</si>
  <si>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</si>
  <si>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</si>
  <si>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</si>
  <si>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</si>
  <si>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</si>
  <si>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</si>
  <si>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</si>
  <si>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</si>
  <si>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</si>
  <si>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</si>
  <si>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</si>
  <si>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</si>
  <si>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</si>
  <si>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</si>
  <si>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</si>
  <si>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</si>
  <si>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</si>
  <si>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</si>
  <si>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</si>
  <si>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</si>
  <si>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</si>
  <si>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</si>
  <si>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</si>
  <si>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</si>
  <si>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</si>
  <si>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</si>
  <si>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</si>
  <si>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</si>
  <si>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</si>
  <si>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</si>
  <si>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</si>
  <si>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</si>
  <si>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</si>
  <si>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</si>
  <si>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</si>
  <si>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</si>
  <si>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</si>
  <si>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</si>
  <si>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</si>
  <si>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</si>
  <si>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</si>
  <si>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</si>
  <si>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</si>
  <si>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</si>
  <si>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</si>
  <si>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</si>
  <si>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</si>
  <si>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</si>
  <si>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</si>
  <si>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</si>
  <si>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</si>
  <si>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</si>
  <si>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</si>
  <si>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</si>
  <si>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</si>
  <si>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</si>
  <si>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</si>
  <si>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</si>
  <si>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</si>
  <si>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</si>
  <si>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</si>
  <si>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</si>
  <si>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</si>
  <si>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</si>
  <si>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</si>
  <si>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</si>
  <si>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</si>
  <si>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</si>
  <si>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</si>
  <si>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</si>
  <si>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</si>
  <si>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</si>
  <si>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</si>
  <si>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</si>
  <si>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</si>
  <si>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</si>
  <si>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</si>
  <si>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</si>
  <si>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</si>
  <si>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</si>
  <si>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</si>
  <si>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</si>
  <si>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</si>
  <si>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</si>
  <si>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</si>
  <si>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</si>
  <si>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</si>
  <si>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</si>
  <si>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</si>
  <si>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</si>
  <si>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</si>
  <si>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</si>
  <si>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</si>
  <si>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</si>
  <si>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</si>
  <si>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</si>
  <si>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</si>
  <si>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</si>
  <si>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</si>
  <si>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</si>
  <si>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</si>
  <si>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</si>
  <si>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</si>
  <si>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</si>
  <si>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</si>
  <si>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</si>
  <si>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</si>
  <si>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</si>
  <si>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</si>
  <si>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</si>
  <si>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</si>
  <si>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</si>
  <si>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</si>
  <si>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</si>
  <si>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</si>
  <si>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</si>
  <si>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</si>
  <si>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</si>
  <si>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</si>
  <si>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</si>
  <si>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</si>
  <si>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</si>
  <si>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</si>
  <si>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</si>
  <si>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</si>
  <si>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</si>
  <si>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</si>
  <si>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</si>
  <si>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</si>
  <si>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</si>
  <si>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</si>
  <si>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</si>
  <si>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</si>
  <si>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</si>
  <si>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</si>
  <si>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</si>
  <si>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</si>
  <si>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</si>
  <si>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</si>
  <si>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</si>
  <si>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</si>
  <si>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</si>
  <si>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</si>
  <si>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</si>
  <si>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</si>
  <si>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</si>
  <si>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</si>
  <si>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</si>
  <si>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</si>
  <si>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</si>
  <si>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</si>
  <si>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</si>
  <si>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</si>
  <si>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</si>
  <si>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</si>
  <si>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</si>
  <si>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</si>
  <si>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</si>
  <si>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</si>
  <si>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</si>
  <si>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</si>
  <si>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</si>
  <si>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</si>
  <si>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</si>
  <si>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</si>
  <si>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</si>
  <si>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</si>
  <si>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</si>
  <si>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</si>
  <si>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</si>
  <si>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</si>
  <si>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</si>
  <si>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</si>
  <si>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</si>
  <si>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</si>
  <si>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</si>
  <si>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</si>
  <si>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</si>
  <si>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</si>
  <si>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</si>
  <si>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</si>
  <si>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</si>
  <si>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</si>
  <si>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</si>
  <si>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</si>
  <si>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</si>
  <si>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</si>
  <si>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</si>
  <si>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</si>
  <si>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</si>
  <si>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</si>
  <si>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</si>
  <si>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</si>
  <si>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</si>
  <si>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</si>
  <si>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</si>
  <si>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</si>
  <si>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</si>
  <si>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</si>
  <si>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</si>
  <si>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</si>
  <si>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</si>
  <si>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</si>
  <si>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</si>
  <si>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</si>
  <si>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</si>
  <si>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</si>
  <si>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</si>
  <si>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</si>
  <si>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</si>
  <si>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</si>
  <si>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</si>
  <si>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</si>
  <si>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</si>
  <si>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</si>
  <si>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</si>
  <si>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</si>
  <si>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</si>
  <si>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</si>
  <si>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</si>
  <si>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</si>
  <si>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</si>
  <si>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</si>
  <si>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</si>
  <si>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</si>
  <si>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</si>
  <si>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</si>
  <si>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</si>
  <si>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</si>
  <si>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</si>
  <si>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</si>
  <si>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</si>
  <si>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</si>
  <si>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</si>
  <si>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</si>
  <si>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</si>
  <si>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</si>
  <si>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</si>
  <si>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</si>
  <si>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</si>
  <si>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</si>
  <si>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</si>
  <si>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</si>
  <si>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</si>
  <si>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</si>
  <si>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</si>
  <si>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</si>
  <si>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</si>
  <si>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</si>
  <si>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</si>
  <si>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</si>
  <si>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</si>
  <si>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</si>
  <si>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</si>
  <si>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</si>
  <si>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</si>
  <si>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</si>
  <si>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</si>
  <si>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</si>
  <si>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</si>
  <si>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</si>
  <si>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</si>
  <si>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</si>
  <si>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</si>
  <si>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</si>
  <si>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</si>
  <si>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</si>
  <si>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</si>
  <si>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</si>
  <si>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</si>
  <si>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</si>
  <si>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</si>
  <si>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</si>
  <si>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</si>
  <si>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</si>
  <si>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</si>
  <si>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</si>
  <si>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</si>
  <si>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</si>
  <si>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</si>
  <si>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</si>
  <si>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</si>
  <si>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</si>
  <si>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</si>
  <si>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</si>
  <si>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</si>
  <si>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</si>
  <si>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</si>
  <si>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</si>
  <si>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</si>
  <si>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</si>
  <si>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</si>
  <si>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</si>
  <si>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</si>
  <si>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</si>
  <si>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</si>
  <si>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</si>
  <si>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</si>
  <si>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</si>
  <si>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</si>
  <si>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</si>
  <si>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</si>
  <si>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</si>
  <si>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</si>
  <si>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</si>
  <si>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</si>
  <si>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</si>
  <si>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</si>
  <si>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</si>
  <si>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</si>
  <si>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</si>
  <si>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</si>
  <si>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</si>
  <si>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</si>
  <si>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</si>
  <si>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</si>
  <si>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</si>
  <si>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</si>
  <si>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</si>
  <si>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</si>
  <si>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</si>
  <si>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</si>
  <si>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</si>
  <si>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</si>
  <si>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</si>
  <si>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</si>
  <si>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</si>
  <si>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</si>
  <si>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</si>
  <si>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</si>
  <si>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</si>
  <si>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</si>
  <si>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</si>
  <si>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</si>
  <si>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</si>
  <si>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</si>
  <si>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</si>
  <si>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</si>
  <si>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</si>
  <si>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</si>
  <si>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</si>
  <si>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</si>
  <si>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</si>
  <si>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</si>
  <si>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</si>
  <si>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</si>
  <si>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</si>
  <si>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</si>
  <si>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</si>
  <si>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</si>
  <si>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</si>
  <si>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</si>
  <si>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</si>
  <si>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</si>
  <si>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</si>
  <si>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</si>
  <si>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</si>
  <si>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</si>
  <si>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</si>
  <si>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</si>
  <si>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</si>
  <si>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</si>
  <si>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</si>
  <si>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</si>
  <si>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</si>
  <si>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</si>
  <si>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</si>
  <si>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</si>
  <si>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</si>
  <si>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</si>
  <si>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</si>
  <si>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</si>
  <si>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</si>
  <si>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</si>
  <si>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</si>
  <si>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</si>
  <si>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</si>
  <si>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</si>
  <si>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</si>
  <si>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</si>
  <si>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</si>
  <si>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</si>
  <si>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</si>
  <si>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</si>
  <si>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</si>
  <si>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</si>
  <si>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</si>
  <si>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</si>
  <si>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</si>
  <si>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</si>
  <si>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</si>
  <si>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</si>
  <si>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</si>
  <si>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</si>
  <si>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</si>
  <si>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</si>
  <si>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</si>
  <si>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</si>
  <si>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</si>
  <si>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</si>
  <si>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</si>
  <si>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</si>
  <si>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</si>
  <si>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</si>
  <si>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</si>
  <si>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</si>
  <si>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</si>
  <si>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</si>
  <si>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</si>
  <si>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</si>
  <si>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</si>
  <si>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</si>
  <si>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</si>
  <si>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</si>
  <si>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</si>
  <si>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</si>
  <si>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</si>
  <si>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</si>
  <si>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</si>
  <si>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</si>
  <si>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</si>
  <si>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</si>
  <si>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</si>
  <si>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</si>
  <si>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</si>
  <si>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</si>
  <si>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</si>
  <si>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</si>
  <si>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</si>
  <si>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</si>
  <si>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</si>
  <si>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</si>
  <si>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</si>
  <si>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</si>
  <si>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</si>
  <si>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</si>
  <si>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</si>
  <si>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</si>
  <si>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</si>
  <si>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</si>
  <si>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</si>
  <si>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</si>
  <si>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</si>
  <si>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</si>
  <si>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</si>
  <si>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</si>
  <si>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</si>
  <si>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</si>
  <si>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</si>
  <si>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</si>
  <si>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</si>
  <si>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</si>
  <si>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</si>
  <si>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</si>
  <si>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</si>
  <si>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</si>
  <si>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</si>
  <si>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</si>
  <si>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</si>
  <si>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</si>
  <si>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</si>
  <si>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</si>
  <si>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</si>
  <si>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</si>
  <si>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</si>
  <si>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</si>
  <si>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</si>
  <si>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</si>
  <si>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</si>
  <si>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</si>
  <si>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</si>
  <si>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</si>
  <si>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</si>
  <si>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</si>
  <si>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</si>
  <si>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</si>
  <si>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</si>
  <si>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</si>
  <si>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</si>
  <si>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</si>
  <si>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</si>
  <si>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</si>
  <si>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</si>
  <si>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</si>
  <si>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</si>
  <si>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</si>
  <si>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</si>
  <si>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</si>
  <si>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</si>
  <si>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</si>
  <si>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</si>
  <si>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</si>
  <si>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</si>
  <si>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</si>
  <si>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</si>
  <si>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</si>
  <si>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</si>
  <si>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</si>
  <si>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</si>
  <si>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</si>
  <si>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</si>
  <si>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</si>
  <si>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</si>
  <si>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</si>
  <si>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</si>
  <si>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</si>
  <si>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</si>
  <si>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</si>
  <si>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</si>
  <si>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</si>
  <si>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</si>
  <si>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</si>
  <si>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</si>
  <si>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</si>
  <si>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</si>
  <si>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</si>
  <si>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</si>
  <si>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</si>
  <si>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</si>
  <si>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</si>
  <si>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</si>
  <si>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</si>
  <si>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</si>
  <si>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</si>
  <si>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</si>
  <si>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</si>
  <si>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</si>
  <si>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</si>
  <si>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</si>
  <si>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</si>
  <si>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</si>
  <si>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</si>
  <si>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</si>
  <si>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</si>
  <si>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</si>
  <si>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</si>
  <si>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</si>
  <si>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</si>
  <si>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</si>
  <si>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</si>
  <si>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</si>
  <si>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</si>
  <si>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</si>
  <si>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</si>
  <si>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</si>
  <si>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</si>
  <si>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</si>
  <si>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</si>
  <si>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</si>
  <si>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</si>
  <si>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</si>
  <si>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</si>
  <si>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</si>
  <si>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</si>
  <si>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</si>
  <si>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</si>
  <si>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</si>
  <si>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</si>
  <si>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</si>
  <si>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</si>
  <si>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</si>
  <si>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</si>
  <si>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</si>
  <si>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</si>
  <si>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</si>
  <si>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</si>
  <si>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</si>
  <si>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</si>
  <si>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</si>
  <si>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</si>
  <si>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</si>
  <si>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</si>
  <si>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</si>
  <si>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</si>
  <si>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</si>
  <si>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</si>
  <si>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</si>
  <si>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</si>
  <si>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</si>
  <si>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</si>
  <si>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</si>
  <si>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</si>
  <si>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</si>
  <si>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</si>
  <si>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</si>
  <si>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</si>
  <si>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</si>
  <si>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</si>
  <si>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</si>
  <si>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</si>
  <si>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</si>
  <si>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</si>
  <si>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</si>
  <si>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</si>
  <si>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</si>
  <si>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</si>
  <si>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</si>
  <si>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</si>
  <si>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</si>
  <si>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</si>
  <si>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</si>
  <si>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</si>
  <si>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</si>
  <si>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</si>
  <si>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</si>
  <si>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</si>
  <si>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</si>
  <si>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</si>
  <si>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</si>
  <si>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</si>
  <si>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</si>
  <si>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</si>
  <si>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</si>
  <si>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</si>
  <si>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</si>
  <si>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</si>
  <si>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</si>
  <si>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</si>
  <si>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</si>
  <si>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</si>
  <si>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</si>
  <si>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</si>
  <si>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</si>
  <si>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</si>
  <si>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</si>
  <si>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</si>
  <si>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</si>
  <si>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</si>
  <si>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</si>
  <si>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</si>
  <si>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</si>
  <si>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</si>
  <si>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</si>
  <si>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</si>
  <si>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</si>
  <si>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</si>
  <si>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</si>
  <si>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</si>
  <si>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</si>
  <si>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</si>
  <si>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</si>
  <si>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</si>
  <si>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</si>
  <si>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</si>
  <si>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</si>
  <si>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</si>
  <si>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</si>
  <si>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</si>
  <si>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</si>
  <si>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</si>
  <si>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</si>
  <si>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</si>
  <si>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</si>
  <si>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</si>
  <si>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</si>
  <si>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</si>
  <si>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</si>
  <si>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</si>
  <si>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</si>
  <si>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</si>
  <si>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</si>
  <si>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</si>
  <si>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</si>
  <si>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</si>
  <si>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</si>
  <si>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</si>
  <si>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</si>
  <si>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</si>
  <si>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</si>
  <si>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</si>
  <si>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</si>
  <si>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</si>
  <si>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</si>
  <si>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</si>
  <si>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</si>
  <si>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</si>
  <si>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</si>
  <si>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</si>
  <si>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</si>
  <si>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</si>
  <si>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</si>
  <si>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</si>
  <si>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</si>
  <si>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</si>
  <si>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</si>
  <si>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</si>
  <si>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</si>
  <si>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</si>
  <si>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</si>
  <si>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</si>
  <si>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</si>
  <si>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</si>
  <si>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</si>
  <si>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</si>
  <si>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</si>
  <si>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</si>
  <si>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</si>
  <si>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</si>
  <si>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</si>
  <si>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</si>
  <si>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</si>
  <si>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</si>
  <si>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</si>
  <si>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</si>
  <si>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</si>
  <si>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</si>
  <si>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</si>
  <si>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</si>
  <si>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</si>
  <si>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</si>
  <si>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</si>
  <si>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</si>
  <si>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</si>
  <si>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</si>
  <si>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</si>
  <si>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</si>
  <si>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</si>
  <si>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</si>
  <si>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</si>
  <si>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</si>
  <si>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</si>
  <si>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</si>
  <si>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</si>
  <si>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</si>
  <si>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</si>
  <si>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</si>
  <si>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</si>
  <si>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</si>
  <si>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</si>
  <si>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</si>
  <si>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</si>
  <si>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</si>
  <si>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</si>
  <si>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</si>
  <si>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</si>
  <si>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</si>
  <si>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</si>
  <si>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</si>
  <si>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</si>
  <si>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</si>
  <si>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</si>
  <si>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</si>
  <si>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</si>
  <si>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</si>
  <si>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</si>
  <si>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</si>
  <si>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</si>
  <si>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</si>
  <si>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</si>
  <si>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</si>
  <si>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</si>
  <si>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</si>
  <si>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</si>
  <si>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</si>
  <si>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</si>
  <si>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</si>
  <si>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</si>
  <si>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</si>
  <si>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</si>
  <si>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</si>
  <si>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</si>
  <si>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</si>
  <si>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</si>
  <si>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</si>
  <si>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</si>
  <si>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</si>
  <si>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</si>
  <si>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</si>
  <si>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</si>
  <si>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</si>
  <si>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</si>
  <si>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</si>
  <si>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</si>
  <si>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</si>
  <si>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</si>
  <si>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</si>
  <si>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</si>
  <si>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</si>
  <si>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</si>
  <si>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</si>
  <si>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</si>
  <si>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</si>
  <si>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</si>
  <si>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</si>
  <si>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</si>
  <si>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</si>
  <si>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</si>
  <si>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</si>
  <si>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</si>
  <si>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</si>
  <si>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</si>
  <si>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</si>
  <si>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</si>
  <si>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</si>
  <si>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</si>
  <si>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</si>
  <si>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</si>
  <si>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</si>
  <si>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</si>
  <si>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</si>
  <si>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</si>
  <si>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</si>
  <si>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</si>
  <si>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</si>
  <si>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</si>
  <si>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</si>
  <si>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</si>
  <si>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</si>
  <si>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</si>
  <si>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</si>
  <si>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</si>
  <si>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</si>
  <si>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</si>
  <si>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</si>
  <si>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</si>
  <si>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</si>
  <si>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</si>
  <si>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</si>
  <si>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</si>
  <si>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</si>
  <si>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</si>
  <si>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</si>
  <si>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</si>
  <si>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</si>
  <si>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</si>
  <si>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</si>
  <si>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</si>
  <si>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</si>
  <si>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</si>
  <si>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</si>
  <si>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</si>
  <si>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</si>
  <si>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</si>
  <si>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</si>
  <si>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</si>
  <si>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</si>
  <si>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</si>
  <si>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</si>
  <si>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</si>
  <si>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</si>
  <si>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</si>
  <si>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</si>
  <si>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</si>
  <si>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</si>
  <si>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</si>
  <si>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</si>
  <si>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</si>
  <si>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</si>
  <si>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</si>
  <si>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</si>
  <si>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</si>
  <si>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</si>
  <si>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</si>
  <si>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</si>
  <si>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</si>
  <si>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</si>
  <si>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</si>
  <si>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</si>
  <si>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</si>
  <si>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</si>
  <si>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</si>
  <si>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</si>
  <si>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</si>
  <si>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</si>
  <si>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</si>
  <si>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</si>
  <si>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</si>
  <si>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</si>
  <si>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</si>
  <si>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</si>
  <si>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</si>
  <si>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</si>
  <si>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</si>
  <si>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</si>
  <si>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</si>
  <si>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</si>
  <si>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</si>
  <si>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</si>
  <si>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</si>
  <si>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</si>
  <si>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</si>
  <si>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</si>
  <si>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</si>
  <si>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</si>
  <si>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</si>
  <si>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</si>
  <si>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</si>
  <si>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</si>
  <si>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</si>
  <si>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</si>
  <si>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</si>
  <si>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</si>
  <si>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</si>
  <si>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</si>
  <si>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</si>
  <si>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</si>
  <si>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</si>
  <si>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</si>
  <si>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</si>
  <si>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</si>
  <si>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</si>
  <si>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</si>
  <si>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</si>
  <si>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</si>
  <si>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</si>
  <si>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</si>
  <si>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</si>
  <si>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</si>
  <si>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</si>
  <si>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</si>
  <si>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</si>
  <si>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</si>
  <si>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</si>
  <si>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</si>
  <si>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</si>
  <si>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</si>
  <si>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</si>
  <si>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</si>
  <si>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</si>
  <si>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</si>
  <si>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</si>
  <si>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</si>
  <si>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</si>
  <si>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</si>
  <si>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</si>
  <si>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</si>
  <si>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</si>
  <si>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</si>
  <si>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</si>
  <si>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</si>
  <si>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</si>
  <si>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</si>
  <si>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</si>
  <si>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</si>
  <si>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</si>
  <si>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</si>
  <si>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</si>
  <si>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</si>
  <si>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</si>
  <si>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</si>
  <si>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</si>
  <si>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</si>
  <si>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</si>
  <si>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</si>
  <si>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</si>
  <si>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</si>
  <si>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</si>
  <si>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</si>
  <si>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</si>
  <si>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</si>
  <si>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</si>
  <si>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</si>
  <si>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</si>
  <si>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</si>
  <si>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</si>
  <si>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</si>
  <si>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</si>
  <si>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</si>
  <si>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</si>
  <si>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</si>
  <si>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</si>
  <si>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</si>
  <si>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</si>
  <si>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</si>
  <si>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</si>
  <si>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</si>
  <si>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</si>
  <si>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</si>
  <si>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</si>
  <si>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</si>
  <si>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</si>
  <si>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</si>
  <si>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</si>
  <si>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</si>
  <si>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</si>
  <si>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</si>
  <si>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</si>
  <si>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</si>
  <si>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</si>
  <si>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</si>
  <si>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</si>
  <si>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</si>
  <si>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</si>
  <si>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</si>
  <si>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</si>
  <si>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</si>
  <si>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</si>
  <si>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</si>
  <si>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</si>
  <si>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</si>
  <si>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</si>
  <si>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</si>
  <si>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</si>
  <si>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</si>
  <si>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</si>
  <si>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</si>
  <si>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</si>
  <si>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</si>
  <si>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</si>
  <si>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</si>
  <si>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</si>
  <si>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</si>
  <si>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</si>
  <si>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</si>
  <si>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</si>
  <si>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</si>
  <si>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</si>
  <si>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</si>
  <si>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</si>
  <si>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</si>
  <si>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</si>
  <si>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</si>
  <si>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</si>
  <si>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</si>
  <si>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</si>
  <si>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</si>
  <si>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</si>
  <si>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</si>
  <si>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</si>
  <si>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</si>
  <si>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</si>
  <si>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</si>
  <si>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</si>
  <si>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</si>
  <si>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</si>
  <si>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</si>
  <si>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</si>
  <si>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</si>
  <si>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</si>
  <si>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</si>
  <si>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</si>
  <si>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</si>
  <si>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</si>
  <si>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</si>
  <si>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</si>
  <si>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</si>
  <si>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</si>
  <si>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</si>
  <si>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</si>
  <si>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</si>
  <si>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</si>
  <si>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</si>
  <si>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</si>
  <si>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</si>
  <si>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</si>
  <si>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</si>
  <si>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</si>
  <si>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</si>
  <si>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</si>
  <si>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</si>
  <si>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</si>
  <si>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</si>
  <si>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</si>
  <si>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</si>
  <si>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</si>
  <si>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</si>
  <si>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</si>
  <si>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</si>
  <si>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</si>
  <si>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</si>
  <si>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</si>
  <si>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</si>
  <si>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</si>
  <si>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</si>
  <si>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</si>
  <si>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</si>
  <si>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</si>
  <si>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</si>
  <si>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</si>
  <si>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</si>
  <si>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</si>
  <si>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</si>
  <si>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</si>
  <si>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</si>
  <si>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</si>
  <si>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</si>
  <si>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</si>
  <si>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</si>
  <si>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</si>
  <si>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</si>
  <si>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</si>
  <si>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</si>
  <si>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</si>
  <si>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</si>
  <si>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</si>
  <si>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</si>
  <si>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</si>
  <si>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</si>
  <si>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</si>
  <si>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</si>
  <si>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</si>
  <si>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</si>
  <si>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</si>
  <si>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</si>
  <si>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</si>
  <si>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</si>
  <si>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</si>
  <si>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</si>
  <si>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</si>
  <si>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</si>
  <si>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</si>
  <si>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</si>
  <si>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</si>
  <si>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</si>
  <si>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</si>
  <si>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</si>
  <si>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</si>
  <si>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</si>
  <si>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</si>
  <si>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</si>
  <si>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</si>
  <si>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</si>
  <si>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</si>
  <si>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</si>
  <si>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</si>
  <si>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</si>
  <si>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</si>
  <si>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</si>
  <si>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</si>
  <si>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</si>
  <si>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</si>
  <si>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</si>
  <si>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</si>
  <si>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</si>
  <si>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</si>
  <si>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</si>
  <si>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</si>
  <si>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</si>
  <si>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</si>
  <si>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</si>
  <si>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</si>
  <si>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</si>
  <si>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</si>
  <si>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</si>
  <si>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</si>
  <si>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</si>
  <si>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</si>
  <si>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</si>
  <si>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</si>
  <si>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</si>
  <si>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</si>
  <si>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</si>
  <si>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</si>
  <si>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</si>
  <si>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</si>
  <si>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</si>
  <si>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</si>
  <si>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</si>
  <si>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</si>
  <si>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</si>
  <si>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</si>
  <si>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</si>
  <si>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</si>
  <si>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</si>
  <si>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</si>
  <si>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</si>
  <si>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</si>
  <si>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</si>
  <si>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</si>
  <si>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</si>
  <si>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</si>
  <si>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</si>
  <si>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</si>
  <si>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</si>
  <si>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</si>
  <si>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</si>
  <si>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</si>
  <si>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</si>
  <si>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</si>
  <si>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</si>
  <si>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</si>
  <si>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</si>
  <si>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</si>
  <si>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</si>
  <si>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</si>
  <si>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</si>
  <si>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</si>
  <si>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</si>
  <si>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</si>
  <si>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</si>
  <si>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</si>
  <si>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</si>
  <si>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</si>
  <si>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</si>
  <si>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</si>
  <si>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</si>
  <si>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</si>
  <si>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</si>
  <si>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</si>
  <si>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</si>
  <si>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</si>
  <si>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</si>
  <si>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</si>
  <si>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</si>
  <si>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</si>
  <si>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</si>
  <si>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</si>
  <si>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</si>
  <si>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</si>
  <si>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</si>
  <si>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</si>
  <si>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</si>
  <si>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</si>
  <si>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</si>
  <si>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</si>
  <si>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</si>
  <si>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</si>
  <si>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</si>
  <si>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</si>
  <si>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</si>
  <si>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</si>
  <si>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</si>
  <si>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</si>
  <si>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</si>
  <si>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</si>
  <si>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</si>
  <si>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</si>
  <si>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BOLSO MANOS LIBRES ARTESANAL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</si>
</sst>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160569</xdr:colOff>
      <xdr:row>0</xdr:row>
      <xdr:rowOff>259080</xdr:rowOff>
    </xdr:from>
    <xdr:to>
      <xdr:col>24</xdr:col>
      <xdr:colOff>392618</xdr:colOff>
      <xdr:row>6</xdr:row>
      <xdr:rowOff>144780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0246C0-1FEF-E453-D78A-2A59C9F0FC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585" b="29682"/>
        <a:stretch>
          <a:fillRect/>
        </a:stretch>
      </xdr:blipFill>
      <xdr:spPr bwMode="auto">
        <a:xfrm>
          <a:off x="8275869" y="259080"/>
          <a:ext cx="2022749" cy="1638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2" sqref="D12:N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JV2406-5</v>
      </c>
      <c r="G1" s="405"/>
      <c r="H1" s="406"/>
      <c r="I1" s="351" t="s">
        <v>1</v>
      </c>
      <c r="J1" s="352"/>
      <c r="K1" s="232">
        <v>5</v>
      </c>
      <c r="L1" s="353" t="s">
        <v>2</v>
      </c>
      <c r="M1" s="354"/>
      <c r="N1" s="354"/>
      <c r="O1" s="355">
        <v>45832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1369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1121878447</v>
      </c>
      <c r="P2" s="394"/>
      <c r="Q2" s="394"/>
      <c r="R2" s="395"/>
      <c r="S2" s="298">
        <v>23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3255287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>
        <v>35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10990.413480688179</v>
      </c>
      <c r="E5" s="346"/>
      <c r="F5" s="347"/>
      <c r="G5" s="348" t="s">
        <v>16</v>
      </c>
      <c r="H5" s="349"/>
      <c r="I5" s="349"/>
      <c r="J5" s="350"/>
      <c r="K5" s="400">
        <v>25</v>
      </c>
      <c r="L5" s="400"/>
      <c r="M5" s="401" t="s">
        <v>17</v>
      </c>
      <c r="N5" s="401"/>
      <c r="O5" s="397">
        <f>IFERROR(IF(K5=0,"",D5*K5),"")</f>
        <v>274760.3370172045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>
        <v>7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0.04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1058</v>
      </c>
      <c r="B10" s="309"/>
      <c r="C10" s="310"/>
      <c r="D10" s="322" t="s">
        <v>1091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Rollo</v>
      </c>
      <c r="P10" s="315"/>
      <c r="Q10" s="316">
        <v>0.4</v>
      </c>
      <c r="R10" s="317"/>
      <c r="S10" s="318">
        <f>IFERROR(IF(Q10="Unidad","1",(Q10*$K$5)),"")</f>
        <v>10</v>
      </c>
      <c r="T10" s="319"/>
      <c r="U10" s="320"/>
      <c r="V10" s="326"/>
      <c r="W10" s="321">
        <f>IFERROR(IF(D10="","",INDEX(Tabla_Completa,MATCH('Soli_citud '!D10,Materiales,0),7)*S10),"")</f>
        <v>41800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50</v>
      </c>
      <c r="B11" s="309"/>
      <c r="C11" s="310"/>
      <c r="D11" s="322" t="s">
        <v>934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4000</v>
      </c>
      <c r="R11" s="317"/>
      <c r="S11" s="318">
        <f t="shared" ref="S11:S31" si="1">IFERROR(IF(Q11="Unidad","1",(Q11*$K$5)),"")</f>
        <v>100000</v>
      </c>
      <c r="T11" s="319"/>
      <c r="U11" s="320"/>
      <c r="V11" s="320"/>
      <c r="W11" s="321">
        <f>IFERROR(IF(D11="","",INDEX(Tabla_Completa,MATCH('Soli_citud '!D11,Materiales,0),7)*S11),"")</f>
        <v>67857.142857142855</v>
      </c>
      <c r="X11" s="321"/>
      <c r="Y11" s="321"/>
    </row>
    <row r="12" spans="1:31" ht="15.75" customHeight="1">
      <c r="A12" s="308" t="s">
        <v>232</v>
      </c>
      <c r="B12" s="309"/>
      <c r="C12" s="310"/>
      <c r="D12" s="325" t="s">
        <v>347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Cono</v>
      </c>
      <c r="P12" s="315"/>
      <c r="Q12" s="316">
        <v>0.4</v>
      </c>
      <c r="R12" s="317"/>
      <c r="S12" s="318">
        <f t="shared" si="1"/>
        <v>10</v>
      </c>
      <c r="T12" s="319"/>
      <c r="U12" s="320"/>
      <c r="V12" s="320"/>
      <c r="W12" s="321">
        <f>IFERROR(IF(D12="","",INDEX(Tabla_Completa,MATCH('Soli_citud '!D12,Materiales,0),7)*S12),"")</f>
        <v>72666.666666666672</v>
      </c>
      <c r="X12" s="321"/>
      <c r="Y12" s="321"/>
    </row>
    <row r="13" spans="1:31" ht="15.75" customHeight="1">
      <c r="A13" s="308" t="s">
        <v>31</v>
      </c>
      <c r="B13" s="309"/>
      <c r="C13" s="310"/>
      <c r="D13" s="322" t="s">
        <v>107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ml</v>
      </c>
      <c r="P13" s="315"/>
      <c r="Q13" s="316">
        <v>100</v>
      </c>
      <c r="R13" s="317"/>
      <c r="S13" s="318">
        <f t="shared" si="1"/>
        <v>2500</v>
      </c>
      <c r="T13" s="319"/>
      <c r="U13" s="320"/>
      <c r="V13" s="320"/>
      <c r="W13" s="321">
        <f>IFERROR(IF(D13="","",INDEX(Tabla_Completa,MATCH('Soli_citud '!D13,Materiales,0),7)*S13),"")</f>
        <v>43664.464993394977</v>
      </c>
      <c r="X13" s="321"/>
      <c r="Y13" s="321"/>
    </row>
    <row r="14" spans="1:31" ht="17.25" customHeight="1">
      <c r="A14" s="308" t="s">
        <v>232</v>
      </c>
      <c r="B14" s="309"/>
      <c r="C14" s="310"/>
      <c r="D14" s="322" t="s">
        <v>318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</v>
      </c>
      <c r="P14" s="315"/>
      <c r="Q14" s="316">
        <v>85</v>
      </c>
      <c r="R14" s="317"/>
      <c r="S14" s="318">
        <f t="shared" si="1"/>
        <v>2125</v>
      </c>
      <c r="T14" s="319"/>
      <c r="U14" s="320"/>
      <c r="V14" s="320"/>
      <c r="W14" s="321">
        <f>IFERROR(IF(D14="","",INDEX(Tabla_Completa,MATCH('Soli_citud '!D14,Materiales,0),7)*S14),"")</f>
        <v>25988.75</v>
      </c>
      <c r="X14" s="321"/>
      <c r="Y14" s="321"/>
    </row>
    <row r="15" spans="1:31" ht="15.75" customHeight="1">
      <c r="A15" s="308" t="s">
        <v>40</v>
      </c>
      <c r="B15" s="309"/>
      <c r="C15" s="310"/>
      <c r="D15" s="322" t="s">
        <v>722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2</v>
      </c>
      <c r="R15" s="317"/>
      <c r="S15" s="318">
        <f t="shared" si="1"/>
        <v>50</v>
      </c>
      <c r="T15" s="319"/>
      <c r="U15" s="320"/>
      <c r="V15" s="320"/>
      <c r="W15" s="321">
        <f>IFERROR(IF(D15="","",INDEX(Tabla_Completa,MATCH('Soli_citud '!D15,Materiales,0),7)*S15),"")</f>
        <v>22783.3125</v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4" activePane="bottomLeft" state="frozen"/>
      <selection activeCell="C1" sqref="C1"/>
      <selection pane="bottomLeft" activeCell="H11" sqref="H1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45832</v>
      </c>
      <c r="O1" s="417"/>
      <c r="P1" s="452" t="s">
        <v>55</v>
      </c>
      <c r="Q1" s="453"/>
      <c r="R1" s="458" t="str">
        <f>IF('Soli_citud '!D4="","",'Soli_citud '!D4)</f>
        <v>BOLSO MANOS LIBRES ARTESANAL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JV2406-5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3255287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10990.413480688179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Juan Vivas Alarcon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JV2406-5</v>
      </c>
      <c r="C12" s="494" t="str">
        <f>IFERROR(IF('Soli_citud '!D10="","",'Soli_citud '!D10),"")</f>
        <v>CINTA  DE ENMASCARAR</v>
      </c>
      <c r="D12" s="494"/>
      <c r="E12" s="494"/>
      <c r="F12" s="494"/>
      <c r="G12" s="213" t="str">
        <f>IF('Soli_citud '!O10="","",'Soli_citud '!O10)</f>
        <v>Rollo</v>
      </c>
      <c r="H12" s="213" cm="1">
        <f t="array" ref="H12">_xlfn.IFS('Soli_citud '!S10="","",'Soli_citud '!S10&lt;=0,"",'Soli_citud '!S10&gt;0,'Soli_citud '!S10)</f>
        <v>10</v>
      </c>
      <c r="I12" s="214"/>
      <c r="J12" s="215"/>
      <c r="K12" s="197" cm="1">
        <f t="array" ref="K12">IFERROR(_xlfn.IFS(H12="","",J12=H12,"Cumplido",J12&lt;H12,H12-J12,J12&gt;H12,"Revisar"),"")</f>
        <v>10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JV2406-5</v>
      </c>
      <c r="C13" s="494" t="str">
        <f>IFERROR(IF('Soli_citud '!D11="","",'Soli_citud '!D11),"")</f>
        <v>SEDA CONOCIDA COMO: TIFON O 30-100</v>
      </c>
      <c r="D13" s="494"/>
      <c r="E13" s="494"/>
      <c r="F13" s="49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100000</v>
      </c>
      <c r="I13" s="214">
        <v>45796</v>
      </c>
      <c r="J13" s="216">
        <v>100000</v>
      </c>
      <c r="K13" s="197" t="str" cm="1">
        <f t="array" ref="K13">IFERROR(_xlfn.IFS(H13="","",J13=H13,"Cumplido",J13&lt;H13,H13-J13,J13&gt;H13,"Revisar"),"")</f>
        <v>Cumplido</v>
      </c>
      <c r="L13" s="495"/>
      <c r="M13" s="496"/>
      <c r="N13" s="215">
        <v>140</v>
      </c>
      <c r="O13" s="198">
        <f t="shared" ref="O13:O15" si="2">IFERROR(H13/N13,"")</f>
        <v>714.28571428571433</v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JV2406-5</v>
      </c>
      <c r="C14" s="494" t="str">
        <f>IFERROR(IF('Soli_citud '!D12="","",'Soli_citud '!D12),"")</f>
        <v xml:space="preserve">HILO NYLON #20
</v>
      </c>
      <c r="D14" s="494"/>
      <c r="E14" s="494"/>
      <c r="F14" s="494"/>
      <c r="G14" s="213" t="str">
        <f>IF('Soli_citud '!O12="","",'Soli_citud '!O12)</f>
        <v>Cono</v>
      </c>
      <c r="H14" s="213" cm="1">
        <f t="array" ref="H14">_xlfn.IFS('Soli_citud '!S12="","",'Soli_citud '!S12&lt;=0,"",'Soli_citud '!S12&gt;0,'Soli_citud '!S12)</f>
        <v>10</v>
      </c>
      <c r="I14" s="214">
        <v>45796</v>
      </c>
      <c r="J14" s="216">
        <v>5</v>
      </c>
      <c r="K14" s="197" cm="1">
        <f t="array" ref="K14">IFERROR(_xlfn.IFS(H14="","",J14=H14,"Cumplido",J14&lt;H14,H14-J14,J14&gt;H14,"Revisar"),"")</f>
        <v>5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33" customHeight="1">
      <c r="A15" s="73">
        <v>4</v>
      </c>
      <c r="B15" s="243" t="str">
        <f t="shared" si="1"/>
        <v>JV2406-5</v>
      </c>
      <c r="C15" s="494" t="str">
        <f>IFERROR(IF('Soli_citud '!D13="","",'Soli_citud '!D13),"")</f>
        <v xml:space="preserve">PEGANTE CEMENTO DE CONTACTO BASE CLOROPRENO
</v>
      </c>
      <c r="D15" s="494"/>
      <c r="E15" s="494"/>
      <c r="F15" s="494"/>
      <c r="G15" s="213" t="str">
        <f>IF('Soli_citud '!O13="","",'Soli_citud '!O13)</f>
        <v>ml</v>
      </c>
      <c r="H15" s="213" cm="1">
        <f t="array" ref="H15">_xlfn.IFS('Soli_citud '!S13="","",'Soli_citud '!S13&lt;=0,"",'Soli_citud '!S13&gt;0,'Soli_citud '!S13)</f>
        <v>2500</v>
      </c>
      <c r="I15" s="214">
        <v>45796</v>
      </c>
      <c r="J15" s="216">
        <v>2500</v>
      </c>
      <c r="K15" s="197" t="str" cm="1">
        <f t="array" ref="K15">IFERROR(_xlfn.IFS(H15="","",J15=H15,"Cumplido",J15&lt;H15,H15-J15,J15&gt;H15,"Revisar"),"")</f>
        <v>Cumplido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JV2406-5</v>
      </c>
      <c r="C16" s="494" t="str">
        <f>IFERROR(IF('Soli_citud '!D14="","",'Soli_citud '!D14),"")</f>
        <v>CREMALLERA POLIÉSTER #6</v>
      </c>
      <c r="D16" s="494"/>
      <c r="E16" s="494"/>
      <c r="F16" s="494"/>
      <c r="G16" s="213" t="str">
        <f>IF('Soli_citud '!O14="","",'Soli_citud '!O14)</f>
        <v>cm</v>
      </c>
      <c r="H16" s="213" cm="1">
        <f t="array" ref="H16">_xlfn.IFS('Soli_citud '!S14="","",'Soli_citud '!S14&lt;=0,"",'Soli_citud '!S14&gt;0,'Soli_citud '!S14)</f>
        <v>2125</v>
      </c>
      <c r="I16" s="214">
        <v>45796</v>
      </c>
      <c r="J16" s="216">
        <v>2125</v>
      </c>
      <c r="K16" s="197" t="str" cm="1">
        <f t="array" ref="K16">IFERROR(_xlfn.IFS(H16="","",J16=H16,"Cumplido",J16&lt;H16,H16-J16,J16&gt;H16,"Revisar"),"")</f>
        <v>Cumplido</v>
      </c>
      <c r="L16" s="495"/>
      <c r="M16" s="496"/>
      <c r="N16" s="215">
        <v>100</v>
      </c>
      <c r="O16" s="198">
        <f>IFERROR(H16/N16,"")</f>
        <v>21.25</v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JV2406-5</v>
      </c>
      <c r="C17" s="494" t="str">
        <f>IFERROR(IF('Soli_citud '!D15="","",'Soli_citud '!D15),"")</f>
        <v xml:space="preserve">LLAVE METÁLICA DESLIZADOR   #6 PARA CREMALLERA - NÍQUEL 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50</v>
      </c>
      <c r="I17" s="214">
        <v>45796</v>
      </c>
      <c r="J17" s="216"/>
      <c r="K17" s="197" cm="1">
        <f t="array" ref="K17">IFERROR(_xlfn.IFS(H17="","",J17=H17,"Cumplido",J17&lt;H17,H17-J17,J17&gt;H17,"Revisar"),"")</f>
        <v>50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IFERROR(IF('Soli_citud '!D16="","",'Soli_citud '!D16),"")</f>
        <v/>
      </c>
      <c r="D18" s="494"/>
      <c r="E18" s="494"/>
      <c r="F18" s="494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2025-06-19T20:15:34Z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