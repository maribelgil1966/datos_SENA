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EMELY RIVERA\"/>
    </mc:Choice>
  </mc:AlternateContent>
  <xr:revisionPtr revIDLastSave="0" documentId="8_{464685B5-4318-44AB-97D3-D785D4D294B5}" xr6:coauthVersionLast="36" xr6:coauthVersionMax="36" xr10:uidLastSave="{00000000-0000-0000-0000-000000000000}"/>
  <bookViews>
    <workbookView showHorizontalScroll="0" showVerticalScroll="0" xWindow="0" yWindow="0" windowWidth="15360" windowHeight="7125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S11" i="43"/>
  <c r="G13" i="59" s="1" a="1"/>
  <c r="S12" i="43"/>
  <c r="S13" i="43"/>
  <c r="S14" i="43"/>
  <c r="S15" i="43"/>
  <c r="S16" i="43"/>
  <c r="S17" i="43"/>
  <c r="S18" i="43"/>
  <c r="S19" i="43"/>
  <c r="G21" i="59" s="1" a="1"/>
  <c r="S20" i="43"/>
  <c r="S21" i="43"/>
  <c r="S22" i="43"/>
  <c r="S23" i="43"/>
  <c r="S24" i="43"/>
  <c r="S25" i="43"/>
  <c r="S26" i="43"/>
  <c r="G28" i="59" s="1" a="1"/>
  <c r="S27" i="43"/>
  <c r="G29" i="59" s="1" a="1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S29" i="43"/>
  <c r="S30" i="43"/>
  <c r="S31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W18" i="43" s="1"/>
  <c r="B32" i="38"/>
  <c r="B160" i="38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64" i="38"/>
  <c r="J565" i="38"/>
  <c r="W16" i="43"/>
  <c r="G16" i="59" a="1"/>
  <c r="G30" i="59" a="1"/>
  <c r="G17" i="59" a="1"/>
  <c r="G20" i="59" a="1"/>
  <c r="G23" i="59" a="1"/>
  <c r="G25" i="59" a="1"/>
  <c r="G18" i="59" a="1"/>
  <c r="O3" i="59" a="1"/>
  <c r="G26" i="59" a="1"/>
  <c r="G22" i="59" a="1"/>
  <c r="G24" i="59" a="1"/>
  <c r="G19" i="59" a="1"/>
  <c r="G15" i="59" a="1"/>
  <c r="G14" i="59" a="1"/>
  <c r="G27" i="59" a="1"/>
  <c r="O11" i="43" l="1"/>
  <c r="F13" i="59" s="1"/>
  <c r="O19" i="43"/>
  <c r="F21" i="59" s="1"/>
  <c r="W17" i="43"/>
  <c r="O17" i="43"/>
  <c r="F19" i="59" s="1"/>
  <c r="O18" i="43"/>
  <c r="F20" i="59" s="1"/>
  <c r="J163" i="38"/>
  <c r="W20" i="43"/>
  <c r="J519" i="38"/>
  <c r="W19" i="43"/>
  <c r="O20" i="43"/>
  <c r="F22" i="59" s="1"/>
  <c r="G23" i="59"/>
  <c r="N23" i="59" s="1"/>
  <c r="G30" i="59"/>
  <c r="N30" i="59" s="1"/>
  <c r="G22" i="59"/>
  <c r="N22" i="59" s="1"/>
  <c r="G14" i="59"/>
  <c r="N14" i="59" s="1"/>
  <c r="G29" i="59"/>
  <c r="N29" i="59" s="1"/>
  <c r="G21" i="59"/>
  <c r="G13" i="59"/>
  <c r="N13" i="59" s="1"/>
  <c r="G27" i="59"/>
  <c r="G19" i="59"/>
  <c r="N19" i="59" s="1"/>
  <c r="P10" i="59"/>
  <c r="G28" i="59"/>
  <c r="N28" i="59" s="1"/>
  <c r="G26" i="59"/>
  <c r="N26" i="59" s="1"/>
  <c r="G20" i="59"/>
  <c r="N20" i="59" s="1"/>
  <c r="G25" i="59"/>
  <c r="N25" i="59" s="1"/>
  <c r="G17" i="59"/>
  <c r="N17" i="59" s="1"/>
  <c r="G24" i="59"/>
  <c r="N24" i="59" s="1"/>
  <c r="O3" i="59"/>
  <c r="O6" i="59" s="1"/>
  <c r="G18" i="59"/>
  <c r="N18" i="59" s="1"/>
  <c r="G15" i="59"/>
  <c r="N15" i="59" s="1"/>
  <c r="G16" i="59"/>
  <c r="N16" i="59" s="1"/>
  <c r="G12" i="59"/>
  <c r="N12" i="59" s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4" i="38" s="1"/>
  <c r="J1163" i="38"/>
  <c r="A521" i="38"/>
  <c r="J520" i="38"/>
  <c r="J891" i="38"/>
  <c r="A892" i="38"/>
  <c r="A893" i="38" s="1"/>
  <c r="A894" i="38" s="1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J20" i="59" a="1"/>
  <c r="J16" i="59" a="1"/>
  <c r="J18" i="59" a="1"/>
  <c r="J28" i="59" a="1"/>
  <c r="J19" i="59" a="1"/>
  <c r="J25" i="59" a="1"/>
  <c r="J21" i="59" a="1"/>
  <c r="J27" i="59" a="1"/>
  <c r="J22" i="59" a="1"/>
  <c r="J26" i="59" a="1"/>
  <c r="J30" i="59" a="1"/>
  <c r="J14" i="59" a="1"/>
  <c r="J12" i="59" a="1"/>
  <c r="J13" i="59" a="1"/>
  <c r="J29" i="59" l="1" a="1"/>
  <c r="A1165" i="38"/>
  <c r="J569" i="38"/>
  <c r="J27" i="59"/>
  <c r="J13" i="59"/>
  <c r="J25" i="59"/>
  <c r="J21" i="59"/>
  <c r="J20" i="59"/>
  <c r="J29" i="59"/>
  <c r="J26" i="59"/>
  <c r="J14" i="59"/>
  <c r="J28" i="59"/>
  <c r="J22" i="59"/>
  <c r="J30" i="59"/>
  <c r="J19" i="59"/>
  <c r="N27" i="59"/>
  <c r="N21" i="59"/>
  <c r="J18" i="59"/>
  <c r="J16" i="59"/>
  <c r="J12" i="59"/>
  <c r="A571" i="38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5" i="59" a="1"/>
  <c r="J23" i="59" a="1"/>
  <c r="J24" i="59" a="1"/>
  <c r="J17" i="59" a="1"/>
  <c r="J23" i="59" l="1"/>
  <c r="J15" i="59"/>
  <c r="J17" i="59"/>
  <c r="J24" i="59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S30" i="59"/>
  <c r="R30" i="59"/>
  <c r="S29" i="59"/>
  <c r="R29" i="59"/>
  <c r="S28" i="59"/>
  <c r="R28" i="59"/>
  <c r="S27" i="59"/>
  <c r="R27" i="59"/>
  <c r="S26" i="59"/>
  <c r="R26" i="59"/>
  <c r="S25" i="59"/>
  <c r="R25" i="59"/>
  <c r="S24" i="59"/>
  <c r="R24" i="59"/>
  <c r="S23" i="59"/>
  <c r="R23" i="59"/>
  <c r="S22" i="59"/>
  <c r="R22" i="59"/>
  <c r="S21" i="59"/>
  <c r="R21" i="59"/>
  <c r="S20" i="59"/>
  <c r="R20" i="59"/>
  <c r="S19" i="59"/>
  <c r="R19" i="59"/>
  <c r="S18" i="59"/>
  <c r="R18" i="59"/>
  <c r="S17" i="59"/>
  <c r="R17" i="59"/>
  <c r="S16" i="59"/>
  <c r="R16" i="59"/>
  <c r="S15" i="59"/>
  <c r="R15" i="59"/>
  <c r="S14" i="59"/>
  <c r="R14" i="59"/>
  <c r="S13" i="59"/>
  <c r="R13" i="59"/>
  <c r="S12" i="59"/>
  <c r="R12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<sst xmlns="http://schemas.openxmlformats.org/spreadsheetml/2006/main" count="4117" uniqueCount="1154">
  <si>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</si>
  <si>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</si>
  <si>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</si>
  <si>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</si>
  <si>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</si>
  <si>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</si>
  <si>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</si>
  <si>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</si>
  <si>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</si>
  <si>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</si>
  <si>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</si>
  <si>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</si>
  <si>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</si>
  <si>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</si>
  <si>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</si>
  <si>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</si>
  <si>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</si>
  <si>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</si>
  <si>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</si>
  <si>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</si>
  <si>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</si>
  <si>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</si>
  <si>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</si>
  <si>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</si>
  <si>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</si>
  <si>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</si>
  <si>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</si>
  <si>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</si>
  <si>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</si>
  <si>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</si>
  <si>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</si>
  <si>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</si>
  <si>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</si>
  <si>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</si>
  <si>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</si>
  <si>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</si>
  <si>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</si>
  <si>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</si>
  <si>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</si>
  <si>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</si>
  <si>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</si>
  <si>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</si>
  <si>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</si>
  <si>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</si>
  <si>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</si>
  <si>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</si>
  <si>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</si>
  <si>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</si>
  <si>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</si>
  <si>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</si>
  <si>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</si>
  <si>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</si>
  <si>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</si>
  <si>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</si>
  <si>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</si>
  <si>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</si>
  <si>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</si>
  <si>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</si>
  <si>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</si>
  <si>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</si>
  <si>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</si>
  <si>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</si>
  <si>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</si>
  <si>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</si>
  <si>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</si>
  <si>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</si>
  <si>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</si>
  <si>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</si>
  <si>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</si>
  <si>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</si>
  <si>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</si>
  <si>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</si>
  <si>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</si>
  <si>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</si>
  <si>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</si>
  <si>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</si>
  <si>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</si>
  <si>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</si>
  <si>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</si>
  <si>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</si>
  <si>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</si>
  <si>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</si>
  <si>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</si>
  <si>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</si>
  <si>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</si>
  <si>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</si>
  <si>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</si>
  <si>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</si>
  <si>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</si>
  <si>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</si>
  <si>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</si>
  <si>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</si>
  <si>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</si>
  <si>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</si>
  <si>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</si>
  <si>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</si>
  <si>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</si>
  <si>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</si>
  <si>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</si>
  <si>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</si>
  <si>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</si>
  <si>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</si>
  <si>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</si>
  <si>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</si>
  <si>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</si>
  <si>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</si>
  <si>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</si>
  <si>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</si>
  <si>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</si>
  <si>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</si>
  <si>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</si>
  <si>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</si>
  <si>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</si>
  <si>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</si>
  <si>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</si>
  <si>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</si>
  <si>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</si>
  <si>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</si>
  <si>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</si>
  <si>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</si>
  <si>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</si>
  <si>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</si>
  <si>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</si>
  <si>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</si>
  <si>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</si>
  <si>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</si>
  <si>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</si>
  <si>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</si>
  <si>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</si>
  <si>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</si>
  <si>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</si>
  <si>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</si>
  <si>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</si>
  <si>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</si>
  <si>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</si>
  <si>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</si>
  <si>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</si>
  <si>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</si>
  <si>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</si>
  <si>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</si>
  <si>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</si>
  <si>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</si>
  <si>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</si>
  <si>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</si>
  <si>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</si>
  <si>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</si>
  <si>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</si>
  <si>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</si>
  <si>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</si>
  <si>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</si>
  <si>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</si>
  <si>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</si>
  <si>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</si>
  <si>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</si>
  <si>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</si>
  <si>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</si>
  <si>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</si>
  <si>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</si>
  <si>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</si>
  <si>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</si>
  <si>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</si>
  <si>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</si>
  <si>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</si>
  <si>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</si>
  <si>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</si>
  <si>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</si>
  <si>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</si>
  <si>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</si>
  <si>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</si>
  <si>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</si>
  <si>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</si>
  <si>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</si>
  <si>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</si>
  <si>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</si>
  <si>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</si>
  <si>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</si>
  <si>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</si>
  <si>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</si>
  <si>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</si>
  <si>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</si>
  <si>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</si>
  <si>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</si>
  <si>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</si>
  <si>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</si>
  <si>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</si>
  <si>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</si>
  <si>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</si>
  <si>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</si>
  <si>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</si>
  <si>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</si>
  <si>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</si>
  <si>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</si>
  <si>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</si>
  <si>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</si>
  <si>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</si>
  <si>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</si>
  <si>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</si>
  <si>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</si>
  <si>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</si>
  <si>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</si>
  <si>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</si>
  <si>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</si>
  <si>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</si>
  <si>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</si>
  <si>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</si>
  <si>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</si>
  <si>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</si>
  <si>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</si>
  <si>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</si>
  <si>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</si>
  <si>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</si>
  <si>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</si>
  <si>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</si>
  <si>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</si>
  <si>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</si>
  <si>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</si>
  <si>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</si>
  <si>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</si>
  <si>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</si>
  <si>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</si>
  <si>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</si>
  <si>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</si>
  <si>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</si>
  <si>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</si>
  <si>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</si>
  <si>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</si>
  <si>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</si>
  <si>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</si>
  <si>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</si>
  <si>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</si>
  <si>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</si>
  <si>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</si>
  <si>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</si>
  <si>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</si>
  <si>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</si>
  <si>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</si>
  <si>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</si>
  <si>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</si>
  <si>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</si>
  <si>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</si>
  <si>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</si>
  <si>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</si>
  <si>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</si>
  <si>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</si>
  <si>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</si>
  <si>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</si>
  <si>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</si>
  <si>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</si>
  <si>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</si>
  <si>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</si>
  <si>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</si>
  <si>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</si>
  <si>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</si>
  <si>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</si>
  <si>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</si>
  <si>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</si>
  <si>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</si>
  <si>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</si>
  <si>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</si>
  <si>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</si>
  <si>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</si>
  <si>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</si>
  <si>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</si>
  <si>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</si>
  <si>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</si>
  <si>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</si>
  <si>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</si>
  <si>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</si>
  <si>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</si>
  <si>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</si>
  <si>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</si>
  <si>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</si>
  <si>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</si>
  <si>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</si>
  <si>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</si>
  <si>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</si>
  <si>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</si>
  <si>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</si>
  <si>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</si>
  <si>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</si>
  <si>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</si>
  <si>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</si>
  <si>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</si>
  <si>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</si>
  <si>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</si>
  <si>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</si>
  <si>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</si>
  <si>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</si>
  <si>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</si>
  <si>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</si>
  <si>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</si>
  <si>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</si>
  <si>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</si>
  <si>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</si>
  <si>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</si>
  <si>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</si>
  <si>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</si>
  <si>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</si>
  <si>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</si>
  <si>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</si>
  <si>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</si>
  <si>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</si>
  <si>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</si>
  <si>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</si>
  <si>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</si>
  <si>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</si>
  <si>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</si>
  <si>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</si>
  <si>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</si>
  <si>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</si>
  <si>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</si>
  <si>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</si>
  <si>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</si>
  <si>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</si>
  <si>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</si>
  <si>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</si>
  <si>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</si>
  <si>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</si>
  <si>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</si>
  <si>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</si>
  <si>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</si>
  <si>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</si>
  <si>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</si>
  <si>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</si>
  <si>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</si>
  <si>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</si>
  <si>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</si>
  <si>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</si>
  <si>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</si>
  <si>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</si>
  <si>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</si>
  <si>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</si>
  <si>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</si>
  <si>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</si>
  <si>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</si>
  <si>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</si>
  <si>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</si>
  <si>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</si>
  <si>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</si>
  <si>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</si>
  <si>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</si>
  <si>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</si>
  <si>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</si>
  <si>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</si>
  <si>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</si>
  <si>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</si>
  <si>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</si>
  <si>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</si>
  <si>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</si>
  <si>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</si>
  <si>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</si>
  <si>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</si>
  <si>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</si>
  <si>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</si>
  <si>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</si>
  <si>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</si>
  <si>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</si>
  <si>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</si>
  <si>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</si>
  <si>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</si>
  <si>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</si>
  <si>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</si>
  <si>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</si>
  <si>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</si>
  <si>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</si>
  <si>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</si>
  <si>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</si>
  <si>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</si>
  <si>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</si>
  <si>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</si>
  <si>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</si>
  <si>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</si>
  <si>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</si>
  <si>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</si>
  <si>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</si>
  <si>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</si>
  <si>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</si>
  <si>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</si>
  <si>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</si>
  <si>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</si>
  <si>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</si>
  <si>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</si>
  <si>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</si>
  <si>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</si>
  <si>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</si>
  <si>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</si>
  <si>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</si>
  <si>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</si>
  <si>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</si>
  <si>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</si>
  <si>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</si>
  <si>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</si>
  <si>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</si>
  <si>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</si>
  <si>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</si>
  <si>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</si>
  <si>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</si>
  <si>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</si>
  <si>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</si>
  <si>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</si>
  <si>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</si>
  <si>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</si>
  <si>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</si>
  <si>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</si>
  <si>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</si>
  <si>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</si>
  <si>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</si>
  <si>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</si>
  <si>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</si>
  <si>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</si>
  <si>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</si>
  <si>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</si>
  <si>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</si>
  <si>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</si>
  <si>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</si>
  <si>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</si>
  <si>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</si>
  <si>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</si>
  <si>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</si>
  <si>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</si>
  <si>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</si>
  <si>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</si>
  <si>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</si>
  <si>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</si>
  <si>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</si>
  <si>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</si>
  <si>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</si>
  <si>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</si>
  <si>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</si>
  <si>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</si>
  <si>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</si>
  <si>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</si>
  <si>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</si>
  <si>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</si>
  <si>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</si>
  <si>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</si>
  <si>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</si>
  <si>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</si>
  <si>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</si>
  <si>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</si>
  <si>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</si>
  <si>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</si>
  <si>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</si>
  <si>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</si>
  <si>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</si>
  <si>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</si>
  <si>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</si>
  <si>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</si>
  <si>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</si>
  <si>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</si>
  <si>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</si>
  <si>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</si>
  <si>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</si>
  <si>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</si>
  <si>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</si>
  <si>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</si>
  <si>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</si>
  <si>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</si>
  <si>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</si>
  <si>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</si>
  <si>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</si>
  <si>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</si>
  <si>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</si>
  <si>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</si>
  <si>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</si>
  <si>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</si>
  <si>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</si>
  <si>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</si>
  <si>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</si>
  <si>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</si>
  <si>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</si>
  <si>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</si>
  <si>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</si>
  <si>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</si>
  <si>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</si>
  <si>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</si>
  <si>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</si>
  <si>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</si>
  <si>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</si>
  <si>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</si>
  <si>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</si>
  <si>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</si>
  <si>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</si>
  <si>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</si>
  <si>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</si>
  <si>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</si>
  <si>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</si>
  <si>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</si>
  <si>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</si>
  <si>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</si>
  <si>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</si>
  <si>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</si>
  <si>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</si>
  <si>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</si>
  <si>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</si>
  <si>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</si>
  <si>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</si>
  <si>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</si>
  <si>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</si>
  <si>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</si>
  <si>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</si>
  <si>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</si>
  <si>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</si>
  <si>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</si>
  <si>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</si>
  <si>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</si>
  <si>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</si>
  <si>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</si>
  <si>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</si>
  <si>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</si>
  <si>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</si>
  <si>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</si>
  <si>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</si>
  <si>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</si>
  <si>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</si>
  <si>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</si>
  <si>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</si>
  <si>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</si>
  <si>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</si>
  <si>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</si>
  <si>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</si>
  <si>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</si>
  <si>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</si>
  <si>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</si>
  <si>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</si>
  <si>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</si>
  <si>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</si>
  <si>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</si>
  <si>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</si>
  <si>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</si>
  <si>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</si>
  <si>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</si>
  <si>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</si>
  <si>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</si>
  <si>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</si>
  <si>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</si>
  <si>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</si>
  <si>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</si>
  <si>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</si>
  <si>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</si>
  <si>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</si>
  <si>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</si>
  <si>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</si>
  <si>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</si>
  <si>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</si>
  <si>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</si>
  <si>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</si>
  <si>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</si>
  <si>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</si>
  <si>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</si>
  <si>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</si>
  <si>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</si>
  <si>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</si>
  <si>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</si>
  <si>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</si>
  <si>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</si>
  <si>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</si>
  <si>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</si>
  <si>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</si>
  <si>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</si>
  <si>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</si>
  <si>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</si>
  <si>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</si>
  <si>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</si>
  <si>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</si>
  <si>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</si>
  <si>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</si>
  <si>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</si>
  <si>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</si>
  <si>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</si>
  <si>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</si>
  <si>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</si>
  <si>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</si>
  <si>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</si>
  <si>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</si>
  <si>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</si>
  <si>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</si>
  <si>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</si>
  <si>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</si>
  <si>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</si>
  <si>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</si>
  <si>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</si>
  <si>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</si>
  <si>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</si>
  <si>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</si>
  <si>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</si>
  <si>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</si>
  <si>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</si>
  <si>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</si>
  <si>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</si>
  <si>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</si>
  <si>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</si>
  <si>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</si>
  <si>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</si>
  <si>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</si>
  <si>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</si>
  <si>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</si>
  <si>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</si>
  <si>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</si>
  <si>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</si>
  <si>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</si>
  <si>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</si>
  <si>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</si>
  <si>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</si>
  <si>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</si>
  <si>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</si>
  <si>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</si>
  <si>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</si>
  <si>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</si>
  <si>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</si>
  <si>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</si>
  <si>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</si>
  <si>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</si>
  <si>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</si>
  <si>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</si>
  <si>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</si>
  <si>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</si>
  <si>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</si>
  <si>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</si>
  <si>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</si>
  <si>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</si>
  <si>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</si>
  <si>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</si>
  <si>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</si>
  <si>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</si>
  <si>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</si>
  <si>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</si>
  <si>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</si>
  <si>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</si>
  <si>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</si>
  <si>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</si>
  <si>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</si>
  <si>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</si>
  <si>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</si>
  <si>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</si>
  <si>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</si>
  <si>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</si>
  <si>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</si>
  <si>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</si>
  <si>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</si>
  <si>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</si>
  <si>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</si>
  <si>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</si>
  <si>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</si>
  <si>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</si>
  <si>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</si>
  <si>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</si>
  <si>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</si>
  <si>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</si>
  <si>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</si>
  <si>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</si>
  <si>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</si>
  <si>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</si>
  <si>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</si>
  <si>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</si>
  <si>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</si>
  <si>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</si>
  <si>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</si>
  <si>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</si>
  <si>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</si>
  <si>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</si>
  <si>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</si>
  <si>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</si>
  <si>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</si>
  <si>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</si>
  <si>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</si>
  <si>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</si>
  <si>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</si>
  <si>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</si>
  <si>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</si>
  <si>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</si>
  <si>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</si>
  <si>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</si>
  <si>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</si>
  <si>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</si>
  <si>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</si>
  <si>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</si>
  <si>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</si>
  <si>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</si>
  <si>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</si>
  <si>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</si>
  <si>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</si>
  <si>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</si>
  <si>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</si>
  <si>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</si>
  <si>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</si>
  <si>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</si>
  <si>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</si>
  <si>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</si>
  <si>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</si>
  <si>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</si>
  <si>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</si>
  <si>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</si>
  <si>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</si>
  <si>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</si>
  <si>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</si>
  <si>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</si>
  <si>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</si>
  <si>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</si>
  <si>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</si>
  <si>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</si>
  <si>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</si>
  <si>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</si>
  <si>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</si>
  <si>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</si>
  <si>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</si>
  <si>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</si>
  <si>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</si>
  <si>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</si>
  <si>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</si>
  <si>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</si>
  <si>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</si>
  <si>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</si>
  <si>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</si>
  <si>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</si>
  <si>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</si>
  <si>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</si>
  <si>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</si>
  <si>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</si>
  <si>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</si>
  <si>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</si>
  <si>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</si>
  <si>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</si>
  <si>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</si>
  <si>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</si>
  <si>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</si>
  <si>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</si>
  <si>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</si>
  <si>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</si>
  <si>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</si>
  <si>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</si>
  <si>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</si>
  <si>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</si>
  <si>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</si>
  <si>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</si>
  <si>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</si>
  <si>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</si>
  <si>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</si>
  <si>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</si>
  <si>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</si>
  <si>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</si>
  <si>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</si>
  <si>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</si>
  <si>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</si>
  <si>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</si>
  <si>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</si>
  <si>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</si>
  <si>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</si>
  <si>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</si>
  <si>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</si>
  <si>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</si>
  <si>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</si>
  <si>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</si>
  <si>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</si>
  <si>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</si>
  <si>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</si>
  <si>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</si>
  <si>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</si>
  <si>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</si>
  <si>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</si>
  <si>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</si>
  <si>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</si>
  <si>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</si>
  <si>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</si>
  <si>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</si>
  <si>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</si>
  <si>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</si>
  <si>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</si>
  <si>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</si>
  <si>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</si>
  <si>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</si>
  <si>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</si>
  <si>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</si>
  <si>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</si>
  <si>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</si>
  <si>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</si>
  <si>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</si>
  <si>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</si>
  <si>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</si>
  <si>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</si>
  <si>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</si>
  <si>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</si>
  <si>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</si>
  <si>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</si>
  <si>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</si>
  <si>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</si>
  <si>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</si>
  <si>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</si>
  <si>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</si>
  <si>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</si>
  <si>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</si>
  <si>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</si>
  <si>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</si>
  <si>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</si>
  <si>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</si>
  <si>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</si>
  <si>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</si>
  <si>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</si>
  <si>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</si>
  <si>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</si>
  <si>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</si>
  <si>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</si>
  <si>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</si>
  <si>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</si>
  <si>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</si>
  <si>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</si>
  <si>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</si>
  <si>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</si>
  <si>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</si>
  <si>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</si>
  <si>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</si>
  <si>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</si>
  <si>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</si>
  <si>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</si>
  <si>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</si>
  <si>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</si>
  <si>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</si>
  <si>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</si>
  <si>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</si>
  <si>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</si>
  <si>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</si>
  <si>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</si>
  <si>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</si>
  <si>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</si>
  <si>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</si>
  <si>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</si>
  <si>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</si>
  <si>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</si>
  <si>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</si>
  <si>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</si>
  <si>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</si>
  <si>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</si>
  <si>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</si>
  <si>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</si>
  <si>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</si>
  <si>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</si>
  <si>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</si>
  <si>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</si>
  <si>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</si>
  <si>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</si>
  <si>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</si>
  <si>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</si>
  <si>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</si>
  <si>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</si>
  <si>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</si>
  <si>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</si>
  <si>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</si>
  <si>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</si>
  <si>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</si>
  <si>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</si>
  <si>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</si>
  <si>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</si>
  <si>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</si>
  <si>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</si>
  <si>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</si>
  <si>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</si>
  <si>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</si>
  <si>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</si>
  <si>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</si>
  <si>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</si>
  <si>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</si>
  <si>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</si>
  <si>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</si>
  <si>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</si>
  <si>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</si>
  <si>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</si>
  <si>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</si>
  <si>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</si>
  <si>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</si>
  <si>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</si>
  <si>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</si>
  <si>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</si>
  <si>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</si>
  <si>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</si>
  <si>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</si>
  <si>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</si>
  <si>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</si>
  <si>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</si>
  <si>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</si>
  <si>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</si>
  <si>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</si>
  <si>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</si>
  <si>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</si>
  <si>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</si>
  <si>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</si>
  <si>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</si>
  <si>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</si>
  <si>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</si>
  <si>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</si>
  <si>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</si>
  <si>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</si>
  <si>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</si>
  <si>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</si>
  <si>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</si>
  <si>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</si>
  <si>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</si>
  <si>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</si>
  <si>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</si>
  <si>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</si>
  <si>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</si>
  <si>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</si>
  <si>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</si>
  <si>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</si>
  <si>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</si>
  <si>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</si>
  <si>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</si>
  <si>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</si>
  <si>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</si>
  <si>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</si>
  <si>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</si>
  <si>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</si>
  <si>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</si>
  <si>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</si>
  <si>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</si>
  <si>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</si>
  <si>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</si>
  <si>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</si>
  <si>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</si>
  <si>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</si>
  <si>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</si>
  <si>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</si>
  <si>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</si>
  <si>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</si>
  <si>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</si>
  <si>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</si>
  <si>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</si>
  <si>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</si>
  <si>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</si>
  <si>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</si>
  <si>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</si>
  <si>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</si>
  <si>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</si>
  <si>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</si>
  <si>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</si>
  <si>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</si>
  <si>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</si>
  <si>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</si>
  <si>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</si>
  <si>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</si>
  <si>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</si>
  <si>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</si>
  <si>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</si>
  <si>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</si>
  <si>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</si>
  <si>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</si>
  <si>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</si>
  <si>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</si>
  <si>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</si>
  <si>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</si>
  <si>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</si>
  <si>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</si>
  <si>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</si>
  <si>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</si>
  <si>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</si>
  <si>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</si>
  <si>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</si>
  <si>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</si>
  <si>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</si>
  <si>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</si>
  <si>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</si>
  <si>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</si>
  <si>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</si>
  <si>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</si>
  <si>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</si>
  <si>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</si>
  <si>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</si>
  <si>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</si>
  <si>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</si>
  <si>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</si>
  <si>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</si>
  <si>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</si>
  <si>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</si>
  <si>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</si>
  <si>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</si>
  <si>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</si>
  <si>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</si>
  <si>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</si>
  <si>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</si>
  <si>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</si>
  <si>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</si>
  <si>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</si>
  <si>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</si>
  <si>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</si>
  <si>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</si>
  <si>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</si>
  <si>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</si>
  <si>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</si>
  <si>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</si>
  <si>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</si>
  <si>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</si>
  <si>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</si>
  <si>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</si>
  <si>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</si>
  <si>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</si>
  <si>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</si>
  <si>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</si>
  <si>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</si>
  <si>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</si>
  <si>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</si>
  <si>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</si>
  <si>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</si>
  <si>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</si>
  <si>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</si>
  <si>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</si>
  <si>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</si>
  <si>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</si>
  <si>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</si>
  <si>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</si>
  <si>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</si>
  <si>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</si>
  <si>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</si>
  <si>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</si>
  <si>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</si>
  <si>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</si>
  <si>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</si>
  <si>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</si>
  <si>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</si>
  <si>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</si>
  <si>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</si>
  <si>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</si>
  <si>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</si>
  <si>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</si>
  <si>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</si>
  <si>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</si>
  <si>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</si>
  <si>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</si>
  <si>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</si>
  <si>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</si>
  <si>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</si>
  <si>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</si>
  <si>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</si>
  <si>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</si>
  <si>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</si>
  <si>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</si>
  <si>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</si>
  <si>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</si>
  <si>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</si>
  <si>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</si>
  <si>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</si>
  <si>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</si>
  <si>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</si>
  <si>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</si>
  <si>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</si>
  <si>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</si>
  <si>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</si>
  <si>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</si>
  <si>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</si>
  <si>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</si>
  <si>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</si>
  <si>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</si>
  <si>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</si>
  <si>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</si>
  <si>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</si>
  <si>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</si>
  <si>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</si>
  <si>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</si>
  <si>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</si>
  <si>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</si>
  <si>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</si>
  <si>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</si>
  <si>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</si>
  <si>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</si>
  <si>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</si>
  <si>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</si>
  <si>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</si>
  <si>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</si>
  <si>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</si>
  <si>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</si>
  <si>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</si>
  <si>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</si>
  <si>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</si>
  <si>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</si>
  <si>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</si>
  <si>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</si>
  <si>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</si>
  <si>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</si>
  <si>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</si>
  <si>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</si>
  <si>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</si>
  <si>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</si>
  <si>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</si>
  <si>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</si>
  <si>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</si>
  <si>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</si>
  <si>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</si>
  <si>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</si>
  <si>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</si>
  <si>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</si>
  <si>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</si>
  <si>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</si>
  <si>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</si>
  <si>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</si>
  <si>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</si>
  <si>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</si>
  <si>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</si>
  <si>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</si>
  <si>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</si>
  <si>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</si>
  <si>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</si>
  <si>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</si>
  <si>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</si>
  <si>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</si>
  <si>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</si>
  <si>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</si>
  <si>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</si>
  <si>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</si>
  <si>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</si>
  <si>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</si>
  <si>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</si>
  <si>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</si>
  <si>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</si>
  <si>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</si>
  <si>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</si>
  <si>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</si>
  <si>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</si>
  <si>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</si>
  <si>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</si>
  <si>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</si>
  <si>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</si>
  <si>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</si>
  <si>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</si>
  <si>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</si>
  <si>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</si>
  <si>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</si>
  <si>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</si>
  <si>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</si>
  <si>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</si>
  <si>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</si>
  <si>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</si>
  <si>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</si>
  <si>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</si>
  <si>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</si>
  <si>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</si>
  <si>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</si>
  <si>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</si>
  <si>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</si>
  <si>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</si>
  <si>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</si>
  <si>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</si>
  <si>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</si>
  <si>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</si>
  <si>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</si>
  <si>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</si>
  <si>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</si>
  <si>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</si>
  <si>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</si>
  <si>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</si>
  <si>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</si>
  <si>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</si>
  <si>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>BOLSILLERO CELULARES</t>
  </si>
  <si>
    <t>LAMBRILLA</t>
  </si>
  <si>
    <t>RETAL</t>
  </si>
  <si>
    <t>COLBON MADERA</t>
  </si>
  <si>
    <t>RESINA DOBLE COMPONENTE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</si>
</sst>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1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6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21</xdr:col>
      <xdr:colOff>390940</xdr:colOff>
      <xdr:row>3</xdr:row>
      <xdr:rowOff>86139</xdr:rowOff>
    </xdr:from>
    <xdr:to>
      <xdr:col>24</xdr:col>
      <xdr:colOff>361230</xdr:colOff>
      <xdr:row>6</xdr:row>
      <xdr:rowOff>145774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54" t="6708" r="30152" b="37878"/>
        <a:stretch/>
      </xdr:blipFill>
      <xdr:spPr>
        <a:xfrm>
          <a:off x="9024731" y="1073426"/>
          <a:ext cx="1255751" cy="828261"/>
        </a:xfrm>
        <a:prstGeom prst="rect">
          <a:avLst/>
        </a:prstGeom>
      </xdr:spPr>
    </xdr:pic>
    <xdr:clientData/>
  </xdr:twoCellAnchor>
  <xdr:twoCellAnchor editAs="oneCell">
    <xdr:from>
      <xdr:col>21</xdr:col>
      <xdr:colOff>172278</xdr:colOff>
      <xdr:row>0</xdr:row>
      <xdr:rowOff>245165</xdr:rowOff>
    </xdr:from>
    <xdr:to>
      <xdr:col>24</xdr:col>
      <xdr:colOff>450573</xdr:colOff>
      <xdr:row>3</xdr:row>
      <xdr:rowOff>86139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4" t="17470" b="24291"/>
        <a:stretch/>
      </xdr:blipFill>
      <xdr:spPr>
        <a:xfrm>
          <a:off x="8806069" y="245165"/>
          <a:ext cx="1563756" cy="828261"/>
        </a:xfrm>
        <a:prstGeom prst="rect">
          <a:avLst/>
        </a:prstGeom>
      </xdr:spPr>
    </xdr:pic>
    <xdr:clientData/>
  </xdr:twoCellAnchor>
  <xdr:twoCellAnchor editAs="oneCell">
    <xdr:from>
      <xdr:col>18</xdr:col>
      <xdr:colOff>92764</xdr:colOff>
      <xdr:row>0</xdr:row>
      <xdr:rowOff>106016</xdr:rowOff>
    </xdr:from>
    <xdr:to>
      <xdr:col>21</xdr:col>
      <xdr:colOff>125895</xdr:colOff>
      <xdr:row>3</xdr:row>
      <xdr:rowOff>145773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2" t="22354" r="10731" b="44648"/>
        <a:stretch/>
      </xdr:blipFill>
      <xdr:spPr>
        <a:xfrm>
          <a:off x="7434468" y="106016"/>
          <a:ext cx="1325218" cy="1027044"/>
        </a:xfrm>
        <a:prstGeom prst="rect">
          <a:avLst/>
        </a:prstGeom>
      </xdr:spPr>
    </xdr:pic>
    <xdr:clientData/>
  </xdr:twoCellAnchor>
  <xdr:twoCellAnchor editAs="oneCell">
    <xdr:from>
      <xdr:col>19</xdr:col>
      <xdr:colOff>86140</xdr:colOff>
      <xdr:row>3</xdr:row>
      <xdr:rowOff>170654</xdr:rowOff>
    </xdr:from>
    <xdr:to>
      <xdr:col>21</xdr:col>
      <xdr:colOff>198783</xdr:colOff>
      <xdr:row>6</xdr:row>
      <xdr:rowOff>205406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14" t="30367"/>
        <a:stretch/>
      </xdr:blipFill>
      <xdr:spPr>
        <a:xfrm>
          <a:off x="7818783" y="1157941"/>
          <a:ext cx="1013791" cy="8033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5" totalsRowShown="0" tableBorderDxfId="109">
  <autoFilter ref="A161:J245" xr:uid="{00000000-0009-0000-0100-00000B000000}"/>
  <sortState ref="A162:J245">
    <sortCondition ref="B161:B245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8" totalsRowShown="0" tableBorderDxfId="98">
  <autoFilter ref="A1012:J1048" xr:uid="{00000000-0009-0000-0100-000020000000}"/>
  <sortState ref="A1013:J1048">
    <sortCondition ref="B1012:B1048"/>
  </sortState>
  <tableColumns count="10">
    <tableColumn id="1" xr3:uid="{00000000-0010-0000-0300-000001000000}" name="Item" dataDxfId="97">
      <calculatedColumnFormula>A1012+1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60:J1342" totalsRowShown="0" headerRowBorderDxfId="87" tableBorderDxfId="86">
  <autoFilter ref="A1260:J1342" xr:uid="{00000000-0009-0000-0100-000022000000}"/>
  <sortState ref="A1261:J1341">
    <sortCondition ref="B1260:B1341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IF(BD!$E1261="","",(E1261/(H1261*I1261)))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4:J1440" totalsRowShown="0" tableBorderDxfId="75">
  <autoFilter ref="B1354:J1440" xr:uid="{00000000-0009-0000-0100-000010000000}"/>
  <sortState ref="B1355:J1440">
    <sortCondition ref="B1354:B1440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5">
  <autoFilter ref="A517:J540" xr:uid="{00000000-0009-0000-0100-000018000000}"/>
  <sortState ref="A518:J540">
    <sortCondition ref="B517:B540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IF(BD!$E518="","",(E518/(H518*I518)))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4">
  <autoFilter ref="A563:J984" xr:uid="{00000000-0009-0000-0100-000009000000}"/>
  <sortState ref="A564:J984">
    <sortCondition ref="B563:B984"/>
  </sortState>
  <tableColumns count="10">
    <tableColumn id="1" xr3:uid="{00000000-0010-0000-0700-000001000000}" name="Item" dataDxfId="53">
      <calculatedColumnFormula>A563+1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$)]]="","",(E564/(H564*I564)))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13:J1138" totalsRowShown="0" tableBorderDxfId="44">
  <autoFilter ref="B1113:J1138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IF(BD!$E1114="","",(E1114/(H1114*I1114)))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73:J1080" totalsRowShown="0" tableBorderDxfId="34">
  <autoFilter ref="B1073:J1080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IF(BD!$E1073="","",(E1074/(H1074*I1074)))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60:J1215" totalsRowShown="0" tableBorderDxfId="24">
  <autoFilter ref="A1160:J1215" xr:uid="{00000000-0009-0000-0100-00000C000000}"/>
  <sortState ref="A1161:J1215">
    <sortCondition ref="B1160:B1215"/>
  </sortState>
  <tableColumns count="10">
    <tableColumn id="1" xr3:uid="{00000000-0010-0000-0A00-000001000000}" name="Item" dataDxfId="23">
      <calculatedColumnFormula>A1160+1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1" totalsRowShown="0" headerRowDxfId="3" headerRowBorderDxfId="2" tableBorderDxfId="1" totalsRowBorderDxfId="0">
  <autoFilter ref="H1:I31" xr:uid="{00000000-0009-0000-0100-000003000000}"/>
  <sortState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topLeftCell="B1" zoomScale="115" zoomScaleNormal="115" workbookViewId="0">
      <pane ySplit="8" topLeftCell="A9" activePane="bottomLeft" state="frozen"/>
      <selection pane="bottomLeft" activeCell="D18" sqref="D18:N18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1"/>
      <c r="B1" s="312"/>
      <c r="C1" s="293" t="s">
        <v>0</v>
      </c>
      <c r="D1" s="294"/>
      <c r="E1" s="294"/>
      <c r="F1" s="295" t="str">
        <f>IF(E2="","",CONCATENATE(LEFT(E2,1),MID(E2,SEARCH(" ",E2)+1,1),TEXT(O1,"DD"),TEXT(O1,"MM"),"-",IF(K1="",1,K1)))</f>
        <v>ER2802-1</v>
      </c>
      <c r="G1" s="296"/>
      <c r="H1" s="297"/>
      <c r="I1" s="298" t="s">
        <v>1</v>
      </c>
      <c r="J1" s="299"/>
      <c r="K1" s="113"/>
      <c r="L1" s="300" t="s">
        <v>2</v>
      </c>
      <c r="M1" s="301"/>
      <c r="N1" s="301"/>
      <c r="O1" s="302">
        <v>45716</v>
      </c>
      <c r="P1" s="302"/>
      <c r="Q1" s="302"/>
      <c r="R1" s="303"/>
      <c r="S1" s="348" t="s">
        <v>3</v>
      </c>
      <c r="T1" s="349"/>
      <c r="U1" s="349"/>
      <c r="V1" s="349"/>
      <c r="W1" s="349"/>
      <c r="X1" s="349"/>
      <c r="Y1" s="350"/>
      <c r="Z1" s="35"/>
    </row>
    <row r="2" spans="1:28" ht="23.25" customHeight="1">
      <c r="A2" s="313"/>
      <c r="B2" s="314"/>
      <c r="C2" s="317" t="s">
        <v>4</v>
      </c>
      <c r="D2" s="318"/>
      <c r="E2" s="319" t="s">
        <v>1107</v>
      </c>
      <c r="F2" s="320"/>
      <c r="G2" s="320"/>
      <c r="H2" s="320"/>
      <c r="I2" s="320"/>
      <c r="J2" s="320"/>
      <c r="K2" s="321"/>
      <c r="L2" s="340" t="s">
        <v>5</v>
      </c>
      <c r="M2" s="341"/>
      <c r="N2" s="300"/>
      <c r="O2" s="342">
        <f>IF(E2="","",INDEX(Listas!H2:I30,MATCH('Soli_citud '!E2,Listas!H2:H30,0),2))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5"/>
    </row>
    <row r="3" spans="1:28" ht="24.75" customHeight="1">
      <c r="A3" s="315"/>
      <c r="B3" s="316"/>
      <c r="C3" s="326" t="s">
        <v>6</v>
      </c>
      <c r="D3" s="327"/>
      <c r="E3" s="328" t="s">
        <v>1106</v>
      </c>
      <c r="F3" s="329"/>
      <c r="G3" s="329"/>
      <c r="H3" s="329"/>
      <c r="I3" s="329"/>
      <c r="J3" s="329"/>
      <c r="K3" s="330"/>
      <c r="L3" s="340" t="s">
        <v>7</v>
      </c>
      <c r="M3" s="341"/>
      <c r="N3" s="300"/>
      <c r="O3" s="279">
        <v>3163082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5"/>
    </row>
    <row r="4" spans="1:28" ht="30.75" customHeight="1">
      <c r="A4" s="310" t="s">
        <v>8</v>
      </c>
      <c r="B4" s="310"/>
      <c r="C4" s="310"/>
      <c r="D4" s="304" t="s">
        <v>1149</v>
      </c>
      <c r="E4" s="305"/>
      <c r="F4" s="305"/>
      <c r="G4" s="305"/>
      <c r="H4" s="305"/>
      <c r="I4" s="305"/>
      <c r="J4" s="305"/>
      <c r="K4" s="305"/>
      <c r="L4" s="306" t="s">
        <v>9</v>
      </c>
      <c r="M4" s="306"/>
      <c r="N4" s="306"/>
      <c r="O4" s="307" t="s">
        <v>1084</v>
      </c>
      <c r="P4" s="308"/>
      <c r="Q4" s="308"/>
      <c r="R4" s="309"/>
      <c r="S4" s="351"/>
      <c r="T4" s="352"/>
      <c r="U4" s="352"/>
      <c r="V4" s="352"/>
      <c r="W4" s="352"/>
      <c r="X4" s="352"/>
      <c r="Y4" s="353"/>
      <c r="Z4" s="35"/>
    </row>
    <row r="5" spans="1:28" ht="29.25" customHeight="1">
      <c r="A5" s="331" t="s">
        <v>10</v>
      </c>
      <c r="B5" s="331"/>
      <c r="C5" s="331"/>
      <c r="D5" s="332">
        <f>IF(K5="","",(SUM(W10:Y28)-(SUMIF(U10:V28,"Restar_Pedido",W10:Y28)))/$K$5)</f>
        <v>7649.2857094430983</v>
      </c>
      <c r="E5" s="333"/>
      <c r="F5" s="334"/>
      <c r="G5" s="317" t="s">
        <v>11</v>
      </c>
      <c r="H5" s="335"/>
      <c r="I5" s="335"/>
      <c r="J5" s="318"/>
      <c r="K5" s="291">
        <v>45</v>
      </c>
      <c r="L5" s="291"/>
      <c r="M5" s="292" t="s">
        <v>12</v>
      </c>
      <c r="N5" s="292"/>
      <c r="O5" s="345">
        <f>IFERROR(IF(K5=0,"",D5*K5),"")</f>
        <v>344217.85692493943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1"/>
      <c r="T6" s="352"/>
      <c r="U6" s="352"/>
      <c r="V6" s="352"/>
      <c r="W6" s="352"/>
      <c r="X6" s="352"/>
      <c r="Y6" s="353"/>
      <c r="Z6" s="35"/>
      <c r="AA6" s="38"/>
      <c r="AB6" s="38"/>
    </row>
    <row r="7" spans="1:28" ht="24" customHeight="1" thickBot="1">
      <c r="A7" s="322" t="s">
        <v>13</v>
      </c>
      <c r="B7" s="322"/>
      <c r="C7" s="322"/>
      <c r="D7" s="323" t="s">
        <v>14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4" t="s">
        <v>15</v>
      </c>
      <c r="P7" s="324"/>
      <c r="Q7" s="325" t="s">
        <v>16</v>
      </c>
      <c r="R7" s="325"/>
      <c r="S7" s="352"/>
      <c r="T7" s="352"/>
      <c r="U7" s="352"/>
      <c r="V7" s="352"/>
      <c r="W7" s="352"/>
      <c r="X7" s="352"/>
      <c r="Y7" s="353"/>
      <c r="Z7" s="35"/>
    </row>
    <row r="8" spans="1:28" ht="18.75" customHeight="1">
      <c r="A8" s="322"/>
      <c r="B8" s="322"/>
      <c r="C8" s="322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324"/>
      <c r="Q8" s="325"/>
      <c r="R8" s="325"/>
      <c r="S8" s="337" t="s">
        <v>17</v>
      </c>
      <c r="T8" s="337"/>
      <c r="U8" s="337"/>
      <c r="V8" s="338">
        <f>IF(K5="","",1/K5)</f>
        <v>2.2222222222222223E-2</v>
      </c>
      <c r="W8" s="339"/>
      <c r="X8" s="114"/>
      <c r="Y8" s="115">
        <f>IFERROR((V8*X8)," ")</f>
        <v>0</v>
      </c>
      <c r="Z8" s="35"/>
    </row>
    <row r="9" spans="1:28" ht="12" customHeight="1">
      <c r="A9" s="290"/>
      <c r="B9" s="290"/>
      <c r="C9" s="290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6" t="s">
        <v>18</v>
      </c>
      <c r="T9" s="336"/>
      <c r="U9" s="324" t="s">
        <v>19</v>
      </c>
      <c r="V9" s="324"/>
      <c r="W9" s="324" t="s">
        <v>20</v>
      </c>
      <c r="X9" s="324"/>
      <c r="Y9" s="324"/>
    </row>
    <row r="10" spans="1:28" ht="17.25" customHeight="1">
      <c r="A10" s="272" t="s">
        <v>218</v>
      </c>
      <c r="B10" s="272"/>
      <c r="C10" s="273"/>
      <c r="D10" s="285" t="s">
        <v>1150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t="shared" ref="O10:O31" si="0">IFERROR(IF(D10="","",INDEX(Tabla_Completa,MATCH(D10,Materiales,0),6)),"")</f>
        <v/>
      </c>
      <c r="P10" s="278"/>
      <c r="Q10" s="279">
        <v>0.05</v>
      </c>
      <c r="R10" s="280"/>
      <c r="S10" s="281">
        <f>IFERROR(IF(Q10="Unidad","1",(Q10*$K$5)),"")</f>
        <v>2.25</v>
      </c>
      <c r="T10" s="282"/>
      <c r="U10" s="283"/>
      <c r="V10" s="289"/>
      <c r="W10" s="284" t="str">
        <f>IFERROR(IF(D10="","",INDEX(Tabla_Completa,MATCH('Soli_citud '!D10,Materiales,0),7)*S10),"")</f>
        <v/>
      </c>
      <c r="X10" s="284"/>
      <c r="Y10" s="284"/>
      <c r="Z10" s="39"/>
    </row>
    <row r="11" spans="1:28" ht="17.25" customHeight="1">
      <c r="A11" s="271" t="s">
        <v>42</v>
      </c>
      <c r="B11" s="272"/>
      <c r="C11" s="273"/>
      <c r="D11" s="285" t="s">
        <v>261</v>
      </c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t="shared" si="0"/>
        <v>Lámina</v>
      </c>
      <c r="P11" s="278"/>
      <c r="Q11" s="279">
        <v>0.05</v>
      </c>
      <c r="R11" s="280"/>
      <c r="S11" s="281">
        <f t="shared" ref="S11:S31" si="1">IFERROR(IF(Q11="Unidad","1",(Q11*$K$5)),"")</f>
        <v>2.25</v>
      </c>
      <c r="T11" s="282"/>
      <c r="U11" s="283"/>
      <c r="V11" s="283"/>
      <c r="W11" s="284">
        <f>IFERROR(IF(D11="","",INDEX(Tabla_Completa,MATCH('Soli_citud '!D11,Materiales,0),7)*S11),"")</f>
        <v>113062.5</v>
      </c>
      <c r="X11" s="284"/>
      <c r="Y11" s="284"/>
    </row>
    <row r="12" spans="1:28" ht="15.75" customHeight="1">
      <c r="A12" s="271" t="s">
        <v>31</v>
      </c>
      <c r="B12" s="272"/>
      <c r="C12" s="273"/>
      <c r="D12" s="288" t="s">
        <v>1151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t="shared" ref="O12" si="2">IFERROR(IF(D12="","",INDEX(Tabla_Completa,MATCH(D12,Materiales,0),6)),"")</f>
        <v/>
      </c>
      <c r="P12" s="278"/>
      <c r="Q12" s="279">
        <v>3</v>
      </c>
      <c r="R12" s="280"/>
      <c r="S12" s="281">
        <f t="shared" si="1"/>
        <v>135</v>
      </c>
      <c r="T12" s="282"/>
      <c r="U12" s="283"/>
      <c r="V12" s="283"/>
      <c r="W12" s="284" t="str">
        <f>IFERROR(IF(D12="","",INDEX(Tabla_Completa,MATCH('Soli_citud '!D12,Materiales,0),7)*S12),"")</f>
        <v/>
      </c>
      <c r="X12" s="284"/>
      <c r="Y12" s="284"/>
    </row>
    <row r="13" spans="1:28" ht="15.75" customHeight="1">
      <c r="A13" s="271" t="s">
        <v>218</v>
      </c>
      <c r="B13" s="272"/>
      <c r="C13" s="273"/>
      <c r="D13" s="285" t="s">
        <v>280</v>
      </c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t="shared" si="0"/>
        <v>cm2</v>
      </c>
      <c r="P13" s="278"/>
      <c r="Q13" s="279">
        <v>5</v>
      </c>
      <c r="R13" s="280"/>
      <c r="S13" s="281">
        <f t="shared" si="1"/>
        <v>225</v>
      </c>
      <c r="T13" s="282"/>
      <c r="U13" s="283"/>
      <c r="V13" s="283"/>
      <c r="W13" s="284">
        <f>IFERROR(IF(D13="","",INDEX(Tabla_Completa,MATCH('Soli_citud '!D13,Materiales,0),7)*S13),"")</f>
        <v>12857.142857142859</v>
      </c>
      <c r="X13" s="284"/>
      <c r="Y13" s="284"/>
    </row>
    <row r="14" spans="1:28" ht="17.25" customHeight="1">
      <c r="A14" s="271" t="s">
        <v>972</v>
      </c>
      <c r="B14" s="272"/>
      <c r="C14" s="273"/>
      <c r="D14" s="285" t="s">
        <v>991</v>
      </c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si="0"/>
        <v>gal</v>
      </c>
      <c r="P14" s="278"/>
      <c r="Q14" s="279">
        <v>0.02</v>
      </c>
      <c r="R14" s="280"/>
      <c r="S14" s="281">
        <f t="shared" si="1"/>
        <v>0.9</v>
      </c>
      <c r="T14" s="282"/>
      <c r="U14" s="283"/>
      <c r="V14" s="283"/>
      <c r="W14" s="284">
        <f>IFERROR(IF(D14="","",INDEX(Tabla_Completa,MATCH('Soli_citud '!D14,Materiales,0),7)*S14),"")</f>
        <v>0</v>
      </c>
      <c r="X14" s="284"/>
      <c r="Y14" s="284"/>
    </row>
    <row r="15" spans="1:28" ht="15.75" customHeight="1">
      <c r="A15" s="271" t="s">
        <v>972</v>
      </c>
      <c r="B15" s="272"/>
      <c r="C15" s="273"/>
      <c r="D15" s="285" t="s">
        <v>1152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si="0"/>
        <v/>
      </c>
      <c r="P15" s="278"/>
      <c r="Q15" s="279">
        <v>2</v>
      </c>
      <c r="R15" s="280"/>
      <c r="S15" s="281">
        <f t="shared" si="1"/>
        <v>90</v>
      </c>
      <c r="T15" s="282"/>
      <c r="U15" s="283"/>
      <c r="V15" s="283"/>
      <c r="W15" s="284" t="str">
        <f>IFERROR(IF(D15="","",INDEX(Tabla_Completa,MATCH('Soli_citud '!D15,Materiales,0),7)*S15),"")</f>
        <v/>
      </c>
      <c r="X15" s="284"/>
      <c r="Y15" s="284"/>
    </row>
    <row r="16" spans="1:28" ht="15.75" customHeight="1">
      <c r="A16" s="271" t="s">
        <v>34</v>
      </c>
      <c r="B16" s="272"/>
      <c r="C16" s="273"/>
      <c r="D16" s="285" t="s">
        <v>344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si="0"/>
        <v>U</v>
      </c>
      <c r="P16" s="278"/>
      <c r="Q16" s="279">
        <v>1</v>
      </c>
      <c r="R16" s="280"/>
      <c r="S16" s="281">
        <f t="shared" si="1"/>
        <v>45</v>
      </c>
      <c r="T16" s="282"/>
      <c r="U16" s="283"/>
      <c r="V16" s="283"/>
      <c r="W16" s="284">
        <f>IFERROR(IF(D16="","",INDEX(Tabla_Completa,MATCH('Soli_citud '!D16,Materiales,0),7)*S16),"")</f>
        <v>108000</v>
      </c>
      <c r="X16" s="284"/>
      <c r="Y16" s="284"/>
    </row>
    <row r="17" spans="1:25" ht="15.75" customHeight="1">
      <c r="A17" s="271" t="s">
        <v>34</v>
      </c>
      <c r="B17" s="272"/>
      <c r="C17" s="273"/>
      <c r="D17" s="288" t="s">
        <v>386</v>
      </c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si="0"/>
        <v>U</v>
      </c>
      <c r="P17" s="278"/>
      <c r="Q17" s="279">
        <v>4</v>
      </c>
      <c r="R17" s="280"/>
      <c r="S17" s="281">
        <f t="shared" si="1"/>
        <v>180</v>
      </c>
      <c r="T17" s="282"/>
      <c r="U17" s="283"/>
      <c r="V17" s="283"/>
      <c r="W17" s="284">
        <f>IFERROR(IF(D17="","",INDEX(Tabla_Completa,MATCH('Soli_citud '!D17,Materiales,0),7)*S17),"")</f>
        <v>67500</v>
      </c>
      <c r="X17" s="284"/>
      <c r="Y17" s="284"/>
    </row>
    <row r="18" spans="1:25" ht="15.75" customHeight="1">
      <c r="A18" s="271" t="s">
        <v>824</v>
      </c>
      <c r="B18" s="272"/>
      <c r="C18" s="273"/>
      <c r="D18" s="285" t="s">
        <v>857</v>
      </c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si="0"/>
        <v>U</v>
      </c>
      <c r="P18" s="278"/>
      <c r="Q18" s="279">
        <v>0.05</v>
      </c>
      <c r="R18" s="280"/>
      <c r="S18" s="281">
        <f t="shared" si="1"/>
        <v>2.25</v>
      </c>
      <c r="T18" s="282"/>
      <c r="U18" s="283"/>
      <c r="V18" s="283"/>
      <c r="W18" s="284">
        <f>IFERROR(IF(D18="","",INDEX(Tabla_Completa,MATCH('Soli_citud '!D18,Materiales,0),7)*S18),"")</f>
        <v>21425.644067796609</v>
      </c>
      <c r="X18" s="284"/>
      <c r="Y18" s="284"/>
    </row>
    <row r="19" spans="1:25" ht="15.75">
      <c r="A19" s="271" t="s">
        <v>824</v>
      </c>
      <c r="B19" s="272"/>
      <c r="C19" s="273"/>
      <c r="D19" s="274" t="s">
        <v>854</v>
      </c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si="0"/>
        <v>Pliego</v>
      </c>
      <c r="P19" s="278"/>
      <c r="Q19" s="279">
        <v>0.3</v>
      </c>
      <c r="R19" s="280"/>
      <c r="S19" s="281">
        <f t="shared" si="1"/>
        <v>13.5</v>
      </c>
      <c r="T19" s="282"/>
      <c r="U19" s="283"/>
      <c r="V19" s="283"/>
      <c r="W19" s="284">
        <f>IFERROR(IF(D19="","",INDEX(Tabla_Completa,MATCH('Soli_citud '!D19,Materiales,0),7)*S19),"")</f>
        <v>21372.57</v>
      </c>
      <c r="X19" s="284"/>
      <c r="Y19" s="284"/>
    </row>
    <row r="20" spans="1:25" ht="15.75">
      <c r="A20" s="271" t="s">
        <v>25</v>
      </c>
      <c r="B20" s="272"/>
      <c r="C20" s="273"/>
      <c r="D20" s="274" t="s">
        <v>1153</v>
      </c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si="0"/>
        <v/>
      </c>
      <c r="P20" s="278"/>
      <c r="Q20" s="279">
        <v>0.02</v>
      </c>
      <c r="R20" s="280"/>
      <c r="S20" s="281">
        <f t="shared" si="1"/>
        <v>0.9</v>
      </c>
      <c r="T20" s="282"/>
      <c r="U20" s="283"/>
      <c r="V20" s="283"/>
      <c r="W20" s="284" t="str">
        <f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5" t="s">
        <v>21</v>
      </c>
      <c r="B39" s="365"/>
      <c r="C39" s="365"/>
      <c r="D39" s="366" t="s">
        <v>22</v>
      </c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3" t="s">
        <v>24</v>
      </c>
      <c r="B44" s="363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N44" s="355" t="s">
        <v>25</v>
      </c>
      <c r="O44" s="355"/>
      <c r="P44" s="355"/>
      <c r="Q44" s="355"/>
      <c r="R44" s="361" t="s">
        <v>26</v>
      </c>
      <c r="S44" s="361"/>
      <c r="T44" s="361"/>
      <c r="U44" s="361"/>
      <c r="V44" s="361"/>
      <c r="W44" s="361"/>
      <c r="X44" s="361"/>
    </row>
    <row r="45" spans="1:24" ht="29.25" customHeight="1">
      <c r="A45" s="364" t="s">
        <v>27</v>
      </c>
      <c r="B45" s="364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N45" s="355" t="s">
        <v>28</v>
      </c>
      <c r="O45" s="355"/>
      <c r="P45" s="355"/>
      <c r="Q45" s="355"/>
      <c r="R45" s="362" t="s">
        <v>29</v>
      </c>
      <c r="S45" s="362"/>
      <c r="T45" s="362"/>
      <c r="U45" s="362"/>
      <c r="V45" s="362"/>
      <c r="W45" s="362"/>
      <c r="X45" s="362"/>
    </row>
    <row r="46" spans="1:24" ht="31.5" customHeight="1">
      <c r="A46" s="357" t="s">
        <v>30</v>
      </c>
      <c r="B46" s="357"/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N46" s="355" t="s">
        <v>31</v>
      </c>
      <c r="O46" s="355"/>
      <c r="P46" s="355"/>
      <c r="Q46" s="355"/>
      <c r="R46" s="354" t="s">
        <v>32</v>
      </c>
      <c r="S46" s="354"/>
      <c r="T46" s="354"/>
      <c r="U46" s="354"/>
      <c r="V46" s="354"/>
      <c r="W46" s="354"/>
      <c r="X46" s="354"/>
    </row>
    <row r="47" spans="1:24" ht="28.5" customHeight="1">
      <c r="A47" s="358" t="s">
        <v>33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N47" s="355" t="s">
        <v>34</v>
      </c>
      <c r="O47" s="355"/>
      <c r="P47" s="355"/>
      <c r="Q47" s="355"/>
      <c r="R47" s="354" t="s">
        <v>35</v>
      </c>
      <c r="S47" s="354"/>
      <c r="T47" s="354"/>
      <c r="U47" s="354"/>
      <c r="V47" s="354"/>
      <c r="W47" s="354"/>
      <c r="X47" s="354"/>
    </row>
    <row r="48" spans="1:24" ht="42.75" customHeight="1">
      <c r="A48" s="359" t="s">
        <v>36</v>
      </c>
      <c r="B48" s="359"/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N48" s="355" t="s">
        <v>37</v>
      </c>
      <c r="O48" s="355"/>
      <c r="P48" s="355"/>
      <c r="Q48" s="355"/>
      <c r="R48" s="354" t="s">
        <v>38</v>
      </c>
      <c r="S48" s="354"/>
      <c r="T48" s="354"/>
      <c r="U48" s="354"/>
      <c r="V48" s="354"/>
      <c r="W48" s="354"/>
      <c r="X48" s="354"/>
    </row>
    <row r="49" spans="1:24" ht="36" customHeight="1">
      <c r="A49" s="359" t="s">
        <v>39</v>
      </c>
      <c r="B49" s="359"/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N49" s="356" t="s">
        <v>40</v>
      </c>
      <c r="O49" s="356"/>
      <c r="P49" s="356"/>
      <c r="Q49" s="356"/>
      <c r="R49" s="362" t="s">
        <v>41</v>
      </c>
      <c r="S49" s="362"/>
      <c r="T49" s="362"/>
      <c r="U49" s="362"/>
      <c r="V49" s="362"/>
      <c r="W49" s="362"/>
      <c r="X49" s="362"/>
    </row>
    <row r="50" spans="1:24" ht="15.75">
      <c r="A50" s="360"/>
      <c r="B50" s="360"/>
      <c r="C50" s="360"/>
      <c r="D50" s="360"/>
      <c r="N50" s="355" t="s">
        <v>42</v>
      </c>
      <c r="O50" s="355"/>
      <c r="P50" s="355"/>
      <c r="Q50" s="355"/>
      <c r="R50" s="354" t="s">
        <v>43</v>
      </c>
      <c r="S50" s="354"/>
      <c r="T50" s="354"/>
      <c r="U50" s="354"/>
      <c r="V50" s="354"/>
      <c r="W50" s="354"/>
      <c r="X50" s="354"/>
    </row>
    <row r="51" spans="1:24" ht="15.75">
      <c r="N51" s="355" t="s">
        <v>44</v>
      </c>
      <c r="O51" s="355"/>
      <c r="P51" s="355"/>
      <c r="Q51" s="355"/>
      <c r="R51" s="354" t="s">
        <v>45</v>
      </c>
      <c r="S51" s="354"/>
      <c r="T51" s="354"/>
      <c r="U51" s="354"/>
      <c r="V51" s="354"/>
      <c r="W51" s="354"/>
      <c r="X51" s="354"/>
    </row>
    <row r="52" spans="1:24" ht="15.75">
      <c r="N52" s="355" t="s">
        <v>46</v>
      </c>
      <c r="O52" s="355"/>
      <c r="P52" s="355"/>
      <c r="Q52" s="355"/>
      <c r="R52" s="354" t="s">
        <v>35</v>
      </c>
      <c r="S52" s="354"/>
      <c r="T52" s="354"/>
      <c r="U52" s="354"/>
      <c r="V52" s="354"/>
      <c r="W52" s="354"/>
      <c r="X52" s="35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zoomScaleNormal="100" workbookViewId="0">
      <pane ySplit="5" topLeftCell="A6" activePane="bottomLeft" state="frozen"/>
      <selection activeCell="D13" sqref="D13:N13"/>
      <selection pane="bottomLeft" activeCell="K16" sqref="K16:L16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7"/>
      <c r="B1" s="397"/>
      <c r="C1" s="398" t="s">
        <v>47</v>
      </c>
      <c r="D1" s="398"/>
      <c r="E1" s="398"/>
      <c r="F1" s="398"/>
      <c r="G1" s="398"/>
      <c r="H1" s="398"/>
      <c r="I1" s="402" t="s">
        <v>48</v>
      </c>
      <c r="J1" s="403"/>
      <c r="K1" s="403"/>
      <c r="L1" s="404"/>
      <c r="M1" s="399">
        <f>IF('Soli_citud '!O1="","",'Soli_citud '!O1)</f>
        <v>45716</v>
      </c>
      <c r="N1" s="399"/>
    </row>
    <row r="2" spans="1:19" ht="15.75" customHeight="1">
      <c r="A2" s="397"/>
      <c r="B2" s="397"/>
      <c r="C2" s="398"/>
      <c r="D2" s="398"/>
      <c r="E2" s="398"/>
      <c r="F2" s="398"/>
      <c r="G2" s="398"/>
      <c r="H2" s="398"/>
      <c r="I2" s="405" t="s">
        <v>49</v>
      </c>
      <c r="J2" s="406"/>
      <c r="K2" s="406"/>
      <c r="L2" s="407"/>
      <c r="M2" s="400" t="str">
        <f>'Soli_citud '!F1</f>
        <v>ER2802-1</v>
      </c>
      <c r="N2" s="400"/>
    </row>
    <row r="3" spans="1:19" ht="15.75" customHeight="1">
      <c r="A3" s="397"/>
      <c r="B3" s="397"/>
      <c r="C3" s="398"/>
      <c r="D3" s="398"/>
      <c r="E3" s="398"/>
      <c r="F3" s="398"/>
      <c r="G3" s="398"/>
      <c r="H3" s="398"/>
      <c r="I3" s="401" t="s">
        <v>50</v>
      </c>
      <c r="J3" s="401"/>
      <c r="K3" s="401"/>
      <c r="L3" s="401"/>
      <c r="M3" s="408">
        <f>IF('Soli_citud '!O3="","",'Soli_citud '!O3)</f>
        <v>3163082</v>
      </c>
      <c r="N3" s="409"/>
      <c r="O3" s="367" t="str" cm="1">
        <f t="array" ref="O3">IFERROR(_xlfn.IFS(L4="Calzado Producción","Entrega de Producto",L4="Marroquinería  Producción","Entrega Producto"),"")</f>
        <v/>
      </c>
      <c r="P3" s="367"/>
    </row>
    <row r="4" spans="1:19" ht="15.75" customHeight="1">
      <c r="A4" s="397"/>
      <c r="B4" s="397"/>
      <c r="C4" s="398"/>
      <c r="D4" s="398"/>
      <c r="E4" s="398"/>
      <c r="F4" s="398"/>
      <c r="G4" s="398"/>
      <c r="H4" s="398"/>
      <c r="I4" s="393" t="s">
        <v>51</v>
      </c>
      <c r="J4" s="393"/>
      <c r="K4" s="393"/>
      <c r="L4" s="394" t="str">
        <f>IF('Soli_citud '!O4="","",'Soli_citud '!O4)</f>
        <v>Marroquinería Formación</v>
      </c>
      <c r="M4" s="394"/>
      <c r="N4" s="394"/>
      <c r="O4" s="367"/>
      <c r="P4" s="367"/>
    </row>
    <row r="5" spans="1:19" ht="2.25" customHeight="1"/>
    <row r="6" spans="1:19" ht="25.5" customHeight="1">
      <c r="A6" s="395" t="s">
        <v>52</v>
      </c>
      <c r="B6" s="395"/>
      <c r="C6" s="395"/>
      <c r="D6" s="411" t="s">
        <v>53</v>
      </c>
      <c r="E6" s="411"/>
      <c r="F6" s="411"/>
      <c r="G6" s="411"/>
      <c r="H6" s="412"/>
      <c r="I6" s="376" t="s">
        <v>54</v>
      </c>
      <c r="J6" s="377"/>
      <c r="K6" s="377"/>
      <c r="L6" s="377"/>
      <c r="M6" s="380"/>
      <c r="N6" s="381"/>
      <c r="O6" s="378" t="str">
        <f>IF(O3="","","Valor de Producción ($)")</f>
        <v/>
      </c>
      <c r="P6" s="378"/>
    </row>
    <row r="7" spans="1:19" ht="3" customHeight="1">
      <c r="A7" s="395"/>
      <c r="B7" s="395"/>
      <c r="C7" s="395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79" t="str">
        <f>IFERROR(IF(O3="","",F9*L10),"")</f>
        <v/>
      </c>
      <c r="P7" s="379"/>
    </row>
    <row r="8" spans="1:19" ht="20.25" customHeight="1">
      <c r="A8" s="396">
        <f>IF('Soli_citud '!D5&lt;= 0,"",'Soli_citud '!D5)</f>
        <v>7649.2857094430983</v>
      </c>
      <c r="B8" s="396"/>
      <c r="C8" s="396"/>
      <c r="D8" s="413" t="s">
        <v>55</v>
      </c>
      <c r="E8" s="414"/>
      <c r="F8" s="414"/>
      <c r="G8" s="414"/>
      <c r="H8" s="415"/>
      <c r="I8" s="416" t="str">
        <f>IF('Soli_citud '!E2="","",'Soli_citud '!E2)</f>
        <v>Emely Rivera Delgado</v>
      </c>
      <c r="J8" s="417"/>
      <c r="K8" s="417"/>
      <c r="L8" s="417"/>
      <c r="M8" s="417"/>
      <c r="N8" s="417"/>
      <c r="O8" s="379"/>
      <c r="P8" s="379"/>
    </row>
    <row r="9" spans="1:19" ht="3.75" customHeight="1">
      <c r="A9" s="419" t="s">
        <v>56</v>
      </c>
      <c r="B9" s="419"/>
      <c r="C9" s="389"/>
      <c r="D9" s="418" t="s">
        <v>57</v>
      </c>
      <c r="E9" s="418"/>
      <c r="F9" s="382" t="str">
        <f>IFERROR(IF(C9="","",ROUNDUP(A8*(1+C9),-2)),"")</f>
        <v/>
      </c>
      <c r="G9" s="383"/>
      <c r="H9" s="384"/>
      <c r="I9" s="116"/>
      <c r="J9" s="116"/>
      <c r="K9" s="116"/>
      <c r="L9" s="116"/>
      <c r="M9" s="116"/>
      <c r="N9" s="116"/>
    </row>
    <row r="10" spans="1:19" ht="27.75" customHeight="1">
      <c r="A10" s="420"/>
      <c r="B10" s="420"/>
      <c r="C10" s="389"/>
      <c r="D10" s="418"/>
      <c r="E10" s="418"/>
      <c r="F10" s="385"/>
      <c r="G10" s="386"/>
      <c r="H10" s="387"/>
      <c r="I10" s="374" t="s">
        <v>58</v>
      </c>
      <c r="J10" s="374"/>
      <c r="K10" s="375"/>
      <c r="L10" s="270">
        <f>'Soli_citud '!K5</f>
        <v>45</v>
      </c>
      <c r="M10" s="370" t="s">
        <v>59</v>
      </c>
      <c r="N10" s="371"/>
      <c r="O10" s="121" t="s">
        <v>60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61</v>
      </c>
      <c r="B11" s="390" t="s">
        <v>62</v>
      </c>
      <c r="C11" s="391"/>
      <c r="D11" s="391"/>
      <c r="E11" s="392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372" t="s">
        <v>19</v>
      </c>
      <c r="L11" s="373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88" t="str">
        <f>IFERROR(IF('Soli_citud '!D10="","",'Soli_citud '!D10),"")</f>
        <v>LAMBRILLA</v>
      </c>
      <c r="C12" s="388"/>
      <c r="D12" s="388"/>
      <c r="E12" s="388"/>
      <c r="F12" s="249" t="str">
        <f>IF('Soli_citud '!O10="","",'Soli_citud '!O10)</f>
        <v/>
      </c>
      <c r="G12" s="249" cm="1">
        <f t="array" ref="G12">_xlfn.IFS('Soli_citud '!S10="","",'Soli_citud '!S10&lt;=0,"",'Soli_citud '!S10&gt;0,'Soli_citud '!S10)</f>
        <v>2.25</v>
      </c>
      <c r="H12" s="250"/>
      <c r="I12" s="251"/>
      <c r="J12" s="221" cm="1">
        <f t="array" ref="J12">IFERROR(_xlfn.IFS(G12="","",I12=G12,"Cumplido",I12&lt;G12,G12-I12,I12&gt;G12,"Revisar"),"")</f>
        <v>2.25</v>
      </c>
      <c r="K12" s="368"/>
      <c r="L12" s="369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8" t="str">
        <f>IFERROR(IF('Soli_citud '!D11="","",'Soli_citud '!D11),"")</f>
        <v xml:space="preserve">D60 HD FOAM      </v>
      </c>
      <c r="C13" s="388"/>
      <c r="D13" s="388"/>
      <c r="E13" s="388"/>
      <c r="F13" s="249" t="str">
        <f>IF('Soli_citud '!O11="","",'Soli_citud '!O11)</f>
        <v>Lámina</v>
      </c>
      <c r="G13" s="249" cm="1">
        <f t="array" ref="G13">_xlfn.IFS('Soli_citud '!S11="","",'Soli_citud '!S11&lt;=0,"",'Soli_citud '!S11&gt;0,'Soli_citud '!S11)</f>
        <v>2.25</v>
      </c>
      <c r="H13" s="250"/>
      <c r="I13" s="252"/>
      <c r="J13" s="221" cm="1">
        <f t="array" ref="J13">IFERROR(_xlfn.IFS(G13="","",I13=G13,"Cumplido",I13&lt;G13,G13-I13,I13&gt;G13,"Revisar"),"")</f>
        <v>2.25</v>
      </c>
      <c r="K13" s="368"/>
      <c r="L13" s="369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8" t="str">
        <f>IFERROR(IF('Soli_citud '!D12="","",'Soli_citud '!D12),"")</f>
        <v>RETAL</v>
      </c>
      <c r="C14" s="388"/>
      <c r="D14" s="388"/>
      <c r="E14" s="388"/>
      <c r="F14" s="249" t="str">
        <f>IF('Soli_citud '!O12="","",'Soli_citud '!O12)</f>
        <v/>
      </c>
      <c r="G14" s="249" cm="1">
        <f t="array" ref="G14">_xlfn.IFS('Soli_citud '!S12="","",'Soli_citud '!S12&lt;=0,"",'Soli_citud '!S12&gt;0,'Soli_citud '!S12)</f>
        <v>135</v>
      </c>
      <c r="H14" s="253"/>
      <c r="I14" s="252"/>
      <c r="J14" s="221" cm="1">
        <f t="array" ref="J14">IFERROR(_xlfn.IFS(G14="","",I14=G14,"Cumplido",I14&lt;G14,G14-I14,I14&gt;G14,"Revisar"),"")</f>
        <v>135</v>
      </c>
      <c r="K14" s="368"/>
      <c r="L14" s="369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8" t="str">
        <f>IFERROR(IF('Soli_citud '!D13="","",'Soli_citud '!D13),"")</f>
        <v>ODENA 0,5 mm</v>
      </c>
      <c r="C15" s="388"/>
      <c r="D15" s="388"/>
      <c r="E15" s="388"/>
      <c r="F15" s="249" t="str">
        <f>IF('Soli_citud '!O13="","",'Soli_citud '!O13)</f>
        <v>cm2</v>
      </c>
      <c r="G15" s="249" cm="1">
        <f t="array" ref="G15">_xlfn.IFS('Soli_citud '!S13="","",'Soli_citud '!S13&lt;=0,"",'Soli_citud '!S13&gt;0,'Soli_citud '!S13)</f>
        <v>225</v>
      </c>
      <c r="H15" s="253"/>
      <c r="I15" s="252"/>
      <c r="J15" s="221" cm="1">
        <f t="array" ref="J15">IFERROR(_xlfn.IFS(G15="","",I15=G15,"Cumplido",I15&lt;G15,G15-I15,I15&gt;G15,"Revisar"),"")</f>
        <v>225</v>
      </c>
      <c r="K15" s="368"/>
      <c r="L15" s="369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8" t="str">
        <f>IFERROR(IF('Soli_citud '!D14="","",'Soli_citud '!D14),"")</f>
        <v>Cemento de contacto</v>
      </c>
      <c r="C16" s="388"/>
      <c r="D16" s="388"/>
      <c r="E16" s="388"/>
      <c r="F16" s="249" t="str">
        <f>IF('Soli_citud '!O14="","",'Soli_citud '!O14)</f>
        <v>gal</v>
      </c>
      <c r="G16" s="249" cm="1">
        <f t="array" ref="G16">_xlfn.IFS('Soli_citud '!S14="","",'Soli_citud '!S14&lt;=0,"",'Soli_citud '!S14&gt;0,'Soli_citud '!S14)</f>
        <v>0.9</v>
      </c>
      <c r="H16" s="253"/>
      <c r="I16" s="252"/>
      <c r="J16" s="221" cm="1">
        <f t="array" ref="J16">IFERROR(_xlfn.IFS(G16="","",I16=G16,"Cumplido",I16&lt;G16,G16-I16,I16&gt;G16,"Revisar"),"")</f>
        <v>0.9</v>
      </c>
      <c r="K16" s="368"/>
      <c r="L16" s="369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8" t="str">
        <f>IFERROR(IF('Soli_citud '!D15="","",'Soli_citud '!D15),"")</f>
        <v>COLBON MADERA</v>
      </c>
      <c r="C17" s="388"/>
      <c r="D17" s="388"/>
      <c r="E17" s="388"/>
      <c r="F17" s="249" t="str">
        <f>IF('Soli_citud '!O15="","",'Soli_citud '!O15)</f>
        <v/>
      </c>
      <c r="G17" s="249" cm="1">
        <f t="array" ref="G17">_xlfn.IFS('Soli_citud '!S15="","",'Soli_citud '!S15&lt;=0,"",'Soli_citud '!S15&gt;0,'Soli_citud '!S15)</f>
        <v>90</v>
      </c>
      <c r="H17" s="253"/>
      <c r="I17" s="252"/>
      <c r="J17" s="221" cm="1">
        <f t="array" ref="J17">IFERROR(_xlfn.IFS(G17="","",I17=G17,"Cumplido",I17&lt;G17,G17-I17,I17&gt;G17,"Revisar"),"")</f>
        <v>90</v>
      </c>
      <c r="K17" s="368"/>
      <c r="L17" s="369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8" t="str">
        <f>IFERROR(IF('Soli_citud '!D16="","",'Soli_citud '!D16),"")</f>
        <v>ARGOLLA MOSQUETÓN 1"</v>
      </c>
      <c r="C18" s="388"/>
      <c r="D18" s="388"/>
      <c r="E18" s="388"/>
      <c r="F18" s="249" t="str">
        <f>IF('Soli_citud '!O16="","",'Soli_citud '!O16)</f>
        <v>U</v>
      </c>
      <c r="G18" s="249" cm="1">
        <f t="array" ref="G18">_xlfn.IFS('Soli_citud '!S16="","",'Soli_citud '!S16&lt;=0,"",'Soli_citud '!S16&gt;0,'Soli_citud '!S16)</f>
        <v>45</v>
      </c>
      <c r="H18" s="253"/>
      <c r="I18" s="252"/>
      <c r="J18" s="221" cm="1">
        <f t="array" ref="J18">IFERROR(_xlfn.IFS(G18="","",I18=G18,"Cumplido",I18&lt;G18,G18-I18,I18&gt;G18,"Revisar"),"")</f>
        <v>45</v>
      </c>
      <c r="K18" s="368"/>
      <c r="L18" s="369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8" t="str">
        <f>IFERROR(IF('Soli_citud '!D17="","",'Soli_citud '!D17),"")</f>
        <v>BROCHE BILLETERA ORO, 10 MM</v>
      </c>
      <c r="C19" s="388"/>
      <c r="D19" s="388"/>
      <c r="E19" s="388"/>
      <c r="F19" s="249" t="str">
        <f>IF('Soli_citud '!O17="","",'Soli_citud '!O17)</f>
        <v>U</v>
      </c>
      <c r="G19" s="249" cm="1">
        <f t="array" ref="G19">_xlfn.IFS('Soli_citud '!S17="","",'Soli_citud '!S17&lt;=0,"",'Soli_citud '!S17&gt;0,'Soli_citud '!S17)</f>
        <v>180</v>
      </c>
      <c r="H19" s="253"/>
      <c r="I19" s="252"/>
      <c r="J19" s="221" cm="1">
        <f t="array" ref="J19">IFERROR(_xlfn.IFS(G19="","",I19=G19,"Cumplido",I19&lt;G19,G19-I19,I19&gt;G19,"Revisar"),"")</f>
        <v>180</v>
      </c>
      <c r="K19" s="368"/>
      <c r="L19" s="369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8" t="str">
        <f>IFERROR(IF('Soli_citud '!D18="","",'Soli_citud '!D18),"")</f>
        <v>CINTA DE ENMASCARAR  2 "</v>
      </c>
      <c r="C20" s="388"/>
      <c r="D20" s="388"/>
      <c r="E20" s="388"/>
      <c r="F20" s="249" t="str">
        <f>IF('Soli_citud '!O18="","",'Soli_citud '!O18)</f>
        <v>U</v>
      </c>
      <c r="G20" s="249" cm="1">
        <f t="array" ref="G20">_xlfn.IFS('Soli_citud '!S18="","",'Soli_citud '!S18&lt;=0,"",'Soli_citud '!S18&gt;0,'Soli_citud '!S18)</f>
        <v>2.25</v>
      </c>
      <c r="H20" s="253"/>
      <c r="I20" s="252"/>
      <c r="J20" s="221" cm="1">
        <f t="array" ref="J20">IFERROR(_xlfn.IFS(G20="","",I20=G20,"Cumplido",I20&lt;G20,G20-I20,I20&gt;G20,"Revisar"),"")</f>
        <v>2.25</v>
      </c>
      <c r="K20" s="368"/>
      <c r="L20" s="369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8" t="str">
        <f>IFERROR(IF('Soli_citud '!D19="","",'Soli_citud '!D19),"")</f>
        <v xml:space="preserve">CARTULINA PLANA </v>
      </c>
      <c r="C21" s="388"/>
      <c r="D21" s="388"/>
      <c r="E21" s="388"/>
      <c r="F21" s="249" t="str">
        <f>IF('Soli_citud '!O19="","",'Soli_citud '!O19)</f>
        <v>Pliego</v>
      </c>
      <c r="G21" s="249" cm="1">
        <f t="array" ref="G21">_xlfn.IFS('Soli_citud '!S19="","",'Soli_citud '!S19&lt;=0,"",'Soli_citud '!S19&gt;0,'Soli_citud '!S19)</f>
        <v>13.5</v>
      </c>
      <c r="H21" s="253"/>
      <c r="I21" s="252"/>
      <c r="J21" s="221" cm="1">
        <f t="array" ref="J21">IFERROR(_xlfn.IFS(G21="","",I21=G21,"Cumplido",I21&lt;G21,G21-I21,I21&gt;G21,"Revisar"),"")</f>
        <v>13.5</v>
      </c>
      <c r="K21" s="368"/>
      <c r="L21" s="369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8" t="str">
        <f>IFERROR(IF('Soli_citud '!D20="","",'Soli_citud '!D20),"")</f>
        <v>RESINA DOBLE COMPONENTE</v>
      </c>
      <c r="C22" s="388"/>
      <c r="D22" s="388"/>
      <c r="E22" s="388"/>
      <c r="F22" s="249" t="str">
        <f>IF('Soli_citud '!O20="","",'Soli_citud '!O20)</f>
        <v/>
      </c>
      <c r="G22" s="249" cm="1">
        <f t="array" ref="G22">_xlfn.IFS('Soli_citud '!S20="","",'Soli_citud '!S20&lt;=0,"",'Soli_citud '!S20&gt;0,'Soli_citud '!S20)</f>
        <v>0.9</v>
      </c>
      <c r="H22" s="253"/>
      <c r="I22" s="252"/>
      <c r="J22" s="221" cm="1">
        <f t="array" ref="J22">IFERROR(_xlfn.IFS(G22="","",I22=G22,"Cumplido",I22&lt;G22,G22-I22,I22&gt;G22,"Revisar"),"")</f>
        <v>0.9</v>
      </c>
      <c r="K22" s="368"/>
      <c r="L22" s="369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8" t="str">
        <f>IFERROR(IF('Soli_citud '!D21="","",'Soli_citud '!D21),"")</f>
        <v/>
      </c>
      <c r="C23" s="388"/>
      <c r="D23" s="388"/>
      <c r="E23" s="388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8"/>
      <c r="L23" s="369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8" t="str">
        <f>IFERROR(IF('Soli_citud '!D22="","",'Soli_citud '!D22),"")</f>
        <v/>
      </c>
      <c r="C24" s="388"/>
      <c r="D24" s="388"/>
      <c r="E24" s="388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8"/>
      <c r="L24" s="369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8" t="str">
        <f>IFERROR(IF('Soli_citud '!D23="","",'Soli_citud '!D23),"")</f>
        <v/>
      </c>
      <c r="C25" s="388"/>
      <c r="D25" s="388"/>
      <c r="E25" s="388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8"/>
      <c r="L25" s="369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8" t="str">
        <f>IFERROR(IF('Soli_citud '!D24="","",'Soli_citud '!D24),"")</f>
        <v/>
      </c>
      <c r="C26" s="388"/>
      <c r="D26" s="388"/>
      <c r="E26" s="388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8"/>
      <c r="L26" s="369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8" t="str">
        <f>IFERROR(IF('Soli_citud '!D25="","",'Soli_citud '!D25),"")</f>
        <v/>
      </c>
      <c r="C27" s="388"/>
      <c r="D27" s="388"/>
      <c r="E27" s="388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8"/>
      <c r="L27" s="369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8" t="str">
        <f>IFERROR(IF('Soli_citud '!D26="","",'Soli_citud '!D26),"")</f>
        <v/>
      </c>
      <c r="C28" s="388"/>
      <c r="D28" s="388"/>
      <c r="E28" s="388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8"/>
      <c r="L28" s="369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8" t="str">
        <f>IFERROR(IF('Soli_citud '!D27="","",'Soli_citud '!D27),"")</f>
        <v/>
      </c>
      <c r="C29" s="388"/>
      <c r="D29" s="388"/>
      <c r="E29" s="388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8"/>
      <c r="L29" s="369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8" t="str">
        <f>IFERROR(IF('Soli_citud '!D28="","",'Soli_citud '!D28),"")</f>
        <v/>
      </c>
      <c r="C30" s="388"/>
      <c r="D30" s="388"/>
      <c r="E30" s="388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8"/>
      <c r="L30" s="369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0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1:19">
      <c r="A32" s="410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sheetProtection algorithmName="SHA-512" hashValue="a4vsh4H2bMMo/HNQaPMrTZfpKodbLb6PmRyoFTTd7+tHCdnZ/l4sSm+GAimh37awgxDanOAF2rAaDwzo4ErN0w==" saltValue="uwTVUz0NejcyO8gi7iowWg==" spinCount="100000" sheet="1" objects="1" scenarios="1"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2"/>
      <c r="B1" s="422"/>
      <c r="C1" s="422"/>
      <c r="D1" s="422"/>
      <c r="E1" s="426" t="s">
        <v>74</v>
      </c>
      <c r="F1" s="426"/>
    </row>
    <row r="2" spans="1:10" ht="18.75" customHeight="1">
      <c r="A2" s="422"/>
      <c r="B2" s="422"/>
      <c r="C2" s="422"/>
      <c r="D2" s="422"/>
      <c r="E2" s="426"/>
      <c r="F2" s="426"/>
    </row>
    <row r="3" spans="1:10" ht="24" customHeight="1">
      <c r="A3" s="422"/>
      <c r="B3" s="422"/>
      <c r="C3" s="422"/>
      <c r="D3" s="422"/>
      <c r="E3" s="427">
        <f>SUM(Total_AdhySol,Total_SECUNDARIO_MEDULAR,Total_Cuero,Total_Herrajes,Total_Sint_y_Tex,Total_Suelas,Total_Herramientas)</f>
        <v>608</v>
      </c>
      <c r="F3" s="427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3"/>
      <c r="D6" s="424"/>
      <c r="H6" s="421" t="s">
        <v>76</v>
      </c>
      <c r="I6" s="421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5"/>
      <c r="D516" s="425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8"/>
      <c r="D562" s="429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5"/>
      <c r="D1011" s="425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0"/>
      <c r="D1071" s="429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5"/>
      <c r="D1112" s="425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5"/>
      <c r="D1159" s="425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5"/>
      <c r="D1259" s="425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5"/>
      <c r="D1353" s="425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2025-03-10T14:26:48Z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