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SOBRE ESTERILLADO TECNICO\"/>
    </mc:Choice>
  </mc:AlternateContent>
  <xr:revisionPtr revIDLastSave="0" documentId="13_ncr:1_{967AD3D9-62E5-44C0-AF12-E2BB502BF97B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W16" i="43" s="1"/>
  <c r="H18" i="6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/>
  <c r="O24" i="43"/>
  <c r="G26" i="6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3" i="43" l="1"/>
  <c r="W17" i="43"/>
  <c r="K14" i="61" a="1"/>
  <c r="K14" i="61" s="1"/>
  <c r="B14" i="61"/>
  <c r="O14" i="61"/>
  <c r="K24" i="61" a="1"/>
  <c r="K24" i="61" s="1"/>
  <c r="B24" i="61"/>
  <c r="O24" i="61"/>
  <c r="K23" i="61" a="1"/>
  <c r="K23" i="61" s="1"/>
  <c r="B23" i="61"/>
  <c r="O23" i="61"/>
  <c r="K13" i="61" a="1"/>
  <c r="K13" i="61" s="1"/>
  <c r="O13" i="61"/>
  <c r="B13" i="61"/>
  <c r="K12" i="61" a="1"/>
  <c r="K12" i="61" s="1"/>
  <c r="B12" i="61"/>
  <c r="O12" i="61"/>
  <c r="K21" i="61" a="1"/>
  <c r="K21" i="61" s="1"/>
  <c r="O21" i="61"/>
  <c r="B21" i="61"/>
  <c r="K22" i="61" a="1"/>
  <c r="K22" i="61" s="1"/>
  <c r="B22" i="61"/>
  <c r="O22" i="61"/>
  <c r="K25" i="61" a="1"/>
  <c r="K25" i="61" s="1"/>
  <c r="O25" i="61"/>
  <c r="B25" i="61"/>
  <c r="K30" i="61" a="1"/>
  <c r="K30" i="61" s="1"/>
  <c r="O30" i="61"/>
  <c r="B30" i="61"/>
  <c r="K20" i="61" a="1"/>
  <c r="K20" i="61" s="1"/>
  <c r="B20" i="61"/>
  <c r="O20" i="61"/>
  <c r="K29" i="61" a="1"/>
  <c r="K29" i="61" s="1"/>
  <c r="O29" i="61"/>
  <c r="B29" i="61"/>
  <c r="K19" i="61" a="1"/>
  <c r="K19" i="61" s="1"/>
  <c r="B19" i="61"/>
  <c r="O19" i="61"/>
  <c r="B28" i="61"/>
  <c r="O28" i="61"/>
  <c r="K28" i="61" a="1"/>
  <c r="K28" i="61" s="1"/>
  <c r="B27" i="61"/>
  <c r="O27" i="61"/>
  <c r="K27" i="61" a="1"/>
  <c r="K27" i="61" s="1"/>
  <c r="K18" i="61" a="1"/>
  <c r="K18" i="61" s="1"/>
  <c r="B18" i="61"/>
  <c r="O18" i="61"/>
  <c r="O32" i="61"/>
  <c r="K32" i="61" a="1"/>
  <c r="K32" i="61" s="1"/>
  <c r="B32" i="61"/>
  <c r="K17" i="61" a="1"/>
  <c r="K17" i="61" s="1"/>
  <c r="O17" i="61"/>
  <c r="B17" i="61"/>
  <c r="K31" i="61" a="1"/>
  <c r="K31" i="61" s="1"/>
  <c r="B31" i="61"/>
  <c r="O31" i="61"/>
  <c r="O26" i="61"/>
  <c r="K26" i="61" a="1"/>
  <c r="K26" i="61" s="1"/>
  <c r="B26" i="61"/>
  <c r="K16" i="61" a="1"/>
  <c r="K16" i="61" s="1"/>
  <c r="B16" i="61"/>
  <c r="O16" i="61"/>
  <c r="K15" i="61" a="1"/>
  <c r="K15" i="61" s="1"/>
  <c r="B15" i="61"/>
  <c r="O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<sst xmlns="http://schemas.openxmlformats.org/spreadsheetml/2006/main" count="5018" uniqueCount="1390">
  <si>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</si>
  <si>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</si>
  <si>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</si>
  <si>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</si>
  <si>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</si>
  <si>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</si>
  <si>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</si>
  <si>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</si>
  <si>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</si>
  <si>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</si>
  <si>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</si>
  <si>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</si>
  <si>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</si>
  <si>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</si>
  <si>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</si>
  <si>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</si>
  <si>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</si>
  <si>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</si>
  <si>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</si>
  <si>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</si>
  <si>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</si>
  <si>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</si>
  <si>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</si>
  <si>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</si>
  <si>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</si>
  <si>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</si>
  <si>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</si>
  <si>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</si>
  <si>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</si>
  <si>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</si>
  <si>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</si>
  <si>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</si>
  <si>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</si>
  <si>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</si>
  <si>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</si>
  <si>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</si>
  <si>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</si>
  <si>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</si>
  <si>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</si>
  <si>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</si>
  <si>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</si>
  <si>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</si>
  <si>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</si>
  <si>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</si>
  <si>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</si>
  <si>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</si>
  <si>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</si>
  <si>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</si>
  <si>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</si>
  <si>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</si>
  <si>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</si>
  <si>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</si>
  <si>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</si>
  <si>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</si>
  <si>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</si>
  <si>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</si>
  <si>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</si>
  <si>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</si>
  <si>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</si>
  <si>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</si>
  <si>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</si>
  <si>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</si>
  <si>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</si>
  <si>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</si>
  <si>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</si>
  <si>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</si>
  <si>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</si>
  <si>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</si>
  <si>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</si>
  <si>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</si>
  <si>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</si>
  <si>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</si>
  <si>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</si>
  <si>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</si>
  <si>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</si>
  <si>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</si>
  <si>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</si>
  <si>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</si>
  <si>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</si>
  <si>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</si>
  <si>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</si>
  <si>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</si>
  <si>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</si>
  <si>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</si>
  <si>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</si>
  <si>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</si>
  <si>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</si>
  <si>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</si>
  <si>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</si>
  <si>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</si>
  <si>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</si>
  <si>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</si>
  <si>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</si>
  <si>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</si>
  <si>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</si>
  <si>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</si>
  <si>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</si>
  <si>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</si>
  <si>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</si>
  <si>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</si>
  <si>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</si>
  <si>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</si>
  <si>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</si>
  <si>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</si>
  <si>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</si>
  <si>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</si>
  <si>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</si>
  <si>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</si>
  <si>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</si>
  <si>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</si>
  <si>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</si>
  <si>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</si>
  <si>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</si>
  <si>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</si>
  <si>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</si>
  <si>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</si>
  <si>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</si>
  <si>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</si>
  <si>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</si>
  <si>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</si>
  <si>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</si>
  <si>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</si>
  <si>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</si>
  <si>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</si>
  <si>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</si>
  <si>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</si>
  <si>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</si>
  <si>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</si>
  <si>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</si>
  <si>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</si>
  <si>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</si>
  <si>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</si>
  <si>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</si>
  <si>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</si>
  <si>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</si>
  <si>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</si>
  <si>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</si>
  <si>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</si>
  <si>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</si>
  <si>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</si>
  <si>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</si>
  <si>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</si>
  <si>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</si>
  <si>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</si>
  <si>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</si>
  <si>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</si>
  <si>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</si>
  <si>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</si>
  <si>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</si>
  <si>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</si>
  <si>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</si>
  <si>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</si>
  <si>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</si>
  <si>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</si>
  <si>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</si>
  <si>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</si>
  <si>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</si>
  <si>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</si>
  <si>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</si>
  <si>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</si>
  <si>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</si>
  <si>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</si>
  <si>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</si>
  <si>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</si>
  <si>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</si>
  <si>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</si>
  <si>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</si>
  <si>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</si>
  <si>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</si>
  <si>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</si>
  <si>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</si>
  <si>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</si>
  <si>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</si>
  <si>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</si>
  <si>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</si>
  <si>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</si>
  <si>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</si>
  <si>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</si>
  <si>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</si>
  <si>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</si>
  <si>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</si>
  <si>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</si>
  <si>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</si>
  <si>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</si>
  <si>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</si>
  <si>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</si>
  <si>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</si>
  <si>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</si>
  <si>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</si>
  <si>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</si>
  <si>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</si>
  <si>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</si>
  <si>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</si>
  <si>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</si>
  <si>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</si>
  <si>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</si>
  <si>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</si>
  <si>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</si>
  <si>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</si>
  <si>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</si>
  <si>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</si>
  <si>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</si>
  <si>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</si>
  <si>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</si>
  <si>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</si>
  <si>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</si>
  <si>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</si>
  <si>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</si>
  <si>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</si>
  <si>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</si>
  <si>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</si>
  <si>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</si>
  <si>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</si>
  <si>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</si>
  <si>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</si>
  <si>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</si>
  <si>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</si>
  <si>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</si>
  <si>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</si>
  <si>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</si>
  <si>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</si>
  <si>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</si>
  <si>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</si>
  <si>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</si>
  <si>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</si>
  <si>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</si>
  <si>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</si>
  <si>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</si>
  <si>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</si>
  <si>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</si>
  <si>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</si>
  <si>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</si>
  <si>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</si>
  <si>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</si>
  <si>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</si>
  <si>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</si>
  <si>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</si>
  <si>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</si>
  <si>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</si>
  <si>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</si>
  <si>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</si>
  <si>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</si>
  <si>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</si>
  <si>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</si>
  <si>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</si>
  <si>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</si>
  <si>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</si>
  <si>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</si>
  <si>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</si>
  <si>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</si>
  <si>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</si>
  <si>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</si>
  <si>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</si>
  <si>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</si>
  <si>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</si>
  <si>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</si>
  <si>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</si>
  <si>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</si>
  <si>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</si>
  <si>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</si>
  <si>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</si>
  <si>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</si>
  <si>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</si>
  <si>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</si>
  <si>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</si>
  <si>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</si>
  <si>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</si>
  <si>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</si>
  <si>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</si>
  <si>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</si>
  <si>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</si>
  <si>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</si>
  <si>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</si>
  <si>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</si>
  <si>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</si>
  <si>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</si>
  <si>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</si>
  <si>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</si>
  <si>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</si>
  <si>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</si>
  <si>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</si>
  <si>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</si>
  <si>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</si>
  <si>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</si>
  <si>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</si>
  <si>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</si>
  <si>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</si>
  <si>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</si>
  <si>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</si>
  <si>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</si>
  <si>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</si>
  <si>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</si>
  <si>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</si>
  <si>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</si>
  <si>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</si>
  <si>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</si>
  <si>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</si>
  <si>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</si>
  <si>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</si>
  <si>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</si>
  <si>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</si>
  <si>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</si>
  <si>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</si>
  <si>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</si>
  <si>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</si>
  <si>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</si>
  <si>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</si>
  <si>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</si>
  <si>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</si>
  <si>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</si>
  <si>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</si>
  <si>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</si>
  <si>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</si>
  <si>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</si>
  <si>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</si>
  <si>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</si>
  <si>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</si>
  <si>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</si>
  <si>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</si>
  <si>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</si>
  <si>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</si>
  <si>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</si>
  <si>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</si>
  <si>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</si>
  <si>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</si>
  <si>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</si>
  <si>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</si>
  <si>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</si>
  <si>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</si>
  <si>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</si>
  <si>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</si>
  <si>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</si>
  <si>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</si>
  <si>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</si>
  <si>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</si>
  <si>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</si>
  <si>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</si>
  <si>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</si>
  <si>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</si>
  <si>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</si>
  <si>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</si>
  <si>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</si>
  <si>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</si>
  <si>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</si>
  <si>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</si>
  <si>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</si>
  <si>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</si>
  <si>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</si>
  <si>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</si>
  <si>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</si>
  <si>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</si>
  <si>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</si>
  <si>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</si>
  <si>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</si>
  <si>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</si>
  <si>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</si>
  <si>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</si>
  <si>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</si>
  <si>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</si>
  <si>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</si>
  <si>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</si>
  <si>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</si>
  <si>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</si>
  <si>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</si>
  <si>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</si>
  <si>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</si>
  <si>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</si>
  <si>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</si>
  <si>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</si>
  <si>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</si>
  <si>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</si>
  <si>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</si>
  <si>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</si>
  <si>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</si>
  <si>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</si>
  <si>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</si>
  <si>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</si>
  <si>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</si>
  <si>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</si>
  <si>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</si>
  <si>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</si>
  <si>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</si>
  <si>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</si>
  <si>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</si>
  <si>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</si>
  <si>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</si>
  <si>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</si>
  <si>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</si>
  <si>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</si>
  <si>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</si>
  <si>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</si>
  <si>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</si>
  <si>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</si>
  <si>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</si>
  <si>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</si>
  <si>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</si>
  <si>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</si>
  <si>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</si>
  <si>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</si>
  <si>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</si>
  <si>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</si>
  <si>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</si>
  <si>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</si>
  <si>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</si>
  <si>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</si>
  <si>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</si>
  <si>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</si>
  <si>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</si>
  <si>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</si>
  <si>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</si>
  <si>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</si>
  <si>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</si>
  <si>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</si>
  <si>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</si>
  <si>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</si>
  <si>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</si>
  <si>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</si>
  <si>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</si>
  <si>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</si>
  <si>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</si>
  <si>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</si>
  <si>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</si>
  <si>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</si>
  <si>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</si>
  <si>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</si>
  <si>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</si>
  <si>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</si>
  <si>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</si>
  <si>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</si>
  <si>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</si>
  <si>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</si>
  <si>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</si>
  <si>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</si>
  <si>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</si>
  <si>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</si>
  <si>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</si>
  <si>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</si>
  <si>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</si>
  <si>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</si>
  <si>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</si>
  <si>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</si>
  <si>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</si>
  <si>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</si>
  <si>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</si>
  <si>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</si>
  <si>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</si>
  <si>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</si>
  <si>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</si>
  <si>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</si>
  <si>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</si>
  <si>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</si>
  <si>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</si>
  <si>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</si>
  <si>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</si>
  <si>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</si>
  <si>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</si>
  <si>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</si>
  <si>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</si>
  <si>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</si>
  <si>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</si>
  <si>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</si>
  <si>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</si>
  <si>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</si>
  <si>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</si>
  <si>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</si>
  <si>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</si>
  <si>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</si>
  <si>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</si>
  <si>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</si>
  <si>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</si>
  <si>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</si>
  <si>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</si>
  <si>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</si>
  <si>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</si>
  <si>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</si>
  <si>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</si>
  <si>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</si>
  <si>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</si>
  <si>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</si>
  <si>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</si>
  <si>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</si>
  <si>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</si>
  <si>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</si>
  <si>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</si>
  <si>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</si>
  <si>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</si>
  <si>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</si>
  <si>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</si>
  <si>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</si>
  <si>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</si>
  <si>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</si>
  <si>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</si>
  <si>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</si>
  <si>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</si>
  <si>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</si>
  <si>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</si>
  <si>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</si>
  <si>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</si>
  <si>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</si>
  <si>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</si>
  <si>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</si>
  <si>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</si>
  <si>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</si>
  <si>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</si>
  <si>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</si>
  <si>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</si>
  <si>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</si>
  <si>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</si>
  <si>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</si>
  <si>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</si>
  <si>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</si>
  <si>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</si>
  <si>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</si>
  <si>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</si>
  <si>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</si>
  <si>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</si>
  <si>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</si>
  <si>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</si>
  <si>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</si>
  <si>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</si>
  <si>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</si>
  <si>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</si>
  <si>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</si>
  <si>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</si>
  <si>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</si>
  <si>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</si>
  <si>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</si>
  <si>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</si>
  <si>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</si>
  <si>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</si>
  <si>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</si>
  <si>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</si>
  <si>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</si>
  <si>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</si>
  <si>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</si>
  <si>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</si>
  <si>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</si>
  <si>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</si>
  <si>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</si>
  <si>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</si>
  <si>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</si>
  <si>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</si>
  <si>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</si>
  <si>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</si>
  <si>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</si>
  <si>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</si>
  <si>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</si>
  <si>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</si>
  <si>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</si>
  <si>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</si>
  <si>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</si>
  <si>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</si>
  <si>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</si>
  <si>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</si>
  <si>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</si>
  <si>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</si>
  <si>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</si>
  <si>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</si>
  <si>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</si>
  <si>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</si>
  <si>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</si>
  <si>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</si>
  <si>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</si>
  <si>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</si>
  <si>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</si>
  <si>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</si>
  <si>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</si>
  <si>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</si>
  <si>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</si>
  <si>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</si>
  <si>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</si>
  <si>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</si>
  <si>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</si>
  <si>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</si>
  <si>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</si>
  <si>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</si>
  <si>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</si>
  <si>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</si>
  <si>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</si>
  <si>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</si>
  <si>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</si>
  <si>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</si>
  <si>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</si>
  <si>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</si>
  <si>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</si>
  <si>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</si>
  <si>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</si>
  <si>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</si>
  <si>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</si>
  <si>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</si>
  <si>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</si>
  <si>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</si>
  <si>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</si>
  <si>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</si>
  <si>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</si>
  <si>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</si>
  <si>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</si>
  <si>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</si>
  <si>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</si>
  <si>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</si>
  <si>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</si>
  <si>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</si>
  <si>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</si>
  <si>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</si>
  <si>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</si>
  <si>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</si>
  <si>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</si>
  <si>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</si>
  <si>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</si>
  <si>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</si>
  <si>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</si>
  <si>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</si>
  <si>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</si>
  <si>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</si>
  <si>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</si>
  <si>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</si>
  <si>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</si>
  <si>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</si>
  <si>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</si>
  <si>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</si>
  <si>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</si>
  <si>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</si>
  <si>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</si>
  <si>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</si>
  <si>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</si>
  <si>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</si>
  <si>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</si>
  <si>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</si>
  <si>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</si>
  <si>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</si>
  <si>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</si>
  <si>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</si>
  <si>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</si>
  <si>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</si>
  <si>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</si>
  <si>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</si>
  <si>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</si>
  <si>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</si>
  <si>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</si>
  <si>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</si>
  <si>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</si>
  <si>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</si>
  <si>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</si>
  <si>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</si>
  <si>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</si>
  <si>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</si>
  <si>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</si>
  <si>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</si>
  <si>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</si>
  <si>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</si>
  <si>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</si>
  <si>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</si>
  <si>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</si>
  <si>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</si>
  <si>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</si>
  <si>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</si>
  <si>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</si>
  <si>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</si>
  <si>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</si>
  <si>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</si>
  <si>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</si>
  <si>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</si>
  <si>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</si>
  <si>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</si>
  <si>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</si>
  <si>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</si>
  <si>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</si>
  <si>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</si>
  <si>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</si>
  <si>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</si>
  <si>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</si>
  <si>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</si>
  <si>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</si>
  <si>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</si>
  <si>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</si>
  <si>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</si>
  <si>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</si>
  <si>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</si>
  <si>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</si>
  <si>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</si>
  <si>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</si>
  <si>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</si>
  <si>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</si>
  <si>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</si>
  <si>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</si>
  <si>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</si>
  <si>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</si>
  <si>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</si>
  <si>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</si>
  <si>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</si>
  <si>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</si>
  <si>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</si>
  <si>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</si>
  <si>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</si>
  <si>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</si>
  <si>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</si>
  <si>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</si>
  <si>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</si>
  <si>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</si>
  <si>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</si>
  <si>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</si>
  <si>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</si>
  <si>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</si>
  <si>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</si>
  <si>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</si>
  <si>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</si>
  <si>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</si>
  <si>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</si>
  <si>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</si>
  <si>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</si>
  <si>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</si>
  <si>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</si>
  <si>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</si>
  <si>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</si>
  <si>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</si>
  <si>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</si>
  <si>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</si>
  <si>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</si>
  <si>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</si>
  <si>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</si>
  <si>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</si>
  <si>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</si>
  <si>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</si>
  <si>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</si>
  <si>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</si>
  <si>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</si>
  <si>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</si>
  <si>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</si>
  <si>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</si>
  <si>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</si>
  <si>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</si>
  <si>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</si>
  <si>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</si>
  <si>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</si>
  <si>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</si>
  <si>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</si>
  <si>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</si>
  <si>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</si>
  <si>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</si>
  <si>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</si>
  <si>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</si>
  <si>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</si>
  <si>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</si>
  <si>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</si>
  <si>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</si>
  <si>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</si>
  <si>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</si>
  <si>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</si>
  <si>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</si>
  <si>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</si>
  <si>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</si>
  <si>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</si>
  <si>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</si>
  <si>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</si>
  <si>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</si>
  <si>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</si>
  <si>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</si>
  <si>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</si>
  <si>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</si>
  <si>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</si>
  <si>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</si>
  <si>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</si>
  <si>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</si>
  <si>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</si>
  <si>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</si>
  <si>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</si>
  <si>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</si>
  <si>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</si>
  <si>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</si>
  <si>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</si>
  <si>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</si>
  <si>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</si>
  <si>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</si>
  <si>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</si>
  <si>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</si>
  <si>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</si>
  <si>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</si>
  <si>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</si>
  <si>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</si>
  <si>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</si>
  <si>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</si>
  <si>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</si>
  <si>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</si>
  <si>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</si>
  <si>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</si>
  <si>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</si>
  <si>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</si>
  <si>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</si>
  <si>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</si>
  <si>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</si>
  <si>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</si>
  <si>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</si>
  <si>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</si>
  <si>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</si>
  <si>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</si>
  <si>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</si>
  <si>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</si>
  <si>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</si>
  <si>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</si>
  <si>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</si>
  <si>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</si>
  <si>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</si>
  <si>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</si>
  <si>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</si>
  <si>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</si>
  <si>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</si>
  <si>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</si>
  <si>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</si>
  <si>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</si>
  <si>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</si>
  <si>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</si>
  <si>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</si>
  <si>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</si>
  <si>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</si>
  <si>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</si>
  <si>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</si>
  <si>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</si>
  <si>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</si>
  <si>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</si>
  <si>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</si>
  <si>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</si>
  <si>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</si>
  <si>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</si>
  <si>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</si>
  <si>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</si>
  <si>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</si>
  <si>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</si>
  <si>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</si>
  <si>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</si>
  <si>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</si>
  <si>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</si>
  <si>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</si>
  <si>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</si>
  <si>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</si>
  <si>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</si>
  <si>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</si>
  <si>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</si>
  <si>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</si>
  <si>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</si>
  <si>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</si>
  <si>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</si>
  <si>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</si>
  <si>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</si>
  <si>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</si>
  <si>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</si>
  <si>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</si>
  <si>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</si>
  <si>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</si>
  <si>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</si>
  <si>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</si>
  <si>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</si>
  <si>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</si>
  <si>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</si>
  <si>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</si>
  <si>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</si>
  <si>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</si>
  <si>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</si>
  <si>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</si>
  <si>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</si>
  <si>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</si>
  <si>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</si>
  <si>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</si>
  <si>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</si>
  <si>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</si>
  <si>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</si>
  <si>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</si>
  <si>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</si>
  <si>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</si>
  <si>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</si>
  <si>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</si>
  <si>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</si>
  <si>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</si>
  <si>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</si>
  <si>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</si>
  <si>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</si>
  <si>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</si>
  <si>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</si>
  <si>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</si>
  <si>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</si>
  <si>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</si>
  <si>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</si>
  <si>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</si>
  <si>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</si>
  <si>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</si>
  <si>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</si>
  <si>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</si>
  <si>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</si>
  <si>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</si>
  <si>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</si>
  <si>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</si>
  <si>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</si>
  <si>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</si>
  <si>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</si>
  <si>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</si>
  <si>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</si>
  <si>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</si>
  <si>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</si>
  <si>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</si>
  <si>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</si>
  <si>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</si>
  <si>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</si>
  <si>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</si>
  <si>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</si>
  <si>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</si>
  <si>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</si>
  <si>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</si>
  <si>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</si>
  <si>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</si>
  <si>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</si>
  <si>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</si>
  <si>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</si>
  <si>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</si>
  <si>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</si>
  <si>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</si>
  <si>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</si>
  <si>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</si>
  <si>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</si>
  <si>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</si>
  <si>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</si>
  <si>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</si>
  <si>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</si>
  <si>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</si>
  <si>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</si>
  <si>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</si>
  <si>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</si>
  <si>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</si>
  <si>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</si>
  <si>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</si>
  <si>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</si>
  <si>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</si>
  <si>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</si>
  <si>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</si>
  <si>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</si>
  <si>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</si>
  <si>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</si>
  <si>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</si>
  <si>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</si>
  <si>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</si>
  <si>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</si>
  <si>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</si>
  <si>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</si>
  <si>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</si>
  <si>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</si>
  <si>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</si>
  <si>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</si>
  <si>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</si>
  <si>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</si>
  <si>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</si>
  <si>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</si>
  <si>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</si>
  <si>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</si>
  <si>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</si>
  <si>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</si>
  <si>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</si>
  <si>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</si>
  <si>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</si>
  <si>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</si>
  <si>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</si>
  <si>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</si>
  <si>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</si>
  <si>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</si>
  <si>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</si>
  <si>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</si>
  <si>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</si>
  <si>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</si>
  <si>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</si>
  <si>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</si>
  <si>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</si>
  <si>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</si>
  <si>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</si>
  <si>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</si>
  <si>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</si>
  <si>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</si>
  <si>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</si>
  <si>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</si>
  <si>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</si>
  <si>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</si>
  <si>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</si>
  <si>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</si>
  <si>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</si>
  <si>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</si>
  <si>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</si>
  <si>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</si>
  <si>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</si>
  <si>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</si>
  <si>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</si>
  <si>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</si>
  <si>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</si>
  <si>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</si>
  <si>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</si>
  <si>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</si>
  <si>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</si>
  <si>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</si>
  <si>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</si>
  <si>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</si>
  <si>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</si>
  <si>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</si>
  <si>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</si>
  <si>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</si>
  <si>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</si>
  <si>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</si>
  <si>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</si>
  <si>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</si>
  <si>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</si>
  <si>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</si>
  <si>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</si>
  <si>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</si>
  <si>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</si>
  <si>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</si>
  <si>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</si>
  <si>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</si>
  <si>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</si>
  <si>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</si>
  <si>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</si>
  <si>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</si>
  <si>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</si>
  <si>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</si>
  <si>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</si>
  <si>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</si>
  <si>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</si>
  <si>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</si>
  <si>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</si>
  <si>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</si>
  <si>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</si>
  <si>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</si>
  <si>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</si>
  <si>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</si>
  <si>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</si>
  <si>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</si>
  <si>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</si>
  <si>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</si>
  <si>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</si>
  <si>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</si>
  <si>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</si>
  <si>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</si>
  <si>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</si>
  <si>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</si>
  <si>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</si>
  <si>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</si>
  <si>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</si>
  <si>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</si>
  <si>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</si>
  <si>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</si>
  <si>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</si>
  <si>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</si>
  <si>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</si>
  <si>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</si>
  <si>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</si>
  <si>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</si>
  <si>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</si>
  <si>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</si>
  <si>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</si>
  <si>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</si>
  <si>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</si>
  <si>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</si>
  <si>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</si>
  <si>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</si>
  <si>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</si>
  <si>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</si>
  <si>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</si>
  <si>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</si>
  <si>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</si>
  <si>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</si>
  <si>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</si>
  <si>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</si>
  <si>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</si>
  <si>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</si>
  <si>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</si>
  <si>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</si>
  <si>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</si>
  <si>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</si>
  <si>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</si>
  <si>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</si>
  <si>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</si>
  <si>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</si>
  <si>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</si>
  <si>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</si>
  <si>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</si>
  <si>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</si>
  <si>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</si>
  <si>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</si>
  <si>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</si>
  <si>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</si>
  <si>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</si>
  <si>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</si>
  <si>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</si>
  <si>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</si>
  <si>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</si>
  <si>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</si>
  <si>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</si>
  <si>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</si>
  <si>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</si>
  <si>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</si>
  <si>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</si>
  <si>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</si>
  <si>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</si>
  <si>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</si>
  <si>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</si>
  <si>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</si>
  <si>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</si>
  <si>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</si>
  <si>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</si>
  <si>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</si>
  <si>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</si>
  <si>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</si>
  <si>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</si>
  <si>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</si>
  <si>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</si>
  <si>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</si>
  <si>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</si>
  <si>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</si>
  <si>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</si>
  <si>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</si>
  <si>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</si>
  <si>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</si>
  <si>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</si>
  <si>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</si>
  <si>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</si>
  <si>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</si>
  <si>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</si>
  <si>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</si>
  <si>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</si>
  <si>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</si>
  <si>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</si>
  <si>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</si>
  <si>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</si>
  <si>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</si>
  <si>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</si>
  <si>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</si>
  <si>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</si>
  <si>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</si>
  <si>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</si>
  <si>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</si>
  <si>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</si>
  <si>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</si>
  <si>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</si>
  <si>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</si>
  <si>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</si>
  <si>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</si>
  <si>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</si>
  <si>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</si>
  <si>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</si>
  <si>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</si>
  <si>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</si>
  <si>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</si>
  <si>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</si>
  <si>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</si>
  <si>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</si>
  <si>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</si>
  <si>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</si>
  <si>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</si>
  <si>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</si>
  <si>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</si>
  <si>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</si>
  <si>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</si>
  <si>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</si>
  <si>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</si>
  <si>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</si>
  <si>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</si>
  <si>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</si>
  <si>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</si>
  <si>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</si>
  <si>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</si>
  <si>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</si>
  <si>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</si>
  <si>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</si>
  <si>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</si>
  <si>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</si>
  <si>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</si>
  <si>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</si>
  <si>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</si>
  <si>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</si>
  <si>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</si>
  <si>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</si>
  <si>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</si>
  <si>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</si>
  <si>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</si>
  <si>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</si>
  <si>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</si>
  <si>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</si>
  <si>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</si>
  <si>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</si>
  <si>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</si>
  <si>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</si>
  <si>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</si>
  <si>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</si>
  <si>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</si>
  <si>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</si>
  <si>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</si>
  <si>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</si>
  <si>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</si>
  <si>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</si>
  <si>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</si>
  <si>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</si>
  <si>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</si>
  <si>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</si>
  <si>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</si>
  <si>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</si>
  <si>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</si>
  <si>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</si>
  <si>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</si>
  <si>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</si>
  <si>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</si>
  <si>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</si>
  <si>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</si>
  <si>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</si>
  <si>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</si>
  <si>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</si>
  <si>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</si>
  <si>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</si>
  <si>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</si>
  <si>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</si>
  <si>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</si>
  <si>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</si>
  <si>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</si>
  <si>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</si>
  <si>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</si>
  <si>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</si>
  <si>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</si>
  <si>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</si>
  <si>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</si>
  <si>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</si>
  <si>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</si>
  <si>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</si>
  <si>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</si>
  <si>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</si>
  <si>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</si>
  <si>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</si>
  <si>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</si>
  <si>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</si>
  <si>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</si>
  <si>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</si>
  <si>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</si>
  <si>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</si>
  <si>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</si>
  <si>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</si>
  <si>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</si>
  <si>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</si>
  <si>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</si>
  <si>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</si>
  <si>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</si>
  <si>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</si>
  <si>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</si>
  <si>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</si>
  <si>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</si>
  <si>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</si>
  <si>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</si>
  <si>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</si>
  <si>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</si>
  <si>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</si>
  <si>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</si>
  <si>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</si>
  <si>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</si>
  <si>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</si>
  <si>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</si>
  <si>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</si>
  <si>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</si>
  <si>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</si>
  <si>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</si>
  <si>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</si>
  <si>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</si>
  <si>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</si>
  <si>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</si>
  <si>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</si>
  <si>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</si>
  <si>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</si>
  <si>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</si>
  <si>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</si>
  <si>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</si>
  <si>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</si>
  <si>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</si>
  <si>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</si>
  <si>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</si>
  <si>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</si>
  <si>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</si>
  <si>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</si>
  <si>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</si>
  <si>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</si>
  <si>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</si>
  <si>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</si>
  <si>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</si>
  <si>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</si>
  <si>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</si>
  <si>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</si>
  <si>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</si>
  <si>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</si>
  <si>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</si>
  <si>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</si>
  <si>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</si>
  <si>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</si>
  <si>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</si>
  <si>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</si>
  <si>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</si>
  <si>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</si>
  <si>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</si>
  <si>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</si>
  <si>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</si>
  <si>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</si>
  <si>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</si>
  <si>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</si>
  <si>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</si>
  <si>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</si>
  <si>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</si>
  <si>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</si>
  <si>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</si>
  <si>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</si>
  <si>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</si>
  <si>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</si>
  <si>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</si>
  <si>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</si>
  <si>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</si>
  <si>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</si>
  <si>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</si>
  <si>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</si>
  <si>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</si>
  <si>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</si>
  <si>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</si>
  <si>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</si>
  <si>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</si>
  <si>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</si>
  <si>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</si>
  <si>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</si>
  <si>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</si>
  <si>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</si>
  <si>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</si>
  <si>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</si>
  <si>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</si>
  <si>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</si>
  <si>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</si>
  <si>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</si>
  <si>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</si>
  <si>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</si>
  <si>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</si>
  <si>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</si>
  <si>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</si>
  <si>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</si>
  <si>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</si>
  <si>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</si>
  <si>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</si>
  <si>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</si>
  <si>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</si>
  <si>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</si>
  <si>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</si>
  <si>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</si>
  <si>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</si>
  <si>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</si>
  <si>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</si>
  <si>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</si>
  <si>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</si>
  <si>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</si>
  <si>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</si>
  <si>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</si>
  <si>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</si>
  <si>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</si>
  <si>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</si>
  <si>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</si>
  <si>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</si>
  <si>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</si>
  <si>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</si>
  <si>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</si>
  <si>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</si>
  <si>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</si>
  <si>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</si>
  <si>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</si>
  <si>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</si>
  <si>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</si>
  <si>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</si>
  <si>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</si>
  <si>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</si>
  <si>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</si>
  <si>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</si>
  <si>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</si>
  <si>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</si>
  <si>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</si>
  <si>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</si>
  <si>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</si>
  <si>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</si>
  <si>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</si>
  <si>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</si>
  <si>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</si>
  <si>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</si>
  <si>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</si>
  <si>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</si>
  <si>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</si>
  <si>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</si>
  <si>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</si>
  <si>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</si>
  <si>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</si>
  <si>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</si>
  <si>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MINI BOLSOS ESTERILLADO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</si>
</sst>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342901</xdr:colOff>
      <xdr:row>0</xdr:row>
      <xdr:rowOff>0</xdr:rowOff>
    </xdr:from>
    <xdr:to>
      <xdr:col>24</xdr:col>
      <xdr:colOff>114300</xdr:colOff>
      <xdr:row>6</xdr:row>
      <xdr:rowOff>303259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BD64B7-EA52-766B-EF08-35660D4E7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201" y="0"/>
          <a:ext cx="1600199" cy="2062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ER0808-1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45877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1350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32142539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3190208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9629.149166666668</v>
      </c>
      <c r="E5" s="387"/>
      <c r="F5" s="388"/>
      <c r="G5" s="364" t="s">
        <v>16</v>
      </c>
      <c r="H5" s="389"/>
      <c r="I5" s="389"/>
      <c r="J5" s="365"/>
      <c r="K5" s="328">
        <v>15</v>
      </c>
      <c r="L5" s="328"/>
      <c r="M5" s="329" t="s">
        <v>17</v>
      </c>
      <c r="N5" s="329"/>
      <c r="O5" s="325">
        <f>IFERROR(IF(K5=0,"",D5*K5),"")</f>
        <v>144437.23750000002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/>
      <c r="B10" s="299"/>
      <c r="C10" s="300"/>
      <c r="D10" s="390"/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/>
      </c>
      <c r="P10" s="305"/>
      <c r="Q10" s="306"/>
      <c r="R10" s="307"/>
      <c r="S10" s="308">
        <f>IFERROR(IF(Q10="Unidad","1",(Q10*$K$5)),"")</f>
        <v>0</v>
      </c>
      <c r="T10" s="309"/>
      <c r="U10" s="310"/>
      <c r="V10" s="393"/>
      <c r="W10" s="311" t="str">
        <f>IFERROR(IF(D10="","",INDEX(Tabla_Completa,MATCH('Soli_citud '!D10,Materiales,0),7)*S10),"")</f>
        <v/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930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100</v>
      </c>
      <c r="R11" s="307"/>
      <c r="S11" s="308">
        <f t="shared" ref="S11:S31" si="1">IFERROR(IF(Q11="Unidad","1",(Q11*$K$5)),"")</f>
        <v>1500</v>
      </c>
      <c r="T11" s="309"/>
      <c r="U11" s="310"/>
      <c r="V11" s="310"/>
      <c r="W11" s="311">
        <f>IFERROR(IF(D11="","",INDEX(Tabla_Completa,MATCH('Soli_citud '!D11,Materiales,0),7)*S11),"")</f>
        <v>355</v>
      </c>
      <c r="X11" s="311"/>
      <c r="Y11" s="311"/>
    </row>
    <row r="12" spans="1:31" ht="15.75" customHeight="1">
      <c r="A12" s="298" t="s">
        <v>1058</v>
      </c>
      <c r="B12" s="299"/>
      <c r="C12" s="300"/>
      <c r="D12" s="394" t="s">
        <v>1089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Pliego</v>
      </c>
      <c r="P12" s="305"/>
      <c r="Q12" s="306">
        <v>4</v>
      </c>
      <c r="R12" s="307"/>
      <c r="S12" s="308">
        <f t="shared" si="1"/>
        <v>60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232</v>
      </c>
      <c r="B13" s="299"/>
      <c r="C13" s="300"/>
      <c r="D13" s="390" t="s">
        <v>348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4.5</v>
      </c>
      <c r="T13" s="309"/>
      <c r="U13" s="310"/>
      <c r="V13" s="310"/>
      <c r="W13" s="311">
        <f>IFERROR(IF(D13="","",INDEX(Tabla_Completa,MATCH('Soli_citud '!D13,Materiales,0),7)*S13),"")</f>
        <v>32700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349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Cono</v>
      </c>
      <c r="P14" s="305"/>
      <c r="Q14" s="306">
        <v>0.2</v>
      </c>
      <c r="R14" s="307"/>
      <c r="S14" s="308">
        <f t="shared" si="1"/>
        <v>3</v>
      </c>
      <c r="T14" s="309"/>
      <c r="U14" s="310"/>
      <c r="V14" s="310"/>
      <c r="W14" s="311">
        <f>IFERROR(IF(D14="","",INDEX(Tabla_Completa,MATCH('Soli_citud '!D14,Materiales,0),7)*S14),"")</f>
        <v>21799.994999999999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1059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1.1499999999999999</v>
      </c>
      <c r="R15" s="307"/>
      <c r="S15" s="308">
        <f t="shared" si="1"/>
        <v>17.25</v>
      </c>
      <c r="T15" s="309"/>
      <c r="U15" s="310"/>
      <c r="V15" s="310"/>
      <c r="W15" s="311">
        <f>IFERROR(IF(D15="","",INDEX(Tabla_Completa,MATCH('Soli_citud '!D15,Materiales,0),7)*S15),"")</f>
        <v>5922.4425000000001</v>
      </c>
      <c r="X15" s="311"/>
      <c r="Y15" s="311"/>
    </row>
    <row r="16" spans="1:31" ht="15.75" customHeight="1">
      <c r="A16" s="298" t="s">
        <v>232</v>
      </c>
      <c r="B16" s="299"/>
      <c r="C16" s="300"/>
      <c r="D16" s="390" t="s">
        <v>315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25</v>
      </c>
      <c r="R16" s="307"/>
      <c r="S16" s="308">
        <f t="shared" si="1"/>
        <v>375</v>
      </c>
      <c r="T16" s="309"/>
      <c r="U16" s="310"/>
      <c r="V16" s="310"/>
      <c r="W16" s="311">
        <f>IFERROR(IF(D16="","",INDEX(Tabla_Completa,MATCH('Soli_citud '!D16,Materiales,0),7)*S16),"")</f>
        <v>36750</v>
      </c>
      <c r="X16" s="311"/>
      <c r="Y16" s="311"/>
    </row>
    <row r="17" spans="1:25" ht="15.75" customHeight="1">
      <c r="A17" s="298" t="s">
        <v>40</v>
      </c>
      <c r="B17" s="299"/>
      <c r="C17" s="300"/>
      <c r="D17" s="390" t="s">
        <v>701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U</v>
      </c>
      <c r="P17" s="305"/>
      <c r="Q17" s="306">
        <v>1</v>
      </c>
      <c r="R17" s="307"/>
      <c r="S17" s="308">
        <f t="shared" si="1"/>
        <v>15</v>
      </c>
      <c r="T17" s="309"/>
      <c r="U17" s="310"/>
      <c r="V17" s="310"/>
      <c r="W17" s="311">
        <f>IFERROR(IF(D17="","",INDEX(Tabla_Completa,MATCH('Soli_citud '!D17,Materiales,0),7)*S17),"")</f>
        <v>43482.600000000006</v>
      </c>
      <c r="X17" s="311"/>
      <c r="Y17" s="311"/>
    </row>
    <row r="18" spans="1:25" ht="15.75" customHeight="1">
      <c r="A18" s="298" t="s">
        <v>37</v>
      </c>
      <c r="B18" s="299"/>
      <c r="C18" s="300"/>
      <c r="D18" s="390" t="s">
        <v>477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kg</v>
      </c>
      <c r="P18" s="305"/>
      <c r="Q18" s="306">
        <v>1.5</v>
      </c>
      <c r="R18" s="307"/>
      <c r="S18" s="308">
        <f t="shared" si="1"/>
        <v>22.5</v>
      </c>
      <c r="T18" s="309"/>
      <c r="U18" s="310"/>
      <c r="V18" s="310"/>
      <c r="W18" s="311">
        <f>IFERROR(IF(D18="","",INDEX(Tabla_Completa,MATCH('Soli_citud '!D18,Materiales,0),7)*S18),"")</f>
        <v>0</v>
      </c>
      <c r="X18" s="311"/>
      <c r="Y18" s="311"/>
    </row>
    <row r="19" spans="1:25" ht="15.75">
      <c r="A19" s="298" t="s">
        <v>40</v>
      </c>
      <c r="B19" s="299"/>
      <c r="C19" s="300"/>
      <c r="D19" s="301" t="s">
        <v>858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30</v>
      </c>
      <c r="T19" s="309"/>
      <c r="U19" s="310"/>
      <c r="V19" s="310"/>
      <c r="W19" s="311">
        <f>IFERROR(IF(D19="","",INDEX(Tabla_Completa,MATCH('Soli_citud '!D19,Materiales,0),7)*S19),"")</f>
        <v>3427.2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5" activePane="bottomLeft" state="frozen"/>
      <selection activeCell="C1" sqref="C1"/>
      <selection pane="bottomLeft" activeCell="I14" sqref="I14:I2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45877</v>
      </c>
      <c r="O1" s="489"/>
      <c r="P1" s="427" t="s">
        <v>55</v>
      </c>
      <c r="Q1" s="428"/>
      <c r="R1" s="433" t="str">
        <f>IF('Soli_citud '!D4="","",'Soli_citud '!D4)</f>
        <v>MINI BOLSOS ESTERILLADO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ER0808-1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3190208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9629.149166666668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Emely Rivera Delgado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/>
      </c>
      <c r="D12" s="407"/>
      <c r="E12" s="407"/>
      <c r="F12" s="407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ER0808-1</v>
      </c>
      <c r="C13" s="407" t="str">
        <f>IFERROR(IF('Soli_citud '!D11="","",'Soli_citud '!D11),"")</f>
        <v>POLITEX-KAMBREL 100 GR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1500</v>
      </c>
      <c r="I13" s="214">
        <v>45949</v>
      </c>
      <c r="J13" s="216">
        <v>1500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ER0808-1</v>
      </c>
      <c r="C14" s="407" t="str">
        <f>IFERROR(IF('Soli_citud '!D12="","",'Soli_citud '!D12),"")</f>
        <v xml:space="preserve">CARTULINA PLANA </v>
      </c>
      <c r="D14" s="407"/>
      <c r="E14" s="407"/>
      <c r="F14" s="407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60</v>
      </c>
      <c r="I14" s="214">
        <v>45949</v>
      </c>
      <c r="J14" s="216">
        <v>60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ER0808-1</v>
      </c>
      <c r="C15" s="407" t="str">
        <f>IFERROR(IF('Soli_citud '!D13="","",'Soli_citud '!D13),"")</f>
        <v xml:space="preserve">HILO NYLON #40
</v>
      </c>
      <c r="D15" s="407"/>
      <c r="E15" s="407"/>
      <c r="F15" s="407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4.5</v>
      </c>
      <c r="I15" s="214">
        <v>45949</v>
      </c>
      <c r="J15" s="216">
        <v>4.5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ER0808-1</v>
      </c>
      <c r="C16" s="407" t="str">
        <f>IFERROR(IF('Soli_citud '!D14="","",'Soli_citud '!D14),"")</f>
        <v xml:space="preserve">HILO NYLON #60
</v>
      </c>
      <c r="D16" s="407"/>
      <c r="E16" s="407"/>
      <c r="F16" s="407"/>
      <c r="G16" s="213" t="str">
        <f>IF('Soli_citud '!O14="","",'Soli_citud '!O14)</f>
        <v>Cono</v>
      </c>
      <c r="H16" s="213" cm="1">
        <f t="array" ref="H16">_xlfn.IFS('Soli_citud '!S14="","",'Soli_citud '!S14&lt;=0,"",'Soli_citud '!S14&gt;0,'Soli_citud '!S14)</f>
        <v>3</v>
      </c>
      <c r="I16" s="214">
        <v>45949</v>
      </c>
      <c r="J16" s="216">
        <v>3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ER0808-1</v>
      </c>
      <c r="C17" s="407" t="str">
        <f>IFERROR(IF('Soli_citud '!D15="","",'Soli_citud '!D15),"")</f>
        <v>AGUJA CORTA CABO DELGADO 110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17.25</v>
      </c>
      <c r="I17" s="214">
        <v>45949</v>
      </c>
      <c r="J17" s="216">
        <v>17.25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ER0808-1</v>
      </c>
      <c r="C18" s="407" t="str">
        <f>IFERROR(IF('Soli_citud '!D16="","",'Soli_citud '!D16),"")</f>
        <v xml:space="preserve">CREMALLERA EVERBRIGTH #5
</v>
      </c>
      <c r="D18" s="407"/>
      <c r="E18" s="407"/>
      <c r="F18" s="407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375</v>
      </c>
      <c r="I18" s="214">
        <v>45949</v>
      </c>
      <c r="J18" s="216">
        <v>375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ER0808-1</v>
      </c>
      <c r="C19" s="407" t="str">
        <f>IFERROR(IF('Soli_citud '!D17="","",'Soli_citud '!D17),"")</f>
        <v xml:space="preserve">LLAVE DESLIZADOR METALICO EVERBRIGHT ORO, PALETA GRANDE OVAL </v>
      </c>
      <c r="D19" s="407"/>
      <c r="E19" s="407"/>
      <c r="F19" s="407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15</v>
      </c>
      <c r="I19" s="214">
        <v>45949</v>
      </c>
      <c r="J19" s="216">
        <v>15</v>
      </c>
      <c r="K19" s="197" t="str" cm="1">
        <f t="array" ref="K19">IFERROR(_xlfn.IFS(H19="","",J19=H19,"Cumplido",J19&lt;H19,H19-J19,J19&gt;H19,"Revisar"),"")</f>
        <v>Cumplido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ER0808-1</v>
      </c>
      <c r="C20" s="407" t="str">
        <f>IFERROR(IF('Soli_citud '!D18="","",'Soli_citud '!D18),"")</f>
        <v>Retal</v>
      </c>
      <c r="D20" s="407"/>
      <c r="E20" s="407"/>
      <c r="F20" s="407"/>
      <c r="G20" s="213" t="str">
        <f>IF('Soli_citud '!O18="","",'Soli_citud '!O18)</f>
        <v>kg</v>
      </c>
      <c r="H20" s="213" cm="1">
        <f t="array" ref="H20">_xlfn.IFS('Soli_citud '!S18="","",'Soli_citud '!S18&lt;=0,"",'Soli_citud '!S18&gt;0,'Soli_citud '!S18)</f>
        <v>22.5</v>
      </c>
      <c r="I20" s="214">
        <v>45949</v>
      </c>
      <c r="J20" s="216">
        <v>22.5</v>
      </c>
      <c r="K20" s="197" t="str" cm="1">
        <f t="array" ref="K20">IFERROR(_xlfn.IFS(H20="","",J20=H20,"Cumplido",J20&lt;H20,H20-J20,J20&gt;H20,"Revisar"),"")</f>
        <v>Cumplido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ER0808-1</v>
      </c>
      <c r="C21" s="407" t="str">
        <f>IFERROR(IF('Soli_citud '!D19="","",'Soli_citud '!D19),"")</f>
        <v>REMACHE SENCILLO #6 ORO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30</v>
      </c>
      <c r="I21" s="214">
        <v>45949</v>
      </c>
      <c r="J21" s="216">
        <v>30</v>
      </c>
      <c r="K21" s="197" t="str" cm="1">
        <f t="array" ref="K21">IFERROR(_xlfn.IFS(H21="","",J21=H21,"Cumplido",J21&lt;H21,H21-J21,J21&gt;H21,"Revisar"),"")</f>
        <v>Cumplido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2025-12-22T17:58:32Z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