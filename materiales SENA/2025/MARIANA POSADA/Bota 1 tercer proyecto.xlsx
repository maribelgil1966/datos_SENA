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ANA POSADA\"/>
    </mc:Choice>
  </mc:AlternateContent>
  <xr:revisionPtr revIDLastSave="0" documentId="8_{894D6B10-89DF-4EC0-802D-C16B075057DB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citar" sheetId="43" r:id="rId1"/>
    <sheet name="BD" sheetId="38" state="hidden" r:id="rId2"/>
    <sheet name="Listas" sheetId="18" state="hidden" r:id="rId3"/>
  </sheets>
  <definedNames>
    <definedName name="_xlnm._FilterDatabase" localSheetId="1" hidden="1">BD!$A$984:$J$984</definedName>
    <definedName name="ADHESIVOS_Solventes">BD!$B$8:$B$18</definedName>
    <definedName name="AdheySol">BD!$B$7</definedName>
    <definedName name="Aux_Med">BD!$B$104</definedName>
    <definedName name="CATEGORIAS">Listas!$I$2:$I$12</definedName>
    <definedName name="Cuer_">BD!$B$401</definedName>
    <definedName name="CUERO">BD!$B$402:$B$424</definedName>
    <definedName name="Herraj_">BD!$B$444</definedName>
    <definedName name="HERRAJES">BD!$B$445:$B$886</definedName>
    <definedName name="Herram_">BD!$B$946</definedName>
    <definedName name="HERRAMIENTAS_">Tabla13[Material]</definedName>
    <definedName name="INSUMOS_COMPL_">BD!$B$985:$B$1021</definedName>
    <definedName name="Materiales">BD!$B$6:$B$1200</definedName>
    <definedName name="Observaciones">Listas!$G$2:$G$12</definedName>
    <definedName name="quimic_">BD!$B$1056</definedName>
    <definedName name="QUÍMICOS">BD!$B$1057:$B$1123</definedName>
    <definedName name="SECUNDARIO">BD!$B$105:$B$218</definedName>
    <definedName name="Sin_Tex">BD!$B$893</definedName>
    <definedName name="SiNTETICOS_TEXTILES">BD!$B$894:$B$925</definedName>
    <definedName name="SUELAS">Tabla5[Material]</definedName>
    <definedName name="T_comp_Aux_AD">BD!$A$8:$J$18</definedName>
    <definedName name="Tabla_Completa">BD!$A$6:'BD'!$J$1200</definedName>
    <definedName name="Total_AdhySol">BD!$B$6</definedName>
    <definedName name="Total_Cuero">BD!$B$400</definedName>
    <definedName name="Total_Herrajes">BD!$B$443</definedName>
    <definedName name="Total_Herramientas">BD!$B$945</definedName>
    <definedName name="Total_Ins_Compl">BD!$B$983</definedName>
    <definedName name="Total_SECUNDARIO_MEDULAR">BD!$B$103</definedName>
    <definedName name="Total_Sint_y_Tex">BD!$B$892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99" i="38" l="1"/>
  <c r="G1198" i="38"/>
  <c r="G1197" i="38"/>
  <c r="G1196" i="38"/>
  <c r="G1195" i="38"/>
  <c r="G1194" i="38"/>
  <c r="G1193" i="38"/>
  <c r="G1192" i="38"/>
  <c r="G1191" i="38"/>
  <c r="G1190" i="38"/>
  <c r="G1189" i="38"/>
  <c r="G1188" i="38"/>
  <c r="G1187" i="38"/>
  <c r="G1186" i="38"/>
  <c r="G1185" i="38"/>
  <c r="G1184" i="38"/>
  <c r="G1183" i="38"/>
  <c r="G1182" i="38"/>
  <c r="G1181" i="38"/>
  <c r="G1180" i="38"/>
  <c r="G1179" i="38"/>
  <c r="G1178" i="38"/>
  <c r="G1177" i="38"/>
  <c r="G1176" i="38"/>
  <c r="G1175" i="38"/>
  <c r="G1174" i="38"/>
  <c r="G1173" i="38"/>
  <c r="G1172" i="38"/>
  <c r="G1171" i="38"/>
  <c r="G1170" i="38"/>
  <c r="G1169" i="38"/>
  <c r="G1168" i="38"/>
  <c r="G1167" i="38"/>
  <c r="G1166" i="38"/>
  <c r="G1165" i="38"/>
  <c r="G1164" i="38"/>
  <c r="G1163" i="38"/>
  <c r="G1162" i="38"/>
  <c r="G1161" i="38"/>
  <c r="G1160" i="38"/>
  <c r="G1159" i="38"/>
  <c r="G1158" i="38"/>
  <c r="G1157" i="38"/>
  <c r="G1156" i="38"/>
  <c r="G1155" i="38"/>
  <c r="G1154" i="38"/>
  <c r="G1153" i="38"/>
  <c r="G1152" i="38"/>
  <c r="G1151" i="38"/>
  <c r="G1150" i="38"/>
  <c r="G1149" i="38"/>
  <c r="G1148" i="38"/>
  <c r="G1147" i="38"/>
  <c r="G1146" i="38"/>
  <c r="G1145" i="38"/>
  <c r="G1144" i="38"/>
  <c r="G1143" i="38"/>
  <c r="G1142" i="38"/>
  <c r="G1141" i="38"/>
  <c r="B1139" i="38"/>
  <c r="G1123" i="38"/>
  <c r="G1122" i="38"/>
  <c r="G1121" i="38"/>
  <c r="G1120" i="38"/>
  <c r="G1119" i="38"/>
  <c r="G1118" i="38"/>
  <c r="G1117" i="38"/>
  <c r="G1116" i="38"/>
  <c r="G1115" i="38"/>
  <c r="G1114" i="38"/>
  <c r="G1113" i="38"/>
  <c r="G1112" i="38"/>
  <c r="G1111" i="38"/>
  <c r="G1110" i="38"/>
  <c r="G1109" i="38"/>
  <c r="G1108" i="38"/>
  <c r="G1107" i="38"/>
  <c r="G1106" i="38"/>
  <c r="G1105" i="38"/>
  <c r="G1104" i="38"/>
  <c r="G1103" i="38"/>
  <c r="G1102" i="38"/>
  <c r="G1101" i="38"/>
  <c r="G1100" i="38"/>
  <c r="G1099" i="38"/>
  <c r="G1098" i="38"/>
  <c r="G1097" i="38"/>
  <c r="G1096" i="38"/>
  <c r="G1095" i="38"/>
  <c r="G1094" i="38"/>
  <c r="G1093" i="38"/>
  <c r="G1092" i="38"/>
  <c r="G1091" i="38"/>
  <c r="G1090" i="38"/>
  <c r="G1089" i="38"/>
  <c r="G1088" i="38"/>
  <c r="G1087" i="38"/>
  <c r="G1086" i="38"/>
  <c r="G1085" i="38"/>
  <c r="G1084" i="38"/>
  <c r="G1083" i="38"/>
  <c r="G1082" i="38"/>
  <c r="G1081" i="38"/>
  <c r="G1080" i="38"/>
  <c r="G1079" i="38"/>
  <c r="G1078" i="38"/>
  <c r="G1077" i="38"/>
  <c r="G1076" i="38"/>
  <c r="G1075" i="38"/>
  <c r="G1074" i="38"/>
  <c r="G1073" i="38"/>
  <c r="G1072" i="38"/>
  <c r="G1071" i="38"/>
  <c r="G1070" i="38"/>
  <c r="G1069" i="38"/>
  <c r="G1068" i="38"/>
  <c r="G1067" i="38"/>
  <c r="G1066" i="38"/>
  <c r="G1065" i="38"/>
  <c r="G1064" i="38"/>
  <c r="G1063" i="38"/>
  <c r="G1062" i="38"/>
  <c r="G1061" i="38"/>
  <c r="G1060" i="38"/>
  <c r="G1059" i="38"/>
  <c r="A1059" i="38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A1081" i="38" s="1"/>
  <c r="A1082" i="38" s="1"/>
  <c r="A1083" i="38" s="1"/>
  <c r="A1084" i="38" s="1"/>
  <c r="A1085" i="38" s="1"/>
  <c r="A1086" i="38" s="1"/>
  <c r="A1087" i="38" s="1"/>
  <c r="A1088" i="38" s="1"/>
  <c r="A1089" i="38" s="1"/>
  <c r="A1090" i="38" s="1"/>
  <c r="A1091" i="38" s="1"/>
  <c r="A1092" i="38" s="1"/>
  <c r="A1093" i="38" s="1"/>
  <c r="A1094" i="38" s="1"/>
  <c r="A1095" i="38" s="1"/>
  <c r="A1096" i="38" s="1"/>
  <c r="A1097" i="38" s="1"/>
  <c r="A1098" i="38" s="1"/>
  <c r="A1099" i="38" s="1"/>
  <c r="A1100" i="38" s="1"/>
  <c r="A1101" i="38" s="1"/>
  <c r="A1102" i="38" s="1"/>
  <c r="A1103" i="38" s="1"/>
  <c r="A1104" i="38" s="1"/>
  <c r="A1105" i="38" s="1"/>
  <c r="A1106" i="38" s="1"/>
  <c r="A1107" i="38" s="1"/>
  <c r="A1108" i="38" s="1"/>
  <c r="A1109" i="38" s="1"/>
  <c r="A1110" i="38" s="1"/>
  <c r="A1111" i="38" s="1"/>
  <c r="A1112" i="38" s="1"/>
  <c r="A1113" i="38" s="1"/>
  <c r="A1114" i="38" s="1"/>
  <c r="A1115" i="38" s="1"/>
  <c r="A1116" i="38" s="1"/>
  <c r="A1117" i="38" s="1"/>
  <c r="A1118" i="38" s="1"/>
  <c r="A1119" i="38" s="1"/>
  <c r="A1120" i="38" s="1"/>
  <c r="A1121" i="38" s="1"/>
  <c r="A1122" i="38" s="1"/>
  <c r="A1123" i="38" s="1"/>
  <c r="G1058" i="38"/>
  <c r="A1058" i="38"/>
  <c r="G1057" i="38"/>
  <c r="B1055" i="38"/>
  <c r="G1031" i="38"/>
  <c r="G1030" i="38"/>
  <c r="G1029" i="38"/>
  <c r="G1028" i="38"/>
  <c r="G1027" i="38"/>
  <c r="G1026" i="38"/>
  <c r="G1025" i="38"/>
  <c r="G1024" i="38"/>
  <c r="G1023" i="38"/>
  <c r="G1022" i="38"/>
  <c r="G1021" i="38"/>
  <c r="G1020" i="38"/>
  <c r="G1019" i="38"/>
  <c r="G1018" i="38"/>
  <c r="G1017" i="38"/>
  <c r="G1016" i="38"/>
  <c r="G1015" i="38"/>
  <c r="G1014" i="38"/>
  <c r="G1013" i="38"/>
  <c r="G1012" i="38"/>
  <c r="G1011" i="38"/>
  <c r="G1010" i="38"/>
  <c r="G1009" i="38"/>
  <c r="G1008" i="38"/>
  <c r="G1007" i="38"/>
  <c r="G1006" i="38"/>
  <c r="G1005" i="38"/>
  <c r="G1004" i="38"/>
  <c r="G1003" i="38"/>
  <c r="G1002" i="38"/>
  <c r="G1001" i="38"/>
  <c r="G1000" i="38"/>
  <c r="G999" i="38"/>
  <c r="G998" i="38"/>
  <c r="G997" i="38"/>
  <c r="G996" i="38"/>
  <c r="G995" i="38"/>
  <c r="G994" i="38"/>
  <c r="G993" i="38"/>
  <c r="G992" i="38"/>
  <c r="G991" i="38"/>
  <c r="G990" i="38"/>
  <c r="G989" i="38"/>
  <c r="G988" i="38"/>
  <c r="G987" i="38"/>
  <c r="G986" i="38"/>
  <c r="G985" i="38"/>
  <c r="A985" i="38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B983" i="38"/>
  <c r="G968" i="38"/>
  <c r="G967" i="38"/>
  <c r="G966" i="38"/>
  <c r="G965" i="38"/>
  <c r="G964" i="38"/>
  <c r="G963" i="38"/>
  <c r="G962" i="38"/>
  <c r="G961" i="38"/>
  <c r="A961" i="38"/>
  <c r="A962" i="38" s="1"/>
  <c r="A963" i="38" s="1"/>
  <c r="A964" i="38" s="1"/>
  <c r="A965" i="38" s="1"/>
  <c r="A966" i="38" s="1"/>
  <c r="A967" i="38" s="1"/>
  <c r="A968" i="38" s="1"/>
  <c r="G960" i="38"/>
  <c r="A960" i="38"/>
  <c r="G959" i="38"/>
  <c r="G958" i="38"/>
  <c r="G957" i="38"/>
  <c r="G956" i="38"/>
  <c r="G955" i="38"/>
  <c r="G954" i="38"/>
  <c r="G953" i="38"/>
  <c r="G952" i="38"/>
  <c r="G951" i="38"/>
  <c r="G950" i="38"/>
  <c r="G949" i="38"/>
  <c r="G948" i="38"/>
  <c r="A948" i="38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G947" i="38"/>
  <c r="B945" i="38"/>
  <c r="G925" i="38"/>
  <c r="G924" i="38"/>
  <c r="G923" i="38"/>
  <c r="G922" i="38"/>
  <c r="G921" i="38"/>
  <c r="G920" i="38"/>
  <c r="G919" i="38"/>
  <c r="G918" i="38"/>
  <c r="G917" i="38"/>
  <c r="G916" i="38"/>
  <c r="G915" i="38"/>
  <c r="G914" i="38"/>
  <c r="G913" i="38"/>
  <c r="G912" i="38"/>
  <c r="G911" i="38"/>
  <c r="G910" i="38"/>
  <c r="G909" i="38"/>
  <c r="G908" i="38"/>
  <c r="G907" i="38"/>
  <c r="G906" i="38"/>
  <c r="G905" i="38"/>
  <c r="G904" i="38"/>
  <c r="G903" i="38"/>
  <c r="G902" i="38"/>
  <c r="G901" i="38"/>
  <c r="G900" i="38"/>
  <c r="G899" i="38"/>
  <c r="G898" i="38"/>
  <c r="G897" i="38"/>
  <c r="G896" i="38"/>
  <c r="G895" i="38"/>
  <c r="A895" i="38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G894" i="38"/>
  <c r="B892" i="38"/>
  <c r="G865" i="38"/>
  <c r="G864" i="38"/>
  <c r="G863" i="38"/>
  <c r="G862" i="38"/>
  <c r="G861" i="38"/>
  <c r="G860" i="38"/>
  <c r="G859" i="38"/>
  <c r="G858" i="38"/>
  <c r="G857" i="38"/>
  <c r="G856" i="38"/>
  <c r="G855" i="38"/>
  <c r="G854" i="38"/>
  <c r="G853" i="38"/>
  <c r="G852" i="38"/>
  <c r="G851" i="38"/>
  <c r="G850" i="38"/>
  <c r="G849" i="38"/>
  <c r="G848" i="38"/>
  <c r="G847" i="38"/>
  <c r="G846" i="38"/>
  <c r="G845" i="38"/>
  <c r="G844" i="38"/>
  <c r="G843" i="38"/>
  <c r="G842" i="38"/>
  <c r="G841" i="38"/>
  <c r="G840" i="38"/>
  <c r="G839" i="38"/>
  <c r="G838" i="38"/>
  <c r="G837" i="38"/>
  <c r="G836" i="38"/>
  <c r="G835" i="38"/>
  <c r="G834" i="38"/>
  <c r="G833" i="38"/>
  <c r="G832" i="38"/>
  <c r="G831" i="38"/>
  <c r="G830" i="38"/>
  <c r="G829" i="38"/>
  <c r="G828" i="38"/>
  <c r="G827" i="38"/>
  <c r="G826" i="38"/>
  <c r="G825" i="38"/>
  <c r="G824" i="38"/>
  <c r="G823" i="38"/>
  <c r="G822" i="38"/>
  <c r="G821" i="38"/>
  <c r="G820" i="38"/>
  <c r="G819" i="38"/>
  <c r="G818" i="38"/>
  <c r="G817" i="38"/>
  <c r="G816" i="38"/>
  <c r="G815" i="38"/>
  <c r="G814" i="38"/>
  <c r="G813" i="38"/>
  <c r="G812" i="38"/>
  <c r="G811" i="38"/>
  <c r="G810" i="38"/>
  <c r="G809" i="38"/>
  <c r="G808" i="38"/>
  <c r="G807" i="38"/>
  <c r="G806" i="38"/>
  <c r="G805" i="38"/>
  <c r="G804" i="38"/>
  <c r="G803" i="38"/>
  <c r="G802" i="38"/>
  <c r="G801" i="38"/>
  <c r="G800" i="38"/>
  <c r="G799" i="38"/>
  <c r="G798" i="38"/>
  <c r="G797" i="38"/>
  <c r="G796" i="38"/>
  <c r="G795" i="38"/>
  <c r="G794" i="38"/>
  <c r="G793" i="38"/>
  <c r="G792" i="38"/>
  <c r="G791" i="38"/>
  <c r="G790" i="38"/>
  <c r="G789" i="38"/>
  <c r="G788" i="38"/>
  <c r="G787" i="38"/>
  <c r="G786" i="38"/>
  <c r="G785" i="38"/>
  <c r="G784" i="38"/>
  <c r="G783" i="38"/>
  <c r="G782" i="38"/>
  <c r="G781" i="38"/>
  <c r="G780" i="38"/>
  <c r="G779" i="38"/>
  <c r="G778" i="38"/>
  <c r="G777" i="38"/>
  <c r="G776" i="38"/>
  <c r="G775" i="38"/>
  <c r="G774" i="38"/>
  <c r="G773" i="38"/>
  <c r="G772" i="38"/>
  <c r="G771" i="38"/>
  <c r="G770" i="38"/>
  <c r="G769" i="38"/>
  <c r="G768" i="38"/>
  <c r="G767" i="38"/>
  <c r="G766" i="38"/>
  <c r="G765" i="38"/>
  <c r="G764" i="38"/>
  <c r="G763" i="38"/>
  <c r="G762" i="38"/>
  <c r="G761" i="38"/>
  <c r="G760" i="38"/>
  <c r="G759" i="38"/>
  <c r="G758" i="38"/>
  <c r="G757" i="38"/>
  <c r="G756" i="38"/>
  <c r="G755" i="38"/>
  <c r="G754" i="38"/>
  <c r="G753" i="38"/>
  <c r="G752" i="38"/>
  <c r="G751" i="38"/>
  <c r="G750" i="38"/>
  <c r="G749" i="38"/>
  <c r="G748" i="38"/>
  <c r="G747" i="38"/>
  <c r="G746" i="38"/>
  <c r="G745" i="38"/>
  <c r="G744" i="38"/>
  <c r="G743" i="38"/>
  <c r="G742" i="38"/>
  <c r="G741" i="38"/>
  <c r="G740" i="38"/>
  <c r="G739" i="38"/>
  <c r="G738" i="38"/>
  <c r="G737" i="38"/>
  <c r="G736" i="38"/>
  <c r="G735" i="38"/>
  <c r="G734" i="38"/>
  <c r="G733" i="38"/>
  <c r="G732" i="38"/>
  <c r="G731" i="38"/>
  <c r="G730" i="38"/>
  <c r="G729" i="38"/>
  <c r="G728" i="38"/>
  <c r="G727" i="38"/>
  <c r="G726" i="38"/>
  <c r="G725" i="38"/>
  <c r="G724" i="38"/>
  <c r="G723" i="38"/>
  <c r="G722" i="38"/>
  <c r="G721" i="38"/>
  <c r="G720" i="38"/>
  <c r="G719" i="38"/>
  <c r="G718" i="38"/>
  <c r="G717" i="38"/>
  <c r="G716" i="38"/>
  <c r="G715" i="38"/>
  <c r="G714" i="38"/>
  <c r="G713" i="38"/>
  <c r="G712" i="38"/>
  <c r="G711" i="38"/>
  <c r="G710" i="38"/>
  <c r="G709" i="38"/>
  <c r="G708" i="38"/>
  <c r="G707" i="38"/>
  <c r="G706" i="38"/>
  <c r="G705" i="38"/>
  <c r="G704" i="38"/>
  <c r="G703" i="38"/>
  <c r="G702" i="38"/>
  <c r="G701" i="38"/>
  <c r="G700" i="38"/>
  <c r="G699" i="38"/>
  <c r="G698" i="38"/>
  <c r="G697" i="38"/>
  <c r="G696" i="38"/>
  <c r="G695" i="38"/>
  <c r="G694" i="38"/>
  <c r="G693" i="38"/>
  <c r="G692" i="38"/>
  <c r="G691" i="38"/>
  <c r="G690" i="38"/>
  <c r="G689" i="38"/>
  <c r="G688" i="38"/>
  <c r="G687" i="38"/>
  <c r="G686" i="38"/>
  <c r="G685" i="38"/>
  <c r="G684" i="38"/>
  <c r="G683" i="38"/>
  <c r="G682" i="38"/>
  <c r="G681" i="38"/>
  <c r="G680" i="38"/>
  <c r="G679" i="38"/>
  <c r="G678" i="38"/>
  <c r="G677" i="38"/>
  <c r="G676" i="38"/>
  <c r="G675" i="38"/>
  <c r="G674" i="38"/>
  <c r="G673" i="38"/>
  <c r="G672" i="38"/>
  <c r="G671" i="38"/>
  <c r="G670" i="38"/>
  <c r="G669" i="38"/>
  <c r="G668" i="38"/>
  <c r="G667" i="38"/>
  <c r="G666" i="38"/>
  <c r="G665" i="38"/>
  <c r="G664" i="38"/>
  <c r="G663" i="38"/>
  <c r="G662" i="38"/>
  <c r="G661" i="38"/>
  <c r="G660" i="38"/>
  <c r="G659" i="38"/>
  <c r="G658" i="38"/>
  <c r="G657" i="38"/>
  <c r="G656" i="38"/>
  <c r="G655" i="38"/>
  <c r="G654" i="38"/>
  <c r="G653" i="38"/>
  <c r="G652" i="38"/>
  <c r="G651" i="38"/>
  <c r="G650" i="38"/>
  <c r="G649" i="38"/>
  <c r="G648" i="38"/>
  <c r="G647" i="38"/>
  <c r="G646" i="38"/>
  <c r="G645" i="38"/>
  <c r="G644" i="38"/>
  <c r="G643" i="38"/>
  <c r="G642" i="38"/>
  <c r="G641" i="38"/>
  <c r="G640" i="38"/>
  <c r="G639" i="38"/>
  <c r="G638" i="38"/>
  <c r="G637" i="38"/>
  <c r="G636" i="38"/>
  <c r="G635" i="38"/>
  <c r="G634" i="38"/>
  <c r="G633" i="38"/>
  <c r="G632" i="38"/>
  <c r="G631" i="38"/>
  <c r="G630" i="38"/>
  <c r="G629" i="38"/>
  <c r="G628" i="38"/>
  <c r="G627" i="38"/>
  <c r="G626" i="38"/>
  <c r="G625" i="38"/>
  <c r="G624" i="38"/>
  <c r="G623" i="38"/>
  <c r="G622" i="38"/>
  <c r="G621" i="38"/>
  <c r="G620" i="38"/>
  <c r="G619" i="38"/>
  <c r="G618" i="38"/>
  <c r="G617" i="38"/>
  <c r="G616" i="38"/>
  <c r="G615" i="38"/>
  <c r="G614" i="38"/>
  <c r="G613" i="38"/>
  <c r="G612" i="38"/>
  <c r="G611" i="38"/>
  <c r="G610" i="38"/>
  <c r="G609" i="38"/>
  <c r="G608" i="38"/>
  <c r="G607" i="38"/>
  <c r="G606" i="38"/>
  <c r="G605" i="38"/>
  <c r="G604" i="38"/>
  <c r="G603" i="38"/>
  <c r="G602" i="38"/>
  <c r="G601" i="38"/>
  <c r="G600" i="38"/>
  <c r="G599" i="38"/>
  <c r="G598" i="38"/>
  <c r="G597" i="38"/>
  <c r="G596" i="38"/>
  <c r="G595" i="38"/>
  <c r="G594" i="38"/>
  <c r="G593" i="38"/>
  <c r="G592" i="38"/>
  <c r="G591" i="38"/>
  <c r="G590" i="38"/>
  <c r="G589" i="38"/>
  <c r="G588" i="38"/>
  <c r="G587" i="38"/>
  <c r="G586" i="38"/>
  <c r="G585" i="38"/>
  <c r="G584" i="38"/>
  <c r="G583" i="38"/>
  <c r="G582" i="38"/>
  <c r="G581" i="38"/>
  <c r="G580" i="38"/>
  <c r="G579" i="38"/>
  <c r="G578" i="38"/>
  <c r="G577" i="38"/>
  <c r="G576" i="38"/>
  <c r="G575" i="38"/>
  <c r="G574" i="38"/>
  <c r="G573" i="38"/>
  <c r="G572" i="38"/>
  <c r="G571" i="38"/>
  <c r="G570" i="38"/>
  <c r="G569" i="38"/>
  <c r="G568" i="38"/>
  <c r="G567" i="38"/>
  <c r="G566" i="38"/>
  <c r="G565" i="38"/>
  <c r="G564" i="38"/>
  <c r="G563" i="38"/>
  <c r="G562" i="38"/>
  <c r="G561" i="38"/>
  <c r="G560" i="38"/>
  <c r="G559" i="38"/>
  <c r="G558" i="38"/>
  <c r="G557" i="38"/>
  <c r="G556" i="38"/>
  <c r="G555" i="38"/>
  <c r="G554" i="38"/>
  <c r="G553" i="38"/>
  <c r="G552" i="38"/>
  <c r="G551" i="38"/>
  <c r="G550" i="38"/>
  <c r="G549" i="38"/>
  <c r="G548" i="38"/>
  <c r="G547" i="38"/>
  <c r="G546" i="38"/>
  <c r="G545" i="38"/>
  <c r="G544" i="38"/>
  <c r="G543" i="38"/>
  <c r="G542" i="38"/>
  <c r="G541" i="38"/>
  <c r="G540" i="38"/>
  <c r="G539" i="38"/>
  <c r="G538" i="38"/>
  <c r="G537" i="38"/>
  <c r="G536" i="38"/>
  <c r="G535" i="38"/>
  <c r="G534" i="38"/>
  <c r="G533" i="38"/>
  <c r="G532" i="38"/>
  <c r="G531" i="38"/>
  <c r="G530" i="38"/>
  <c r="G529" i="38"/>
  <c r="G528" i="38"/>
  <c r="G527" i="38"/>
  <c r="G526" i="38"/>
  <c r="G525" i="38"/>
  <c r="G524" i="38"/>
  <c r="G523" i="38"/>
  <c r="G522" i="38"/>
  <c r="G521" i="38"/>
  <c r="G520" i="38"/>
  <c r="G519" i="38"/>
  <c r="G518" i="38"/>
  <c r="G517" i="38"/>
  <c r="G516" i="38"/>
  <c r="G515" i="38"/>
  <c r="G514" i="38"/>
  <c r="G513" i="38"/>
  <c r="G512" i="38"/>
  <c r="G511" i="38"/>
  <c r="G510" i="38"/>
  <c r="G509" i="38"/>
  <c r="G508" i="38"/>
  <c r="G507" i="38"/>
  <c r="G506" i="38"/>
  <c r="G505" i="38"/>
  <c r="G504" i="38"/>
  <c r="G503" i="38"/>
  <c r="G502" i="38"/>
  <c r="G501" i="38"/>
  <c r="G500" i="38"/>
  <c r="G499" i="38"/>
  <c r="G498" i="38"/>
  <c r="G497" i="38"/>
  <c r="G496" i="38"/>
  <c r="G495" i="38"/>
  <c r="G494" i="38"/>
  <c r="G493" i="38"/>
  <c r="G492" i="38"/>
  <c r="G491" i="38"/>
  <c r="G490" i="38"/>
  <c r="G489" i="38"/>
  <c r="G488" i="38"/>
  <c r="G487" i="38"/>
  <c r="G486" i="38"/>
  <c r="G485" i="38"/>
  <c r="G484" i="38"/>
  <c r="G483" i="38"/>
  <c r="G482" i="38"/>
  <c r="G481" i="38"/>
  <c r="G480" i="38"/>
  <c r="G479" i="38"/>
  <c r="G478" i="38"/>
  <c r="G477" i="38"/>
  <c r="G476" i="38"/>
  <c r="G475" i="38"/>
  <c r="G474" i="38"/>
  <c r="G473" i="38"/>
  <c r="G472" i="38"/>
  <c r="G471" i="38"/>
  <c r="G470" i="38"/>
  <c r="G469" i="38"/>
  <c r="G468" i="38"/>
  <c r="G467" i="38"/>
  <c r="G466" i="38"/>
  <c r="G465" i="38"/>
  <c r="G464" i="38"/>
  <c r="G463" i="38"/>
  <c r="G462" i="38"/>
  <c r="G461" i="38"/>
  <c r="G460" i="38"/>
  <c r="G459" i="38"/>
  <c r="G458" i="38"/>
  <c r="G457" i="38"/>
  <c r="G456" i="38"/>
  <c r="G455" i="38"/>
  <c r="G454" i="38"/>
  <c r="G453" i="38"/>
  <c r="G452" i="38"/>
  <c r="G451" i="38"/>
  <c r="G450" i="38"/>
  <c r="G449" i="38"/>
  <c r="G448" i="38"/>
  <c r="G447" i="38"/>
  <c r="G446" i="38"/>
  <c r="A446" i="38"/>
  <c r="A447" i="38" s="1"/>
  <c r="A448" i="38" s="1"/>
  <c r="A449" i="38" s="1"/>
  <c r="A450" i="38" s="1"/>
  <c r="A451" i="38" s="1"/>
  <c r="A452" i="38" s="1"/>
  <c r="A453" i="38" s="1"/>
  <c r="A454" i="38" s="1"/>
  <c r="A455" i="38" s="1"/>
  <c r="A456" i="38" s="1"/>
  <c r="A457" i="38" s="1"/>
  <c r="A458" i="38" s="1"/>
  <c r="A459" i="38" s="1"/>
  <c r="A460" i="38" s="1"/>
  <c r="A461" i="38" s="1"/>
  <c r="A462" i="38" s="1"/>
  <c r="A463" i="38" s="1"/>
  <c r="A464" i="38" s="1"/>
  <c r="A465" i="38" s="1"/>
  <c r="A466" i="38" s="1"/>
  <c r="A467" i="38" s="1"/>
  <c r="A468" i="38" s="1"/>
  <c r="A469" i="38" s="1"/>
  <c r="A470" i="38" s="1"/>
  <c r="A471" i="38" s="1"/>
  <c r="A472" i="38" s="1"/>
  <c r="A473" i="38" s="1"/>
  <c r="A474" i="38" s="1"/>
  <c r="A475" i="38" s="1"/>
  <c r="A476" i="38" s="1"/>
  <c r="A477" i="38" s="1"/>
  <c r="A478" i="38" s="1"/>
  <c r="A479" i="38" s="1"/>
  <c r="A480" i="38" s="1"/>
  <c r="A481" i="38" s="1"/>
  <c r="A482" i="38" s="1"/>
  <c r="A483" i="38" s="1"/>
  <c r="A484" i="38" s="1"/>
  <c r="A485" i="38" s="1"/>
  <c r="A486" i="38" s="1"/>
  <c r="A487" i="38" s="1"/>
  <c r="A488" i="38" s="1"/>
  <c r="A489" i="38" s="1"/>
  <c r="A490" i="38" s="1"/>
  <c r="A491" i="38" s="1"/>
  <c r="A492" i="38" s="1"/>
  <c r="A493" i="38" s="1"/>
  <c r="A494" i="38" s="1"/>
  <c r="A495" i="38" s="1"/>
  <c r="A496" i="38" s="1"/>
  <c r="A497" i="38" s="1"/>
  <c r="A498" i="38" s="1"/>
  <c r="A499" i="38" s="1"/>
  <c r="A500" i="38" s="1"/>
  <c r="A501" i="38" s="1"/>
  <c r="A502" i="38" s="1"/>
  <c r="A503" i="38" s="1"/>
  <c r="A504" i="38" s="1"/>
  <c r="A505" i="38" s="1"/>
  <c r="A506" i="38" s="1"/>
  <c r="A507" i="38" s="1"/>
  <c r="A508" i="38" s="1"/>
  <c r="A509" i="38" s="1"/>
  <c r="A510" i="38" s="1"/>
  <c r="A511" i="38" s="1"/>
  <c r="A512" i="38" s="1"/>
  <c r="A513" i="38" s="1"/>
  <c r="A514" i="38" s="1"/>
  <c r="A515" i="38" s="1"/>
  <c r="A516" i="38" s="1"/>
  <c r="A517" i="38" s="1"/>
  <c r="A518" i="38" s="1"/>
  <c r="A519" i="38" s="1"/>
  <c r="A520" i="38" s="1"/>
  <c r="A521" i="38" s="1"/>
  <c r="A522" i="38" s="1"/>
  <c r="A523" i="38" s="1"/>
  <c r="A524" i="38" s="1"/>
  <c r="A525" i="38" s="1"/>
  <c r="A526" i="38" s="1"/>
  <c r="A527" i="38" s="1"/>
  <c r="A528" i="38" s="1"/>
  <c r="A529" i="38" s="1"/>
  <c r="A530" i="38" s="1"/>
  <c r="A531" i="38" s="1"/>
  <c r="A532" i="38" s="1"/>
  <c r="A533" i="38" s="1"/>
  <c r="A534" i="38" s="1"/>
  <c r="A535" i="38" s="1"/>
  <c r="A536" i="38" s="1"/>
  <c r="A537" i="38" s="1"/>
  <c r="A538" i="38" s="1"/>
  <c r="A539" i="38" s="1"/>
  <c r="A540" i="38" s="1"/>
  <c r="A541" i="38" s="1"/>
  <c r="A542" i="38" s="1"/>
  <c r="A543" i="38" s="1"/>
  <c r="A544" i="38" s="1"/>
  <c r="A545" i="38" s="1"/>
  <c r="A546" i="38" s="1"/>
  <c r="A547" i="38" s="1"/>
  <c r="A548" i="38" s="1"/>
  <c r="A549" i="38" s="1"/>
  <c r="A550" i="38" s="1"/>
  <c r="A551" i="38" s="1"/>
  <c r="A552" i="38" s="1"/>
  <c r="A553" i="38" s="1"/>
  <c r="A554" i="38" s="1"/>
  <c r="A555" i="38" s="1"/>
  <c r="A556" i="38" s="1"/>
  <c r="A557" i="38" s="1"/>
  <c r="A558" i="38" s="1"/>
  <c r="A559" i="38" s="1"/>
  <c r="A560" i="38" s="1"/>
  <c r="A561" i="38" s="1"/>
  <c r="A562" i="38" s="1"/>
  <c r="A563" i="38" s="1"/>
  <c r="A564" i="38" s="1"/>
  <c r="A565" i="38" s="1"/>
  <c r="A566" i="38" s="1"/>
  <c r="A567" i="38" s="1"/>
  <c r="A568" i="38" s="1"/>
  <c r="A569" i="38" s="1"/>
  <c r="A570" i="38" s="1"/>
  <c r="A571" i="38" s="1"/>
  <c r="A572" i="38" s="1"/>
  <c r="A573" i="38" s="1"/>
  <c r="A574" i="38" s="1"/>
  <c r="A575" i="38" s="1"/>
  <c r="A576" i="38" s="1"/>
  <c r="A577" i="38" s="1"/>
  <c r="A578" i="38" s="1"/>
  <c r="A579" i="38" s="1"/>
  <c r="A580" i="38" s="1"/>
  <c r="A581" i="38" s="1"/>
  <c r="A582" i="38" s="1"/>
  <c r="A583" i="38" s="1"/>
  <c r="A584" i="38" s="1"/>
  <c r="A585" i="38" s="1"/>
  <c r="A586" i="38" s="1"/>
  <c r="A587" i="38" s="1"/>
  <c r="A588" i="38" s="1"/>
  <c r="A589" i="38" s="1"/>
  <c r="A590" i="38" s="1"/>
  <c r="A591" i="38" s="1"/>
  <c r="A592" i="38" s="1"/>
  <c r="A593" i="38" s="1"/>
  <c r="A594" i="38" s="1"/>
  <c r="A595" i="38" s="1"/>
  <c r="A596" i="38" s="1"/>
  <c r="A597" i="38" s="1"/>
  <c r="A598" i="38" s="1"/>
  <c r="A599" i="38" s="1"/>
  <c r="A600" i="38" s="1"/>
  <c r="A601" i="38" s="1"/>
  <c r="A602" i="38" s="1"/>
  <c r="A603" i="38" s="1"/>
  <c r="A604" i="38" s="1"/>
  <c r="A605" i="38" s="1"/>
  <c r="A606" i="38" s="1"/>
  <c r="A607" i="38" s="1"/>
  <c r="A608" i="38" s="1"/>
  <c r="A609" i="38" s="1"/>
  <c r="A610" i="38" s="1"/>
  <c r="A611" i="38" s="1"/>
  <c r="A612" i="38" s="1"/>
  <c r="A613" i="38" s="1"/>
  <c r="A614" i="38" s="1"/>
  <c r="A615" i="38" s="1"/>
  <c r="A616" i="38" s="1"/>
  <c r="A617" i="38" s="1"/>
  <c r="A618" i="38" s="1"/>
  <c r="A619" i="38" s="1"/>
  <c r="A620" i="38" s="1"/>
  <c r="A621" i="38" s="1"/>
  <c r="A622" i="38" s="1"/>
  <c r="A623" i="38" s="1"/>
  <c r="A624" i="38" s="1"/>
  <c r="A625" i="38" s="1"/>
  <c r="A626" i="38" s="1"/>
  <c r="A627" i="38" s="1"/>
  <c r="A628" i="38" s="1"/>
  <c r="A629" i="38" s="1"/>
  <c r="A630" i="38" s="1"/>
  <c r="A631" i="38" s="1"/>
  <c r="A632" i="38" s="1"/>
  <c r="A633" i="38" s="1"/>
  <c r="A634" i="38" s="1"/>
  <c r="A635" i="38" s="1"/>
  <c r="A636" i="38" s="1"/>
  <c r="A637" i="38" s="1"/>
  <c r="A638" i="38" s="1"/>
  <c r="A639" i="38" s="1"/>
  <c r="A640" i="38" s="1"/>
  <c r="A641" i="38" s="1"/>
  <c r="A642" i="38" s="1"/>
  <c r="A643" i="38" s="1"/>
  <c r="A644" i="38" s="1"/>
  <c r="A645" i="38" s="1"/>
  <c r="A646" i="38" s="1"/>
  <c r="A647" i="38" s="1"/>
  <c r="A648" i="38" s="1"/>
  <c r="A649" i="38" s="1"/>
  <c r="A650" i="38" s="1"/>
  <c r="A651" i="38" s="1"/>
  <c r="A652" i="38" s="1"/>
  <c r="A653" i="38" s="1"/>
  <c r="A654" i="38" s="1"/>
  <c r="A655" i="38" s="1"/>
  <c r="A656" i="38" s="1"/>
  <c r="A657" i="38" s="1"/>
  <c r="A658" i="38" s="1"/>
  <c r="A659" i="38" s="1"/>
  <c r="A660" i="38" s="1"/>
  <c r="A661" i="38" s="1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G445" i="38"/>
  <c r="B443" i="38"/>
  <c r="G424" i="38"/>
  <c r="G423" i="38"/>
  <c r="G422" i="38"/>
  <c r="G421" i="38"/>
  <c r="G420" i="38"/>
  <c r="G419" i="38"/>
  <c r="G418" i="38"/>
  <c r="G417" i="38"/>
  <c r="G416" i="38"/>
  <c r="G415" i="38"/>
  <c r="G414" i="38"/>
  <c r="G413" i="38"/>
  <c r="G412" i="38"/>
  <c r="G411" i="38"/>
  <c r="G410" i="38"/>
  <c r="G409" i="38"/>
  <c r="G408" i="38"/>
  <c r="G407" i="38"/>
  <c r="G406" i="38"/>
  <c r="G405" i="38"/>
  <c r="G404" i="38"/>
  <c r="A404" i="38"/>
  <c r="A405" i="38" s="1"/>
  <c r="A406" i="38" s="1"/>
  <c r="A407" i="38" s="1"/>
  <c r="A408" i="38" s="1"/>
  <c r="A409" i="38" s="1"/>
  <c r="A410" i="38" s="1"/>
  <c r="A411" i="38" s="1"/>
  <c r="A412" i="38" s="1"/>
  <c r="A413" i="38" s="1"/>
  <c r="A414" i="38" s="1"/>
  <c r="A415" i="38" s="1"/>
  <c r="A416" i="38" s="1"/>
  <c r="A417" i="38" s="1"/>
  <c r="A418" i="38" s="1"/>
  <c r="A419" i="38" s="1"/>
  <c r="A420" i="38" s="1"/>
  <c r="A421" i="38" s="1"/>
  <c r="A422" i="38" s="1"/>
  <c r="A423" i="38" s="1"/>
  <c r="A424" i="38" s="1"/>
  <c r="G403" i="38"/>
  <c r="A403" i="38"/>
  <c r="G402" i="38"/>
  <c r="B400" i="38"/>
  <c r="G218" i="38"/>
  <c r="G217" i="38"/>
  <c r="G216" i="38"/>
  <c r="G215" i="38"/>
  <c r="G214" i="38"/>
  <c r="G213" i="38"/>
  <c r="G212" i="38"/>
  <c r="G211" i="38"/>
  <c r="G210" i="38"/>
  <c r="G209" i="38"/>
  <c r="G208" i="38"/>
  <c r="G207" i="38"/>
  <c r="G206" i="38"/>
  <c r="G205" i="38"/>
  <c r="G204" i="38"/>
  <c r="G203" i="38"/>
  <c r="G202" i="38"/>
  <c r="G201" i="38"/>
  <c r="G200" i="38"/>
  <c r="G199" i="38"/>
  <c r="G198" i="38"/>
  <c r="G197" i="38"/>
  <c r="G196" i="38"/>
  <c r="G195" i="38"/>
  <c r="G194" i="38"/>
  <c r="G193" i="38"/>
  <c r="G192" i="38"/>
  <c r="G191" i="38"/>
  <c r="G190" i="38"/>
  <c r="G189" i="38"/>
  <c r="G188" i="38"/>
  <c r="G187" i="38"/>
  <c r="G186" i="38"/>
  <c r="G185" i="38"/>
  <c r="G184" i="38"/>
  <c r="G183" i="38"/>
  <c r="G182" i="38"/>
  <c r="G181" i="38"/>
  <c r="G180" i="38"/>
  <c r="G179" i="38"/>
  <c r="G178" i="38"/>
  <c r="G177" i="38"/>
  <c r="G176" i="38"/>
  <c r="G175" i="38"/>
  <c r="G174" i="38"/>
  <c r="G173" i="38"/>
  <c r="G172" i="38"/>
  <c r="G171" i="38"/>
  <c r="G170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B103" i="38"/>
  <c r="G18" i="38"/>
  <c r="G17" i="38"/>
  <c r="G16" i="38"/>
  <c r="G15" i="38"/>
  <c r="G14" i="38"/>
  <c r="G13" i="38"/>
  <c r="G12" i="38"/>
  <c r="G11" i="38"/>
  <c r="G10" i="38"/>
  <c r="G9" i="38"/>
  <c r="A9" i="38"/>
  <c r="A10" i="38" s="1"/>
  <c r="A11" i="38" s="1"/>
  <c r="A12" i="38" s="1"/>
  <c r="A13" i="38" s="1"/>
  <c r="A14" i="38" s="1"/>
  <c r="A15" i="38" s="1"/>
  <c r="A16" i="38" s="1"/>
  <c r="A17" i="38" s="1"/>
  <c r="A18" i="38" s="1"/>
  <c r="G8" i="38"/>
  <c r="B6" i="38"/>
  <c r="E3" i="38" s="1"/>
  <c r="W28" i="43"/>
  <c r="S28" i="43"/>
  <c r="O28" i="43"/>
  <c r="W27" i="43"/>
  <c r="S27" i="43"/>
  <c r="O27" i="43"/>
  <c r="W26" i="43"/>
  <c r="S26" i="43"/>
  <c r="O26" i="43"/>
  <c r="W25" i="43"/>
  <c r="S25" i="43"/>
  <c r="O25" i="43"/>
  <c r="W24" i="43"/>
  <c r="S24" i="43"/>
  <c r="O24" i="43"/>
  <c r="W23" i="43"/>
  <c r="S23" i="43"/>
  <c r="O23" i="43"/>
  <c r="W22" i="43"/>
  <c r="S22" i="43"/>
  <c r="O22" i="43"/>
  <c r="W21" i="43"/>
  <c r="S21" i="43"/>
  <c r="O21" i="43"/>
  <c r="W20" i="43"/>
  <c r="S20" i="43"/>
  <c r="O20" i="43"/>
  <c r="W19" i="43"/>
  <c r="S19" i="43"/>
  <c r="O19" i="43"/>
  <c r="W18" i="43"/>
  <c r="S18" i="43"/>
  <c r="O18" i="43"/>
  <c r="W17" i="43"/>
  <c r="S17" i="43"/>
  <c r="O17" i="43"/>
  <c r="W16" i="43"/>
  <c r="S16" i="43"/>
  <c r="O16" i="43"/>
  <c r="W15" i="43"/>
  <c r="S15" i="43"/>
  <c r="O15" i="43"/>
  <c r="S14" i="43"/>
  <c r="W14" i="43" s="1"/>
  <c r="O14" i="43"/>
  <c r="S13" i="43"/>
  <c r="W13" i="43" s="1"/>
  <c r="O13" i="43"/>
  <c r="S12" i="43"/>
  <c r="W12" i="43" s="1"/>
  <c r="O12" i="43"/>
  <c r="S11" i="43"/>
  <c r="W11" i="43" s="1"/>
  <c r="O11" i="43"/>
  <c r="S10" i="43"/>
  <c r="W10" i="43" s="1"/>
  <c r="O10" i="43"/>
  <c r="S9" i="43"/>
  <c r="W9" i="43" s="1"/>
  <c r="O9" i="43"/>
  <c r="S8" i="43"/>
  <c r="W8" i="43" s="1"/>
  <c r="O8" i="43"/>
  <c r="S7" i="43"/>
  <c r="W7" i="43" s="1"/>
  <c r="O7" i="43"/>
  <c r="V5" i="43"/>
  <c r="Y5" i="43" s="1"/>
  <c r="D2" i="43" l="1"/>
  <c r="O2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A1" authorId="0" shapeId="0" xr:uid="{00000000-0006-0000-0000-000001000000}">
      <text>
        <r>
          <rPr>
            <sz val="9"/>
            <rFont val="Tahoma"/>
            <charset val="134"/>
          </rPr>
          <t xml:space="preserve">Colocar el nombre al producto
</t>
        </r>
      </text>
    </comment>
    <comment ref="O1" authorId="0" shapeId="0" xr:uid="{00000000-0006-0000-0000-000002000000}">
      <text>
        <r>
          <rPr>
            <sz val="9"/>
            <rFont val="Tahoma"/>
            <charset val="134"/>
          </rPr>
          <t xml:space="preserve">Utilizar la combinación de teclas:
Ctrl ;
</t>
        </r>
      </text>
    </comment>
    <comment ref="S1" authorId="1" shapeId="0" xr:uid="{00000000-0006-0000-0000-000003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Antes de insertar la imagén ddel producto, retirar esta instrucción y debe llenar los datos correspondientes a las dimensiones del producto</t>
        </r>
      </text>
    </comment>
    <comment ref="Q4" authorId="0" shapeId="0" xr:uid="{00000000-0006-0000-0000-000004000000}">
      <text>
        <r>
          <rPr>
            <sz val="9"/>
            <rFont val="Tahoma"/>
            <charset val="134"/>
          </rPr>
          <t>Diferenciar: como escribir en esas celdas;
Escribir con letras:</t>
        </r>
        <r>
          <rPr>
            <b/>
            <sz val="9"/>
            <rFont val="Tahoma"/>
            <charset val="134"/>
          </rPr>
          <t>Unidad:</t>
        </r>
        <r>
          <rPr>
            <sz val="9"/>
            <rFont val="Tahoma"/>
            <charset val="134"/>
          </rPr>
          <t xml:space="preserve"> Cuando  en  casilla  </t>
        </r>
        <r>
          <rPr>
            <b/>
            <sz val="9"/>
            <rFont val="Tahoma"/>
            <charset val="134"/>
          </rPr>
          <t>Cantidad a Producir</t>
        </r>
        <r>
          <rPr>
            <sz val="9"/>
            <rFont val="Tahoma"/>
            <charset val="134"/>
          </rPr>
          <t xml:space="preserve">  sea mayor a un solo producto, pero solo requiero 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unidad  </t>
        </r>
        <r>
          <rPr>
            <b/>
            <sz val="9"/>
            <rFont val="Tahoma"/>
            <charset val="134"/>
          </rPr>
          <t>para toda</t>
        </r>
        <r>
          <rPr>
            <sz val="9"/>
            <rFont val="Tahoma"/>
            <charset val="134"/>
          </rPr>
          <t xml:space="preserve"> la </t>
        </r>
        <r>
          <rPr>
            <b/>
            <sz val="9"/>
            <rFont val="Tahoma"/>
            <charset val="134"/>
          </rPr>
          <t xml:space="preserve">Cantidad a Producir
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escribir 1:</t>
        </r>
        <r>
          <rPr>
            <sz val="9"/>
            <rFont val="Tahoma"/>
            <charset val="134"/>
          </rPr>
          <t xml:space="preserve"> cuando requiero  en correspondencia  una unidad  de l material por cada uno de los producto en</t>
        </r>
        <r>
          <rPr>
            <b/>
            <sz val="9"/>
            <rFont val="Tahoma"/>
            <charset val="134"/>
          </rPr>
          <t xml:space="preserve"> Cantidad a Producir</t>
        </r>
        <r>
          <rPr>
            <sz val="9"/>
            <rFont val="Tahoma"/>
            <charset val="134"/>
          </rPr>
          <t xml:space="preserve">
Nota: tambien puede utilizar faccionarios,(para hacer que una sola unidad se pueda pedir, aun teniendo en </t>
        </r>
        <r>
          <rPr>
            <b/>
            <sz val="9"/>
            <rFont val="Tahoma"/>
            <charset val="134"/>
          </rPr>
          <t xml:space="preserve">Cantidad a Producir </t>
        </r>
        <r>
          <rPr>
            <sz val="9"/>
            <rFont val="Tahoma"/>
            <charset val="134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rFont val="Tahoma"/>
            <charset val="134"/>
          </rPr>
          <t>Verifique</t>
        </r>
        <r>
          <rPr>
            <sz val="9"/>
            <rFont val="Tahoma"/>
            <charset val="134"/>
          </rPr>
          <t xml:space="preserve">  el  porcentaje  a aumentar por  </t>
        </r>
        <r>
          <rPr>
            <b/>
            <sz val="9"/>
            <rFont val="Tahoma"/>
            <charset val="134"/>
          </rPr>
          <t>DESTROZO</t>
        </r>
        <r>
          <rPr>
            <sz val="9"/>
            <rFont val="Tahoma"/>
            <charset val="134"/>
          </rPr>
          <t xml:space="preserve">  para los materiales  Cuero, Lona , Sinéticos y Textiles, antes de  registrar la </t>
        </r>
        <r>
          <rPr>
            <b/>
            <sz val="9"/>
            <rFont val="Tahoma"/>
            <charset val="134"/>
          </rPr>
          <t xml:space="preserve">CANTIDAD PEDIDA </t>
        </r>
        <r>
          <rPr>
            <sz val="9"/>
            <rFont val="Tahoma"/>
            <charset val="134"/>
          </rPr>
          <t>para una unidad del producto</t>
        </r>
      </text>
    </comment>
    <comment ref="V5" authorId="0" shapeId="0" xr:uid="{00000000-0006-0000-0000-000005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Digite este dato Para solicitar </t>
        </r>
        <r>
          <rPr>
            <b/>
            <sz val="9"/>
            <rFont val="Tahoma"/>
            <charset val="134"/>
          </rPr>
          <t>UNA</t>
        </r>
        <r>
          <rPr>
            <sz val="9"/>
            <rFont val="Tahoma"/>
            <charset val="134"/>
          </rPr>
          <t xml:space="preserve"> sola unidad;para  EL TOTAL de cantidad a producir  en la columna  </t>
        </r>
        <r>
          <rPr>
            <b/>
            <i/>
            <sz val="9"/>
            <rFont val="Tahoma"/>
            <charset val="134"/>
          </rPr>
          <t xml:space="preserve">Cantidad Pedida para: </t>
        </r>
        <r>
          <rPr>
            <b/>
            <i/>
            <sz val="8"/>
            <rFont val="Tahoma"/>
            <charset val="134"/>
          </rPr>
          <t>( esto es proporcionalidad)</t>
        </r>
        <r>
          <rPr>
            <b/>
            <i/>
            <sz val="9"/>
            <rFont val="Tahoma"/>
            <charset val="134"/>
          </rPr>
          <t xml:space="preserve">
</t>
        </r>
      </text>
    </comment>
    <comment ref="X5" authorId="0" shapeId="0" xr:uid="{00000000-0006-0000-0000-000006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Ingresar este valor en  </t>
        </r>
        <r>
          <rPr>
            <b/>
            <sz val="9"/>
            <rFont val="Tahoma"/>
            <charset val="134"/>
          </rPr>
          <t xml:space="preserve">Cantidad Pedida para, </t>
        </r>
        <r>
          <rPr>
            <sz val="9"/>
            <rFont val="Tahoma"/>
            <charset val="134"/>
          </rPr>
          <t>cuando</t>
        </r>
        <r>
          <rPr>
            <b/>
            <sz val="9"/>
            <rFont val="Tahoma"/>
            <charset val="134"/>
          </rPr>
          <t xml:space="preserve"> r</t>
        </r>
        <r>
          <rPr>
            <sz val="9"/>
            <rFont val="Tahoma"/>
            <charset val="134"/>
          </rPr>
          <t xml:space="preserve">equira una   proporción diferente uno a uno  de acuerdo a la catidad a producir
</t>
        </r>
      </text>
    </comment>
    <comment ref="Y5" authorId="0" shapeId="0" xr:uid="{00000000-0006-0000-0000-000007000000}">
      <text>
        <r>
          <rPr>
            <b/>
            <sz val="9"/>
            <rFont val="Tahoma"/>
            <charset val="134"/>
          </rPr>
          <t>Nikkel:</t>
        </r>
        <r>
          <rPr>
            <sz val="9"/>
            <rFont val="Tahoma"/>
            <charset val="134"/>
          </rPr>
          <t xml:space="preserve">
Para solicitar en una proporción diferente digite este valor</t>
        </r>
      </text>
    </comment>
    <comment ref="A8" authorId="1" shapeId="0" xr:uid="{00000000-0006-0000-0000-000008000000}">
      <text>
        <r>
          <rPr>
            <sz val="9"/>
            <rFont val="Tahoma"/>
            <charset val="134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412" authorId="0" shapeId="0" xr:uid="{00000000-0006-0000-0100-000001000000}">
      <text>
        <r>
          <rPr>
            <b/>
            <sz val="9"/>
            <rFont val="Tahoma"/>
            <charset val="134"/>
          </rPr>
          <t>Elkin Antonio Zuleta Montoya:</t>
        </r>
        <r>
          <rPr>
            <sz val="9"/>
            <rFont val="Tahoma"/>
            <charset val="134"/>
          </rPr>
          <t xml:space="preserve">
precio?</t>
        </r>
      </text>
    </comment>
  </commentList>
</comments>
</file>

<file path=xl/sharedStrings.xml><?xml version="1.0" encoding="utf-8"?>
<sst xmlns="http://schemas.openxmlformats.org/spreadsheetml/2006/main" count="3442" uniqueCount="927">
  <si>
    <t>NOMBRE DEL PRODUCTO</t>
  </si>
  <si>
    <t>FECHA DE 
ELABORACION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</si>
  <si>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</si>
  <si>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</si>
  <si>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</si>
  <si>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</si>
  <si>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</si>
  <si>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</si>
  <si>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</si>
  <si>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</si>
  <si>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</si>
  <si>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</si>
  <si>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</si>
  <si>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</si>
  <si>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NOBUCK</t>
  </si>
  <si>
    <t>Café</t>
  </si>
  <si>
    <t>Negro</t>
  </si>
  <si>
    <t>SiNTETICOS_TEXTILES</t>
  </si>
  <si>
    <t>FORRO  PIQUET</t>
  </si>
  <si>
    <t>SECUNDARIO</t>
  </si>
  <si>
    <t>ELASTICO</t>
  </si>
  <si>
    <t xml:space="preserve">Recomendación: 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</si>
  <si>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</si>
  <si>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</si>
  <si>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</si>
  <si>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</si>
  <si>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</si>
  <si>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Todos los insumos que hacen parte del producto,  en un nivel   secundario, o que van en la parte interna de los productos. Ejm Cordones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</si>
  <si>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</si>
  <si>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</si>
  <si>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</si>
  <si>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</si>
  <si>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</si>
  <si>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</si>
  <si>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</si>
  <si>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  <charset val="134"/>
        <scheme val="minor"/>
      </rPr>
      <t>Todos los elementos necesarios para desarrollar el proceso,</t>
    </r>
    <r>
      <rPr>
        <b/>
        <sz val="10"/>
        <color indexed="10"/>
        <rFont val="Calibri"/>
        <charset val="134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</si>
  <si>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</si>
  <si>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</si>
  <si>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</si>
  <si>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</si>
  <si>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</si>
  <si>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</si>
  <si>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</si>
  <si>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Bede</t>
  </si>
  <si>
    <t xml:space="preserve">Totales </t>
  </si>
  <si>
    <t>Magnitudes para calculo minimo</t>
  </si>
  <si>
    <t>Item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</si>
  <si>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</si>
  <si>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</si>
  <si>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</si>
  <si>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</si>
  <si>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</si>
  <si>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</si>
  <si>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</si>
  <si>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</si>
  <si>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Columna1</t>
  </si>
  <si>
    <t>Columna2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</si>
  <si>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</si>
  <si>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</si>
  <si>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</si>
  <si>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</si>
  <si>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</si>
  <si>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</si>
  <si>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</si>
  <si>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</si>
  <si>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</si>
  <si>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</si>
  <si>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</si>
  <si>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 xml:space="preserve">PRIMER PU
</t>
  </si>
  <si>
    <t>SOLUCIÓN DE CAUCHO</t>
  </si>
  <si>
    <t>THINNER</t>
  </si>
  <si>
    <t>Insertar Filas!!</t>
  </si>
  <si>
    <t xml:space="preserve">CAMBRIÓN 
</t>
  </si>
  <si>
    <t>Par</t>
  </si>
  <si>
    <t xml:space="preserve">CAUCHO LATEX
</t>
  </si>
  <si>
    <t>Lámina</t>
  </si>
  <si>
    <t>CINTA FALLA _RIBETE 18 mm  CON APRESTO #3</t>
  </si>
  <si>
    <t>Rollo</t>
  </si>
  <si>
    <t>m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</si>
  <si>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</si>
  <si>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</si>
  <si>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</si>
  <si>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</si>
  <si>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</si>
  <si>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</si>
  <si>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</si>
  <si>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</si>
  <si>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</si>
  <si>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</si>
  <si>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</si>
  <si>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</si>
  <si>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</si>
  <si>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</si>
  <si>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</si>
  <si>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</si>
  <si>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</si>
  <si>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</si>
  <si>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</si>
  <si>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</si>
  <si>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</si>
  <si>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</si>
  <si>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</si>
  <si>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</si>
  <si>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</si>
  <si>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</si>
  <si>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</si>
  <si>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</si>
  <si>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</si>
  <si>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</si>
  <si>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</si>
  <si>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</si>
  <si>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</si>
  <si>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</si>
  <si>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</si>
  <si>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</si>
  <si>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</si>
  <si>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</si>
  <si>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</si>
  <si>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</si>
  <si>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</si>
  <si>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</si>
  <si>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</si>
  <si>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</si>
  <si>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</si>
  <si>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</si>
  <si>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</si>
  <si>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</si>
  <si>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</si>
  <si>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</si>
  <si>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</si>
  <si>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</si>
  <si>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</si>
  <si>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</si>
  <si>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</si>
  <si>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</si>
  <si>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</si>
  <si>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</si>
  <si>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</si>
  <si>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</si>
  <si>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ENCERADO</t>
  </si>
  <si>
    <t xml:space="preserve">CREMALLERA EVERBRIGTH #5
</t>
  </si>
  <si>
    <t>cm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</si>
  <si>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</si>
  <si>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</si>
  <si>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</si>
  <si>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</si>
  <si>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</si>
  <si>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</si>
  <si>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</si>
  <si>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</si>
  <si>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</si>
  <si>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</si>
  <si>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</si>
  <si>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</si>
  <si>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</si>
  <si>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</si>
  <si>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</si>
  <si>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</si>
  <si>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HILO ENCERADO </t>
  </si>
  <si>
    <t>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</si>
  <si>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</si>
  <si>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</si>
  <si>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</si>
  <si>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</si>
  <si>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</si>
  <si>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>lAMBRILLA 3 mm ( EVA)</t>
  </si>
  <si>
    <t>lAMBRILLA 8 mm ( EVA)</t>
  </si>
  <si>
    <t xml:space="preserve">MADEJA HILOS PARA MACRAME # 30
</t>
  </si>
  <si>
    <t xml:space="preserve">MADEJA HILOS PARA MACRAME # 45
</t>
  </si>
  <si>
    <t>ODENA 0,5 mm</t>
  </si>
  <si>
    <t xml:space="preserve">PINTURAS PARA CUERO </t>
  </si>
  <si>
    <t>kit</t>
  </si>
  <si>
    <t>REATA DE ALGODÓN 48 mm</t>
  </si>
  <si>
    <t>REATA DE ALGODON DE 1 1/2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</si>
  <si>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</si>
  <si>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</si>
  <si>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</si>
  <si>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</si>
  <si>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</si>
  <si>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</si>
  <si>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</si>
  <si>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</si>
  <si>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</si>
  <si>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</si>
  <si>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</si>
  <si>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</si>
  <si>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</si>
  <si>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</si>
  <si>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</si>
  <si>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</si>
  <si>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</si>
  <si>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</si>
  <si>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</si>
  <si>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</si>
  <si>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</si>
  <si>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</si>
  <si>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</si>
  <si>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</si>
  <si>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</si>
  <si>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</si>
  <si>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</si>
  <si>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</si>
  <si>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</si>
  <si>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</si>
  <si>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</si>
  <si>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</si>
  <si>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</si>
  <si>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</si>
  <si>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</si>
  <si>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</si>
  <si>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</si>
  <si>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</si>
  <si>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</si>
  <si>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</si>
  <si>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PLACA BUFALO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</si>
  <si>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</si>
  <si>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</si>
  <si>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</si>
  <si>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</si>
  <si>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</si>
  <si>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</si>
  <si>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</si>
  <si>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</si>
  <si>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</si>
  <si>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</si>
  <si>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</si>
  <si>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</si>
  <si>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</si>
  <si>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</si>
  <si>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</si>
  <si>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</si>
  <si>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</si>
  <si>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</si>
  <si>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</si>
  <si>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</si>
  <si>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</si>
  <si>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</si>
  <si>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</si>
  <si>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</si>
  <si>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</si>
  <si>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</si>
  <si>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</si>
  <si>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</si>
  <si>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</si>
  <si>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</si>
  <si>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</si>
  <si>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</si>
  <si>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</si>
  <si>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</si>
  <si>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</si>
  <si>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</si>
  <si>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</si>
  <si>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</si>
  <si>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</si>
  <si>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</si>
  <si>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</si>
  <si>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</si>
  <si>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</si>
  <si>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</si>
  <si>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</si>
  <si>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</si>
  <si>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</si>
  <si>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</si>
  <si>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</si>
  <si>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</si>
  <si>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</si>
  <si>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</si>
  <si>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</si>
  <si>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</si>
  <si>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</si>
  <si>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</si>
  <si>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</si>
  <si>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</si>
  <si>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</si>
  <si>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</si>
  <si>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</si>
  <si>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</si>
  <si>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</si>
  <si>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</si>
  <si>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</si>
  <si>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</si>
  <si>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</si>
  <si>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</si>
  <si>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</si>
  <si>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</si>
  <si>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</si>
  <si>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</si>
  <si>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</si>
  <si>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</si>
  <si>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</si>
  <si>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</si>
  <si>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</si>
  <si>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</si>
  <si>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</si>
  <si>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</si>
  <si>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</si>
  <si>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</si>
  <si>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</si>
  <si>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</si>
  <si>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</si>
  <si>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</si>
  <si>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</si>
  <si>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</si>
  <si>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</si>
  <si>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</si>
  <si>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</si>
  <si>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</si>
  <si>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</si>
  <si>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</si>
  <si>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</si>
  <si>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</si>
  <si>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</si>
  <si>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</si>
  <si>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</si>
  <si>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</si>
  <si>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</si>
  <si>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</si>
  <si>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</si>
  <si>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</si>
  <si>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</si>
  <si>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</si>
  <si>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</si>
  <si>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</si>
  <si>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</si>
  <si>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</si>
  <si>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</si>
  <si>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</si>
  <si>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</si>
  <si>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</si>
  <si>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</si>
  <si>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</si>
  <si>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</si>
  <si>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</si>
  <si>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</si>
  <si>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</si>
  <si>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</si>
  <si>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</si>
  <si>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</si>
  <si>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</si>
  <si>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</si>
  <si>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</si>
  <si>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</si>
  <si>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</si>
  <si>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</si>
  <si>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</si>
  <si>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</si>
  <si>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</si>
  <si>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</si>
  <si>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</si>
  <si>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</si>
  <si>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</si>
  <si>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</si>
  <si>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</si>
  <si>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</si>
  <si>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</si>
  <si>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</si>
  <si>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</si>
  <si>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</si>
  <si>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</si>
  <si>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</si>
  <si>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</si>
  <si>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</si>
  <si>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</si>
  <si>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</si>
  <si>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</si>
  <si>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</si>
  <si>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</si>
  <si>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</si>
  <si>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</si>
  <si>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</si>
  <si>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</si>
  <si>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</si>
  <si>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</si>
  <si>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</si>
  <si>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</si>
  <si>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</si>
  <si>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</si>
  <si>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</si>
  <si>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</si>
  <si>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</si>
  <si>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</si>
  <si>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</si>
  <si>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</si>
  <si>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</si>
  <si>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</si>
  <si>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</si>
  <si>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</si>
  <si>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</si>
  <si>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</si>
  <si>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</si>
  <si>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</si>
  <si>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</si>
  <si>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</si>
  <si>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</si>
  <si>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</si>
  <si>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</si>
  <si>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</si>
  <si>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</si>
  <si>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</si>
  <si>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</si>
  <si>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</si>
  <si>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</si>
  <si>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</si>
  <si>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</si>
  <si>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</si>
  <si>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</si>
  <si>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</si>
  <si>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</si>
  <si>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</si>
  <si>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</si>
  <si>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</si>
  <si>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</si>
  <si>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</si>
  <si>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</si>
  <si>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</si>
  <si>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</si>
  <si>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</si>
  <si>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</si>
  <si>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</si>
  <si>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</si>
  <si>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</si>
  <si>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</si>
  <si>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</si>
  <si>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</si>
  <si>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</si>
  <si>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</si>
  <si>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</si>
  <si>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</si>
  <si>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</si>
  <si>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</si>
  <si>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</si>
  <si>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</si>
  <si>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</si>
  <si>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</si>
  <si>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</si>
  <si>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</si>
  <si>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</si>
  <si>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</si>
  <si>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</si>
  <si>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</si>
  <si>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</si>
  <si>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</si>
  <si>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</si>
  <si>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</si>
  <si>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</si>
  <si>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</si>
  <si>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</si>
  <si>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</si>
  <si>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</si>
  <si>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</si>
  <si>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</si>
  <si>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</si>
  <si>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</si>
  <si>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</si>
  <si>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</si>
  <si>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</si>
  <si>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</si>
  <si>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</si>
  <si>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</si>
  <si>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</si>
  <si>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</si>
  <si>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</si>
  <si>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</si>
  <si>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</si>
  <si>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</si>
  <si>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</si>
  <si>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</si>
  <si>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</si>
  <si>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</si>
  <si>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</si>
  <si>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</si>
  <si>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</si>
  <si>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</si>
  <si>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</si>
  <si>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</si>
  <si>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</si>
  <si>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</si>
  <si>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</si>
  <si>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</si>
  <si>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</si>
  <si>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</si>
  <si>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</si>
  <si>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</si>
  <si>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</si>
  <si>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</si>
  <si>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</si>
  <si>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</si>
  <si>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</si>
  <si>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</si>
  <si>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</si>
  <si>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</si>
  <si>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</si>
  <si>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</si>
  <si>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</si>
  <si>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</si>
  <si>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</si>
  <si>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</si>
  <si>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</si>
  <si>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</si>
  <si>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</si>
  <si>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</si>
  <si>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</si>
  <si>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</si>
  <si>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</si>
  <si>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</si>
  <si>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</si>
  <si>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</si>
  <si>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</si>
  <si>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</si>
  <si>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</si>
  <si>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</si>
  <si>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</si>
  <si>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</si>
  <si>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</si>
  <si>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</si>
  <si>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</si>
  <si>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</si>
  <si>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</si>
  <si>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</si>
  <si>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</si>
  <si>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</si>
  <si>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</si>
  <si>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</si>
  <si>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</si>
  <si>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</si>
  <si>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</si>
  <si>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</si>
  <si>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</si>
  <si>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</si>
  <si>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</si>
  <si>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</si>
  <si>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</si>
  <si>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</si>
  <si>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</si>
  <si>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</si>
  <si>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</si>
  <si>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</si>
  <si>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</si>
  <si>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</si>
  <si>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</si>
  <si>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</si>
  <si>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</si>
  <si>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</si>
  <si>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</si>
  <si>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</si>
  <si>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</si>
  <si>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</si>
  <si>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</si>
  <si>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</si>
  <si>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</si>
  <si>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</si>
  <si>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</si>
  <si>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</si>
  <si>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</si>
  <si>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</si>
  <si>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</si>
  <si>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</si>
  <si>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</si>
  <si>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</si>
  <si>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</si>
  <si>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</si>
  <si>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</si>
  <si>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</si>
  <si>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</si>
  <si>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</si>
  <si>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</si>
  <si>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</si>
  <si>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</si>
  <si>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</si>
  <si>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</si>
  <si>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</si>
  <si>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</si>
  <si>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</si>
  <si>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</si>
  <si>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</si>
  <si>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</si>
  <si>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</si>
  <si>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</si>
  <si>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</si>
  <si>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</si>
  <si>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</si>
  <si>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</si>
  <si>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</si>
  <si>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</si>
  <si>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</si>
  <si>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</si>
  <si>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</si>
  <si>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</si>
  <si>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</si>
  <si>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</si>
  <si>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</si>
  <si>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</si>
  <si>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</si>
  <si>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</si>
  <si>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</si>
  <si>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</si>
  <si>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</si>
  <si>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</si>
  <si>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</si>
  <si>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</si>
  <si>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</si>
  <si>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</si>
  <si>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</si>
  <si>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</si>
  <si>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</si>
  <si>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</si>
  <si>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</si>
  <si>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</si>
  <si>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</si>
  <si>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</si>
  <si>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</si>
  <si>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</si>
  <si>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</si>
  <si>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</si>
  <si>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</si>
  <si>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</si>
  <si>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</si>
  <si>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</si>
  <si>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</si>
  <si>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</si>
  <si>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</si>
  <si>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</si>
  <si>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</si>
  <si>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</si>
  <si>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</si>
  <si>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</si>
  <si>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</si>
  <si>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</si>
  <si>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</si>
  <si>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</si>
  <si>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</si>
  <si>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</si>
  <si>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</si>
  <si>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</si>
  <si>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</si>
  <si>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</si>
  <si>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</si>
  <si>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</si>
  <si>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</si>
  <si>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</si>
  <si>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</si>
  <si>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</si>
  <si>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</si>
  <si>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</si>
  <si>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</si>
  <si>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</si>
  <si>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</si>
  <si>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</si>
  <si>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</si>
  <si>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</si>
  <si>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</si>
  <si>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</si>
  <si>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</si>
  <si>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</si>
  <si>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</si>
  <si>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</si>
  <si>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</si>
  <si>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</si>
  <si>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</si>
  <si>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</si>
  <si>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</si>
  <si>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</si>
  <si>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</si>
  <si>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</si>
  <si>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</si>
  <si>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</si>
  <si>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</si>
  <si>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SOPORTE SUEVE PARA CALZADO Y MARROQUINERIA CALIBRE 0,5 MM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</si>
  <si>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</si>
  <si>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</si>
  <si>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</si>
  <si>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</si>
  <si>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</si>
  <si>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</si>
  <si>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</si>
  <si>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</si>
  <si>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JUEGO DESTORNILLADORES  PARA MAQUINA DE COSER MAGNETICOS</t>
  </si>
  <si>
    <t xml:space="preserve">PERFORADORES/SACABOCADOS
</t>
  </si>
  <si>
    <t>Kit</t>
  </si>
  <si>
    <t>PINCELES LENGUA DE GATO</t>
  </si>
  <si>
    <t>PISTOLA INDUSTRIAL DE CALOR</t>
  </si>
  <si>
    <t xml:space="preserve">PORTA  CUCHILLA
</t>
  </si>
  <si>
    <t xml:space="preserve">PRENSA RAPIDA DE RESORTE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</si>
  <si>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</si>
  <si>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</si>
  <si>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</si>
  <si>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</si>
  <si>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</si>
  <si>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</si>
  <si>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</si>
  <si>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</si>
  <si>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</si>
  <si>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</si>
  <si>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</si>
  <si>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</si>
  <si>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</si>
  <si>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</si>
  <si>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</si>
  <si>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</si>
  <si>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</si>
  <si>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</si>
  <si>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</si>
  <si>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</si>
  <si>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</si>
  <si>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</si>
  <si>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</si>
  <si>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</si>
  <si>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</si>
  <si>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</si>
  <si>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</si>
  <si>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</si>
  <si>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</si>
  <si>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</si>
  <si>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</si>
  <si>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</si>
  <si>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</si>
  <si>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</si>
  <si>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</si>
  <si>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</si>
  <si>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</si>
  <si>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</si>
  <si>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</si>
  <si>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</si>
  <si>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</si>
  <si>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</si>
  <si>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CARTULINA PLANA </t>
  </si>
  <si>
    <t>Pliego</t>
  </si>
  <si>
    <t>CINTA  DE ENMASCARAR</t>
  </si>
  <si>
    <t>CINTA DE ENMASCARAR  2 "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</si>
  <si>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</si>
  <si>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</si>
  <si>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</si>
  <si>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</si>
  <si>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</si>
  <si>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</si>
  <si>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</si>
  <si>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</si>
  <si>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</si>
  <si>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</si>
  <si>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</si>
  <si>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</si>
  <si>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</si>
  <si>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</si>
  <si>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</si>
  <si>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</si>
  <si>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</t>
  </si>
  <si>
    <t>Hojas</t>
  </si>
  <si>
    <t>LUZ PARA MÁQUINA DE COSER  FLEX</t>
  </si>
  <si>
    <t xml:space="preserve">MINA DE PLATA
</t>
  </si>
  <si>
    <t>PAPEL PERIÓDICO</t>
  </si>
  <si>
    <t>Caucho de silicona</t>
  </si>
  <si>
    <t>QUÍMICOS</t>
  </si>
  <si>
    <t>kg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</si>
  <si>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</si>
  <si>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</si>
  <si>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</si>
  <si>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</si>
  <si>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</si>
  <si>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</si>
  <si>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</si>
  <si>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</si>
  <si>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</si>
  <si>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</si>
  <si>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</si>
  <si>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</si>
  <si>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</si>
  <si>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</si>
  <si>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</si>
  <si>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l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</si>
  <si>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</si>
  <si>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</si>
  <si>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</si>
  <si>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</si>
  <si>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</si>
  <si>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</si>
  <si>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</si>
  <si>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</si>
  <si>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</si>
  <si>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</si>
  <si>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</si>
  <si>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</si>
  <si>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</si>
  <si>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</si>
  <si>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</si>
  <si>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</si>
  <si>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</si>
  <si>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</si>
  <si>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</si>
  <si>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</si>
  <si>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</si>
  <si>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</si>
  <si>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</si>
  <si>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</si>
  <si>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</si>
  <si>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</si>
  <si>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</si>
  <si>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</si>
  <si>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</si>
  <si>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</si>
  <si>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</si>
  <si>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</si>
  <si>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</si>
  <si>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</si>
  <si>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</si>
  <si>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</si>
  <si>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</si>
  <si>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</si>
  <si>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</si>
  <si>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</si>
  <si>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</si>
  <si>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</si>
  <si>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</si>
  <si>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</si>
  <si>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</si>
  <si>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</si>
  <si>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</si>
  <si>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</si>
  <si>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</si>
  <si>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</si>
  <si>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</si>
  <si>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</si>
  <si>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</si>
  <si>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</si>
  <si>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</si>
  <si>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</si>
  <si>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>NEOLITE GRABADO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</si>
  <si>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</si>
  <si>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</si>
  <si>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</si>
  <si>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</si>
  <si>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</si>
  <si>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</si>
  <si>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</si>
  <si>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</si>
  <si>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</si>
  <si>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</si>
  <si>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</si>
  <si>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</si>
  <si>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</si>
  <si>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</si>
  <si>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</si>
  <si>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</si>
  <si>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</si>
  <si>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</si>
  <si>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</si>
  <si>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</si>
  <si>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</si>
  <si>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</si>
  <si>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</si>
  <si>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</si>
  <si>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</si>
  <si>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</si>
  <si>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</si>
  <si>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</si>
  <si>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</t>
  </si>
  <si>
    <t xml:space="preserve">SUELA ENTERIZA 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</si>
  <si>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</si>
  <si>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</si>
  <si>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</si>
  <si>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</si>
  <si>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</si>
  <si>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</si>
  <si>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</si>
  <si>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</si>
  <si>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</si>
  <si>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</si>
  <si>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</si>
  <si>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</si>
  <si>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</si>
  <si>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</si>
  <si>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</si>
  <si>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</si>
  <si>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</si>
  <si>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</si>
  <si>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</si>
  <si>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</si>
  <si>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</si>
  <si>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</si>
  <si>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</si>
  <si>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</t>
  </si>
  <si>
    <t>Categorias</t>
  </si>
  <si>
    <t>Lis</t>
  </si>
  <si>
    <t>Nombre  de la
Unidades</t>
  </si>
  <si>
    <t>Simbololo  de la  
 Unidad</t>
  </si>
  <si>
    <t>Restar_Pedido</t>
  </si>
  <si>
    <t xml:space="preserve">Caja </t>
  </si>
  <si>
    <t>Caja</t>
  </si>
  <si>
    <t>Amarillo</t>
  </si>
  <si>
    <t>centimetros</t>
  </si>
  <si>
    <t>Azul</t>
  </si>
  <si>
    <t xml:space="preserve">centimetros cuadrados </t>
  </si>
  <si>
    <r>
      <rPr>
        <b/>
        <sz val="10"/>
        <rFont val="Arial"/>
        <charset val="134"/>
      </rPr>
      <t>cm</t>
    </r>
    <r>
      <rPr>
        <b/>
        <vertAlign val="superscript"/>
        <sz val="10"/>
        <rFont val="Arial"/>
        <charset val="134"/>
      </rPr>
      <t>2</t>
    </r>
  </si>
  <si>
    <t>Blanco</t>
  </si>
  <si>
    <t xml:space="preserve">decimetros  </t>
  </si>
  <si>
    <t>dm</t>
  </si>
  <si>
    <t>Colores Surtidos</t>
  </si>
  <si>
    <t xml:space="preserve">decimetros Cuadrados </t>
  </si>
  <si>
    <r>
      <rPr>
        <b/>
        <sz val="10"/>
        <rFont val="Arial"/>
        <charset val="134"/>
      </rPr>
      <t>dm</t>
    </r>
    <r>
      <rPr>
        <b/>
        <vertAlign val="superscript"/>
        <sz val="10"/>
        <rFont val="Arial"/>
        <charset val="134"/>
      </rPr>
      <t>2</t>
    </r>
  </si>
  <si>
    <t>Colores Varios</t>
  </si>
  <si>
    <t>Frasco</t>
  </si>
  <si>
    <t>F</t>
  </si>
  <si>
    <t>Galon</t>
  </si>
  <si>
    <t xml:space="preserve">Rojo </t>
  </si>
  <si>
    <t>Garrafa</t>
  </si>
  <si>
    <t>gf</t>
  </si>
  <si>
    <t>Verde</t>
  </si>
  <si>
    <t>gramos</t>
  </si>
  <si>
    <t>kilogramo</t>
  </si>
  <si>
    <t>Lamina</t>
  </si>
  <si>
    <t>Libra</t>
  </si>
  <si>
    <t>lb</t>
  </si>
  <si>
    <t>Litro</t>
  </si>
  <si>
    <t>metros</t>
  </si>
  <si>
    <t>miligramos</t>
  </si>
  <si>
    <t>mg</t>
  </si>
  <si>
    <t>mililitro</t>
  </si>
  <si>
    <t>Ovillo</t>
  </si>
  <si>
    <t>Paquetre</t>
  </si>
  <si>
    <t>paq</t>
  </si>
  <si>
    <t>pares</t>
  </si>
  <si>
    <t>Resma</t>
  </si>
  <si>
    <t>Unidad</t>
  </si>
  <si>
    <t>verde</t>
  </si>
  <si>
    <t xml:space="preserve">negro </t>
  </si>
  <si>
    <t xml:space="preserve">verde </t>
  </si>
  <si>
    <t>Bota 1</t>
  </si>
  <si>
    <t xml:space="preserve">morado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</si>
</sst>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_-;\-* #,##0.0_-;_-* &quot;-&quot;??_-;_-@_-"/>
    <numFmt numFmtId="166" formatCode="_-* #,##0_-;\-* #,##0_-;_-* &quot;-&quot;??_-;_-@_-"/>
    <numFmt numFmtId="167" formatCode="_-&quot;$&quot;\ * #,##0.00_-;\-&quot;$&quot;\ * #,##0.00_-;_-&quot;$&quot;\ * &quot;-&quot;??_-;_-@"/>
    <numFmt numFmtId="168" formatCode="\ d\ &quot;de&quot;\ mmmm\ &quot;de&quot;\ yyyy"/>
    <numFmt numFmtId="169" formatCode="0.000"/>
  </numFmts>
  <fonts count="7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9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4" tint="-0.24997711111789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0"/>
      <name val="Arial"/>
      <charset val="134"/>
    </font>
    <font>
      <b/>
      <sz val="11"/>
      <color theme="0"/>
      <name val="Calibri"/>
      <charset val="134"/>
    </font>
    <font>
      <b/>
      <sz val="12"/>
      <color theme="0"/>
      <name val="Calibri"/>
      <charset val="134"/>
      <scheme val="minor"/>
    </font>
    <font>
      <b/>
      <sz val="9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4" tint="-0.249977111117893"/>
      <name val="Calibri"/>
      <charset val="134"/>
      <scheme val="minor"/>
    </font>
    <font>
      <b/>
      <sz val="10"/>
      <color theme="1"/>
      <name val="Arial"/>
      <charset val="134"/>
    </font>
    <font>
      <sz val="8"/>
      <color theme="1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theme="1"/>
      <name val="Calibri"/>
      <charset val="134"/>
    </font>
    <font>
      <sz val="10"/>
      <color rgb="FF000000"/>
      <name val="&quot;Times New Roman&quot;"/>
      <charset val="134"/>
    </font>
    <font>
      <b/>
      <sz val="20"/>
      <color theme="0"/>
      <name val="Calibri"/>
      <charset val="134"/>
      <scheme val="minor"/>
    </font>
    <font>
      <sz val="12"/>
      <color theme="1"/>
      <name val="Arial"/>
      <charset val="134"/>
    </font>
    <font>
      <sz val="10"/>
      <color theme="1"/>
      <name val="Arial"/>
      <charset val="134"/>
    </font>
    <font>
      <b/>
      <sz val="8"/>
      <color theme="1"/>
      <name val="Arial"/>
      <charset val="134"/>
    </font>
    <font>
      <b/>
      <sz val="22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2"/>
      <color rgb="FF366092"/>
      <name val="Calibri"/>
      <charset val="134"/>
    </font>
    <font>
      <b/>
      <sz val="18"/>
      <color rgb="FFFFFFFF"/>
      <name val="Calibri"/>
      <charset val="134"/>
    </font>
    <font>
      <b/>
      <sz val="14"/>
      <color rgb="FF366092"/>
      <name val="Calibri"/>
      <charset val="134"/>
    </font>
    <font>
      <b/>
      <sz val="11"/>
      <color rgb="FFFFFFFF"/>
      <name val="Arial"/>
      <charset val="134"/>
    </font>
    <font>
      <b/>
      <sz val="11"/>
      <color rgb="FFFFFFFF"/>
      <name val="Calibri"/>
      <charset val="134"/>
    </font>
    <font>
      <b/>
      <sz val="12"/>
      <color rgb="FFFFFFFF"/>
      <name val="Calibri"/>
      <charset val="134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Calibri"/>
      <charset val="134"/>
    </font>
    <font>
      <b/>
      <i/>
      <sz val="14"/>
      <color theme="0"/>
      <name val="Calibri"/>
      <charset val="134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2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17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20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i/>
      <sz val="11"/>
      <color indexed="23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8"/>
      <name val="Calibri"/>
      <charset val="134"/>
    </font>
    <font>
      <b/>
      <sz val="10"/>
      <color indexed="10"/>
      <name val="Calibri"/>
      <charset val="134"/>
    </font>
    <font>
      <b/>
      <vertAlign val="superscript"/>
      <sz val="10"/>
      <name val="Arial"/>
      <charset val="134"/>
    </font>
    <font>
      <sz val="9"/>
      <name val="Tahoma"/>
      <charset val="134"/>
    </font>
    <font>
      <b/>
      <i/>
      <sz val="9"/>
      <name val="Tahoma"/>
      <charset val="134"/>
    </font>
    <font>
      <b/>
      <sz val="9"/>
      <name val="Tahoma"/>
      <charset val="134"/>
    </font>
    <font>
      <b/>
      <i/>
      <sz val="8"/>
      <name val="Tahoma"/>
      <charset val="134"/>
    </font>
  </fonts>
  <fills count="7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C99B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BBB59"/>
        <bgColor rgb="FF4F81BD"/>
      </patternFill>
    </fill>
    <fill>
      <patternFill patternType="solid">
        <fgColor rgb="FFD9D9D9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5C99B8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theme="4" tint="0.39994506668294322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4" tint="0.39994506668294322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95B3D7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43" fontId="51" fillId="0" borderId="0" applyFont="0" applyFill="0" applyBorder="0" applyAlignment="0" applyProtection="0"/>
    <xf numFmtId="0" fontId="52" fillId="52" borderId="0" applyNumberFormat="0" applyBorder="0" applyAlignment="0" applyProtection="0"/>
    <xf numFmtId="0" fontId="52" fillId="53" borderId="0" applyNumberFormat="0" applyBorder="0" applyAlignment="0" applyProtection="0"/>
    <xf numFmtId="0" fontId="52" fillId="54" borderId="0" applyNumberFormat="0" applyBorder="0" applyAlignment="0" applyProtection="0"/>
    <xf numFmtId="0" fontId="52" fillId="55" borderId="0" applyNumberFormat="0" applyBorder="0" applyAlignment="0" applyProtection="0"/>
    <xf numFmtId="0" fontId="52" fillId="56" borderId="0" applyNumberFormat="0" applyBorder="0" applyAlignment="0" applyProtection="0"/>
    <xf numFmtId="0" fontId="52" fillId="57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55" borderId="0" applyNumberFormat="0" applyBorder="0" applyAlignment="0" applyProtection="0"/>
    <xf numFmtId="0" fontId="52" fillId="58" borderId="0" applyNumberFormat="0" applyBorder="0" applyAlignment="0" applyProtection="0"/>
    <xf numFmtId="0" fontId="52" fillId="61" borderId="0" applyNumberFormat="0" applyBorder="0" applyAlignment="0" applyProtection="0"/>
    <xf numFmtId="0" fontId="53" fillId="62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4" fillId="54" borderId="0" applyNumberFormat="0" applyBorder="0" applyAlignment="0" applyProtection="0"/>
    <xf numFmtId="0" fontId="55" fillId="66" borderId="39" applyNumberFormat="0" applyAlignment="0" applyProtection="0"/>
    <xf numFmtId="0" fontId="56" fillId="67" borderId="40" applyNumberFormat="0" applyAlignment="0" applyProtection="0"/>
    <xf numFmtId="0" fontId="57" fillId="0" borderId="41" applyNumberFormat="0" applyFill="0" applyAlignment="0" applyProtection="0"/>
    <xf numFmtId="0" fontId="58" fillId="0" borderId="0" applyNumberFormat="0" applyFill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71" borderId="0" applyNumberFormat="0" applyBorder="0" applyAlignment="0" applyProtection="0"/>
    <xf numFmtId="0" fontId="59" fillId="57" borderId="39" applyNumberFormat="0" applyAlignment="0" applyProtection="0"/>
    <xf numFmtId="0" fontId="60" fillId="53" borderId="0" applyNumberFormat="0" applyBorder="0" applyAlignment="0" applyProtection="0"/>
    <xf numFmtId="164" fontId="61" fillId="0" borderId="0" applyFont="0" applyFill="0" applyBorder="0" applyAlignment="0" applyProtection="0"/>
    <xf numFmtId="0" fontId="62" fillId="72" borderId="0" applyNumberFormat="0" applyBorder="0" applyAlignment="0" applyProtection="0"/>
    <xf numFmtId="0" fontId="61" fillId="0" borderId="0"/>
    <xf numFmtId="0" fontId="17" fillId="0" borderId="0"/>
    <xf numFmtId="0" fontId="17" fillId="0" borderId="0"/>
    <xf numFmtId="0" fontId="17" fillId="0" borderId="0"/>
    <xf numFmtId="0" fontId="51" fillId="0" borderId="0"/>
    <xf numFmtId="0" fontId="63" fillId="0" borderId="0"/>
    <xf numFmtId="0" fontId="63" fillId="0" borderId="0"/>
    <xf numFmtId="0" fontId="61" fillId="73" borderId="42" applyNumberFormat="0" applyFont="0" applyAlignment="0" applyProtection="0"/>
    <xf numFmtId="0" fontId="64" fillId="66" borderId="43" applyNumberFormat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44" applyNumberFormat="0" applyFill="0" applyAlignment="0" applyProtection="0"/>
    <xf numFmtId="0" fontId="68" fillId="0" borderId="45" applyNumberFormat="0" applyFill="0" applyAlignment="0" applyProtection="0"/>
    <xf numFmtId="0" fontId="58" fillId="0" borderId="46" applyNumberFormat="0" applyFill="0" applyAlignment="0" applyProtection="0"/>
    <xf numFmtId="0" fontId="69" fillId="0" borderId="47" applyNumberFormat="0" applyFill="0" applyAlignment="0" applyProtection="0"/>
  </cellStyleXfs>
  <cellXfs count="30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3" fillId="4" borderId="4" xfId="35" applyFont="1" applyFill="1" applyBorder="1"/>
    <xf numFmtId="0" fontId="0" fillId="0" borderId="3" xfId="0" applyBorder="1"/>
    <xf numFmtId="0" fontId="3" fillId="4" borderId="5" xfId="35" applyFont="1" applyFill="1" applyBorder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0" borderId="0" xfId="0" applyFont="1"/>
    <xf numFmtId="0" fontId="0" fillId="7" borderId="0" xfId="0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5" fontId="0" fillId="7" borderId="0" xfId="1" applyNumberFormat="1" applyFont="1" applyFill="1" applyAlignment="1">
      <alignment horizontal="righ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166" fontId="11" fillId="7" borderId="3" xfId="1" applyNumberFormat="1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165" fontId="11" fillId="7" borderId="10" xfId="1" applyNumberFormat="1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/>
    </xf>
    <xf numFmtId="0" fontId="0" fillId="7" borderId="4" xfId="0" applyFill="1" applyBorder="1" applyAlignment="1">
      <alignment vertical="top" wrapText="1"/>
    </xf>
    <xf numFmtId="0" fontId="16" fillId="6" borderId="5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top" wrapText="1"/>
    </xf>
    <xf numFmtId="165" fontId="7" fillId="11" borderId="4" xfId="1" applyNumberFormat="1" applyFont="1" applyFill="1" applyBorder="1" applyAlignment="1">
      <alignment horizontal="right" vertical="center" wrapText="1"/>
    </xf>
    <xf numFmtId="0" fontId="7" fillId="12" borderId="4" xfId="0" applyFont="1" applyFill="1" applyBorder="1" applyAlignment="1">
      <alignment horizontal="center" vertical="center"/>
    </xf>
    <xf numFmtId="166" fontId="17" fillId="2" borderId="4" xfId="0" applyNumberFormat="1" applyFont="1" applyFill="1" applyBorder="1" applyAlignment="1">
      <alignment horizontal="center" vertical="center"/>
    </xf>
    <xf numFmtId="0" fontId="7" fillId="13" borderId="4" xfId="36" applyFont="1" applyFill="1" applyBorder="1" applyAlignment="1">
      <alignment horizontal="center" vertical="center" wrapText="1"/>
    </xf>
    <xf numFmtId="166" fontId="0" fillId="7" borderId="3" xfId="0" applyNumberFormat="1" applyFill="1" applyBorder="1" applyAlignment="1">
      <alignment vertical="top"/>
    </xf>
    <xf numFmtId="0" fontId="0" fillId="7" borderId="5" xfId="0" applyFill="1" applyBorder="1" applyAlignment="1">
      <alignment vertical="top" wrapText="1"/>
    </xf>
    <xf numFmtId="0" fontId="0" fillId="7" borderId="5" xfId="0" applyFill="1" applyBorder="1" applyAlignment="1">
      <alignment horizontal="center" vertical="top" wrapText="1"/>
    </xf>
    <xf numFmtId="165" fontId="7" fillId="11" borderId="5" xfId="1" applyNumberFormat="1" applyFont="1" applyFill="1" applyBorder="1" applyAlignment="1">
      <alignment horizontal="right" vertical="center" wrapText="1"/>
    </xf>
    <xf numFmtId="0" fontId="7" fillId="0" borderId="0" xfId="0" applyFont="1"/>
    <xf numFmtId="0" fontId="18" fillId="5" borderId="0" xfId="0" applyFont="1" applyFill="1" applyAlignment="1">
      <alignment horizontal="center" vertical="center"/>
    </xf>
    <xf numFmtId="0" fontId="7" fillId="13" borderId="5" xfId="36" applyFont="1" applyFill="1" applyBorder="1" applyAlignment="1">
      <alignment horizontal="center" vertical="center" wrapText="1"/>
    </xf>
    <xf numFmtId="0" fontId="7" fillId="5" borderId="0" xfId="0" applyFont="1" applyFill="1"/>
    <xf numFmtId="0" fontId="18" fillId="0" borderId="0" xfId="0" applyFont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0" borderId="6" xfId="0" applyBorder="1"/>
    <xf numFmtId="166" fontId="11" fillId="7" borderId="0" xfId="1" applyNumberFormat="1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/>
    </xf>
    <xf numFmtId="0" fontId="20" fillId="16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top" wrapText="1"/>
    </xf>
    <xf numFmtId="165" fontId="11" fillId="7" borderId="9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21" fillId="6" borderId="6" xfId="0" applyFont="1" applyFill="1" applyBorder="1" applyAlignment="1">
      <alignment horizontal="center"/>
    </xf>
    <xf numFmtId="0" fontId="7" fillId="13" borderId="10" xfId="36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top" wrapText="1"/>
    </xf>
    <xf numFmtId="165" fontId="7" fillId="11" borderId="11" xfId="1" applyNumberFormat="1" applyFont="1" applyFill="1" applyBorder="1" applyAlignment="1">
      <alignment horizontal="right" vertical="center" wrapText="1"/>
    </xf>
    <xf numFmtId="0" fontId="7" fillId="13" borderId="3" xfId="36" applyFont="1" applyFill="1" applyBorder="1" applyAlignment="1">
      <alignment horizontal="center" vertical="center" wrapText="1"/>
    </xf>
    <xf numFmtId="165" fontId="7" fillId="11" borderId="6" xfId="1" applyNumberFormat="1" applyFont="1" applyFill="1" applyBorder="1" applyAlignment="1">
      <alignment horizontal="right" vertical="center" wrapText="1"/>
    </xf>
    <xf numFmtId="0" fontId="7" fillId="12" borderId="6" xfId="0" applyFont="1" applyFill="1" applyBorder="1" applyAlignment="1">
      <alignment horizontal="center" vertical="center"/>
    </xf>
    <xf numFmtId="0" fontId="7" fillId="13" borderId="6" xfId="36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7" fillId="12" borderId="12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5" borderId="4" xfId="0" applyFill="1" applyBorder="1" applyAlignment="1">
      <alignment horizontal="center" vertical="top" wrapText="1"/>
    </xf>
    <xf numFmtId="0" fontId="22" fillId="12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7" borderId="0" xfId="0" applyFill="1" applyAlignment="1">
      <alignment vertical="top"/>
    </xf>
    <xf numFmtId="0" fontId="0" fillId="7" borderId="10" xfId="0" applyFill="1" applyBorder="1" applyAlignment="1">
      <alignment horizontal="center" vertical="top" wrapText="1"/>
    </xf>
    <xf numFmtId="165" fontId="7" fillId="11" borderId="10" xfId="1" applyNumberFormat="1" applyFont="1" applyFill="1" applyBorder="1" applyAlignment="1">
      <alignment horizontal="right" vertical="center" wrapText="1"/>
    </xf>
    <xf numFmtId="0" fontId="0" fillId="5" borderId="4" xfId="0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21" fillId="5" borderId="6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top" wrapText="1"/>
    </xf>
    <xf numFmtId="165" fontId="7" fillId="17" borderId="10" xfId="1" applyNumberFormat="1" applyFont="1" applyFill="1" applyBorder="1" applyAlignment="1">
      <alignment horizontal="right" vertical="center" wrapText="1"/>
    </xf>
    <xf numFmtId="0" fontId="7" fillId="5" borderId="12" xfId="0" applyFont="1" applyFill="1" applyBorder="1" applyAlignment="1">
      <alignment horizontal="center" vertical="center"/>
    </xf>
    <xf numFmtId="165" fontId="17" fillId="2" borderId="4" xfId="0" applyNumberFormat="1" applyFont="1" applyFill="1" applyBorder="1" applyAlignment="1">
      <alignment horizontal="center" vertical="center"/>
    </xf>
    <xf numFmtId="0" fontId="7" fillId="17" borderId="3" xfId="36" applyFont="1" applyFill="1" applyBorder="1" applyAlignment="1">
      <alignment horizontal="center" vertical="center" wrapText="1"/>
    </xf>
    <xf numFmtId="0" fontId="7" fillId="17" borderId="4" xfId="36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/>
    </xf>
    <xf numFmtId="0" fontId="12" fillId="19" borderId="10" xfId="0" applyFont="1" applyFill="1" applyBorder="1" applyAlignment="1">
      <alignment horizontal="center" vertical="center"/>
    </xf>
    <xf numFmtId="0" fontId="0" fillId="0" borderId="4" xfId="41" applyFont="1" applyBorder="1" applyAlignment="1">
      <alignment vertical="top" wrapText="1"/>
    </xf>
    <xf numFmtId="0" fontId="23" fillId="13" borderId="4" xfId="41" applyFont="1" applyFill="1" applyBorder="1" applyAlignment="1">
      <alignment horizontal="center" vertical="top"/>
    </xf>
    <xf numFmtId="165" fontId="24" fillId="4" borderId="4" xfId="41" applyNumberFormat="1" applyFont="1" applyFill="1" applyBorder="1" applyAlignment="1">
      <alignment horizontal="right"/>
    </xf>
    <xf numFmtId="0" fontId="23" fillId="13" borderId="4" xfId="41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165" fontId="7" fillId="0" borderId="4" xfId="1" applyNumberFormat="1" applyFont="1" applyFill="1" applyBorder="1" applyAlignment="1">
      <alignment horizontal="right" vertical="center" wrapText="1"/>
    </xf>
    <xf numFmtId="0" fontId="23" fillId="0" borderId="4" xfId="41" applyFont="1" applyBorder="1" applyAlignment="1">
      <alignment horizontal="center"/>
    </xf>
    <xf numFmtId="0" fontId="7" fillId="0" borderId="4" xfId="36" applyFont="1" applyBorder="1" applyAlignment="1">
      <alignment horizontal="center" vertical="center" wrapText="1"/>
    </xf>
    <xf numFmtId="165" fontId="7" fillId="17" borderId="4" xfId="1" applyNumberFormat="1" applyFont="1" applyFill="1" applyBorder="1" applyAlignment="1">
      <alignment horizontal="right" vertical="center" wrapText="1"/>
    </xf>
    <xf numFmtId="0" fontId="25" fillId="13" borderId="4" xfId="41" applyFont="1" applyFill="1" applyBorder="1" applyAlignment="1">
      <alignment horizontal="center" vertical="top"/>
    </xf>
    <xf numFmtId="165" fontId="25" fillId="13" borderId="4" xfId="41" applyNumberFormat="1" applyFont="1" applyFill="1" applyBorder="1" applyAlignment="1">
      <alignment horizontal="right"/>
    </xf>
    <xf numFmtId="0" fontId="0" fillId="0" borderId="10" xfId="41" applyFont="1" applyBorder="1" applyAlignment="1">
      <alignment vertical="top" wrapText="1"/>
    </xf>
    <xf numFmtId="0" fontId="23" fillId="13" borderId="10" xfId="41" applyFont="1" applyFill="1" applyBorder="1" applyAlignment="1">
      <alignment horizontal="center" vertical="top"/>
    </xf>
    <xf numFmtId="165" fontId="24" fillId="4" borderId="10" xfId="41" applyNumberFormat="1" applyFont="1" applyFill="1" applyBorder="1" applyAlignment="1">
      <alignment horizontal="right"/>
    </xf>
    <xf numFmtId="165" fontId="26" fillId="4" borderId="10" xfId="41" applyNumberFormat="1" applyFont="1" applyFill="1" applyBorder="1" applyAlignment="1">
      <alignment horizontal="right"/>
    </xf>
    <xf numFmtId="0" fontId="25" fillId="13" borderId="10" xfId="41" applyFont="1" applyFill="1" applyBorder="1" applyAlignment="1">
      <alignment horizontal="center" vertical="top"/>
    </xf>
    <xf numFmtId="0" fontId="25" fillId="13" borderId="4" xfId="41" applyFont="1" applyFill="1" applyBorder="1" applyAlignment="1">
      <alignment horizontal="center"/>
    </xf>
    <xf numFmtId="0" fontId="25" fillId="0" borderId="10" xfId="41" applyFont="1" applyBorder="1" applyAlignment="1">
      <alignment horizontal="center" vertical="top"/>
    </xf>
    <xf numFmtId="165" fontId="25" fillId="0" borderId="10" xfId="41" applyNumberFormat="1" applyFont="1" applyBorder="1" applyAlignment="1">
      <alignment horizontal="right"/>
    </xf>
    <xf numFmtId="0" fontId="0" fillId="0" borderId="10" xfId="0" applyBorder="1" applyAlignment="1">
      <alignment vertical="top" wrapText="1"/>
    </xf>
    <xf numFmtId="0" fontId="8" fillId="20" borderId="0" xfId="0" applyFont="1" applyFill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0" fontId="12" fillId="21" borderId="14" xfId="0" applyFont="1" applyFill="1" applyBorder="1" applyAlignment="1">
      <alignment horizontal="center" vertical="center"/>
    </xf>
    <xf numFmtId="0" fontId="20" fillId="1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top" wrapText="1"/>
    </xf>
    <xf numFmtId="0" fontId="0" fillId="7" borderId="0" xfId="0" applyFill="1" applyAlignment="1">
      <alignment vertical="top" wrapText="1"/>
    </xf>
    <xf numFmtId="165" fontId="28" fillId="2" borderId="4" xfId="1" applyNumberFormat="1" applyFont="1" applyFill="1" applyBorder="1" applyAlignment="1">
      <alignment horizontal="right" vertical="center" wrapText="1"/>
    </xf>
    <xf numFmtId="0" fontId="7" fillId="7" borderId="4" xfId="0" applyFont="1" applyFill="1" applyBorder="1" applyAlignment="1">
      <alignment horizontal="center" vertical="top" wrapText="1"/>
    </xf>
    <xf numFmtId="1" fontId="15" fillId="10" borderId="15" xfId="0" applyNumberFormat="1" applyFont="1" applyFill="1" applyBorder="1" applyAlignment="1">
      <alignment horizontal="center" vertical="center" wrapText="1"/>
    </xf>
    <xf numFmtId="0" fontId="7" fillId="13" borderId="12" xfId="36" applyFont="1" applyFill="1" applyBorder="1" applyAlignment="1">
      <alignment horizontal="center" vertical="center" wrapText="1"/>
    </xf>
    <xf numFmtId="0" fontId="0" fillId="6" borderId="4" xfId="0" applyFill="1" applyBorder="1" applyAlignment="1">
      <alignment vertical="top" wrapText="1"/>
    </xf>
    <xf numFmtId="0" fontId="0" fillId="7" borderId="4" xfId="41" applyFont="1" applyFill="1" applyBorder="1" applyAlignment="1">
      <alignment vertical="top" wrapText="1"/>
    </xf>
    <xf numFmtId="167" fontId="0" fillId="7" borderId="4" xfId="40" applyNumberFormat="1" applyFont="1" applyFill="1" applyBorder="1" applyAlignment="1">
      <alignment vertical="top" wrapText="1"/>
    </xf>
    <xf numFmtId="165" fontId="29" fillId="4" borderId="4" xfId="1" applyNumberFormat="1" applyFont="1" applyFill="1" applyBorder="1" applyAlignment="1">
      <alignment horizontal="right" vertical="top"/>
    </xf>
    <xf numFmtId="0" fontId="9" fillId="22" borderId="6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12" fillId="23" borderId="10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/>
    </xf>
    <xf numFmtId="0" fontId="0" fillId="6" borderId="11" xfId="0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167" fontId="0" fillId="7" borderId="11" xfId="40" applyNumberFormat="1" applyFont="1" applyFill="1" applyBorder="1" applyAlignment="1">
      <alignment vertical="top" wrapText="1"/>
    </xf>
    <xf numFmtId="0" fontId="0" fillId="7" borderId="10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5" fontId="7" fillId="0" borderId="0" xfId="1" applyNumberFormat="1" applyFont="1" applyFill="1" applyBorder="1" applyAlignment="1">
      <alignment horizontal="right" vertical="center" wrapText="1"/>
    </xf>
    <xf numFmtId="166" fontId="17" fillId="0" borderId="0" xfId="0" applyNumberFormat="1" applyFont="1" applyAlignment="1">
      <alignment horizontal="center" vertical="center"/>
    </xf>
    <xf numFmtId="0" fontId="7" fillId="0" borderId="0" xfId="36" applyFont="1" applyAlignment="1">
      <alignment horizontal="center" vertical="center" wrapText="1"/>
    </xf>
    <xf numFmtId="0" fontId="9" fillId="24" borderId="0" xfId="0" applyFont="1" applyFill="1" applyAlignment="1">
      <alignment horizontal="center" vertical="center"/>
    </xf>
    <xf numFmtId="0" fontId="31" fillId="24" borderId="16" xfId="0" applyFont="1" applyFill="1" applyBorder="1" applyAlignment="1">
      <alignment horizontal="center" vertical="center"/>
    </xf>
    <xf numFmtId="166" fontId="11" fillId="7" borderId="4" xfId="1" applyNumberFormat="1" applyFont="1" applyFill="1" applyBorder="1" applyAlignment="1">
      <alignment horizontal="center" vertical="center" wrapText="1"/>
    </xf>
    <xf numFmtId="0" fontId="12" fillId="25" borderId="17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vertical="top"/>
    </xf>
    <xf numFmtId="0" fontId="0" fillId="7" borderId="3" xfId="0" applyFill="1" applyBorder="1" applyAlignment="1">
      <alignment vertical="top" wrapText="1"/>
    </xf>
    <xf numFmtId="0" fontId="21" fillId="6" borderId="14" xfId="0" applyFont="1" applyFill="1" applyBorder="1" applyAlignment="1">
      <alignment horizontal="center"/>
    </xf>
    <xf numFmtId="0" fontId="7" fillId="13" borderId="4" xfId="37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/>
    </xf>
    <xf numFmtId="0" fontId="7" fillId="13" borderId="14" xfId="37" applyFont="1" applyFill="1" applyBorder="1" applyAlignment="1">
      <alignment horizontal="center" vertical="center" wrapText="1"/>
    </xf>
    <xf numFmtId="0" fontId="7" fillId="13" borderId="14" xfId="36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7" fillId="12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top"/>
    </xf>
    <xf numFmtId="0" fontId="0" fillId="7" borderId="6" xfId="0" applyFill="1" applyBorder="1" applyAlignment="1">
      <alignment vertical="top"/>
    </xf>
    <xf numFmtId="0" fontId="27" fillId="26" borderId="18" xfId="0" applyFont="1" applyFill="1" applyBorder="1" applyAlignment="1">
      <alignment horizontal="center" vertical="center"/>
    </xf>
    <xf numFmtId="0" fontId="12" fillId="27" borderId="14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7" borderId="11" xfId="40" applyFont="1" applyFill="1" applyBorder="1" applyAlignment="1">
      <alignment vertical="top" wrapText="1"/>
    </xf>
    <xf numFmtId="0" fontId="0" fillId="7" borderId="6" xfId="0" applyFill="1" applyBorder="1" applyAlignment="1">
      <alignment horizontal="center" vertical="top" wrapText="1"/>
    </xf>
    <xf numFmtId="0" fontId="0" fillId="7" borderId="0" xfId="40" applyFont="1" applyFill="1" applyAlignment="1">
      <alignment vertical="top" wrapText="1"/>
    </xf>
    <xf numFmtId="0" fontId="21" fillId="6" borderId="12" xfId="0" applyFont="1" applyFill="1" applyBorder="1" applyAlignment="1">
      <alignment horizontal="center"/>
    </xf>
    <xf numFmtId="0" fontId="0" fillId="6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7" fillId="13" borderId="6" xfId="37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28" borderId="0" xfId="0" applyFont="1" applyFill="1" applyAlignment="1">
      <alignment horizontal="center" vertical="center"/>
    </xf>
    <xf numFmtId="0" fontId="27" fillId="28" borderId="6" xfId="0" applyFont="1" applyFill="1" applyBorder="1" applyAlignment="1">
      <alignment horizontal="center" vertical="center"/>
    </xf>
    <xf numFmtId="166" fontId="11" fillId="7" borderId="19" xfId="1" applyNumberFormat="1" applyFont="1" applyFill="1" applyBorder="1" applyAlignment="1">
      <alignment horizontal="center" vertical="center" wrapText="1"/>
    </xf>
    <xf numFmtId="0" fontId="12" fillId="29" borderId="20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1" fontId="15" fillId="10" borderId="10" xfId="0" applyNumberFormat="1" applyFont="1" applyFill="1" applyBorder="1" applyAlignment="1">
      <alignment horizontal="center" vertical="center" wrapText="1"/>
    </xf>
    <xf numFmtId="0" fontId="29" fillId="30" borderId="21" xfId="0" applyFont="1" applyFill="1" applyBorder="1" applyAlignment="1">
      <alignment wrapText="1"/>
    </xf>
    <xf numFmtId="0" fontId="21" fillId="6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 wrapText="1"/>
    </xf>
    <xf numFmtId="165" fontId="0" fillId="7" borderId="4" xfId="1" applyNumberFormat="1" applyFont="1" applyFill="1" applyBorder="1" applyAlignment="1">
      <alignment horizontal="right"/>
    </xf>
    <xf numFmtId="0" fontId="32" fillId="4" borderId="4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/>
    </xf>
    <xf numFmtId="0" fontId="29" fillId="0" borderId="4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0" fillId="4" borderId="4" xfId="37" applyFont="1" applyFill="1" applyBorder="1" applyAlignment="1">
      <alignment horizontal="center" vertical="center"/>
    </xf>
    <xf numFmtId="166" fontId="33" fillId="31" borderId="3" xfId="1" applyNumberFormat="1" applyFont="1" applyFill="1" applyBorder="1" applyAlignment="1">
      <alignment horizontal="center" vertical="center" wrapText="1"/>
    </xf>
    <xf numFmtId="0" fontId="34" fillId="32" borderId="22" xfId="0" applyFont="1" applyFill="1" applyBorder="1" applyAlignment="1">
      <alignment horizontal="center" vertical="center"/>
    </xf>
    <xf numFmtId="0" fontId="35" fillId="33" borderId="9" xfId="0" applyFont="1" applyFill="1" applyBorder="1" applyAlignment="1">
      <alignment horizontal="center" vertical="center"/>
    </xf>
    <xf numFmtId="0" fontId="36" fillId="34" borderId="9" xfId="0" applyFont="1" applyFill="1" applyBorder="1" applyAlignment="1">
      <alignment horizontal="center" vertical="top" wrapText="1"/>
    </xf>
    <xf numFmtId="165" fontId="33" fillId="31" borderId="9" xfId="1" applyNumberFormat="1" applyFont="1" applyFill="1" applyBorder="1" applyAlignment="1">
      <alignment horizontal="center" vertical="center" wrapText="1"/>
    </xf>
    <xf numFmtId="0" fontId="37" fillId="34" borderId="9" xfId="0" applyFont="1" applyFill="1" applyBorder="1" applyAlignment="1">
      <alignment horizontal="center" vertical="center" wrapText="1"/>
    </xf>
    <xf numFmtId="0" fontId="33" fillId="34" borderId="9" xfId="0" applyFont="1" applyFill="1" applyBorder="1" applyAlignment="1">
      <alignment horizontal="center" vertical="center" wrapText="1"/>
    </xf>
    <xf numFmtId="1" fontId="38" fillId="35" borderId="9" xfId="0" applyNumberFormat="1" applyFont="1" applyFill="1" applyBorder="1" applyAlignment="1">
      <alignment horizontal="center" vertical="center" wrapText="1"/>
    </xf>
    <xf numFmtId="0" fontId="7" fillId="31" borderId="3" xfId="0" applyFont="1" applyFill="1" applyBorder="1" applyAlignment="1">
      <alignment vertical="top"/>
    </xf>
    <xf numFmtId="0" fontId="7" fillId="36" borderId="3" xfId="0" applyFont="1" applyFill="1" applyBorder="1" applyAlignment="1">
      <alignment vertical="top" wrapText="1"/>
    </xf>
    <xf numFmtId="0" fontId="39" fillId="34" borderId="6" xfId="0" applyFont="1" applyFill="1" applyBorder="1" applyAlignment="1">
      <alignment horizontal="center"/>
    </xf>
    <xf numFmtId="0" fontId="7" fillId="31" borderId="4" xfId="0" applyFont="1" applyFill="1" applyBorder="1" applyAlignment="1">
      <alignment horizontal="center" vertical="top" wrapText="1"/>
    </xf>
    <xf numFmtId="165" fontId="40" fillId="37" borderId="4" xfId="1" applyNumberFormat="1" applyFont="1" applyFill="1" applyBorder="1" applyAlignment="1">
      <alignment horizontal="right" vertical="center" wrapText="1"/>
    </xf>
    <xf numFmtId="0" fontId="40" fillId="38" borderId="4" xfId="0" applyFont="1" applyFill="1" applyBorder="1" applyAlignment="1">
      <alignment horizontal="center" vertical="center"/>
    </xf>
    <xf numFmtId="0" fontId="40" fillId="39" borderId="4" xfId="36" applyFont="1" applyFill="1" applyBorder="1" applyAlignment="1">
      <alignment horizontal="center" vertical="center" wrapText="1"/>
    </xf>
    <xf numFmtId="0" fontId="7" fillId="31" borderId="23" xfId="0" applyFont="1" applyFill="1" applyBorder="1" applyAlignment="1">
      <alignment vertical="top"/>
    </xf>
    <xf numFmtId="0" fontId="7" fillId="31" borderId="24" xfId="0" applyFont="1" applyFill="1" applyBorder="1" applyAlignment="1">
      <alignment vertical="top" wrapText="1"/>
    </xf>
    <xf numFmtId="0" fontId="40" fillId="39" borderId="4" xfId="37" applyFont="1" applyFill="1" applyBorder="1" applyAlignment="1">
      <alignment horizontal="center" vertical="center" wrapText="1"/>
    </xf>
    <xf numFmtId="0" fontId="7" fillId="36" borderId="24" xfId="0" applyFont="1" applyFill="1" applyBorder="1" applyAlignment="1">
      <alignment vertical="top" wrapText="1"/>
    </xf>
    <xf numFmtId="165" fontId="40" fillId="37" borderId="10" xfId="1" applyNumberFormat="1" applyFont="1" applyFill="1" applyBorder="1" applyAlignment="1">
      <alignment horizontal="right" vertical="center" wrapText="1"/>
    </xf>
    <xf numFmtId="1" fontId="33" fillId="40" borderId="9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7" fillId="41" borderId="6" xfId="0" applyFont="1" applyFill="1" applyBorder="1"/>
    <xf numFmtId="0" fontId="7" fillId="0" borderId="6" xfId="0" applyFont="1" applyBorder="1"/>
    <xf numFmtId="0" fontId="7" fillId="31" borderId="3" xfId="0" applyFont="1" applyFill="1" applyBorder="1" applyAlignment="1">
      <alignment vertical="top" wrapText="1"/>
    </xf>
    <xf numFmtId="0" fontId="7" fillId="31" borderId="0" xfId="0" applyFont="1" applyFill="1" applyAlignment="1">
      <alignment vertical="top" wrapText="1"/>
    </xf>
    <xf numFmtId="0" fontId="7" fillId="41" borderId="12" xfId="0" applyFont="1" applyFill="1" applyBorder="1"/>
    <xf numFmtId="0" fontId="7" fillId="0" borderId="12" xfId="0" applyFont="1" applyBorder="1"/>
    <xf numFmtId="0" fontId="0" fillId="16" borderId="0" xfId="0" applyFill="1"/>
    <xf numFmtId="1" fontId="2" fillId="45" borderId="33" xfId="0" applyNumberFormat="1" applyFont="1" applyFill="1" applyBorder="1" applyAlignment="1" applyProtection="1">
      <alignment horizontal="center" vertical="center"/>
      <protection locked="0"/>
    </xf>
    <xf numFmtId="169" fontId="49" fillId="46" borderId="38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0" borderId="0" xfId="0" applyFont="1" applyFill="1"/>
    <xf numFmtId="0" fontId="0" fillId="50" borderId="0" xfId="0" applyFill="1"/>
    <xf numFmtId="0" fontId="8" fillId="48" borderId="6" xfId="0" applyFont="1" applyFill="1" applyBorder="1" applyAlignment="1">
      <alignment horizontal="center" vertical="center"/>
    </xf>
    <xf numFmtId="0" fontId="10" fillId="48" borderId="6" xfId="0" applyFont="1" applyFill="1" applyBorder="1" applyAlignment="1">
      <alignment horizontal="center" vertical="center"/>
    </xf>
    <xf numFmtId="0" fontId="12" fillId="48" borderId="6" xfId="0" applyFont="1" applyFill="1" applyBorder="1" applyAlignment="1">
      <alignment horizontal="center" vertical="center"/>
    </xf>
    <xf numFmtId="0" fontId="8" fillId="47" borderId="6" xfId="0" applyFont="1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0" borderId="0" xfId="0" applyProtection="1">
      <protection locked="0"/>
    </xf>
    <xf numFmtId="0" fontId="42" fillId="16" borderId="25" xfId="0" applyFont="1" applyFill="1" applyBorder="1" applyAlignment="1">
      <alignment horizontal="center" vertical="center" wrapText="1"/>
    </xf>
    <xf numFmtId="0" fontId="42" fillId="16" borderId="2" xfId="0" applyFont="1" applyFill="1" applyBorder="1" applyAlignment="1">
      <alignment horizontal="center" vertical="center" wrapText="1"/>
    </xf>
    <xf numFmtId="0" fontId="42" fillId="16" borderId="26" xfId="0" applyFont="1" applyFill="1" applyBorder="1" applyAlignment="1">
      <alignment horizontal="center" vertical="center" wrapText="1"/>
    </xf>
    <xf numFmtId="0" fontId="43" fillId="0" borderId="25" xfId="0" applyFont="1" applyBorder="1" applyAlignment="1" applyProtection="1">
      <alignment horizontal="center" vertical="center" wrapText="1"/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25" fillId="16" borderId="23" xfId="0" applyFont="1" applyFill="1" applyBorder="1" applyAlignment="1">
      <alignment horizontal="center" vertical="center" wrapText="1"/>
    </xf>
    <xf numFmtId="0" fontId="25" fillId="16" borderId="6" xfId="0" applyFont="1" applyFill="1" applyBorder="1" applyAlignment="1">
      <alignment horizontal="center" vertical="center" wrapText="1"/>
    </xf>
    <xf numFmtId="168" fontId="2" fillId="0" borderId="6" xfId="0" applyNumberFormat="1" applyFont="1" applyBorder="1" applyAlignment="1" applyProtection="1">
      <alignment horizontal="center" vertical="center" wrapText="1"/>
      <protection locked="0"/>
    </xf>
    <xf numFmtId="168" fontId="2" fillId="0" borderId="11" xfId="0" applyNumberFormat="1" applyFont="1" applyBorder="1" applyAlignment="1" applyProtection="1">
      <alignment horizontal="center" vertical="center" wrapText="1"/>
      <protection locked="0"/>
    </xf>
    <xf numFmtId="0" fontId="42" fillId="49" borderId="6" xfId="0" applyFont="1" applyFill="1" applyBorder="1" applyAlignment="1">
      <alignment horizontal="center" vertical="center" wrapText="1"/>
    </xf>
    <xf numFmtId="166" fontId="44" fillId="42" borderId="11" xfId="1" applyNumberFormat="1" applyFont="1" applyFill="1" applyBorder="1" applyAlignment="1">
      <alignment horizontal="center" vertical="center"/>
    </xf>
    <xf numFmtId="166" fontId="44" fillId="42" borderId="24" xfId="1" applyNumberFormat="1" applyFont="1" applyFill="1" applyBorder="1" applyAlignment="1">
      <alignment horizontal="center" vertical="center"/>
    </xf>
    <xf numFmtId="166" fontId="44" fillId="42" borderId="23" xfId="1" applyNumberFormat="1" applyFont="1" applyFill="1" applyBorder="1" applyAlignment="1">
      <alignment horizontal="center" vertical="center"/>
    </xf>
    <xf numFmtId="0" fontId="45" fillId="16" borderId="11" xfId="0" applyFont="1" applyFill="1" applyBorder="1" applyAlignment="1">
      <alignment horizontal="center" vertical="center" wrapText="1"/>
    </xf>
    <xf numFmtId="0" fontId="45" fillId="16" borderId="24" xfId="0" applyFont="1" applyFill="1" applyBorder="1" applyAlignment="1">
      <alignment horizontal="center" vertical="center" wrapText="1"/>
    </xf>
    <xf numFmtId="0" fontId="45" fillId="16" borderId="23" xfId="0" applyFont="1" applyFill="1" applyBorder="1" applyAlignment="1">
      <alignment horizontal="center" vertical="center" wrapText="1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0" fontId="45" fillId="49" borderId="6" xfId="0" applyFont="1" applyFill="1" applyBorder="1" applyAlignment="1">
      <alignment horizontal="center" vertical="center" wrapText="1"/>
    </xf>
    <xf numFmtId="166" fontId="44" fillId="2" borderId="11" xfId="1" applyNumberFormat="1" applyFont="1" applyFill="1" applyBorder="1" applyAlignment="1">
      <alignment horizontal="left" vertical="center"/>
    </xf>
    <xf numFmtId="166" fontId="44" fillId="2" borderId="24" xfId="1" applyNumberFormat="1" applyFont="1" applyFill="1" applyBorder="1" applyAlignment="1">
      <alignment horizontal="left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50" fillId="16" borderId="0" xfId="0" applyFont="1" applyFill="1" applyAlignment="1" applyProtection="1">
      <alignment horizontal="left" vertical="center"/>
      <protection locked="0"/>
    </xf>
    <xf numFmtId="0" fontId="50" fillId="16" borderId="33" xfId="0" applyFont="1" applyFill="1" applyBorder="1" applyAlignment="1" applyProtection="1">
      <alignment horizontal="left" vertical="center"/>
      <protection locked="0"/>
    </xf>
    <xf numFmtId="2" fontId="49" fillId="0" borderId="34" xfId="0" applyNumberFormat="1" applyFont="1" applyBorder="1" applyAlignment="1">
      <alignment horizontal="center" vertical="center"/>
    </xf>
    <xf numFmtId="2" fontId="49" fillId="0" borderId="35" xfId="0" applyNumberFormat="1" applyFont="1" applyBorder="1" applyAlignment="1">
      <alignment horizontal="center" vertical="center"/>
    </xf>
    <xf numFmtId="0" fontId="0" fillId="16" borderId="24" xfId="0" applyFill="1" applyBorder="1" applyAlignment="1">
      <alignment horizontal="center"/>
    </xf>
    <xf numFmtId="0" fontId="45" fillId="5" borderId="6" xfId="0" applyFont="1" applyFill="1" applyBorder="1" applyAlignment="1">
      <alignment horizontal="center" vertical="center" wrapText="1"/>
    </xf>
    <xf numFmtId="0" fontId="45" fillId="42" borderId="6" xfId="0" applyFont="1" applyFill="1" applyBorder="1" applyAlignment="1">
      <alignment horizontal="center" vertical="center" wrapText="1"/>
    </xf>
    <xf numFmtId="0" fontId="47" fillId="10" borderId="24" xfId="0" applyFont="1" applyFill="1" applyBorder="1" applyAlignment="1" applyProtection="1">
      <alignment horizontal="center" vertical="center"/>
      <protection locked="0"/>
    </xf>
    <xf numFmtId="0" fontId="47" fillId="10" borderId="23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18" fillId="0" borderId="24" xfId="0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43" fillId="2" borderId="11" xfId="0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0" fontId="43" fillId="0" borderId="11" xfId="0" applyFont="1" applyBorder="1" applyAlignment="1" applyProtection="1">
      <alignment horizontal="center" vertical="center"/>
      <protection locked="0"/>
    </xf>
    <xf numFmtId="0" fontId="43" fillId="0" borderId="23" xfId="0" applyFont="1" applyBorder="1" applyAlignment="1" applyProtection="1">
      <alignment horizontal="center" vertical="center"/>
      <protection locked="0"/>
    </xf>
    <xf numFmtId="166" fontId="0" fillId="16" borderId="11" xfId="1" applyNumberFormat="1" applyFont="1" applyFill="1" applyBorder="1" applyAlignment="1" applyProtection="1">
      <alignment horizontal="right"/>
    </xf>
    <xf numFmtId="166" fontId="0" fillId="16" borderId="23" xfId="1" applyNumberFormat="1" applyFont="1" applyFill="1" applyBorder="1" applyAlignment="1" applyProtection="1">
      <alignment horizontal="right"/>
    </xf>
    <xf numFmtId="0" fontId="0" fillId="0" borderId="1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66" fontId="43" fillId="2" borderId="6" xfId="1" applyNumberFormat="1" applyFont="1" applyFill="1" applyBorder="1" applyAlignment="1">
      <alignment horizontal="right"/>
    </xf>
    <xf numFmtId="0" fontId="47" fillId="10" borderId="11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left" vertical="center" wrapText="1"/>
      <protection locked="0"/>
    </xf>
    <xf numFmtId="0" fontId="18" fillId="0" borderId="11" xfId="0" applyFont="1" applyBorder="1" applyAlignment="1" applyProtection="1">
      <alignment horizontal="left" vertical="center" shrinkToFit="1"/>
      <protection locked="0"/>
    </xf>
    <xf numFmtId="0" fontId="18" fillId="0" borderId="24" xfId="0" applyFont="1" applyBorder="1" applyAlignment="1" applyProtection="1">
      <alignment horizontal="left" vertical="center" shrinkToFit="1"/>
      <protection locked="0"/>
    </xf>
    <xf numFmtId="0" fontId="18" fillId="0" borderId="23" xfId="0" applyFont="1" applyBorder="1" applyAlignment="1" applyProtection="1">
      <alignment horizontal="left" vertical="center" shrinkToFit="1"/>
      <protection locked="0"/>
    </xf>
    <xf numFmtId="0" fontId="6" fillId="0" borderId="6" xfId="0" applyFont="1" applyBorder="1" applyAlignment="1">
      <alignment horizontal="center" wrapText="1"/>
    </xf>
    <xf numFmtId="0" fontId="18" fillId="4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wrapText="1"/>
    </xf>
    <xf numFmtId="0" fontId="18" fillId="6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wrapText="1"/>
    </xf>
    <xf numFmtId="0" fontId="2" fillId="51" borderId="0" xfId="0" applyFont="1" applyFill="1" applyAlignment="1">
      <alignment horizontal="center" vertical="center"/>
    </xf>
    <xf numFmtId="0" fontId="2" fillId="51" borderId="0" xfId="0" applyFont="1" applyFill="1" applyAlignment="1">
      <alignment horizontal="left" wrapText="1"/>
    </xf>
    <xf numFmtId="0" fontId="48" fillId="0" borderId="3" xfId="0" applyFont="1" applyBorder="1" applyAlignment="1">
      <alignment horizontal="center" vertical="center"/>
    </xf>
    <xf numFmtId="0" fontId="49" fillId="0" borderId="10" xfId="0" applyFont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49" fillId="0" borderId="36" xfId="0" applyFont="1" applyBorder="1" applyAlignment="1" applyProtection="1">
      <alignment horizontal="center" vertical="center"/>
      <protection locked="0"/>
    </xf>
    <xf numFmtId="0" fontId="49" fillId="0" borderId="37" xfId="0" applyFont="1" applyBorder="1" applyAlignment="1" applyProtection="1">
      <alignment horizontal="left" vertical="center" wrapText="1"/>
      <protection locked="0"/>
    </xf>
    <xf numFmtId="0" fontId="49" fillId="0" borderId="0" xfId="0" applyFont="1" applyAlignment="1" applyProtection="1">
      <alignment horizontal="left" vertical="center" wrapText="1"/>
      <protection locked="0"/>
    </xf>
    <xf numFmtId="0" fontId="25" fillId="2" borderId="6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46" fillId="43" borderId="27" xfId="0" applyFont="1" applyFill="1" applyBorder="1" applyAlignment="1">
      <alignment horizontal="center" vertical="center" wrapText="1"/>
    </xf>
    <xf numFmtId="0" fontId="46" fillId="43" borderId="28" xfId="0" applyFont="1" applyFill="1" applyBorder="1" applyAlignment="1">
      <alignment horizontal="center" vertical="center" wrapText="1"/>
    </xf>
    <xf numFmtId="0" fontId="46" fillId="43" borderId="31" xfId="0" applyFont="1" applyFill="1" applyBorder="1" applyAlignment="1">
      <alignment horizontal="center" vertical="center" wrapText="1"/>
    </xf>
    <xf numFmtId="0" fontId="46" fillId="43" borderId="29" xfId="0" applyFont="1" applyFill="1" applyBorder="1" applyAlignment="1">
      <alignment horizontal="center" vertical="center" wrapText="1"/>
    </xf>
    <xf numFmtId="0" fontId="46" fillId="43" borderId="30" xfId="0" applyFont="1" applyFill="1" applyBorder="1" applyAlignment="1">
      <alignment horizontal="center" vertical="center" wrapText="1"/>
    </xf>
    <xf numFmtId="0" fontId="46" fillId="43" borderId="32" xfId="0" applyFont="1" applyFill="1" applyBorder="1" applyAlignment="1">
      <alignment horizontal="center" vertical="center" wrapText="1"/>
    </xf>
    <xf numFmtId="0" fontId="45" fillId="42" borderId="23" xfId="0" applyFont="1" applyFill="1" applyBorder="1" applyAlignment="1">
      <alignment horizontal="center" vertical="center" wrapText="1"/>
    </xf>
    <xf numFmtId="0" fontId="42" fillId="5" borderId="6" xfId="0" applyFont="1" applyFill="1" applyBorder="1" applyAlignment="1">
      <alignment horizontal="center" vertical="center" wrapText="1"/>
    </xf>
    <xf numFmtId="0" fontId="42" fillId="5" borderId="1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left" vertical="center" wrapText="1"/>
    </xf>
    <xf numFmtId="0" fontId="18" fillId="49" borderId="6" xfId="0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left" vertical="center"/>
    </xf>
    <xf numFmtId="0" fontId="8" fillId="4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10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65" fontId="8" fillId="8" borderId="0" xfId="1" applyNumberFormat="1" applyFont="1" applyFill="1" applyAlignment="1">
      <alignment horizontal="center" vertical="center" wrapText="1"/>
    </xf>
  </cellXfs>
  <cellStyles count="50">
    <cellStyle name="20% - Énfasis1 2" xfId="2" xr:uid="{00000000-0005-0000-0000-000031000000}"/>
    <cellStyle name="20% - Énfasis2 2" xfId="3" xr:uid="{00000000-0005-0000-0000-000032000000}"/>
    <cellStyle name="20% - Énfasis3 2" xfId="4" xr:uid="{00000000-0005-0000-0000-000033000000}"/>
    <cellStyle name="20% - Énfasis4 2" xfId="5" xr:uid="{00000000-0005-0000-0000-000034000000}"/>
    <cellStyle name="20% - Énfasis5 2" xfId="6" xr:uid="{00000000-0005-0000-0000-000035000000}"/>
    <cellStyle name="20% - Énfasis6 2" xfId="7" xr:uid="{00000000-0005-0000-0000-000036000000}"/>
    <cellStyle name="40% - Énfasis1 2" xfId="8" xr:uid="{00000000-0005-0000-0000-000037000000}"/>
    <cellStyle name="40% - Énfasis2 2" xfId="9" xr:uid="{00000000-0005-0000-0000-000038000000}"/>
    <cellStyle name="40% - Énfasis3 2" xfId="10" xr:uid="{00000000-0005-0000-0000-000039000000}"/>
    <cellStyle name="40% - Énfasis4 2" xfId="11" xr:uid="{00000000-0005-0000-0000-00003A000000}"/>
    <cellStyle name="40% - Énfasis5 2" xfId="12" xr:uid="{00000000-0005-0000-0000-00003B000000}"/>
    <cellStyle name="40% - Énfasis6 2" xfId="13" xr:uid="{00000000-0005-0000-0000-00003C000000}"/>
    <cellStyle name="60% - Énfasis1 2" xfId="14" xr:uid="{00000000-0005-0000-0000-00003D000000}"/>
    <cellStyle name="60% - Énfasis2 2" xfId="15" xr:uid="{00000000-0005-0000-0000-00003E000000}"/>
    <cellStyle name="60% - Énfasis3 2" xfId="16" xr:uid="{00000000-0005-0000-0000-00003F000000}"/>
    <cellStyle name="60% - Énfasis4 2" xfId="17" xr:uid="{00000000-0005-0000-0000-000040000000}"/>
    <cellStyle name="60% - Énfasis5 2" xfId="18" xr:uid="{00000000-0005-0000-0000-000041000000}"/>
    <cellStyle name="60% - Énfasis6 2" xfId="19" xr:uid="{00000000-0005-0000-0000-000042000000}"/>
    <cellStyle name="Buena 2" xfId="20" xr:uid="{00000000-0005-0000-0000-000043000000}"/>
    <cellStyle name="Cálculo 2" xfId="21" xr:uid="{00000000-0005-0000-0000-000044000000}"/>
    <cellStyle name="Celda de comprobación 2" xfId="22" xr:uid="{00000000-0005-0000-0000-000045000000}"/>
    <cellStyle name="Celda vinculada 2" xfId="23" xr:uid="{00000000-0005-0000-0000-000046000000}"/>
    <cellStyle name="Encabezado 4 2" xfId="24" xr:uid="{00000000-0005-0000-0000-000047000000}"/>
    <cellStyle name="Énfasis1 2" xfId="25" xr:uid="{00000000-0005-0000-0000-000048000000}"/>
    <cellStyle name="Énfasis2 2" xfId="26" xr:uid="{00000000-0005-0000-0000-000049000000}"/>
    <cellStyle name="Énfasis3 2" xfId="27" xr:uid="{00000000-0005-0000-0000-00004A000000}"/>
    <cellStyle name="Énfasis4 2" xfId="28" xr:uid="{00000000-0005-0000-0000-00004B000000}"/>
    <cellStyle name="Énfasis5 2" xfId="29" xr:uid="{00000000-0005-0000-0000-00004C000000}"/>
    <cellStyle name="Énfasis6 2" xfId="30" xr:uid="{00000000-0005-0000-0000-00004D000000}"/>
    <cellStyle name="Entrada 2" xfId="31" xr:uid="{00000000-0005-0000-0000-00004E000000}"/>
    <cellStyle name="Incorrecto 2" xfId="32" xr:uid="{00000000-0005-0000-0000-00004F000000}"/>
    <cellStyle name="Millares" xfId="1" builtinId="3"/>
    <cellStyle name="Moneda 2" xfId="33" xr:uid="{00000000-0005-0000-0000-000050000000}"/>
    <cellStyle name="Neutral 2" xfId="34" xr:uid="{00000000-0005-0000-0000-000051000000}"/>
    <cellStyle name="Normal" xfId="0" builtinId="0"/>
    <cellStyle name="Normal 2" xfId="35" xr:uid="{00000000-0005-0000-0000-000052000000}"/>
    <cellStyle name="Normal 3" xfId="36" xr:uid="{00000000-0005-0000-0000-000053000000}"/>
    <cellStyle name="Normal 3 2" xfId="37" xr:uid="{00000000-0005-0000-0000-000054000000}"/>
    <cellStyle name="Normal 3 3" xfId="38" xr:uid="{00000000-0005-0000-0000-000055000000}"/>
    <cellStyle name="Normal 3 4" xfId="39" xr:uid="{00000000-0005-0000-0000-000056000000}"/>
    <cellStyle name="Normal 4" xfId="40" xr:uid="{00000000-0005-0000-0000-000057000000}"/>
    <cellStyle name="Normal 4 2" xfId="41" xr:uid="{00000000-0005-0000-0000-000058000000}"/>
    <cellStyle name="Notas 2" xfId="42" xr:uid="{00000000-0005-0000-0000-000059000000}"/>
    <cellStyle name="Salida 2" xfId="43" xr:uid="{00000000-0005-0000-0000-00005A000000}"/>
    <cellStyle name="Texto de advertencia 2" xfId="44" xr:uid="{00000000-0005-0000-0000-00005B000000}"/>
    <cellStyle name="Texto explicativo 2" xfId="45" xr:uid="{00000000-0005-0000-0000-00005C000000}"/>
    <cellStyle name="Título 1 2" xfId="46" xr:uid="{00000000-0005-0000-0000-00005D000000}"/>
    <cellStyle name="Título 2 2" xfId="47" xr:uid="{00000000-0005-0000-0000-00005E000000}"/>
    <cellStyle name="Título 3 2" xfId="48" xr:uid="{00000000-0005-0000-0000-00005F000000}"/>
    <cellStyle name="Total 2" xfId="49" xr:uid="{00000000-0005-0000-0000-000060000000}"/>
  </cellStyles>
  <dxfs count="113">
    <dxf>
      <font>
        <b/>
        <i val="0"/>
        <strike val="0"/>
        <u val="no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Arial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BFBFBF"/>
        </patternFill>
      </fill>
      <alignment horizontal="center" vertical="center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fill>
        <patternFill patternType="solid">
          <fgColor rgb="FF000000"/>
          <bgColor rgb="FFDDD9C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rgb="FF000000"/>
        <name val="Calibri"/>
        <family val="2"/>
        <scheme val="none"/>
      </font>
      <numFmt numFmtId="165" formatCode="_-* #,##0.0_-;\-* #,##0.0_-;_-* &quot;-&quot;??_-;_-@_-"/>
      <fill>
        <patternFill patternType="solid">
          <fgColor rgb="FFFFFFFF"/>
          <bgColor rgb="FFBFBFBF"/>
        </patternFill>
      </fill>
      <alignment horizontal="right" vertical="center" wrapText="1"/>
      <border>
        <left style="thin">
          <color auto="1"/>
        </left>
        <right/>
        <top/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rgb="FF000000"/>
        <name val="Arial"/>
        <family val="2"/>
        <scheme val="none"/>
      </font>
      <fill>
        <patternFill patternType="solid">
          <fgColor rgb="FF000000"/>
          <bgColor rgb="FFC4BD97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 wrapText="1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0.249977111117893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bgColor theme="0"/>
        </patternFill>
      </fill>
      <alignment vertical="top"/>
      <border>
        <left/>
        <right/>
        <top style="thin">
          <color theme="4" tint="0.39994506668294322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6" formatCode="_-* #,##0_-;\-* #,##0_-;_-* &quot;-&quot;??_-;_-@_-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bgColor theme="0"/>
        </patternFill>
      </fill>
      <alignment horizontal="right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alignment horizontal="center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rgb="FFFFFFFF"/>
        </patternFill>
      </fill>
      <alignment wrapText="1"/>
      <border>
        <left/>
        <right style="thin">
          <color auto="1"/>
        </right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5" formatCode="_-* #,##0.0_-;\-* #,##0.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theme="4" tint="0.39994506668294322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bgColor theme="0" tint="-0.249977111117893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2" tint="-9.9978637043366805E-2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65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/>
        <i val="0"/>
        <strike val="0"/>
        <u val="none"/>
        <sz val="10"/>
        <color theme="1"/>
        <name val="Arial"/>
        <family val="2"/>
        <scheme val="none"/>
      </font>
      <fill>
        <patternFill patternType="solid">
          <bgColor theme="2" tint="-0.249977111117893"/>
        </patternFill>
      </fill>
      <alignment horizontal="center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 wrapText="1"/>
      <border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solid">
          <bgColor theme="0"/>
        </patternFill>
      </fill>
      <alignment vertical="top"/>
      <border>
        <left/>
        <right/>
        <top style="thin">
          <color auto="1"/>
        </top>
        <bottom/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9BAF1570-6A50-4908-8008-4FC8F7C5D137}">
      <tableStyleElement type="wholeTable" dxfId="112"/>
      <tableStyleElement type="headerRow" dxfId="111"/>
      <tableStyleElement type="totalRow" dxfId="110"/>
      <tableStyleElement type="firstColumn" dxfId="109"/>
      <tableStyleElement type="lastColumn" dxfId="108"/>
      <tableStyleElement type="firstRowStripe" dxfId="107"/>
      <tableStyleElement type="firstColumnStripe" dxfId="106"/>
    </tableStyle>
  </tableStyles>
  <colors>
    <mruColors>
      <color rgb="FFFFFF99"/>
      <color rgb="FF5C99B8"/>
      <color rgb="FF2CB715"/>
      <color rgb="FF33CC33"/>
      <color rgb="FF009900"/>
      <color rgb="FF66FF33"/>
      <color rgb="FFCC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quimic_"/><Relationship Id="rId3" Type="http://schemas.openxmlformats.org/officeDocument/2006/relationships/hyperlink" Target="#Sin_Tex"/><Relationship Id="rId7" Type="http://schemas.openxmlformats.org/officeDocument/2006/relationships/hyperlink" Target="#AdheySol"/><Relationship Id="rId2" Type="http://schemas.openxmlformats.org/officeDocument/2006/relationships/hyperlink" Target="#Herraj_"/><Relationship Id="rId1" Type="http://schemas.openxmlformats.org/officeDocument/2006/relationships/hyperlink" Target="#Cuer_"/><Relationship Id="rId6" Type="http://schemas.openxmlformats.org/officeDocument/2006/relationships/hyperlink" Target="#Herram_"/><Relationship Id="rId5" Type="http://schemas.openxmlformats.org/officeDocument/2006/relationships/hyperlink" Target="#Aux_Med"/><Relationship Id="rId10" Type="http://schemas.openxmlformats.org/officeDocument/2006/relationships/hyperlink" Target="#BD!C1139"/><Relationship Id="rId4" Type="http://schemas.openxmlformats.org/officeDocument/2006/relationships/hyperlink" Target="#INSUMOS_COMPL_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5</xdr:row>
      <xdr:rowOff>9532</xdr:rowOff>
    </xdr:from>
    <xdr:to>
      <xdr:col>27</xdr:col>
      <xdr:colOff>180978</xdr:colOff>
      <xdr:row>8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695" y="1823720"/>
          <a:ext cx="647700" cy="1019175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-1" fmla="*/ 0 w 828262"/>
            <a:gd name="connsiteY0-2" fmla="*/ 712309 h 712309"/>
            <a:gd name="connsiteX1-3" fmla="*/ 12419 w 828262"/>
            <a:gd name="connsiteY1-4" fmla="*/ 0 h 712309"/>
            <a:gd name="connsiteX2-5" fmla="*/ 691604 w 828262"/>
            <a:gd name="connsiteY2-6" fmla="*/ 0 h 712309"/>
            <a:gd name="connsiteX3-7" fmla="*/ 828262 w 828262"/>
            <a:gd name="connsiteY3-8" fmla="*/ 679179 h 712309"/>
            <a:gd name="connsiteX4-9" fmla="*/ 0 w 828262"/>
            <a:gd name="connsiteY4-10" fmla="*/ 712309 h 712309"/>
          </a:gdLst>
          <a:ahLst/>
          <a:cxnLst>
            <a:cxn ang="0">
              <a:pos x="connsiteX0-1" y="connsiteY0-2"/>
            </a:cxn>
            <a:cxn ang="0">
              <a:pos x="connsiteX1-3" y="connsiteY1-4"/>
            </a:cxn>
            <a:cxn ang="0">
              <a:pos x="connsiteX2-5" y="connsiteY2-6"/>
            </a:cxn>
            <a:cxn ang="0">
              <a:pos x="connsiteX3-7" y="connsiteY3-8"/>
            </a:cxn>
            <a:cxn ang="0">
              <a:pos x="connsiteX4-9" y="connsiteY4-10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57154</xdr:colOff>
      <xdr:row>5</xdr:row>
      <xdr:rowOff>19053</xdr:rowOff>
    </xdr:from>
    <xdr:to>
      <xdr:col>29</xdr:col>
      <xdr:colOff>175896</xdr:colOff>
      <xdr:row>10</xdr:row>
      <xdr:rowOff>85728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065510" y="2050415"/>
          <a:ext cx="1057275" cy="995045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325507</xdr:colOff>
      <xdr:row>4</xdr:row>
      <xdr:rowOff>99805</xdr:rowOff>
    </xdr:from>
    <xdr:to>
      <xdr:col>20</xdr:col>
      <xdr:colOff>482877</xdr:colOff>
      <xdr:row>4</xdr:row>
      <xdr:rowOff>257175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202295" y="1709420"/>
          <a:ext cx="157480" cy="15748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323851</xdr:colOff>
      <xdr:row>7</xdr:row>
      <xdr:rowOff>161928</xdr:rowOff>
    </xdr:from>
    <xdr:to>
      <xdr:col>30</xdr:col>
      <xdr:colOff>190501</xdr:colOff>
      <xdr:row>12</xdr:row>
      <xdr:rowOff>114304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677650" y="2657475"/>
          <a:ext cx="990600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19</xdr:col>
      <xdr:colOff>111127</xdr:colOff>
      <xdr:row>0</xdr:row>
      <xdr:rowOff>10604</xdr:rowOff>
    </xdr:from>
    <xdr:to>
      <xdr:col>23</xdr:col>
      <xdr:colOff>341313</xdr:colOff>
      <xdr:row>3</xdr:row>
      <xdr:rowOff>428625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9A587A7-BB79-48B1-A719-3B4E3EB3B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2252" y="10604"/>
          <a:ext cx="2024061" cy="1497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1</xdr:col>
      <xdr:colOff>447260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0" y="76200"/>
          <a:ext cx="1094740" cy="327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604631</xdr:colOff>
      <xdr:row>0</xdr:row>
      <xdr:rowOff>66676</xdr:rowOff>
    </xdr:from>
    <xdr:to>
      <xdr:col>1</xdr:col>
      <xdr:colOff>1733551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28420" y="66675"/>
          <a:ext cx="1129030" cy="34607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625" y="466725"/>
          <a:ext cx="1590040" cy="33845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2</xdr:col>
      <xdr:colOff>844826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437890" y="485775"/>
          <a:ext cx="1378585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514600" y="56515"/>
          <a:ext cx="1581150" cy="34353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152900" y="38100"/>
          <a:ext cx="2095500" cy="3429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009390" y="1971040"/>
          <a:ext cx="2496185" cy="3625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133351</xdr:colOff>
      <xdr:row>399</xdr:row>
      <xdr:rowOff>57149</xdr:rowOff>
    </xdr:from>
    <xdr:to>
      <xdr:col>3</xdr:col>
      <xdr:colOff>1019175</xdr:colOff>
      <xdr:row>399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105275" y="79837915"/>
          <a:ext cx="2400300" cy="29083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441</xdr:row>
      <xdr:rowOff>133351</xdr:rowOff>
    </xdr:from>
    <xdr:to>
      <xdr:col>3</xdr:col>
      <xdr:colOff>1028700</xdr:colOff>
      <xdr:row>442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067175" y="88249125"/>
          <a:ext cx="2438400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891</xdr:row>
      <xdr:rowOff>15688</xdr:rowOff>
    </xdr:from>
    <xdr:to>
      <xdr:col>4</xdr:col>
      <xdr:colOff>11206</xdr:colOff>
      <xdr:row>892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093210" y="191096265"/>
          <a:ext cx="2423160" cy="22288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133349</xdr:colOff>
      <xdr:row>944</xdr:row>
      <xdr:rowOff>28574</xdr:rowOff>
    </xdr:from>
    <xdr:to>
      <xdr:col>3</xdr:col>
      <xdr:colOff>942974</xdr:colOff>
      <xdr:row>944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104640" y="203053315"/>
          <a:ext cx="2352675" cy="3149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982</xdr:row>
      <xdr:rowOff>0</xdr:rowOff>
    </xdr:from>
    <xdr:to>
      <xdr:col>3</xdr:col>
      <xdr:colOff>933450</xdr:colOff>
      <xdr:row>983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971925" y="214483950"/>
          <a:ext cx="2476500" cy="3429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1046922</xdr:colOff>
      <xdr:row>0</xdr:row>
      <xdr:rowOff>488675</xdr:rowOff>
    </xdr:from>
    <xdr:to>
      <xdr:col>3</xdr:col>
      <xdr:colOff>611256</xdr:colOff>
      <xdr:row>1</xdr:row>
      <xdr:rowOff>73716</xdr:rowOff>
    </xdr:to>
    <xdr:sp macro="" textlink="">
      <xdr:nvSpPr>
        <xdr:cNvPr id="33" name="Rectángulo: esquinas redondeadas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018405" y="488315"/>
          <a:ext cx="1107440" cy="2997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1054</xdr:row>
      <xdr:rowOff>0</xdr:rowOff>
    </xdr:from>
    <xdr:to>
      <xdr:col>3</xdr:col>
      <xdr:colOff>990600</xdr:colOff>
      <xdr:row>1054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4029075" y="231819450"/>
          <a:ext cx="2476500" cy="2946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1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333500"/>
          <a:ext cx="581215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102</xdr:row>
      <xdr:rowOff>57150</xdr:rowOff>
    </xdr:from>
    <xdr:to>
      <xdr:col>3</xdr:col>
      <xdr:colOff>752475</xdr:colOff>
      <xdr:row>102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133215" y="22412325"/>
          <a:ext cx="2134235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</a:t>
          </a:r>
        </a:p>
      </xdr:txBody>
    </xdr:sp>
    <xdr:clientData/>
  </xdr:twoCellAnchor>
  <xdr:twoCellAnchor>
    <xdr:from>
      <xdr:col>0</xdr:col>
      <xdr:colOff>76200</xdr:colOff>
      <xdr:row>1</xdr:row>
      <xdr:rowOff>152400</xdr:rowOff>
    </xdr:from>
    <xdr:to>
      <xdr:col>1</xdr:col>
      <xdr:colOff>742950</xdr:colOff>
      <xdr:row>2</xdr:row>
      <xdr:rowOff>209550</xdr:rowOff>
    </xdr:to>
    <xdr:sp macro="" textlink="">
      <xdr:nvSpPr>
        <xdr:cNvPr id="3" name="Rectángulo: esquinas redondeadas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200" y="866775"/>
          <a:ext cx="1390650" cy="295275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2</xdr:col>
      <xdr:colOff>76200</xdr:colOff>
      <xdr:row>1138</xdr:row>
      <xdr:rowOff>28575</xdr:rowOff>
    </xdr:from>
    <xdr:to>
      <xdr:col>3</xdr:col>
      <xdr:colOff>962024</xdr:colOff>
      <xdr:row>1138</xdr:row>
      <xdr:rowOff>318809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048125" y="248431050"/>
          <a:ext cx="2428240" cy="29019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18" totalsRowShown="0">
  <autoFilter ref="A7:K18" xr:uid="{00000000-0009-0000-0100-000001000000}"/>
  <sortState ref="A7:K18">
    <sortCondition ref="B7:B18"/>
  </sortState>
  <tableColumns count="11">
    <tableColumn id="1" xr3:uid="{00000000-0010-0000-0000-000001000000}" name="Item" dataDxfId="89">
      <calculatedColumnFormula>A7+1</calculatedColumnFormula>
    </tableColumn>
    <tableColumn id="2" xr3:uid="{00000000-0010-0000-0000-000002000000}" name="Material" dataDxfId="88"/>
    <tableColumn id="3" xr3:uid="{00000000-0010-0000-0000-000003000000}" name="Categoría" dataDxfId="87"/>
    <tableColumn id="4" xr3:uid="{00000000-0010-0000-0000-000004000000}" name="Unidad de Compra Almacen" dataDxfId="86"/>
    <tableColumn id="5" xr3:uid="{00000000-0010-0000-0000-000005000000}" name="Precio_x000a_Unidad de Compra ( $)" dataDxfId="85"/>
    <tableColumn id="6" xr3:uid="{00000000-0010-0000-0000-000006000000}" name="Unidad Despacho Almacen" dataDxfId="84"/>
    <tableColumn id="7" xr3:uid="{00000000-0010-0000-0000-000007000000}" name="Valor /U Despacho en Almacen" dataDxfId="83">
      <calculatedColumnFormula>IF(BD!$E8="","",(E8/(H8*I8)))</calculatedColumnFormula>
    </tableColumn>
    <tableColumn id="8" xr3:uid="{00000000-0010-0000-0000-000008000000}" name="Magnitud_x000a_1 en U" dataDxfId="82"/>
    <tableColumn id="9" xr3:uid="{00000000-0010-0000-0000-000009000000}" name="Magnitud_x000a_2 en U" dataDxfId="81"/>
    <tableColumn id="10" xr3:uid="{00000000-0010-0000-0000-00000A000000}" name="Columna1" dataDxfId="80"/>
    <tableColumn id="11" xr3:uid="{00000000-0010-0000-0000-00000B000000}" name="Columna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Tabla11" displayName="Tabla11" ref="A104:K218" totalsRowShown="0">
  <autoFilter ref="A104:K218" xr:uid="{00000000-0009-0000-0100-00000B000000}"/>
  <sortState ref="A104:K218">
    <sortCondition ref="B104:B218"/>
  </sortState>
  <tableColumns count="11">
    <tableColumn id="1" xr3:uid="{00000000-0010-0000-0100-000001000000}" name="Item" dataDxfId="79"/>
    <tableColumn id="2" xr3:uid="{00000000-0010-0000-0100-000002000000}" name="Material" dataDxfId="78"/>
    <tableColumn id="3" xr3:uid="{00000000-0010-0000-0100-000003000000}" name="Categoría" dataDxfId="77"/>
    <tableColumn id="4" xr3:uid="{00000000-0010-0000-0100-000004000000}" name="Unidad de Compra Almacen" dataDxfId="76"/>
    <tableColumn id="5" xr3:uid="{00000000-0010-0000-0100-000005000000}" name="Precio_x000a_Unidad de Compra ( $)" dataDxfId="75"/>
    <tableColumn id="6" xr3:uid="{00000000-0010-0000-0100-000006000000}" name="Unidad Despacho Almacen" dataDxfId="74"/>
    <tableColumn id="7" xr3:uid="{00000000-0010-0000-0100-000007000000}" name="Valor /U Despacho en Almacen" dataDxfId="73">
      <calculatedColumnFormula>IF(BD!$E105="","",(E105/(H105*I105)))</calculatedColumnFormula>
    </tableColumn>
    <tableColumn id="8" xr3:uid="{00000000-0010-0000-0100-000008000000}" name="Magnitud_x000a_1 en U" dataDxfId="72"/>
    <tableColumn id="9" xr3:uid="{00000000-0010-0000-0100-000009000000}" name="Magnitud_x000a_2 en U" dataDxfId="71"/>
    <tableColumn id="10" xr3:uid="{00000000-0010-0000-0100-00000A000000}" name="Columna1" dataDxfId="70"/>
    <tableColumn id="11" xr3:uid="{00000000-0010-0000-0100-00000B000000}" name="Columna2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2000000}" name="Tabla32" displayName="Tabla32" ref="A893:K925" totalsRowShown="0">
  <autoFilter ref="A893:K925" xr:uid="{00000000-0009-0000-0100-000020000000}"/>
  <sortState ref="A893:K925">
    <sortCondition ref="B893:B925"/>
  </sortState>
  <tableColumns count="11">
    <tableColumn id="1" xr3:uid="{00000000-0010-0000-0200-000001000000}" name="Item" dataDxfId="68">
      <calculatedColumnFormula>A893+1</calculatedColumnFormula>
    </tableColumn>
    <tableColumn id="2" xr3:uid="{00000000-0010-0000-0200-000002000000}" name="Material" dataDxfId="67"/>
    <tableColumn id="3" xr3:uid="{00000000-0010-0000-0200-000003000000}" name="Categoría" dataDxfId="66"/>
    <tableColumn id="4" xr3:uid="{00000000-0010-0000-0200-000004000000}" name="Unidad de Compra Almacen" dataDxfId="65"/>
    <tableColumn id="5" xr3:uid="{00000000-0010-0000-0200-000005000000}" name="Precio_x000a_Unidad de Compra ( $)" dataDxfId="64"/>
    <tableColumn id="6" xr3:uid="{00000000-0010-0000-0200-000006000000}" name="Unidad Despacho Almacen" dataDxfId="63"/>
    <tableColumn id="7" xr3:uid="{00000000-0010-0000-0200-000007000000}" name="Valor /U Despacho en Almacen" dataDxfId="62">
      <calculatedColumnFormula>IF(BD!$E894="","",(E894/(Tabla32[[#This Row],[Magnitud
1 en U]]*Tabla32[[#This Row],[Magnitud
2 en U]])))</calculatedColumnFormula>
    </tableColumn>
    <tableColumn id="8" xr3:uid="{00000000-0010-0000-0200-000008000000}" name="Magnitud_x000a_1 en U" dataDxfId="61"/>
    <tableColumn id="9" xr3:uid="{00000000-0010-0000-0200-000009000000}" name="Magnitud_x000a_2 en U" dataDxfId="60"/>
    <tableColumn id="10" xr3:uid="{00000000-0010-0000-0200-00000A000000}" name="Columna1" dataDxfId="59"/>
    <tableColumn id="11" xr3:uid="{00000000-0010-0000-0200-00000B000000}" name="Columna2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Tabla16" displayName="Tabla16" ref="B1056:K1123" totalsRowShown="0">
  <autoFilter ref="B1056:K1123" xr:uid="{00000000-0009-0000-0100-000010000000}"/>
  <sortState ref="B1056:K1123">
    <sortCondition ref="B1056:B1123"/>
  </sortState>
  <tableColumns count="10">
    <tableColumn id="1" xr3:uid="{00000000-0010-0000-0300-000001000000}" name="Material" dataDxfId="57"/>
    <tableColumn id="2" xr3:uid="{00000000-0010-0000-0300-000002000000}" name="Categoría" dataDxfId="56"/>
    <tableColumn id="3" xr3:uid="{00000000-0010-0000-0300-000003000000}" name="Unidad de Compra Almacen" dataDxfId="55"/>
    <tableColumn id="4" xr3:uid="{00000000-0010-0000-0300-000004000000}" name="Precio_x000a_Unidad de Compra ( $)" dataDxfId="54"/>
    <tableColumn id="5" xr3:uid="{00000000-0010-0000-0300-000005000000}" name="Unidad Despacho Almacen" dataDxfId="53"/>
    <tableColumn id="6" xr3:uid="{00000000-0010-0000-0300-000006000000}" name="Valor /U Despacho en Almacen" dataDxfId="52">
      <calculatedColumnFormula>IF(BD!$E1057="","",(E1057/(H1057*I1057)))</calculatedColumnFormula>
    </tableColumn>
    <tableColumn id="7" xr3:uid="{00000000-0010-0000-0300-000007000000}" name="Magnitud_x000a_1 en U" dataDxfId="51"/>
    <tableColumn id="8" xr3:uid="{00000000-0010-0000-0300-000008000000}" name="Magnitud_x000a_2 en U" dataDxfId="50"/>
    <tableColumn id="9" xr3:uid="{00000000-0010-0000-0300-000009000000}" name="Columna1" dataDxfId="49"/>
    <tableColumn id="10" xr3:uid="{00000000-0010-0000-0300-00000A000000}" name="Columna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4000000}" name="Tabla24" displayName="Tabla24" ref="A401:K424" totalsRowShown="0">
  <autoFilter ref="A401:K424" xr:uid="{00000000-0009-0000-0100-000018000000}"/>
  <sortState ref="A401:K424">
    <sortCondition ref="B401:B424"/>
  </sortState>
  <tableColumns count="11">
    <tableColumn id="1" xr3:uid="{00000000-0010-0000-0400-000001000000}" name="Item" dataDxfId="48"/>
    <tableColumn id="2" xr3:uid="{00000000-0010-0000-0400-000002000000}" name="Material" dataDxfId="47"/>
    <tableColumn id="3" xr3:uid="{00000000-0010-0000-0400-000003000000}" name="Categoría" dataDxfId="46"/>
    <tableColumn id="4" xr3:uid="{00000000-0010-0000-0400-000004000000}" name="Unidad de Compra Almacen" dataDxfId="45"/>
    <tableColumn id="5" xr3:uid="{00000000-0010-0000-0400-000005000000}" name="Precio_x000a_Unidad de Compra ( $)" dataDxfId="44"/>
    <tableColumn id="6" xr3:uid="{00000000-0010-0000-0400-000006000000}" name="Unidad Despacho Almacen" dataDxfId="43"/>
    <tableColumn id="7" xr3:uid="{00000000-0010-0000-0400-000007000000}" name="Valor /U Despacho en Almacen" dataDxfId="42">
      <calculatedColumnFormula>IF(BD!$E402="","",(E402/(H402*I402)))</calculatedColumnFormula>
    </tableColumn>
    <tableColumn id="8" xr3:uid="{00000000-0010-0000-0400-000008000000}" name="Magnitud_x000a_1 en U" dataDxfId="41"/>
    <tableColumn id="9" xr3:uid="{00000000-0010-0000-0400-000009000000}" name="Magnitud_x000a_2 en U" dataDxfId="40"/>
    <tableColumn id="10" xr3:uid="{00000000-0010-0000-0400-00000A000000}" name="Columna1" dataDxfId="39"/>
    <tableColumn id="11" xr3:uid="{00000000-0010-0000-0400-00000B000000}" name="Columna2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a9" displayName="Tabla9" ref="A444:K865" totalsRowShown="0">
  <autoFilter ref="A444:K865" xr:uid="{00000000-0009-0000-0100-000009000000}"/>
  <sortState ref="A444:K865">
    <sortCondition ref="B444:B865"/>
  </sortState>
  <tableColumns count="11">
    <tableColumn id="1" xr3:uid="{00000000-0010-0000-0500-000001000000}" name="Item" dataDxfId="37">
      <calculatedColumnFormula>A444+1</calculatedColumnFormula>
    </tableColumn>
    <tableColumn id="2" xr3:uid="{00000000-0010-0000-0500-000002000000}" name="Material" dataDxfId="36"/>
    <tableColumn id="3" xr3:uid="{00000000-0010-0000-0500-000003000000}" name="Categoría" dataDxfId="35"/>
    <tableColumn id="4" xr3:uid="{00000000-0010-0000-0500-000004000000}" name="Unidad de Compra Almacen" dataDxfId="34"/>
    <tableColumn id="5" xr3:uid="{00000000-0010-0000-0500-000005000000}" name="Precio_x000a_Unidad de Compra ( $)" dataDxfId="33"/>
    <tableColumn id="6" xr3:uid="{00000000-0010-0000-0500-000006000000}" name="Unidad Despacho Almacen" dataDxfId="32"/>
    <tableColumn id="7" xr3:uid="{00000000-0010-0000-0500-000007000000}" name="Valor /U Despacho en Almacen" dataDxfId="31">
      <calculatedColumnFormula>IF(BD!$E444="","",(E445/(H445*I445)))</calculatedColumnFormula>
    </tableColumn>
    <tableColumn id="8" xr3:uid="{00000000-0010-0000-0500-000008000000}" name="Magnitud_x000a_1 en U" dataDxfId="30"/>
    <tableColumn id="9" xr3:uid="{00000000-0010-0000-0500-000009000000}" name="Magnitud_x000a_2 en U" dataDxfId="29"/>
    <tableColumn id="10" xr3:uid="{00000000-0010-0000-0500-00000A000000}" name="Columna1" dataDxfId="28"/>
    <tableColumn id="11" xr3:uid="{00000000-0010-0000-0500-00000B000000}" name="Columna2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abla13" displayName="Tabla13" ref="B946:K968" totalsRowShown="0">
  <autoFilter ref="B946:K968" xr:uid="{00000000-0009-0000-0100-00000D000000}"/>
  <sortState ref="B946:K968">
    <sortCondition ref="B946:B968"/>
  </sortState>
  <tableColumns count="10">
    <tableColumn id="1" xr3:uid="{00000000-0010-0000-0600-000001000000}" name="Material" dataDxfId="26"/>
    <tableColumn id="2" xr3:uid="{00000000-0010-0000-0600-000002000000}" name="Categoría" dataDxfId="25"/>
    <tableColumn id="3" xr3:uid="{00000000-0010-0000-0600-000003000000}" name="Unidad de Compra Almacen" dataDxfId="24"/>
    <tableColumn id="4" xr3:uid="{00000000-0010-0000-0600-000004000000}" name="Precio_x000a_Unidad de Compra ( $)" dataDxfId="23"/>
    <tableColumn id="5" xr3:uid="{00000000-0010-0000-0600-000005000000}" name="Unidad Despacho Almacen" dataDxfId="22"/>
    <tableColumn id="6" xr3:uid="{00000000-0010-0000-0600-000006000000}" name="Valor /U Despacho en Almacen" dataDxfId="21">
      <calculatedColumnFormula>IF(BD!$E947="","",(E947/(H947*I947)))</calculatedColumnFormula>
    </tableColumn>
    <tableColumn id="7" xr3:uid="{00000000-0010-0000-0600-000007000000}" name="Magnitud_x000a_1 en U" dataDxfId="20"/>
    <tableColumn id="8" xr3:uid="{00000000-0010-0000-0600-000008000000}" name="Magnitud_x000a_2 en U" dataDxfId="19"/>
    <tableColumn id="9" xr3:uid="{00000000-0010-0000-0600-000009000000}" name="Columna1" dataDxfId="18"/>
    <tableColumn id="10" xr3:uid="{00000000-0010-0000-0600-00000A000000}" name="Columna2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a12" displayName="Tabla12" ref="A984:K1031" totalsRowShown="0">
  <autoFilter ref="A984:K1031" xr:uid="{00000000-0009-0000-0100-00000C000000}"/>
  <sortState ref="A984:K1031">
    <sortCondition ref="B984:B1031"/>
  </sortState>
  <tableColumns count="11">
    <tableColumn id="1" xr3:uid="{00000000-0010-0000-0700-000001000000}" name="219" dataDxfId="16">
      <calculatedColumnFormula>A984+1</calculatedColumnFormula>
    </tableColumn>
    <tableColumn id="2" xr3:uid="{00000000-0010-0000-0700-000002000000}" name="Material"/>
    <tableColumn id="3" xr3:uid="{00000000-0010-0000-0700-000003000000}" name="Categoría" dataDxfId="15"/>
    <tableColumn id="4" xr3:uid="{00000000-0010-0000-0700-000004000000}" name="Unidad de Compra Almacen"/>
    <tableColumn id="5" xr3:uid="{00000000-0010-0000-0700-000005000000}" name="Precio_x000a_Unidad de Compra ( $)" dataDxfId="14"/>
    <tableColumn id="6" xr3:uid="{00000000-0010-0000-0700-000006000000}" name="Unidad Despacho Almacen" dataDxfId="13"/>
    <tableColumn id="7" xr3:uid="{00000000-0010-0000-0700-000007000000}" name="Valor /U Despacho en Almacen">
      <calculatedColumnFormula>IF(BD!$E985="","",(E985/(H985*I985)))</calculatedColumnFormula>
    </tableColumn>
    <tableColumn id="8" xr3:uid="{00000000-0010-0000-0700-000008000000}" name="Magnitud_x000a_1 en U"/>
    <tableColumn id="9" xr3:uid="{00000000-0010-0000-0700-000009000000}" name="Magnitud_x000a_2 en U"/>
    <tableColumn id="10" xr3:uid="{00000000-0010-0000-0700-00000A000000}" name="Columna1" dataDxfId="12"/>
    <tableColumn id="11" xr3:uid="{00000000-0010-0000-0700-00000B000000}" name="Columna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a5" displayName="Tabla5" ref="A1140:K1199" totalsRowShown="0">
  <autoFilter ref="A1140:K1199" xr:uid="{00000000-0009-0000-0100-000005000000}"/>
  <tableColumns count="11">
    <tableColumn id="1" xr3:uid="{00000000-0010-0000-0800-000001000000}" name="Item" dataDxfId="11"/>
    <tableColumn id="2" xr3:uid="{00000000-0010-0000-0800-000002000000}" name="Material" dataDxfId="10"/>
    <tableColumn id="3" xr3:uid="{00000000-0010-0000-0800-000003000000}" name="Categoría" dataDxfId="9"/>
    <tableColumn id="4" xr3:uid="{00000000-0010-0000-0800-000004000000}" name="Unidad de Compra Almacen" dataDxfId="8"/>
    <tableColumn id="5" xr3:uid="{00000000-0010-0000-0800-000005000000}" name="Precio_x000a_Unidad de Compra ( $)" dataDxfId="7"/>
    <tableColumn id="6" xr3:uid="{00000000-0010-0000-0800-000006000000}" name="Unidad Despacho Almacen" dataDxfId="6"/>
    <tableColumn id="7" xr3:uid="{00000000-0010-0000-0800-000007000000}" name="Valor /U Despacho en Almacen" dataDxfId="5">
      <calculatedColumnFormula>IF(BD!$E1141="","",(E1141/(H1141*I1141)))</calculatedColumnFormula>
    </tableColumn>
    <tableColumn id="8" xr3:uid="{00000000-0010-0000-0800-000008000000}" name="Magnitud_x000a_1 en U" dataDxfId="4"/>
    <tableColumn id="9" xr3:uid="{00000000-0010-0000-0800-000009000000}" name="Magnitud_x000a_2 en U" dataDxfId="3"/>
    <tableColumn id="10" xr3:uid="{00000000-0010-0000-0800-00000A000000}" name="Columna1" dataDxfId="2"/>
    <tableColumn id="11" xr3:uid="{00000000-0010-0000-0800-00000B000000}" name="Columna2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2:B28" totalsRowShown="0">
  <autoFilter ref="A2:B28" xr:uid="{00000000-0009-0000-0100-00000A000000}"/>
  <sortState ref="A2:B28">
    <sortCondition ref="A2:A28"/>
  </sortState>
  <tableColumns count="2">
    <tableColumn id="1" xr3:uid="{00000000-0010-0000-0900-000001000000}" name="Nombre  de la_x000a_Unidades"/>
    <tableColumn id="2" xr3:uid="{00000000-0010-0000-0900-000002000000}" name="Simbololo  de la  _x000a_ Unidad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a4" displayName="Tabla4" ref="G1:G12" totalsRowShown="0">
  <autoFilter ref="G1:G12" xr:uid="{00000000-0009-0000-0100-000004000000}"/>
  <tableColumns count="1">
    <tableColumn id="1" xr3:uid="{00000000-0010-0000-0A00-000001000000}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la7" displayName="Tabla7" ref="I1:I12" totalsRowShown="0">
  <autoFilter ref="I1:I12" xr:uid="{00000000-0009-0000-0100-000007000000}"/>
  <tableColumns count="1">
    <tableColumn id="1" xr3:uid="{00000000-0010-0000-0B00-000001000000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4506668294322"/>
  </sheetPr>
  <dimension ref="A1:XFC49"/>
  <sheetViews>
    <sheetView showGridLines="0" showZeros="0" tabSelected="1" zoomScale="96" zoomScaleNormal="96" workbookViewId="0">
      <pane ySplit="5" topLeftCell="A6" activePane="bottomLeft" state="frozen"/>
      <selection pane="bottomLeft" activeCell="S1" sqref="S1:Y4"/>
    </sheetView>
  </sheetViews>
  <sheetFormatPr baseColWidth="10"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1.5" customHeight="1">
      <c r="A1" s="218" t="s">
        <v>0</v>
      </c>
      <c r="B1" s="219"/>
      <c r="C1" s="219"/>
      <c r="D1" s="220"/>
      <c r="E1" s="221" t="s">
        <v>925</v>
      </c>
      <c r="F1" s="222"/>
      <c r="G1" s="222"/>
      <c r="H1" s="222"/>
      <c r="I1" s="222"/>
      <c r="J1" s="222"/>
      <c r="K1" s="222"/>
      <c r="L1" s="223" t="s">
        <v>1</v>
      </c>
      <c r="M1" s="224"/>
      <c r="N1" s="224"/>
      <c r="O1" s="225">
        <v>45936</v>
      </c>
      <c r="P1" s="225"/>
      <c r="Q1" s="225"/>
      <c r="R1" s="226"/>
      <c r="S1" s="275"/>
      <c r="T1" s="276"/>
      <c r="U1" s="276"/>
      <c r="V1" s="276"/>
      <c r="W1" s="276"/>
      <c r="X1" s="276"/>
      <c r="Y1" s="277"/>
      <c r="Z1" s="278"/>
      <c r="AA1" s="279"/>
      <c r="AB1" s="279"/>
      <c r="AC1" s="279"/>
      <c r="AD1" s="279"/>
      <c r="AE1" s="279"/>
    </row>
    <row r="2" spans="1:31" ht="29.25" customHeight="1">
      <c r="A2" s="227" t="s">
        <v>2</v>
      </c>
      <c r="B2" s="227"/>
      <c r="C2" s="227"/>
      <c r="D2" s="228">
        <f>IF(K2="","",(SUM(W7:Y25)-(SUMIF(U7:V25,"Restar_Pedido",W7:Y25)))/$K$2)</f>
        <v>33432.466304761911</v>
      </c>
      <c r="E2" s="229"/>
      <c r="F2" s="230"/>
      <c r="G2" s="231" t="s">
        <v>3</v>
      </c>
      <c r="H2" s="232"/>
      <c r="I2" s="232"/>
      <c r="J2" s="233"/>
      <c r="K2" s="234">
        <v>1</v>
      </c>
      <c r="L2" s="234"/>
      <c r="M2" s="235" t="s">
        <v>4</v>
      </c>
      <c r="N2" s="235"/>
      <c r="O2" s="236">
        <f>IFERROR(IF(K2=0,"",D2*K2),"")</f>
        <v>33432.466304761911</v>
      </c>
      <c r="P2" s="237"/>
      <c r="Q2" s="237"/>
      <c r="R2" s="237"/>
      <c r="S2" s="275"/>
      <c r="T2" s="276"/>
      <c r="U2" s="276"/>
      <c r="V2" s="276"/>
      <c r="W2" s="276"/>
      <c r="X2" s="276"/>
      <c r="Y2" s="277"/>
      <c r="Z2" s="278"/>
      <c r="AA2" s="279"/>
      <c r="AB2" s="279"/>
      <c r="AC2" s="279"/>
      <c r="AD2" s="279"/>
      <c r="AE2" s="279"/>
    </row>
    <row r="3" spans="1:31" ht="25.5" customHeight="1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9"/>
      <c r="S3" s="275"/>
      <c r="T3" s="276"/>
      <c r="U3" s="276"/>
      <c r="V3" s="276"/>
      <c r="W3" s="276"/>
      <c r="X3" s="276"/>
      <c r="Y3" s="277"/>
      <c r="Z3" s="278"/>
      <c r="AA3" s="279"/>
      <c r="AB3" s="279"/>
      <c r="AC3" s="279"/>
      <c r="AD3" s="279"/>
      <c r="AE3" s="279"/>
    </row>
    <row r="4" spans="1:31" ht="40.5" customHeight="1">
      <c r="A4" s="280" t="s">
        <v>5</v>
      </c>
      <c r="B4" s="280"/>
      <c r="C4" s="281"/>
      <c r="D4" s="282" t="s">
        <v>6</v>
      </c>
      <c r="E4" s="283"/>
      <c r="F4" s="283"/>
      <c r="G4" s="283"/>
      <c r="H4" s="283"/>
      <c r="I4" s="283"/>
      <c r="J4" s="283"/>
      <c r="K4" s="283"/>
      <c r="L4" s="283"/>
      <c r="M4" s="283"/>
      <c r="N4" s="284"/>
      <c r="O4" s="288" t="s">
        <v>7</v>
      </c>
      <c r="P4" s="246"/>
      <c r="Q4" s="289" t="s">
        <v>8</v>
      </c>
      <c r="R4" s="290"/>
      <c r="S4" s="275"/>
      <c r="T4" s="276"/>
      <c r="U4" s="276"/>
      <c r="V4" s="276"/>
      <c r="W4" s="276"/>
      <c r="X4" s="276"/>
      <c r="Y4" s="277"/>
      <c r="Z4" s="278"/>
      <c r="AA4" s="279"/>
      <c r="AB4" s="279"/>
      <c r="AC4" s="279"/>
      <c r="AD4" s="279"/>
      <c r="AE4" s="279"/>
    </row>
    <row r="5" spans="1:31" ht="30.75" customHeight="1">
      <c r="A5" s="280"/>
      <c r="B5" s="280"/>
      <c r="C5" s="281"/>
      <c r="D5" s="285"/>
      <c r="E5" s="286"/>
      <c r="F5" s="286"/>
      <c r="G5" s="286"/>
      <c r="H5" s="286"/>
      <c r="I5" s="286"/>
      <c r="J5" s="286"/>
      <c r="K5" s="286"/>
      <c r="L5" s="286"/>
      <c r="M5" s="286"/>
      <c r="N5" s="287"/>
      <c r="O5" s="288"/>
      <c r="P5" s="246"/>
      <c r="Q5" s="289"/>
      <c r="R5" s="289"/>
      <c r="S5" s="240" t="s">
        <v>9</v>
      </c>
      <c r="T5" s="240"/>
      <c r="U5" s="241"/>
      <c r="V5" s="242">
        <f>IF(K2="","",1/K2)</f>
        <v>1</v>
      </c>
      <c r="W5" s="243"/>
      <c r="X5" s="206">
        <v>1</v>
      </c>
      <c r="Y5" s="207">
        <f>IFERROR((V5*X5)," ")</f>
        <v>1</v>
      </c>
      <c r="Z5" s="278"/>
      <c r="AA5" s="279"/>
      <c r="AB5" s="279"/>
      <c r="AC5" s="279"/>
      <c r="AD5" s="279"/>
      <c r="AE5" s="279"/>
    </row>
    <row r="6" spans="1:31" ht="12" customHeight="1">
      <c r="A6" s="244"/>
      <c r="B6" s="244"/>
      <c r="C6" s="244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45" t="s">
        <v>10</v>
      </c>
      <c r="T6" s="245"/>
      <c r="U6" s="246" t="s">
        <v>11</v>
      </c>
      <c r="V6" s="246"/>
      <c r="W6" s="246" t="s">
        <v>12</v>
      </c>
      <c r="X6" s="246"/>
      <c r="Y6" s="246"/>
    </row>
    <row r="7" spans="1:31" ht="17.25" customHeight="1">
      <c r="A7" s="247" t="s">
        <v>13</v>
      </c>
      <c r="B7" s="247"/>
      <c r="C7" s="248"/>
      <c r="D7" s="249" t="s">
        <v>14</v>
      </c>
      <c r="E7" s="250"/>
      <c r="F7" s="250"/>
      <c r="G7" s="250"/>
      <c r="H7" s="250"/>
      <c r="I7" s="250"/>
      <c r="J7" s="250"/>
      <c r="K7" s="250"/>
      <c r="L7" s="250"/>
      <c r="M7" s="250"/>
      <c r="N7" s="251"/>
      <c r="O7" s="252" t="str">
        <f t="shared" ref="O7:O28" si="0">IFERROR(IF(D7="","",INDEX(Tabla_Completa,MATCH(D7,Materiales,0),6)),"")</f>
        <v>dm2</v>
      </c>
      <c r="P7" s="253"/>
      <c r="Q7" s="254">
        <v>1.4</v>
      </c>
      <c r="R7" s="255"/>
      <c r="S7" s="256">
        <f>IFERROR(IF(Q7="Unidad","1",(Q7*$K$2)),"")</f>
        <v>1.4</v>
      </c>
      <c r="T7" s="257"/>
      <c r="U7" s="258" t="s">
        <v>926</v>
      </c>
      <c r="V7" s="259"/>
      <c r="W7" s="260">
        <f>IFERROR(IF(D7="","",INDEX(Tabla_Completa,MATCH(Solicitar!D7,Materiales,0),7)*S7),"")</f>
        <v>1680</v>
      </c>
      <c r="X7" s="260"/>
      <c r="Y7" s="260"/>
      <c r="Z7" s="208"/>
      <c r="AA7" s="208"/>
      <c r="AB7" s="208"/>
      <c r="AC7" s="208"/>
      <c r="AD7" s="208"/>
      <c r="AE7" s="208"/>
    </row>
    <row r="8" spans="1:31" ht="17.25" customHeight="1">
      <c r="A8" s="261" t="s">
        <v>13</v>
      </c>
      <c r="B8" s="247"/>
      <c r="C8" s="248"/>
      <c r="D8" s="249" t="s">
        <v>14</v>
      </c>
      <c r="E8" s="250"/>
      <c r="F8" s="250"/>
      <c r="G8" s="250"/>
      <c r="H8" s="250"/>
      <c r="I8" s="250"/>
      <c r="J8" s="250"/>
      <c r="K8" s="250"/>
      <c r="L8" s="250"/>
      <c r="M8" s="250"/>
      <c r="N8" s="251"/>
      <c r="O8" s="252" t="str">
        <f t="shared" si="0"/>
        <v>dm2</v>
      </c>
      <c r="P8" s="253"/>
      <c r="Q8" s="254">
        <v>1.7</v>
      </c>
      <c r="R8" s="255"/>
      <c r="S8" s="256">
        <f t="shared" ref="S8:S28" si="1">IFERROR(IF(Q8="Unidad","1",(Q8*$K$2)),"")</f>
        <v>1.7</v>
      </c>
      <c r="T8" s="257"/>
      <c r="U8" s="258" t="s">
        <v>923</v>
      </c>
      <c r="V8" s="258"/>
      <c r="W8" s="260">
        <f>IFERROR(IF(D8="","",INDEX(Tabla_Completa,MATCH(Solicitar!D8,Materiales,0),7)*S8),"")</f>
        <v>2040</v>
      </c>
      <c r="X8" s="260"/>
      <c r="Y8" s="260"/>
    </row>
    <row r="9" spans="1:31" ht="15.75" customHeight="1">
      <c r="A9" s="261" t="s">
        <v>17</v>
      </c>
      <c r="B9" s="247"/>
      <c r="C9" s="248"/>
      <c r="D9" s="262" t="s">
        <v>18</v>
      </c>
      <c r="E9" s="250"/>
      <c r="F9" s="250"/>
      <c r="G9" s="250"/>
      <c r="H9" s="250"/>
      <c r="I9" s="250"/>
      <c r="J9" s="250"/>
      <c r="K9" s="250"/>
      <c r="L9" s="250"/>
      <c r="M9" s="250"/>
      <c r="N9" s="251"/>
      <c r="O9" s="252" t="str">
        <f>IFERROR(IF(D9="","",INDEX(Tabla_Completa,MATCH(D9,Materiales,0),6)),"")</f>
        <v>cm2</v>
      </c>
      <c r="P9" s="253"/>
      <c r="Q9" s="254">
        <v>2.6</v>
      </c>
      <c r="R9" s="255"/>
      <c r="S9" s="256">
        <f t="shared" si="1"/>
        <v>2.6</v>
      </c>
      <c r="T9" s="257"/>
      <c r="U9" s="217" t="s">
        <v>16</v>
      </c>
      <c r="V9" s="217"/>
      <c r="W9" s="260">
        <f>IFERROR(IF(D9="","",INDEX(Tabla_Completa,MATCH(Solicitar!D9,Materiales,0),7)*S9),"")</f>
        <v>5.2029714285714288</v>
      </c>
      <c r="X9" s="260"/>
      <c r="Y9" s="260"/>
    </row>
    <row r="10" spans="1:31" ht="15.75" customHeight="1">
      <c r="A10" s="261" t="s">
        <v>19</v>
      </c>
      <c r="B10" s="247"/>
      <c r="C10" s="248"/>
      <c r="D10" s="249" t="s">
        <v>157</v>
      </c>
      <c r="E10" s="250"/>
      <c r="F10" s="250"/>
      <c r="G10" s="250"/>
      <c r="H10" s="250"/>
      <c r="I10" s="250"/>
      <c r="J10" s="250"/>
      <c r="K10" s="250"/>
      <c r="L10" s="250"/>
      <c r="M10" s="250"/>
      <c r="N10" s="251"/>
      <c r="O10" s="252" t="str">
        <f t="shared" si="0"/>
        <v>cm2</v>
      </c>
      <c r="P10" s="253"/>
      <c r="Q10" s="254">
        <v>1.6</v>
      </c>
      <c r="R10" s="255"/>
      <c r="S10" s="256">
        <f t="shared" si="1"/>
        <v>1.6</v>
      </c>
      <c r="T10" s="257"/>
      <c r="U10" s="258"/>
      <c r="V10" s="258"/>
      <c r="W10" s="260">
        <f>IFERROR(IF(D10="","",INDEX(Tabla_Completa,MATCH(Solicitar!D10,Materiales,0),7)*S10),"")</f>
        <v>1.6</v>
      </c>
      <c r="X10" s="260"/>
      <c r="Y10" s="260"/>
    </row>
    <row r="11" spans="1:31" ht="17.25" customHeight="1">
      <c r="A11" s="261" t="s">
        <v>19</v>
      </c>
      <c r="B11" s="247"/>
      <c r="C11" s="248"/>
      <c r="D11" s="249" t="s">
        <v>162</v>
      </c>
      <c r="E11" s="250"/>
      <c r="F11" s="250"/>
      <c r="G11" s="250"/>
      <c r="H11" s="250"/>
      <c r="I11" s="250"/>
      <c r="J11" s="250"/>
      <c r="K11" s="250"/>
      <c r="L11" s="250"/>
      <c r="M11" s="250"/>
      <c r="N11" s="251"/>
      <c r="O11" s="252" t="str">
        <f t="shared" si="0"/>
        <v>Cono</v>
      </c>
      <c r="P11" s="253"/>
      <c r="Q11" s="254">
        <v>1</v>
      </c>
      <c r="R11" s="255"/>
      <c r="S11" s="256">
        <f t="shared" si="1"/>
        <v>1</v>
      </c>
      <c r="T11" s="257"/>
      <c r="U11" s="258" t="s">
        <v>16</v>
      </c>
      <c r="V11" s="258"/>
      <c r="W11" s="260">
        <f>IFERROR(IF(D11="","",INDEX(Tabla_Completa,MATCH(Solicitar!D11,Materiales,0),7)*S11),"")</f>
        <v>7266.6666666666697</v>
      </c>
      <c r="X11" s="260"/>
      <c r="Y11" s="260"/>
    </row>
    <row r="12" spans="1:31" ht="15.75" customHeight="1">
      <c r="A12" s="261" t="s">
        <v>19</v>
      </c>
      <c r="B12" s="247"/>
      <c r="C12" s="248"/>
      <c r="D12" s="249" t="s">
        <v>162</v>
      </c>
      <c r="E12" s="250"/>
      <c r="F12" s="250"/>
      <c r="G12" s="250"/>
      <c r="H12" s="250"/>
      <c r="I12" s="250"/>
      <c r="J12" s="250"/>
      <c r="K12" s="250"/>
      <c r="L12" s="250"/>
      <c r="M12" s="250"/>
      <c r="N12" s="251"/>
      <c r="O12" s="252" t="str">
        <f t="shared" si="0"/>
        <v>Cono</v>
      </c>
      <c r="P12" s="253"/>
      <c r="Q12" s="254">
        <v>1</v>
      </c>
      <c r="R12" s="255"/>
      <c r="S12" s="256">
        <f t="shared" si="1"/>
        <v>1</v>
      </c>
      <c r="T12" s="257"/>
      <c r="U12" s="258" t="s">
        <v>922</v>
      </c>
      <c r="V12" s="258"/>
      <c r="W12" s="260">
        <f>IFERROR(IF(D12="","",INDEX(Tabla_Completa,MATCH(Solicitar!D12,Materiales,0),7)*S12),"")</f>
        <v>7266.6666666666697</v>
      </c>
      <c r="X12" s="260"/>
      <c r="Y12" s="260"/>
    </row>
    <row r="13" spans="1:31" ht="15.75" customHeight="1">
      <c r="A13" s="261" t="s">
        <v>19</v>
      </c>
      <c r="B13" s="247"/>
      <c r="C13" s="248"/>
      <c r="D13" s="262" t="s">
        <v>163</v>
      </c>
      <c r="E13" s="250"/>
      <c r="F13" s="250"/>
      <c r="G13" s="250"/>
      <c r="H13" s="250"/>
      <c r="I13" s="250"/>
      <c r="J13" s="250"/>
      <c r="K13" s="250"/>
      <c r="L13" s="250"/>
      <c r="M13" s="250"/>
      <c r="N13" s="251"/>
      <c r="O13" s="252" t="str">
        <f t="shared" si="0"/>
        <v>Cono</v>
      </c>
      <c r="P13" s="253"/>
      <c r="Q13" s="254">
        <v>1</v>
      </c>
      <c r="R13" s="255"/>
      <c r="S13" s="256">
        <f t="shared" si="1"/>
        <v>1</v>
      </c>
      <c r="T13" s="257"/>
      <c r="U13" s="258" t="s">
        <v>923</v>
      </c>
      <c r="V13" s="258"/>
      <c r="W13" s="260">
        <f>IFERROR(IF(D13="","",INDEX(Tabla_Completa,MATCH(Solicitar!D13,Materiales,0),7)*S13),"")</f>
        <v>7266.665</v>
      </c>
      <c r="X13" s="260"/>
      <c r="Y13" s="260"/>
    </row>
    <row r="14" spans="1:31" ht="15.75" customHeight="1">
      <c r="A14" s="261" t="s">
        <v>19</v>
      </c>
      <c r="B14" s="247"/>
      <c r="C14" s="248"/>
      <c r="D14" s="262" t="s">
        <v>163</v>
      </c>
      <c r="E14" s="250"/>
      <c r="F14" s="250"/>
      <c r="G14" s="250"/>
      <c r="H14" s="250"/>
      <c r="I14" s="250"/>
      <c r="J14" s="250"/>
      <c r="K14" s="250"/>
      <c r="L14" s="250"/>
      <c r="M14" s="250"/>
      <c r="N14" s="251"/>
      <c r="O14" s="252" t="str">
        <f t="shared" si="0"/>
        <v>Cono</v>
      </c>
      <c r="P14" s="253"/>
      <c r="Q14" s="254">
        <v>1</v>
      </c>
      <c r="R14" s="255"/>
      <c r="S14" s="256">
        <f t="shared" si="1"/>
        <v>1</v>
      </c>
      <c r="T14" s="257"/>
      <c r="U14" s="258" t="s">
        <v>924</v>
      </c>
      <c r="V14" s="258"/>
      <c r="W14" s="260">
        <f>IFERROR(IF(D14="","",INDEX(Tabla_Completa,MATCH(Solicitar!D14,Materiales,0),7)*S14),"")</f>
        <v>7266.665</v>
      </c>
      <c r="X14" s="260"/>
      <c r="Y14" s="260"/>
    </row>
    <row r="15" spans="1:31" ht="15.75" customHeight="1">
      <c r="A15" s="261" t="s">
        <v>19</v>
      </c>
      <c r="B15" s="247"/>
      <c r="C15" s="248"/>
      <c r="D15" s="249" t="s">
        <v>83</v>
      </c>
      <c r="E15" s="250"/>
      <c r="F15" s="250"/>
      <c r="G15" s="250"/>
      <c r="H15" s="250"/>
      <c r="I15" s="250"/>
      <c r="J15" s="250"/>
      <c r="K15" s="250"/>
      <c r="L15" s="250"/>
      <c r="M15" s="250"/>
      <c r="N15" s="251"/>
      <c r="O15" s="252" t="str">
        <f t="shared" si="0"/>
        <v>Par</v>
      </c>
      <c r="P15" s="253"/>
      <c r="Q15" s="254">
        <v>1</v>
      </c>
      <c r="R15" s="255"/>
      <c r="S15" s="256">
        <f t="shared" si="1"/>
        <v>1</v>
      </c>
      <c r="T15" s="257"/>
      <c r="U15" s="258"/>
      <c r="V15" s="258"/>
      <c r="W15" s="260">
        <f>IFERROR(IF(D15="","",INDEX(Tabla_Completa,MATCH(Solicitar!D15,Materiales,0),7)*S15),"")</f>
        <v>639</v>
      </c>
      <c r="X15" s="260"/>
      <c r="Y15" s="260"/>
    </row>
    <row r="16" spans="1:31" ht="15.75">
      <c r="A16" s="261"/>
      <c r="B16" s="247"/>
      <c r="C16" s="248"/>
      <c r="D16" s="263"/>
      <c r="E16" s="264"/>
      <c r="F16" s="264"/>
      <c r="G16" s="264"/>
      <c r="H16" s="264"/>
      <c r="I16" s="264"/>
      <c r="J16" s="264"/>
      <c r="K16" s="264"/>
      <c r="L16" s="264"/>
      <c r="M16" s="264"/>
      <c r="N16" s="265"/>
      <c r="O16" s="252" t="str">
        <f t="shared" si="0"/>
        <v/>
      </c>
      <c r="P16" s="253"/>
      <c r="Q16" s="254"/>
      <c r="R16" s="255"/>
      <c r="S16" s="256">
        <f t="shared" si="1"/>
        <v>0</v>
      </c>
      <c r="T16" s="257"/>
      <c r="U16" s="258"/>
      <c r="V16" s="258"/>
      <c r="W16" s="260" t="str">
        <f>IFERROR(IF(D16="","",INDEX(Tabla_Completa,MATCH(Solicitar!D16,Materiales,0),7)*S16),"")</f>
        <v/>
      </c>
      <c r="X16" s="260"/>
      <c r="Y16" s="260"/>
    </row>
    <row r="17" spans="1:25" ht="15.75">
      <c r="A17" s="261"/>
      <c r="B17" s="247"/>
      <c r="C17" s="248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5"/>
      <c r="O17" s="252" t="str">
        <f>IFERROR(IF(D17="","",INDEX(Tabla_Completa,MATCH(D17,Materiales,0),6)),"")</f>
        <v/>
      </c>
      <c r="P17" s="253"/>
      <c r="Q17" s="254"/>
      <c r="R17" s="255"/>
      <c r="S17" s="256">
        <f t="shared" si="1"/>
        <v>0</v>
      </c>
      <c r="T17" s="257"/>
      <c r="U17" s="258"/>
      <c r="V17" s="258"/>
      <c r="W17" s="260" t="str">
        <f>IFERROR(IF(D17="","",INDEX(Tabla_Completa,MATCH(Solicitar!D17,Materiales,0),7)*S17),"")</f>
        <v/>
      </c>
      <c r="X17" s="260"/>
      <c r="Y17" s="260"/>
    </row>
    <row r="18" spans="1:25" ht="15.75">
      <c r="A18" s="261"/>
      <c r="B18" s="247"/>
      <c r="C18" s="248"/>
      <c r="D18" s="263"/>
      <c r="E18" s="264"/>
      <c r="F18" s="264"/>
      <c r="G18" s="264"/>
      <c r="H18" s="264"/>
      <c r="I18" s="264"/>
      <c r="J18" s="264"/>
      <c r="K18" s="264"/>
      <c r="L18" s="264"/>
      <c r="M18" s="264"/>
      <c r="N18" s="265"/>
      <c r="O18" s="252" t="str">
        <f>IFERROR(IF(D18="","",INDEX(Tabla_Completa,MATCH(D18,Materiales,0),6)),"")</f>
        <v/>
      </c>
      <c r="P18" s="253"/>
      <c r="Q18" s="254"/>
      <c r="R18" s="255"/>
      <c r="S18" s="256">
        <f t="shared" si="1"/>
        <v>0</v>
      </c>
      <c r="T18" s="257"/>
      <c r="U18" s="258"/>
      <c r="V18" s="258"/>
      <c r="W18" s="260" t="str">
        <f>IFERROR(IF(D18="","",INDEX(Tabla_Completa,MATCH(Solicitar!D18,Materiales,0),7)*S18),"")</f>
        <v/>
      </c>
      <c r="X18" s="260"/>
      <c r="Y18" s="260"/>
    </row>
    <row r="19" spans="1:25" ht="15.75">
      <c r="A19" s="261"/>
      <c r="B19" s="247"/>
      <c r="C19" s="248"/>
      <c r="D19" s="263"/>
      <c r="E19" s="264"/>
      <c r="F19" s="264"/>
      <c r="G19" s="264"/>
      <c r="H19" s="264"/>
      <c r="I19" s="264"/>
      <c r="J19" s="264"/>
      <c r="K19" s="264"/>
      <c r="L19" s="264"/>
      <c r="M19" s="264"/>
      <c r="N19" s="265"/>
      <c r="O19" s="252" t="str">
        <f t="shared" si="0"/>
        <v/>
      </c>
      <c r="P19" s="253"/>
      <c r="Q19" s="254"/>
      <c r="R19" s="255"/>
      <c r="S19" s="256">
        <f t="shared" si="1"/>
        <v>0</v>
      </c>
      <c r="T19" s="257"/>
      <c r="U19" s="258"/>
      <c r="V19" s="258"/>
      <c r="W19" s="260" t="str">
        <f>IFERROR(IF(D19="","",INDEX(Tabla_Completa,MATCH(Solicitar!D19,Materiales,0),7)*S19),"")</f>
        <v/>
      </c>
      <c r="X19" s="260"/>
      <c r="Y19" s="260"/>
    </row>
    <row r="20" spans="1:25" ht="15.75">
      <c r="A20" s="261"/>
      <c r="B20" s="247"/>
      <c r="C20" s="248"/>
      <c r="D20" s="263"/>
      <c r="E20" s="264"/>
      <c r="F20" s="264"/>
      <c r="G20" s="264"/>
      <c r="H20" s="264"/>
      <c r="I20" s="264"/>
      <c r="J20" s="264"/>
      <c r="K20" s="264"/>
      <c r="L20" s="264"/>
      <c r="M20" s="264"/>
      <c r="N20" s="265"/>
      <c r="O20" s="252" t="str">
        <f t="shared" si="0"/>
        <v/>
      </c>
      <c r="P20" s="253"/>
      <c r="Q20" s="254"/>
      <c r="R20" s="255"/>
      <c r="S20" s="256">
        <f t="shared" si="1"/>
        <v>0</v>
      </c>
      <c r="T20" s="257"/>
      <c r="U20" s="258"/>
      <c r="V20" s="258"/>
      <c r="W20" s="260" t="str">
        <f>IFERROR(IF(D20="","",INDEX(Tabla_Completa,MATCH(Solicitar!D20,Materiales,0),7)*S20),"")</f>
        <v/>
      </c>
      <c r="X20" s="260"/>
      <c r="Y20" s="260"/>
    </row>
    <row r="21" spans="1:25" ht="15.75">
      <c r="A21" s="261"/>
      <c r="B21" s="247"/>
      <c r="C21" s="248"/>
      <c r="D21" s="263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52" t="str">
        <f t="shared" si="0"/>
        <v/>
      </c>
      <c r="P21" s="253"/>
      <c r="Q21" s="254"/>
      <c r="R21" s="255"/>
      <c r="S21" s="256">
        <f t="shared" si="1"/>
        <v>0</v>
      </c>
      <c r="T21" s="257"/>
      <c r="U21" s="258"/>
      <c r="V21" s="258"/>
      <c r="W21" s="260" t="str">
        <f>IFERROR(IF(D21="","",INDEX(Tabla_Completa,MATCH(Solicitar!D21,Materiales,0),7)*S21),"")</f>
        <v/>
      </c>
      <c r="X21" s="260"/>
      <c r="Y21" s="260"/>
    </row>
    <row r="22" spans="1:25" ht="15.75">
      <c r="A22" s="261"/>
      <c r="B22" s="247"/>
      <c r="C22" s="248"/>
      <c r="D22" s="263"/>
      <c r="E22" s="264"/>
      <c r="F22" s="264"/>
      <c r="G22" s="264"/>
      <c r="H22" s="264"/>
      <c r="I22" s="264"/>
      <c r="J22" s="264"/>
      <c r="K22" s="264"/>
      <c r="L22" s="264"/>
      <c r="M22" s="264"/>
      <c r="N22" s="265"/>
      <c r="O22" s="252" t="str">
        <f t="shared" si="0"/>
        <v/>
      </c>
      <c r="P22" s="253"/>
      <c r="Q22" s="254"/>
      <c r="R22" s="255"/>
      <c r="S22" s="256">
        <f t="shared" si="1"/>
        <v>0</v>
      </c>
      <c r="T22" s="257"/>
      <c r="U22" s="258"/>
      <c r="V22" s="258"/>
      <c r="W22" s="260" t="str">
        <f>IFERROR(IF(D22="","",INDEX(Tabla_Completa,MATCH(Solicitar!D22,Materiales,0),7)*S22),"")</f>
        <v/>
      </c>
      <c r="X22" s="260"/>
      <c r="Y22" s="260"/>
    </row>
    <row r="23" spans="1:25" ht="15.75">
      <c r="A23" s="261"/>
      <c r="B23" s="247"/>
      <c r="C23" s="248"/>
      <c r="D23" s="263"/>
      <c r="E23" s="264"/>
      <c r="F23" s="264"/>
      <c r="G23" s="264"/>
      <c r="H23" s="264"/>
      <c r="I23" s="264"/>
      <c r="J23" s="264"/>
      <c r="K23" s="264"/>
      <c r="L23" s="264"/>
      <c r="M23" s="264"/>
      <c r="N23" s="265"/>
      <c r="O23" s="252" t="str">
        <f t="shared" si="0"/>
        <v/>
      </c>
      <c r="P23" s="253"/>
      <c r="Q23" s="254"/>
      <c r="R23" s="255"/>
      <c r="S23" s="256">
        <f t="shared" si="1"/>
        <v>0</v>
      </c>
      <c r="T23" s="257"/>
      <c r="U23" s="258"/>
      <c r="V23" s="258"/>
      <c r="W23" s="260" t="str">
        <f>IFERROR(IF(D23="","",INDEX(Tabla_Completa,MATCH(Solicitar!D23,Materiales,0),7)*S23),"")</f>
        <v/>
      </c>
      <c r="X23" s="260"/>
      <c r="Y23" s="260"/>
    </row>
    <row r="24" spans="1:25" ht="15.75">
      <c r="A24" s="261"/>
      <c r="B24" s="247"/>
      <c r="C24" s="248"/>
      <c r="D24" s="263"/>
      <c r="E24" s="264"/>
      <c r="F24" s="264"/>
      <c r="G24" s="264"/>
      <c r="H24" s="264"/>
      <c r="I24" s="264"/>
      <c r="J24" s="264"/>
      <c r="K24" s="264"/>
      <c r="L24" s="264"/>
      <c r="M24" s="264"/>
      <c r="N24" s="265"/>
      <c r="O24" s="252" t="str">
        <f t="shared" si="0"/>
        <v/>
      </c>
      <c r="P24" s="253"/>
      <c r="Q24" s="254"/>
      <c r="R24" s="255"/>
      <c r="S24" s="256">
        <f t="shared" si="1"/>
        <v>0</v>
      </c>
      <c r="T24" s="257"/>
      <c r="U24" s="258"/>
      <c r="V24" s="258"/>
      <c r="W24" s="260" t="str">
        <f>IFERROR(IF(D24="","",INDEX(Tabla_Completa,MATCH(Solicitar!D24,Materiales,0),7)*S24),"")</f>
        <v/>
      </c>
      <c r="X24" s="260"/>
      <c r="Y24" s="260"/>
    </row>
    <row r="25" spans="1:25" ht="15.75">
      <c r="A25" s="261"/>
      <c r="B25" s="247"/>
      <c r="C25" s="248"/>
      <c r="D25" s="263"/>
      <c r="E25" s="264"/>
      <c r="F25" s="264"/>
      <c r="G25" s="264"/>
      <c r="H25" s="264"/>
      <c r="I25" s="264"/>
      <c r="J25" s="264"/>
      <c r="K25" s="264"/>
      <c r="L25" s="264"/>
      <c r="M25" s="264"/>
      <c r="N25" s="265"/>
      <c r="O25" s="252" t="str">
        <f t="shared" si="0"/>
        <v/>
      </c>
      <c r="P25" s="253"/>
      <c r="Q25" s="254"/>
      <c r="R25" s="255"/>
      <c r="S25" s="256">
        <f t="shared" si="1"/>
        <v>0</v>
      </c>
      <c r="T25" s="257"/>
      <c r="U25" s="258"/>
      <c r="V25" s="258"/>
      <c r="W25" s="260" t="str">
        <f>IFERROR(IF(D25="","",INDEX(Tabla_Completa,MATCH(Solicitar!D25,Materiales,0),7)*S25),"")</f>
        <v/>
      </c>
      <c r="X25" s="260"/>
      <c r="Y25" s="260"/>
    </row>
    <row r="26" spans="1:25" ht="15.75">
      <c r="A26" s="261"/>
      <c r="B26" s="247"/>
      <c r="C26" s="248"/>
      <c r="D26" s="263"/>
      <c r="E26" s="264"/>
      <c r="F26" s="264"/>
      <c r="G26" s="264"/>
      <c r="H26" s="264"/>
      <c r="I26" s="264"/>
      <c r="J26" s="264"/>
      <c r="K26" s="264"/>
      <c r="L26" s="264"/>
      <c r="M26" s="264"/>
      <c r="N26" s="265"/>
      <c r="O26" s="252" t="str">
        <f t="shared" si="0"/>
        <v/>
      </c>
      <c r="P26" s="253"/>
      <c r="Q26" s="254"/>
      <c r="R26" s="255"/>
      <c r="S26" s="256">
        <f t="shared" si="1"/>
        <v>0</v>
      </c>
      <c r="T26" s="257"/>
      <c r="U26" s="258"/>
      <c r="V26" s="258"/>
      <c r="W26" s="260" t="str">
        <f>IFERROR(IF(D26="","",INDEX(Tabla_Completa,MATCH(Solicitar!D26,Materiales,0),7)*S26),"")</f>
        <v/>
      </c>
      <c r="X26" s="260"/>
      <c r="Y26" s="260"/>
    </row>
    <row r="27" spans="1:25" ht="15.75">
      <c r="A27" s="261"/>
      <c r="B27" s="247"/>
      <c r="C27" s="248"/>
      <c r="D27" s="263"/>
      <c r="E27" s="264"/>
      <c r="F27" s="264"/>
      <c r="G27" s="264"/>
      <c r="H27" s="264"/>
      <c r="I27" s="264"/>
      <c r="J27" s="264"/>
      <c r="K27" s="264"/>
      <c r="L27" s="264"/>
      <c r="M27" s="264"/>
      <c r="N27" s="265"/>
      <c r="O27" s="252" t="str">
        <f t="shared" si="0"/>
        <v/>
      </c>
      <c r="P27" s="253"/>
      <c r="Q27" s="254"/>
      <c r="R27" s="255"/>
      <c r="S27" s="256">
        <f t="shared" si="1"/>
        <v>0</v>
      </c>
      <c r="T27" s="257"/>
      <c r="U27" s="258"/>
      <c r="V27" s="258"/>
      <c r="W27" s="260" t="str">
        <f>IFERROR(IF(D27="","",INDEX(Tabla_Completa,MATCH(Solicitar!D27,Materiales,0),7)*S27),"")</f>
        <v/>
      </c>
      <c r="X27" s="260"/>
      <c r="Y27" s="260"/>
    </row>
    <row r="28" spans="1:25" ht="15.75">
      <c r="A28" s="261"/>
      <c r="B28" s="247"/>
      <c r="C28" s="248"/>
      <c r="D28" s="263"/>
      <c r="E28" s="264"/>
      <c r="F28" s="264"/>
      <c r="G28" s="264"/>
      <c r="H28" s="264"/>
      <c r="I28" s="264"/>
      <c r="J28" s="264"/>
      <c r="K28" s="264"/>
      <c r="L28" s="264"/>
      <c r="M28" s="264"/>
      <c r="N28" s="265"/>
      <c r="O28" s="252" t="str">
        <f t="shared" si="0"/>
        <v/>
      </c>
      <c r="P28" s="253"/>
      <c r="Q28" s="254"/>
      <c r="R28" s="255"/>
      <c r="S28" s="256">
        <f t="shared" si="1"/>
        <v>0</v>
      </c>
      <c r="T28" s="257"/>
      <c r="U28" s="258"/>
      <c r="V28" s="258"/>
      <c r="W28" s="260" t="str">
        <f>IFERROR(IF(D28="","",INDEX(Tabla_Completa,MATCH(Solicitar!D28,Materiales,0),7)*S28),"")</f>
        <v/>
      </c>
      <c r="X28" s="260"/>
      <c r="Y28" s="260"/>
    </row>
    <row r="36" spans="1:24" ht="33.75" customHeight="1">
      <c r="A36" s="272" t="s">
        <v>21</v>
      </c>
      <c r="B36" s="272"/>
      <c r="C36" s="272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</row>
    <row r="37" spans="1:24">
      <c r="A37" s="210" t="s">
        <v>22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</row>
    <row r="38" spans="1:24"/>
    <row r="39" spans="1:24"/>
    <row r="40" spans="1:24"/>
    <row r="41" spans="1:24" ht="19.5">
      <c r="A41" s="294" t="s">
        <v>23</v>
      </c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N41" s="268" t="s">
        <v>24</v>
      </c>
      <c r="O41" s="268"/>
      <c r="P41" s="268"/>
      <c r="Q41" s="268"/>
      <c r="R41" s="266" t="s">
        <v>25</v>
      </c>
      <c r="S41" s="266"/>
      <c r="T41" s="266"/>
      <c r="U41" s="266"/>
      <c r="V41" s="266"/>
      <c r="W41" s="266"/>
      <c r="X41" s="266"/>
    </row>
    <row r="42" spans="1:24" ht="47.25" customHeight="1">
      <c r="A42" s="267" t="s">
        <v>26</v>
      </c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N42" s="268" t="s">
        <v>19</v>
      </c>
      <c r="O42" s="268"/>
      <c r="P42" s="268"/>
      <c r="Q42" s="268"/>
      <c r="R42" s="269" t="s">
        <v>27</v>
      </c>
      <c r="S42" s="269"/>
      <c r="T42" s="269"/>
      <c r="U42" s="269"/>
      <c r="V42" s="269"/>
      <c r="W42" s="269"/>
      <c r="X42" s="269"/>
    </row>
    <row r="43" spans="1:24" ht="31.5" customHeight="1">
      <c r="A43" s="270" t="s">
        <v>28</v>
      </c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N43" s="268" t="s">
        <v>13</v>
      </c>
      <c r="O43" s="268"/>
      <c r="P43" s="268"/>
      <c r="Q43" s="268"/>
      <c r="R43" s="271" t="s">
        <v>29</v>
      </c>
      <c r="S43" s="271"/>
      <c r="T43" s="271"/>
      <c r="U43" s="271"/>
      <c r="V43" s="271"/>
      <c r="W43" s="271"/>
      <c r="X43" s="271"/>
    </row>
    <row r="44" spans="1:24" ht="28.5" customHeight="1">
      <c r="A44" s="291" t="s">
        <v>30</v>
      </c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N44" s="268" t="s">
        <v>31</v>
      </c>
      <c r="O44" s="268"/>
      <c r="P44" s="268"/>
      <c r="Q44" s="268"/>
      <c r="R44" s="271" t="s">
        <v>32</v>
      </c>
      <c r="S44" s="271"/>
      <c r="T44" s="271"/>
      <c r="U44" s="271"/>
      <c r="V44" s="271"/>
      <c r="W44" s="271"/>
      <c r="X44" s="271"/>
    </row>
    <row r="45" spans="1:24" ht="42.75" customHeight="1">
      <c r="A45" s="292" t="s">
        <v>33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N45" s="268" t="s">
        <v>34</v>
      </c>
      <c r="O45" s="268"/>
      <c r="P45" s="268"/>
      <c r="Q45" s="268"/>
      <c r="R45" s="271" t="s">
        <v>35</v>
      </c>
      <c r="S45" s="271"/>
      <c r="T45" s="271"/>
      <c r="U45" s="271"/>
      <c r="V45" s="271"/>
      <c r="W45" s="271"/>
      <c r="X45" s="271"/>
    </row>
    <row r="46" spans="1:24" ht="36" customHeight="1">
      <c r="A46" s="292" t="s">
        <v>36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N46" s="293" t="s">
        <v>37</v>
      </c>
      <c r="O46" s="293"/>
      <c r="P46" s="293"/>
      <c r="Q46" s="293"/>
      <c r="R46" s="269" t="s">
        <v>38</v>
      </c>
      <c r="S46" s="269"/>
      <c r="T46" s="269"/>
      <c r="U46" s="269"/>
      <c r="V46" s="269"/>
      <c r="W46" s="269"/>
      <c r="X46" s="269"/>
    </row>
    <row r="47" spans="1:24" ht="15.75">
      <c r="A47" s="274"/>
      <c r="B47" s="274"/>
      <c r="C47" s="274"/>
      <c r="D47" s="274"/>
      <c r="N47" s="268" t="s">
        <v>39</v>
      </c>
      <c r="O47" s="268"/>
      <c r="P47" s="268"/>
      <c r="Q47" s="268"/>
      <c r="R47" s="271" t="s">
        <v>40</v>
      </c>
      <c r="S47" s="271"/>
      <c r="T47" s="271"/>
      <c r="U47" s="271"/>
      <c r="V47" s="271"/>
      <c r="W47" s="271"/>
      <c r="X47" s="271"/>
    </row>
    <row r="48" spans="1:24" ht="15.75">
      <c r="N48" s="268" t="s">
        <v>17</v>
      </c>
      <c r="O48" s="268"/>
      <c r="P48" s="268"/>
      <c r="Q48" s="268"/>
      <c r="R48" s="271" t="s">
        <v>41</v>
      </c>
      <c r="S48" s="271"/>
      <c r="T48" s="271"/>
      <c r="U48" s="271"/>
      <c r="V48" s="271"/>
      <c r="W48" s="271"/>
      <c r="X48" s="271"/>
    </row>
    <row r="49" spans="14:24" ht="15.75">
      <c r="N49" s="268" t="s">
        <v>42</v>
      </c>
      <c r="O49" s="268"/>
      <c r="P49" s="268"/>
      <c r="Q49" s="268"/>
      <c r="R49" s="271" t="s">
        <v>32</v>
      </c>
      <c r="S49" s="271"/>
      <c r="T49" s="271"/>
      <c r="U49" s="271"/>
      <c r="V49" s="271"/>
      <c r="W49" s="271"/>
      <c r="X49" s="271"/>
    </row>
  </sheetData>
  <sheetProtection algorithmName="SHA-512" hashValue="BlIlQUGHdYfTYgWmprImmX2bv72PTVMBAi0VCp7UfdSgwDn8taQaDLtozt6qg2zj+wGJ5Ensmy5lk36OpfGQ9w==" saltValue="seXdSSVHoaUYzLl70YS+lA==" spinCount="100000" sheet="1" selectLockedCells="1" autoFilter="0" pivotTables="0"/>
  <mergeCells count="203">
    <mergeCell ref="A47:D47"/>
    <mergeCell ref="N47:Q47"/>
    <mergeCell ref="R47:X47"/>
    <mergeCell ref="N48:Q48"/>
    <mergeCell ref="R48:X48"/>
    <mergeCell ref="N49:Q49"/>
    <mergeCell ref="R49:X49"/>
    <mergeCell ref="S1:Y4"/>
    <mergeCell ref="Z1:AE5"/>
    <mergeCell ref="A4:C5"/>
    <mergeCell ref="D4:N5"/>
    <mergeCell ref="O4:P5"/>
    <mergeCell ref="Q4:R5"/>
    <mergeCell ref="A44:L44"/>
    <mergeCell ref="N44:Q44"/>
    <mergeCell ref="R44:X44"/>
    <mergeCell ref="A45:L45"/>
    <mergeCell ref="N45:Q45"/>
    <mergeCell ref="R45:X45"/>
    <mergeCell ref="A46:L46"/>
    <mergeCell ref="N46:Q46"/>
    <mergeCell ref="R46:X46"/>
    <mergeCell ref="A41:L41"/>
    <mergeCell ref="N41:Q41"/>
    <mergeCell ref="R41:X41"/>
    <mergeCell ref="A42:L42"/>
    <mergeCell ref="N42:Q42"/>
    <mergeCell ref="R42:X42"/>
    <mergeCell ref="A43:L43"/>
    <mergeCell ref="N43:Q43"/>
    <mergeCell ref="R43:X43"/>
    <mergeCell ref="A28:C28"/>
    <mergeCell ref="D28:N28"/>
    <mergeCell ref="O28:P28"/>
    <mergeCell ref="Q28:R28"/>
    <mergeCell ref="S28:T28"/>
    <mergeCell ref="U28:V28"/>
    <mergeCell ref="W28:Y28"/>
    <mergeCell ref="A36:C36"/>
    <mergeCell ref="D36:Q36"/>
    <mergeCell ref="A26:C26"/>
    <mergeCell ref="D26:N26"/>
    <mergeCell ref="O26:P26"/>
    <mergeCell ref="Q26:R26"/>
    <mergeCell ref="S26:T26"/>
    <mergeCell ref="U26:V26"/>
    <mergeCell ref="W26:Y26"/>
    <mergeCell ref="A27:C27"/>
    <mergeCell ref="D27:N27"/>
    <mergeCell ref="O27:P27"/>
    <mergeCell ref="Q27:R27"/>
    <mergeCell ref="S27:T27"/>
    <mergeCell ref="U27:V27"/>
    <mergeCell ref="W27:Y27"/>
    <mergeCell ref="A24:C24"/>
    <mergeCell ref="D24:N24"/>
    <mergeCell ref="O24:P24"/>
    <mergeCell ref="Q24:R24"/>
    <mergeCell ref="S24:T24"/>
    <mergeCell ref="U24:V24"/>
    <mergeCell ref="W24:Y24"/>
    <mergeCell ref="A25:C25"/>
    <mergeCell ref="D25:N25"/>
    <mergeCell ref="O25:P25"/>
    <mergeCell ref="Q25:R25"/>
    <mergeCell ref="S25:T25"/>
    <mergeCell ref="U25:V25"/>
    <mergeCell ref="W25:Y25"/>
    <mergeCell ref="A22:C22"/>
    <mergeCell ref="D22:N22"/>
    <mergeCell ref="O22:P22"/>
    <mergeCell ref="Q22:R22"/>
    <mergeCell ref="S22:T22"/>
    <mergeCell ref="U22:V22"/>
    <mergeCell ref="W22:Y22"/>
    <mergeCell ref="A23:C23"/>
    <mergeCell ref="D23:N23"/>
    <mergeCell ref="O23:P23"/>
    <mergeCell ref="Q23:R23"/>
    <mergeCell ref="S23:T23"/>
    <mergeCell ref="U23:V23"/>
    <mergeCell ref="W23:Y23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  <mergeCell ref="A16:C16"/>
    <mergeCell ref="D16:N16"/>
    <mergeCell ref="O16:P16"/>
    <mergeCell ref="Q16:R16"/>
    <mergeCell ref="S16:T16"/>
    <mergeCell ref="U16:V16"/>
    <mergeCell ref="W16:Y16"/>
    <mergeCell ref="A17:C17"/>
    <mergeCell ref="D17:N17"/>
    <mergeCell ref="O17:P17"/>
    <mergeCell ref="Q17:R17"/>
    <mergeCell ref="S17:T17"/>
    <mergeCell ref="U17:V17"/>
    <mergeCell ref="W17:Y17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Q15:R15"/>
    <mergeCell ref="S15:T15"/>
    <mergeCell ref="U15:V15"/>
    <mergeCell ref="W15:Y15"/>
    <mergeCell ref="A12:C12"/>
    <mergeCell ref="D12:N12"/>
    <mergeCell ref="O12:P12"/>
    <mergeCell ref="Q12:R12"/>
    <mergeCell ref="S12:T12"/>
    <mergeCell ref="U12:V12"/>
    <mergeCell ref="W12:Y12"/>
    <mergeCell ref="A13:C13"/>
    <mergeCell ref="D13:N13"/>
    <mergeCell ref="O13:P13"/>
    <mergeCell ref="Q13:R13"/>
    <mergeCell ref="S13:T13"/>
    <mergeCell ref="U13:V13"/>
    <mergeCell ref="W13:Y13"/>
    <mergeCell ref="A10:C10"/>
    <mergeCell ref="D10:N10"/>
    <mergeCell ref="O10:P10"/>
    <mergeCell ref="Q10:R10"/>
    <mergeCell ref="S10:T10"/>
    <mergeCell ref="U10:V10"/>
    <mergeCell ref="W10:Y10"/>
    <mergeCell ref="A11:C11"/>
    <mergeCell ref="D11:N11"/>
    <mergeCell ref="O11:P11"/>
    <mergeCell ref="Q11:R11"/>
    <mergeCell ref="S11:T11"/>
    <mergeCell ref="U11:V11"/>
    <mergeCell ref="W11:Y11"/>
    <mergeCell ref="A8:C8"/>
    <mergeCell ref="D8:N8"/>
    <mergeCell ref="O8:P8"/>
    <mergeCell ref="Q8:R8"/>
    <mergeCell ref="S8:T8"/>
    <mergeCell ref="W8:Y8"/>
    <mergeCell ref="A9:C9"/>
    <mergeCell ref="D9:N9"/>
    <mergeCell ref="O9:P9"/>
    <mergeCell ref="Q9:R9"/>
    <mergeCell ref="S9:T9"/>
    <mergeCell ref="U8:V8"/>
    <mergeCell ref="W9:Y9"/>
    <mergeCell ref="A3:R3"/>
    <mergeCell ref="S5:U5"/>
    <mergeCell ref="V5:W5"/>
    <mergeCell ref="A6:C6"/>
    <mergeCell ref="S6:T6"/>
    <mergeCell ref="U6:V6"/>
    <mergeCell ref="W6:Y6"/>
    <mergeCell ref="A7:C7"/>
    <mergeCell ref="D7:N7"/>
    <mergeCell ref="O7:P7"/>
    <mergeCell ref="Q7:R7"/>
    <mergeCell ref="S7:T7"/>
    <mergeCell ref="U7:V7"/>
    <mergeCell ref="W7:Y7"/>
    <mergeCell ref="A1:D1"/>
    <mergeCell ref="E1:K1"/>
    <mergeCell ref="L1:N1"/>
    <mergeCell ref="O1:R1"/>
    <mergeCell ref="A2:C2"/>
    <mergeCell ref="D2:F2"/>
    <mergeCell ref="G2:J2"/>
    <mergeCell ref="K2:L2"/>
    <mergeCell ref="M2:N2"/>
    <mergeCell ref="O2:R2"/>
  </mergeCells>
  <conditionalFormatting sqref="O1">
    <cfRule type="containsBlanks" dxfId="105" priority="14">
      <formula>LEN(TRIM(O1))=0</formula>
    </cfRule>
  </conditionalFormatting>
  <conditionalFormatting sqref="K2:L2">
    <cfRule type="containsBlanks" dxfId="104" priority="13">
      <formula>LEN(TRIM(K2))=0</formula>
    </cfRule>
  </conditionalFormatting>
  <conditionalFormatting sqref="Q7:Q28">
    <cfRule type="containsBlanks" dxfId="103" priority="15">
      <formula>LEN(TRIM(Q7))=0</formula>
    </cfRule>
  </conditionalFormatting>
  <conditionalFormatting sqref="O7:P28">
    <cfRule type="containsBlanks" dxfId="102" priority="11">
      <formula>LEN(TRIM(O7))=0</formula>
    </cfRule>
  </conditionalFormatting>
  <dataValidations count="3">
    <dataValidation type="list" allowBlank="1" showInputMessage="1" showErrorMessage="1" sqref="A7 A8:C28" xr:uid="{00000000-0002-0000-0000-000000000000}">
      <formula1>CATEGORIAS</formula1>
    </dataValidation>
    <dataValidation type="list" allowBlank="1" showInputMessage="1" sqref="D7:N28" xr:uid="{00000000-0002-0000-0000-000002000000}">
      <formula1>INDIRECT($A7)</formula1>
    </dataValidation>
    <dataValidation type="list" allowBlank="1" showInputMessage="1" sqref="U10:V28 U7:V8" xr:uid="{00000000-0002-0000-0000-000001000000}">
      <formula1>Observaciones</formula1>
    </dataValidation>
  </dataValidations>
  <printOptions horizontalCentered="1" verticalCentered="1"/>
  <pageMargins left="0.31496062992126" right="0.31496062992126" top="0" bottom="0" header="0.31496062992126" footer="0.31496062992126"/>
  <pageSetup paperSize="9" scale="9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Z1199"/>
  <sheetViews>
    <sheetView showGridLines="0" zoomScale="85" zoomScaleNormal="85" workbookViewId="0">
      <pane xSplit="4" ySplit="5" topLeftCell="E6" activePane="bottomRight" state="frozen"/>
      <selection pane="topRight"/>
      <selection pane="bottomLeft"/>
      <selection pane="bottomRight" activeCell="G1195" sqref="G1195"/>
    </sheetView>
  </sheetViews>
  <sheetFormatPr baseColWidth="10" defaultColWidth="11.42578125" defaultRowHeight="15"/>
  <cols>
    <col min="1" max="1" width="10.85546875" customWidth="1"/>
    <col min="2" max="2" width="48.7109375" style="14" customWidth="1"/>
    <col min="3" max="3" width="23.140625" style="15" customWidth="1"/>
    <col min="4" max="4" width="14.85546875" style="16" customWidth="1"/>
    <col min="5" max="5" width="14.28515625" style="17" customWidth="1"/>
    <col min="6" max="6" width="14.28515625" style="18" customWidth="1"/>
    <col min="7" max="7" width="15.28515625" customWidth="1"/>
    <col min="8" max="8" width="10.5703125" style="19" customWidth="1"/>
    <col min="9" max="9" width="11.7109375" style="19" customWidth="1"/>
    <col min="10" max="10" width="8.140625" customWidth="1"/>
    <col min="11" max="11" width="17.5703125" customWidth="1"/>
    <col min="12" max="12" width="31.28515625" customWidth="1"/>
  </cols>
  <sheetData>
    <row r="1" spans="1:26" ht="56.25" customHeight="1">
      <c r="A1" s="302"/>
      <c r="B1" s="302"/>
      <c r="C1" s="302"/>
      <c r="D1" s="302"/>
      <c r="E1" s="303"/>
      <c r="F1" s="303"/>
      <c r="H1" s="20"/>
      <c r="Z1" s="12" t="s">
        <v>43</v>
      </c>
    </row>
    <row r="2" spans="1:26" ht="18.75" customHeight="1">
      <c r="A2" s="302"/>
      <c r="B2" s="302"/>
      <c r="C2" s="302"/>
      <c r="D2" s="302"/>
      <c r="E2" s="303"/>
      <c r="F2" s="303"/>
    </row>
    <row r="3" spans="1:26" ht="24" customHeight="1">
      <c r="A3" s="302"/>
      <c r="B3" s="302"/>
      <c r="C3" s="302"/>
      <c r="D3" s="302"/>
      <c r="E3" s="295">
        <f>SUM(Total_AdhySol,Total_SECUNDARIO_MEDULAR,Total_Cuero,Total_Herrajes,Total_Sint_y_Tex,Total_Herramientas,Total_Ins_Compl)</f>
        <v>660</v>
      </c>
      <c r="F3" s="295"/>
      <c r="G3" s="19"/>
    </row>
    <row r="5" spans="1:26" ht="40.5" customHeight="1">
      <c r="B5"/>
      <c r="C5"/>
      <c r="D5"/>
    </row>
    <row r="6" spans="1:26" ht="34.5" customHeight="1">
      <c r="A6" s="212" t="s">
        <v>44</v>
      </c>
      <c r="B6" s="213">
        <f>SUBTOTAL(3,(BD!$B$8:$B$18))</f>
        <v>11</v>
      </c>
      <c r="C6" s="296"/>
      <c r="D6" s="297"/>
      <c r="H6" s="298" t="s">
        <v>45</v>
      </c>
      <c r="I6" s="298"/>
    </row>
    <row r="7" spans="1:26" ht="47.25">
      <c r="A7" s="21" t="s">
        <v>46</v>
      </c>
      <c r="B7" s="214" t="s">
        <v>47</v>
      </c>
      <c r="C7" s="22" t="s">
        <v>48</v>
      </c>
      <c r="D7" s="23" t="s">
        <v>49</v>
      </c>
      <c r="E7" s="24" t="s">
        <v>50</v>
      </c>
      <c r="F7" s="25" t="s">
        <v>51</v>
      </c>
      <c r="G7" s="23" t="s">
        <v>52</v>
      </c>
      <c r="H7" s="26" t="s">
        <v>53</v>
      </c>
      <c r="I7" s="26" t="s">
        <v>54</v>
      </c>
      <c r="J7" t="s">
        <v>55</v>
      </c>
      <c r="K7" t="s">
        <v>56</v>
      </c>
    </row>
    <row r="8" spans="1:26" ht="15" customHeight="1">
      <c r="A8" s="27">
        <v>1</v>
      </c>
      <c r="B8" s="28" t="s">
        <v>57</v>
      </c>
      <c r="C8" s="29" t="s">
        <v>24</v>
      </c>
      <c r="D8" s="30" t="s">
        <v>58</v>
      </c>
      <c r="E8" s="31">
        <v>74650</v>
      </c>
      <c r="F8" s="32" t="s">
        <v>59</v>
      </c>
      <c r="G8" s="33">
        <f>IF(BD!$E8="","",(E8/(H8*I8)))</f>
        <v>19.722589167767502</v>
      </c>
      <c r="H8" s="34">
        <v>3785</v>
      </c>
      <c r="I8" s="34">
        <v>1</v>
      </c>
    </row>
    <row r="9" spans="1:26" ht="15" customHeight="1">
      <c r="A9" s="27">
        <f t="shared" ref="A9:A18" si="0">A8+1</f>
        <v>2</v>
      </c>
      <c r="B9" s="28" t="s">
        <v>60</v>
      </c>
      <c r="C9" s="29" t="s">
        <v>24</v>
      </c>
      <c r="D9" s="30" t="s">
        <v>58</v>
      </c>
      <c r="E9" s="31">
        <v>231671.5</v>
      </c>
      <c r="F9" s="32" t="s">
        <v>59</v>
      </c>
      <c r="G9" s="33">
        <f>IF(BD!$E9="","",(E9/(H9*I9)))</f>
        <v>61.207793923381772</v>
      </c>
      <c r="H9" s="34">
        <v>3785</v>
      </c>
      <c r="I9" s="34">
        <v>1</v>
      </c>
    </row>
    <row r="10" spans="1:26" ht="15" customHeight="1">
      <c r="A10" s="27">
        <f t="shared" si="0"/>
        <v>3</v>
      </c>
      <c r="B10" s="28" t="s">
        <v>61</v>
      </c>
      <c r="C10" s="29" t="s">
        <v>24</v>
      </c>
      <c r="D10" s="30" t="s">
        <v>58</v>
      </c>
      <c r="E10" s="31">
        <v>231671.5</v>
      </c>
      <c r="F10" s="32" t="s">
        <v>59</v>
      </c>
      <c r="G10" s="33">
        <f>IF(BD!$E10="","",(E10/(H10*I10)))</f>
        <v>61.207793923381772</v>
      </c>
      <c r="H10" s="34">
        <v>3785</v>
      </c>
      <c r="I10" s="34">
        <v>1</v>
      </c>
    </row>
    <row r="11" spans="1:26" ht="15" customHeight="1">
      <c r="A11" s="27">
        <f t="shared" si="0"/>
        <v>4</v>
      </c>
      <c r="B11" s="28" t="s">
        <v>62</v>
      </c>
      <c r="C11" s="29" t="s">
        <v>24</v>
      </c>
      <c r="D11" s="30" t="s">
        <v>58</v>
      </c>
      <c r="E11" s="31">
        <v>78666.625</v>
      </c>
      <c r="F11" s="32" t="s">
        <v>59</v>
      </c>
      <c r="G11" s="33">
        <f>IF(BD!$E11="","",(E11/(H11*I11)))</f>
        <v>20.783784676354028</v>
      </c>
      <c r="H11" s="34">
        <v>3785</v>
      </c>
      <c r="I11" s="34">
        <v>1</v>
      </c>
    </row>
    <row r="12" spans="1:26" ht="15" customHeight="1">
      <c r="A12" s="35">
        <f t="shared" si="0"/>
        <v>5</v>
      </c>
      <c r="B12" s="28" t="s">
        <v>63</v>
      </c>
      <c r="C12" s="29" t="s">
        <v>24</v>
      </c>
      <c r="D12" s="30" t="s">
        <v>64</v>
      </c>
      <c r="E12" s="31">
        <v>72665</v>
      </c>
      <c r="F12" s="32" t="s">
        <v>64</v>
      </c>
      <c r="G12" s="33">
        <f>IF(BD!$E12="","",(E12/(H12*I12)))</f>
        <v>72665</v>
      </c>
      <c r="H12" s="34">
        <v>1</v>
      </c>
      <c r="I12" s="34">
        <v>1</v>
      </c>
    </row>
    <row r="13" spans="1:26" s="13" customFormat="1" ht="15" customHeight="1">
      <c r="A13" s="27">
        <f t="shared" si="0"/>
        <v>6</v>
      </c>
      <c r="B13" s="28" t="s">
        <v>65</v>
      </c>
      <c r="C13" s="29" t="s">
        <v>24</v>
      </c>
      <c r="D13" s="30" t="s">
        <v>58</v>
      </c>
      <c r="E13" s="31">
        <v>59690.625</v>
      </c>
      <c r="F13" s="32" t="s">
        <v>59</v>
      </c>
      <c r="G13" s="33">
        <f>IF(BD!$E13="","",(E13/(H13*I13)))</f>
        <v>15.770310435931307</v>
      </c>
      <c r="H13" s="34">
        <v>3785</v>
      </c>
      <c r="I13" s="34">
        <v>1</v>
      </c>
    </row>
    <row r="14" spans="1:26" ht="17.25" customHeight="1">
      <c r="A14" s="27">
        <f t="shared" si="0"/>
        <v>7</v>
      </c>
      <c r="B14" s="28" t="s">
        <v>66</v>
      </c>
      <c r="C14" s="29" t="s">
        <v>24</v>
      </c>
      <c r="D14" s="30" t="s">
        <v>58</v>
      </c>
      <c r="E14" s="31">
        <v>50200</v>
      </c>
      <c r="F14" s="32" t="s">
        <v>59</v>
      </c>
      <c r="G14" s="33">
        <f>IF(BD!$E14="","",(E14/(H14*I14)))</f>
        <v>13.262879788639365</v>
      </c>
      <c r="H14" s="34">
        <v>3785</v>
      </c>
      <c r="I14" s="34">
        <v>1</v>
      </c>
    </row>
    <row r="15" spans="1:26" ht="17.25" customHeight="1">
      <c r="A15" s="27">
        <f t="shared" si="0"/>
        <v>8</v>
      </c>
      <c r="B15" s="36" t="s">
        <v>67</v>
      </c>
      <c r="C15" s="29" t="s">
        <v>24</v>
      </c>
      <c r="D15" s="37" t="s">
        <v>58</v>
      </c>
      <c r="E15" s="38">
        <v>66108</v>
      </c>
      <c r="F15" s="32" t="s">
        <v>59</v>
      </c>
      <c r="G15" s="33">
        <f>IF(BD!$E15="","",(E15/(H15*I15)))</f>
        <v>17.46578599735799</v>
      </c>
      <c r="H15" s="34">
        <v>3785</v>
      </c>
      <c r="I15" s="41">
        <v>1</v>
      </c>
    </row>
    <row r="16" spans="1:26" ht="17.25" customHeight="1">
      <c r="A16" s="27">
        <f t="shared" si="0"/>
        <v>9</v>
      </c>
      <c r="B16" s="28" t="s">
        <v>68</v>
      </c>
      <c r="C16" s="29" t="s">
        <v>24</v>
      </c>
      <c r="D16" s="37" t="s">
        <v>58</v>
      </c>
      <c r="E16" s="31">
        <v>61960</v>
      </c>
      <c r="F16" s="32" t="s">
        <v>59</v>
      </c>
      <c r="G16" s="33">
        <f>IF(BD!$E16="","",(E16/(H16*I16)))</f>
        <v>16.36988110964333</v>
      </c>
      <c r="H16" s="34">
        <v>3785</v>
      </c>
      <c r="I16" s="34">
        <v>1</v>
      </c>
    </row>
    <row r="17" spans="1:9" ht="17.25" customHeight="1">
      <c r="A17" s="27">
        <f t="shared" si="0"/>
        <v>10</v>
      </c>
      <c r="B17" s="28" t="s">
        <v>69</v>
      </c>
      <c r="C17" s="29" t="s">
        <v>24</v>
      </c>
      <c r="D17" s="30" t="s">
        <v>58</v>
      </c>
      <c r="E17" s="31">
        <v>28400</v>
      </c>
      <c r="F17" s="32" t="s">
        <v>59</v>
      </c>
      <c r="G17" s="33">
        <f>IF(BD!$E17="","",(E17/(H17*I17)))</f>
        <v>7.5033025099075301</v>
      </c>
      <c r="H17" s="34">
        <v>3785</v>
      </c>
      <c r="I17" s="34">
        <v>1</v>
      </c>
    </row>
    <row r="18" spans="1:9" ht="17.25" customHeight="1">
      <c r="A18" s="27">
        <f t="shared" si="0"/>
        <v>11</v>
      </c>
      <c r="B18" s="28" t="s">
        <v>70</v>
      </c>
      <c r="C18" s="29" t="s">
        <v>24</v>
      </c>
      <c r="D18" s="30" t="s">
        <v>58</v>
      </c>
      <c r="E18" s="31">
        <v>36816</v>
      </c>
      <c r="F18" s="32" t="s">
        <v>58</v>
      </c>
      <c r="G18" s="33">
        <f>IF(BD!$E18="","",(E18/(H18*I18)))</f>
        <v>36816</v>
      </c>
      <c r="H18" s="34">
        <v>1</v>
      </c>
      <c r="I18" s="34">
        <v>1</v>
      </c>
    </row>
    <row r="19" spans="1:9" ht="17.25" customHeight="1">
      <c r="B19"/>
      <c r="C19"/>
      <c r="D19"/>
      <c r="E19"/>
      <c r="F19" s="39"/>
      <c r="H19"/>
      <c r="I19"/>
    </row>
    <row r="20" spans="1:9" ht="17.25" customHeight="1">
      <c r="B20"/>
      <c r="C20"/>
      <c r="D20"/>
      <c r="E20"/>
      <c r="F20" s="39"/>
      <c r="H20"/>
      <c r="I20"/>
    </row>
    <row r="21" spans="1:9" ht="17.25" customHeight="1">
      <c r="B21"/>
      <c r="C21"/>
      <c r="D21"/>
      <c r="E21"/>
      <c r="F21" s="39"/>
      <c r="H21"/>
      <c r="I21"/>
    </row>
    <row r="22" spans="1:9" ht="17.25" customHeight="1">
      <c r="B22"/>
      <c r="C22"/>
      <c r="D22"/>
      <c r="E22"/>
      <c r="F22" s="39"/>
      <c r="H22"/>
      <c r="I22"/>
    </row>
    <row r="23" spans="1:9" ht="17.25" customHeight="1">
      <c r="B23"/>
      <c r="C23"/>
      <c r="D23"/>
      <c r="E23"/>
      <c r="F23" s="39"/>
      <c r="H23"/>
      <c r="I23"/>
    </row>
    <row r="24" spans="1:9" ht="17.25" customHeight="1">
      <c r="B24"/>
      <c r="C24"/>
      <c r="D24"/>
      <c r="E24"/>
      <c r="F24" s="39"/>
      <c r="H24"/>
      <c r="I24"/>
    </row>
    <row r="25" spans="1:9" ht="17.25" customHeight="1">
      <c r="B25"/>
      <c r="C25"/>
      <c r="D25"/>
      <c r="E25"/>
      <c r="F25" s="39"/>
      <c r="H25"/>
      <c r="I25"/>
    </row>
    <row r="26" spans="1:9" ht="17.25" customHeight="1">
      <c r="B26"/>
      <c r="C26"/>
      <c r="D26"/>
      <c r="E26"/>
      <c r="F26" s="39"/>
      <c r="H26"/>
      <c r="I26"/>
    </row>
    <row r="27" spans="1:9" ht="17.25" customHeight="1">
      <c r="B27"/>
      <c r="C27"/>
      <c r="D27"/>
      <c r="E27"/>
      <c r="F27" s="39"/>
      <c r="H27"/>
      <c r="I27"/>
    </row>
    <row r="28" spans="1:9" ht="17.25" customHeight="1">
      <c r="B28"/>
      <c r="C28"/>
      <c r="D28"/>
      <c r="E28"/>
      <c r="F28" s="39"/>
      <c r="H28"/>
      <c r="I28"/>
    </row>
    <row r="29" spans="1:9" ht="17.25" customHeight="1">
      <c r="B29"/>
      <c r="C29"/>
      <c r="D29"/>
      <c r="E29"/>
      <c r="F29" s="39"/>
      <c r="H29"/>
      <c r="I29"/>
    </row>
    <row r="30" spans="1:9" ht="17.25" customHeight="1">
      <c r="B30"/>
      <c r="C30"/>
      <c r="D30"/>
      <c r="E30"/>
      <c r="F30" s="39"/>
      <c r="H30"/>
      <c r="I30"/>
    </row>
    <row r="31" spans="1:9" ht="17.25" customHeight="1">
      <c r="B31"/>
      <c r="C31"/>
      <c r="D31"/>
      <c r="E31"/>
      <c r="F31"/>
      <c r="H31"/>
      <c r="I31"/>
    </row>
    <row r="32" spans="1:9" ht="17.25" customHeight="1">
      <c r="B32"/>
      <c r="C32"/>
      <c r="D32"/>
      <c r="E32"/>
      <c r="F32"/>
      <c r="H32"/>
      <c r="I32"/>
    </row>
    <row r="33" spans="2:9" ht="17.25" customHeight="1">
      <c r="B33"/>
      <c r="C33"/>
      <c r="D33"/>
      <c r="E33"/>
      <c r="F33"/>
      <c r="H33"/>
      <c r="I33"/>
    </row>
    <row r="34" spans="2:9" ht="17.25" customHeight="1">
      <c r="B34"/>
      <c r="C34"/>
      <c r="D34"/>
      <c r="E34"/>
      <c r="F34"/>
      <c r="H34"/>
      <c r="I34"/>
    </row>
    <row r="35" spans="2:9" ht="17.25" customHeight="1">
      <c r="B35"/>
      <c r="C35"/>
      <c r="D35"/>
      <c r="E35"/>
      <c r="F35"/>
      <c r="H35"/>
      <c r="I35"/>
    </row>
    <row r="36" spans="2:9" ht="17.25" customHeight="1">
      <c r="B36"/>
      <c r="C36"/>
      <c r="D36"/>
      <c r="E36"/>
      <c r="F36"/>
      <c r="H36"/>
      <c r="I36"/>
    </row>
    <row r="37" spans="2:9" ht="17.25" customHeight="1">
      <c r="B37"/>
      <c r="C37"/>
      <c r="D37"/>
      <c r="E37"/>
      <c r="F37"/>
      <c r="H37"/>
      <c r="I37"/>
    </row>
    <row r="38" spans="2:9" ht="17.25" customHeight="1">
      <c r="B38"/>
      <c r="C38"/>
      <c r="D38"/>
      <c r="E38"/>
      <c r="F38"/>
      <c r="H38"/>
      <c r="I38"/>
    </row>
    <row r="39" spans="2:9" ht="17.25" customHeight="1">
      <c r="B39"/>
      <c r="C39"/>
      <c r="D39"/>
      <c r="E39"/>
      <c r="F39"/>
      <c r="H39"/>
      <c r="I39"/>
    </row>
    <row r="40" spans="2:9" ht="17.25" customHeight="1">
      <c r="B40"/>
      <c r="C40"/>
      <c r="D40"/>
      <c r="E40"/>
      <c r="F40"/>
      <c r="H40"/>
      <c r="I40"/>
    </row>
    <row r="41" spans="2:9" ht="17.25" customHeight="1">
      <c r="B41"/>
      <c r="C41"/>
      <c r="D41"/>
      <c r="E41"/>
      <c r="F41"/>
      <c r="H41"/>
      <c r="I41"/>
    </row>
    <row r="42" spans="2:9" ht="17.25" customHeight="1">
      <c r="B42"/>
      <c r="C42"/>
      <c r="D42"/>
      <c r="E42"/>
      <c r="F42"/>
      <c r="H42"/>
      <c r="I42"/>
    </row>
    <row r="43" spans="2:9" ht="17.25" customHeight="1">
      <c r="B43"/>
      <c r="C43"/>
      <c r="D43"/>
      <c r="E43"/>
      <c r="F43"/>
      <c r="H43"/>
      <c r="I43"/>
    </row>
    <row r="44" spans="2:9" ht="17.25" customHeight="1">
      <c r="B44"/>
      <c r="C44"/>
      <c r="D44"/>
      <c r="E44"/>
      <c r="F44"/>
      <c r="H44"/>
      <c r="I44"/>
    </row>
    <row r="45" spans="2:9" ht="17.25" customHeight="1">
      <c r="B45"/>
      <c r="C45"/>
      <c r="D45"/>
      <c r="E45"/>
      <c r="F45"/>
      <c r="H45"/>
      <c r="I45"/>
    </row>
    <row r="46" spans="2:9" ht="17.25" customHeight="1">
      <c r="B46"/>
      <c r="C46"/>
      <c r="D46"/>
      <c r="E46"/>
      <c r="F46"/>
      <c r="H46"/>
      <c r="I46"/>
    </row>
    <row r="47" spans="2:9" ht="17.25" customHeight="1">
      <c r="B47"/>
      <c r="C47" s="209"/>
    </row>
    <row r="48" spans="2:9" ht="17.25" customHeight="1">
      <c r="B48"/>
      <c r="C48" s="209"/>
    </row>
    <row r="49" spans="2:2" ht="17.25" customHeight="1">
      <c r="B49"/>
    </row>
    <row r="50" spans="2:2" ht="17.25" customHeight="1">
      <c r="B50"/>
    </row>
    <row r="51" spans="2:2" ht="17.25" customHeight="1">
      <c r="B51"/>
    </row>
    <row r="52" spans="2:2" ht="17.25" customHeight="1">
      <c r="B52"/>
    </row>
    <row r="53" spans="2:2" ht="17.25" customHeight="1">
      <c r="B53"/>
    </row>
    <row r="54" spans="2:2" ht="17.25" customHeight="1">
      <c r="B54"/>
    </row>
    <row r="55" spans="2:2" ht="17.25" customHeight="1">
      <c r="B55" s="40" t="s">
        <v>71</v>
      </c>
    </row>
    <row r="57" spans="2:2">
      <c r="B57"/>
    </row>
    <row r="58" spans="2:2" ht="15" customHeight="1">
      <c r="B58"/>
    </row>
    <row r="59" spans="2:2" ht="15" customHeight="1">
      <c r="B59"/>
    </row>
    <row r="60" spans="2:2" ht="15" customHeight="1">
      <c r="B60"/>
    </row>
    <row r="61" spans="2:2" ht="15" customHeight="1">
      <c r="B61"/>
    </row>
    <row r="62" spans="2:2" ht="15" customHeight="1">
      <c r="B62"/>
    </row>
    <row r="63" spans="2:2" ht="15" customHeight="1">
      <c r="B63"/>
    </row>
    <row r="64" spans="2:2" ht="15" customHeight="1">
      <c r="B64"/>
    </row>
    <row r="65" spans="2:2" ht="15" customHeight="1">
      <c r="B65"/>
    </row>
    <row r="66" spans="2:2" ht="15" customHeight="1">
      <c r="B66"/>
    </row>
    <row r="67" spans="2:2" ht="15" customHeight="1">
      <c r="B67"/>
    </row>
    <row r="68" spans="2:2" ht="15" customHeight="1">
      <c r="B68"/>
    </row>
    <row r="69" spans="2:2" ht="15" customHeight="1">
      <c r="B69"/>
    </row>
    <row r="70" spans="2:2" ht="15" customHeight="1">
      <c r="B70"/>
    </row>
    <row r="71" spans="2:2" ht="15" customHeight="1">
      <c r="B71"/>
    </row>
    <row r="72" spans="2:2" ht="15" customHeight="1">
      <c r="B72"/>
    </row>
    <row r="73" spans="2:2" ht="15" customHeight="1">
      <c r="B73"/>
    </row>
    <row r="74" spans="2:2" ht="15" customHeight="1">
      <c r="B74"/>
    </row>
    <row r="75" spans="2:2" ht="15" customHeight="1">
      <c r="B75"/>
    </row>
    <row r="76" spans="2:2" ht="15" customHeight="1">
      <c r="B76"/>
    </row>
    <row r="77" spans="2:2" ht="15" customHeight="1">
      <c r="B77"/>
    </row>
    <row r="78" spans="2:2" ht="15" customHeight="1">
      <c r="B78"/>
    </row>
    <row r="79" spans="2:2" ht="15" customHeight="1">
      <c r="B79"/>
    </row>
    <row r="80" spans="2:2" ht="15" customHeight="1">
      <c r="B80"/>
    </row>
    <row r="81" spans="2:9" ht="15" customHeight="1">
      <c r="B81"/>
      <c r="C81" s="209"/>
    </row>
    <row r="82" spans="2:9" ht="15" customHeight="1">
      <c r="B82"/>
      <c r="C82" s="209"/>
    </row>
    <row r="83" spans="2:9" ht="15" customHeight="1">
      <c r="B83"/>
      <c r="C83" s="209"/>
    </row>
    <row r="84" spans="2:9" ht="15" customHeight="1">
      <c r="B84"/>
      <c r="C84" s="209"/>
    </row>
    <row r="85" spans="2:9" ht="15" customHeight="1">
      <c r="B85"/>
      <c r="C85" s="209"/>
    </row>
    <row r="86" spans="2:9" ht="15" customHeight="1">
      <c r="B86"/>
      <c r="C86" s="209"/>
    </row>
    <row r="87" spans="2:9" ht="15" customHeight="1">
      <c r="B87"/>
      <c r="C87" s="209"/>
    </row>
    <row r="88" spans="2:9" ht="15" customHeight="1">
      <c r="B88"/>
      <c r="C88" s="209"/>
    </row>
    <row r="89" spans="2:9" ht="15" customHeight="1">
      <c r="B89"/>
      <c r="C89" s="209"/>
    </row>
    <row r="90" spans="2:9" ht="15" customHeight="1">
      <c r="B90"/>
      <c r="C90" s="209"/>
    </row>
    <row r="91" spans="2:9" ht="15" customHeight="1">
      <c r="B91"/>
      <c r="C91" s="209"/>
    </row>
    <row r="92" spans="2:9" ht="15" customHeight="1">
      <c r="B92"/>
      <c r="C92" s="209"/>
    </row>
    <row r="93" spans="2:9" ht="15" customHeight="1">
      <c r="B93"/>
      <c r="C93" s="209"/>
    </row>
    <row r="94" spans="2:9" ht="15" customHeight="1">
      <c r="B94"/>
      <c r="C94" s="209"/>
    </row>
    <row r="95" spans="2:9" ht="15" customHeight="1">
      <c r="B95"/>
      <c r="C95"/>
      <c r="D95"/>
      <c r="E95"/>
      <c r="F95" s="39"/>
      <c r="H95"/>
      <c r="I95"/>
    </row>
    <row r="96" spans="2:9" ht="15" customHeight="1">
      <c r="B96"/>
      <c r="C96"/>
      <c r="D96"/>
      <c r="E96"/>
      <c r="F96" s="39"/>
      <c r="H96"/>
      <c r="I96"/>
    </row>
    <row r="97" spans="1:11" ht="15" customHeight="1">
      <c r="B97"/>
      <c r="C97"/>
      <c r="D97"/>
      <c r="E97"/>
      <c r="F97" s="39"/>
      <c r="H97"/>
      <c r="I97"/>
    </row>
    <row r="98" spans="1:11" ht="15" customHeight="1">
      <c r="B98"/>
      <c r="C98"/>
      <c r="D98"/>
      <c r="E98"/>
      <c r="F98" s="39"/>
      <c r="H98"/>
      <c r="I98"/>
    </row>
    <row r="99" spans="1:11" ht="15" customHeight="1">
      <c r="B99"/>
      <c r="C99"/>
      <c r="D99"/>
      <c r="E99"/>
      <c r="F99" s="39"/>
      <c r="H99"/>
      <c r="I99"/>
    </row>
    <row r="100" spans="1:11" ht="17.25" customHeight="1">
      <c r="A100" s="9"/>
      <c r="B100" s="40" t="s">
        <v>71</v>
      </c>
      <c r="C100" s="9"/>
      <c r="D100" s="9"/>
      <c r="E100" s="9"/>
      <c r="F100" s="42"/>
      <c r="G100" s="9"/>
      <c r="H100" s="9"/>
      <c r="I100" s="9"/>
      <c r="J100" s="9"/>
    </row>
    <row r="101" spans="1:11" ht="17.25" customHeight="1">
      <c r="B101" s="43"/>
      <c r="C101"/>
      <c r="D101"/>
      <c r="E101"/>
      <c r="F101" s="39"/>
      <c r="H101"/>
      <c r="I101"/>
    </row>
    <row r="102" spans="1:11" ht="15" customHeight="1">
      <c r="B102"/>
      <c r="C102"/>
      <c r="D102"/>
      <c r="F102" s="39"/>
      <c r="H102"/>
      <c r="I102"/>
    </row>
    <row r="103" spans="1:11" ht="34.5" customHeight="1">
      <c r="A103" s="44" t="s">
        <v>44</v>
      </c>
      <c r="B103" s="45">
        <f>SUBTOTAL(3,(B105:B218))</f>
        <v>114</v>
      </c>
      <c r="C103" s="46"/>
      <c r="D103" s="46"/>
      <c r="E103"/>
      <c r="F103" s="39"/>
      <c r="H103"/>
      <c r="I103"/>
    </row>
    <row r="104" spans="1:11" ht="47.25">
      <c r="A104" s="47" t="s">
        <v>46</v>
      </c>
      <c r="B104" s="48" t="s">
        <v>47</v>
      </c>
      <c r="C104" s="49" t="s">
        <v>48</v>
      </c>
      <c r="D104" s="50" t="s">
        <v>49</v>
      </c>
      <c r="E104" s="51" t="s">
        <v>50</v>
      </c>
      <c r="F104" s="25" t="s">
        <v>51</v>
      </c>
      <c r="G104" s="23" t="s">
        <v>52</v>
      </c>
      <c r="H104" s="26" t="s">
        <v>53</v>
      </c>
      <c r="I104" s="26" t="s">
        <v>54</v>
      </c>
      <c r="J104" t="s">
        <v>55</v>
      </c>
      <c r="K104" t="s">
        <v>56</v>
      </c>
    </row>
    <row r="105" spans="1:11" ht="15" customHeight="1">
      <c r="A105" s="27">
        <v>1</v>
      </c>
      <c r="B105" s="52" t="s">
        <v>72</v>
      </c>
      <c r="C105" s="53" t="s">
        <v>19</v>
      </c>
      <c r="D105" s="30" t="s">
        <v>73</v>
      </c>
      <c r="E105" s="31">
        <v>760</v>
      </c>
      <c r="F105" s="32" t="s">
        <v>73</v>
      </c>
      <c r="G105" s="33">
        <f>IF(BD!$E105="","",(E105/(H105*I105)))</f>
        <v>760</v>
      </c>
      <c r="H105" s="34">
        <v>1</v>
      </c>
      <c r="I105" s="34">
        <v>1</v>
      </c>
    </row>
    <row r="106" spans="1:11" ht="15" customHeight="1">
      <c r="A106" s="27">
        <v>2</v>
      </c>
      <c r="B106" s="52" t="s">
        <v>74</v>
      </c>
      <c r="C106" s="53" t="s">
        <v>19</v>
      </c>
      <c r="D106" s="30" t="s">
        <v>75</v>
      </c>
      <c r="E106" s="31">
        <v>45667</v>
      </c>
      <c r="F106" s="32" t="s">
        <v>75</v>
      </c>
      <c r="G106" s="33">
        <f>IF(BD!$E106="","",(E106/(H106*I106)))</f>
        <v>45667</v>
      </c>
      <c r="H106" s="34">
        <v>1</v>
      </c>
      <c r="I106" s="34">
        <v>1</v>
      </c>
    </row>
    <row r="107" spans="1:11" ht="15" customHeight="1">
      <c r="A107" s="27">
        <v>3</v>
      </c>
      <c r="B107" s="52" t="s">
        <v>76</v>
      </c>
      <c r="C107" s="53" t="s">
        <v>19</v>
      </c>
      <c r="D107" s="30" t="s">
        <v>77</v>
      </c>
      <c r="E107" s="31">
        <v>41000</v>
      </c>
      <c r="F107" s="32" t="s">
        <v>78</v>
      </c>
      <c r="G107" s="33">
        <f>IF(BD!$E107="","",(E107/(H107*I107)))</f>
        <v>410</v>
      </c>
      <c r="H107" s="54">
        <v>100</v>
      </c>
      <c r="I107" s="34">
        <v>1</v>
      </c>
    </row>
    <row r="108" spans="1:11" ht="15" customHeight="1">
      <c r="A108" s="27">
        <v>4</v>
      </c>
      <c r="B108" s="52" t="s">
        <v>79</v>
      </c>
      <c r="C108" s="53" t="s">
        <v>19</v>
      </c>
      <c r="D108" s="30" t="s">
        <v>77</v>
      </c>
      <c r="E108" s="31">
        <v>58500</v>
      </c>
      <c r="F108" s="32" t="s">
        <v>78</v>
      </c>
      <c r="G108" s="33">
        <f>IF(BD!$E108="","",(E108/(H108*I108)))</f>
        <v>585</v>
      </c>
      <c r="H108" s="54">
        <v>100</v>
      </c>
      <c r="I108" s="34">
        <v>1</v>
      </c>
    </row>
    <row r="109" spans="1:11" ht="15" customHeight="1">
      <c r="A109" s="27">
        <v>5</v>
      </c>
      <c r="B109" s="52" t="s">
        <v>80</v>
      </c>
      <c r="C109" s="53" t="s">
        <v>19</v>
      </c>
      <c r="D109" s="30" t="s">
        <v>75</v>
      </c>
      <c r="E109" s="31">
        <v>17830</v>
      </c>
      <c r="F109" s="32" t="s">
        <v>81</v>
      </c>
      <c r="G109" s="33">
        <f>IF(BD!$E109="","",(E109/(H109*I109)))</f>
        <v>1.2735714285714286</v>
      </c>
      <c r="H109" s="54">
        <v>140</v>
      </c>
      <c r="I109" s="34">
        <v>100</v>
      </c>
    </row>
    <row r="110" spans="1:11" ht="15" customHeight="1">
      <c r="A110" s="27">
        <v>42</v>
      </c>
      <c r="B110" s="52" t="s">
        <v>82</v>
      </c>
      <c r="C110" s="53" t="s">
        <v>19</v>
      </c>
      <c r="D110" s="30" t="s">
        <v>73</v>
      </c>
      <c r="E110" s="31">
        <v>639</v>
      </c>
      <c r="F110" s="32" t="s">
        <v>73</v>
      </c>
      <c r="G110" s="33">
        <f>IF(BD!$E110="","",(E110/(H110*I110)))</f>
        <v>639</v>
      </c>
      <c r="H110" s="54">
        <v>1</v>
      </c>
      <c r="I110" s="34">
        <v>1</v>
      </c>
    </row>
    <row r="111" spans="1:11" ht="15" customHeight="1">
      <c r="A111" s="27">
        <v>43</v>
      </c>
      <c r="B111" s="52" t="s">
        <v>83</v>
      </c>
      <c r="C111" s="53" t="s">
        <v>19</v>
      </c>
      <c r="D111" s="30" t="s">
        <v>73</v>
      </c>
      <c r="E111" s="31">
        <v>639</v>
      </c>
      <c r="F111" s="32" t="s">
        <v>73</v>
      </c>
      <c r="G111" s="33">
        <f>IF(BD!$E111="","",(E111/(H111*I111)))</f>
        <v>639</v>
      </c>
      <c r="H111" s="54">
        <v>1</v>
      </c>
      <c r="I111" s="34">
        <v>1</v>
      </c>
    </row>
    <row r="112" spans="1:11" ht="15" customHeight="1">
      <c r="A112" s="27">
        <v>44</v>
      </c>
      <c r="B112" s="52" t="s">
        <v>84</v>
      </c>
      <c r="C112" s="53" t="s">
        <v>19</v>
      </c>
      <c r="D112" s="30" t="s">
        <v>73</v>
      </c>
      <c r="E112" s="31">
        <v>639</v>
      </c>
      <c r="F112" s="32" t="s">
        <v>73</v>
      </c>
      <c r="G112" s="33">
        <f>IF(BD!$E112="","",(E112/(H112*I112)))</f>
        <v>639</v>
      </c>
      <c r="H112" s="54">
        <v>1</v>
      </c>
      <c r="I112" s="34">
        <v>1</v>
      </c>
    </row>
    <row r="113" spans="1:9" ht="15" customHeight="1">
      <c r="A113" s="27">
        <v>45</v>
      </c>
      <c r="B113" s="52" t="s">
        <v>85</v>
      </c>
      <c r="C113" s="53" t="s">
        <v>19</v>
      </c>
      <c r="D113" s="30" t="s">
        <v>73</v>
      </c>
      <c r="E113" s="38">
        <v>639</v>
      </c>
      <c r="F113" s="32" t="s">
        <v>73</v>
      </c>
      <c r="G113" s="33">
        <f>IF(BD!$E113="","",(E113/(H113*I113)))</f>
        <v>639</v>
      </c>
      <c r="H113" s="54">
        <v>1</v>
      </c>
      <c r="I113" s="34">
        <v>1</v>
      </c>
    </row>
    <row r="114" spans="1:9" ht="15" customHeight="1">
      <c r="A114" s="27">
        <v>46</v>
      </c>
      <c r="B114" s="52" t="s">
        <v>86</v>
      </c>
      <c r="C114" s="53" t="s">
        <v>19</v>
      </c>
      <c r="D114" s="30" t="s">
        <v>73</v>
      </c>
      <c r="E114" s="38">
        <v>639</v>
      </c>
      <c r="F114" s="32" t="s">
        <v>73</v>
      </c>
      <c r="G114" s="33">
        <f>IF(BD!$E114="","",(E114/(H114*I114)))</f>
        <v>639</v>
      </c>
      <c r="H114" s="54">
        <v>1</v>
      </c>
      <c r="I114" s="34">
        <v>1</v>
      </c>
    </row>
    <row r="115" spans="1:9" ht="15" customHeight="1">
      <c r="A115" s="27">
        <v>47</v>
      </c>
      <c r="B115" s="52" t="s">
        <v>87</v>
      </c>
      <c r="C115" s="53" t="s">
        <v>19</v>
      </c>
      <c r="D115" s="30" t="s">
        <v>73</v>
      </c>
      <c r="E115" s="38">
        <v>639</v>
      </c>
      <c r="F115" s="32" t="s">
        <v>73</v>
      </c>
      <c r="G115" s="33">
        <f>IF(BD!$E115="","",(E115/(H115*I115)))</f>
        <v>639</v>
      </c>
      <c r="H115" s="54">
        <v>1</v>
      </c>
      <c r="I115" s="34">
        <v>1</v>
      </c>
    </row>
    <row r="116" spans="1:9" ht="15" customHeight="1">
      <c r="A116" s="27">
        <v>48</v>
      </c>
      <c r="B116" s="52" t="s">
        <v>88</v>
      </c>
      <c r="C116" s="53" t="s">
        <v>19</v>
      </c>
      <c r="D116" s="30" t="s">
        <v>73</v>
      </c>
      <c r="E116" s="38">
        <v>639</v>
      </c>
      <c r="F116" s="32" t="s">
        <v>73</v>
      </c>
      <c r="G116" s="33">
        <f>IF(BD!$E116="","",(E116/(H116*I116)))</f>
        <v>639</v>
      </c>
      <c r="H116" s="54">
        <v>1</v>
      </c>
      <c r="I116" s="34">
        <v>1</v>
      </c>
    </row>
    <row r="117" spans="1:9" ht="15" customHeight="1">
      <c r="A117" s="27">
        <v>49</v>
      </c>
      <c r="B117" s="52" t="s">
        <v>89</v>
      </c>
      <c r="C117" s="53" t="s">
        <v>19</v>
      </c>
      <c r="D117" s="30" t="s">
        <v>73</v>
      </c>
      <c r="E117" s="38">
        <v>639</v>
      </c>
      <c r="F117" s="32" t="s">
        <v>73</v>
      </c>
      <c r="G117" s="33">
        <f>IF(BD!$E117="","",(E117/(H117*I117)))</f>
        <v>639</v>
      </c>
      <c r="H117" s="54">
        <v>1</v>
      </c>
      <c r="I117" s="34">
        <v>1</v>
      </c>
    </row>
    <row r="118" spans="1:9" ht="15" customHeight="1">
      <c r="A118" s="27">
        <v>6</v>
      </c>
      <c r="B118" s="52" t="s">
        <v>90</v>
      </c>
      <c r="C118" s="53" t="s">
        <v>19</v>
      </c>
      <c r="D118" s="30" t="s">
        <v>73</v>
      </c>
      <c r="E118" s="38">
        <v>639</v>
      </c>
      <c r="F118" s="30" t="s">
        <v>73</v>
      </c>
      <c r="G118" s="33">
        <f>IF(BD!$E118="","",(E118/(H118*I118)))</f>
        <v>639</v>
      </c>
      <c r="H118" s="54">
        <v>1</v>
      </c>
      <c r="I118" s="34">
        <v>1</v>
      </c>
    </row>
    <row r="119" spans="1:9" ht="15" customHeight="1">
      <c r="A119" s="27">
        <v>7</v>
      </c>
      <c r="B119" s="52" t="s">
        <v>91</v>
      </c>
      <c r="C119" s="53" t="s">
        <v>19</v>
      </c>
      <c r="D119" s="30" t="s">
        <v>73</v>
      </c>
      <c r="E119" s="38">
        <v>639</v>
      </c>
      <c r="F119" s="30" t="s">
        <v>73</v>
      </c>
      <c r="G119" s="33">
        <f>IF(BD!$E119="","",(E119/(H119*I119)))</f>
        <v>639</v>
      </c>
      <c r="H119" s="54">
        <v>1</v>
      </c>
      <c r="I119" s="34">
        <v>1</v>
      </c>
    </row>
    <row r="120" spans="1:9" ht="15" customHeight="1">
      <c r="A120" s="27">
        <v>8</v>
      </c>
      <c r="B120" s="52" t="s">
        <v>92</v>
      </c>
      <c r="C120" s="53" t="s">
        <v>19</v>
      </c>
      <c r="D120" s="30" t="s">
        <v>73</v>
      </c>
      <c r="E120" s="38">
        <v>639</v>
      </c>
      <c r="F120" s="30" t="s">
        <v>73</v>
      </c>
      <c r="G120" s="33">
        <f>IF(BD!$E120="","",(E120/(H120*I120)))</f>
        <v>639</v>
      </c>
      <c r="H120" s="54">
        <v>1</v>
      </c>
      <c r="I120" s="34">
        <v>1</v>
      </c>
    </row>
    <row r="121" spans="1:9" ht="15" customHeight="1">
      <c r="A121" s="27">
        <v>9</v>
      </c>
      <c r="B121" s="52" t="s">
        <v>93</v>
      </c>
      <c r="C121" s="53" t="s">
        <v>19</v>
      </c>
      <c r="D121" s="30" t="s">
        <v>73</v>
      </c>
      <c r="E121" s="38">
        <v>639</v>
      </c>
      <c r="F121" s="30" t="s">
        <v>73</v>
      </c>
      <c r="G121" s="33">
        <f>IF(BD!$E121="","",(E121/(H121*I121)))</f>
        <v>639</v>
      </c>
      <c r="H121" s="54">
        <v>1</v>
      </c>
      <c r="I121" s="34">
        <v>1</v>
      </c>
    </row>
    <row r="122" spans="1:9" ht="15" customHeight="1">
      <c r="A122" s="27">
        <v>12</v>
      </c>
      <c r="B122" s="52" t="s">
        <v>94</v>
      </c>
      <c r="C122" s="53" t="s">
        <v>19</v>
      </c>
      <c r="D122" s="37" t="s">
        <v>73</v>
      </c>
      <c r="E122" s="38">
        <v>639</v>
      </c>
      <c r="F122" s="37" t="s">
        <v>73</v>
      </c>
      <c r="G122" s="33">
        <f>IF(BD!$E122="","",(E122/(H122*I122)))</f>
        <v>639</v>
      </c>
      <c r="H122" s="54">
        <v>1</v>
      </c>
      <c r="I122" s="34">
        <v>1</v>
      </c>
    </row>
    <row r="123" spans="1:9" ht="15" customHeight="1">
      <c r="A123" s="27">
        <v>13</v>
      </c>
      <c r="B123" s="52" t="s">
        <v>95</v>
      </c>
      <c r="C123" s="53" t="s">
        <v>19</v>
      </c>
      <c r="D123" s="37" t="s">
        <v>73</v>
      </c>
      <c r="E123" s="38">
        <v>639</v>
      </c>
      <c r="F123" s="37" t="s">
        <v>73</v>
      </c>
      <c r="G123" s="33">
        <f>IF(BD!$E123="","",(E123/(H123*I123)))</f>
        <v>639</v>
      </c>
      <c r="H123" s="54">
        <v>1</v>
      </c>
      <c r="I123" s="34">
        <v>1</v>
      </c>
    </row>
    <row r="124" spans="1:9" ht="15" customHeight="1">
      <c r="A124" s="27">
        <v>14</v>
      </c>
      <c r="B124" s="52" t="s">
        <v>96</v>
      </c>
      <c r="C124" s="53" t="s">
        <v>19</v>
      </c>
      <c r="D124" s="37" t="s">
        <v>73</v>
      </c>
      <c r="E124" s="38">
        <v>639</v>
      </c>
      <c r="F124" s="37" t="s">
        <v>73</v>
      </c>
      <c r="G124" s="33">
        <f>IF(BD!$E124="","",(E124/(H124*I124)))</f>
        <v>639</v>
      </c>
      <c r="H124" s="54">
        <v>1</v>
      </c>
      <c r="I124" s="34">
        <v>1</v>
      </c>
    </row>
    <row r="125" spans="1:9" ht="15" customHeight="1">
      <c r="A125" s="27">
        <v>15</v>
      </c>
      <c r="B125" s="52" t="s">
        <v>97</v>
      </c>
      <c r="C125" s="53" t="s">
        <v>19</v>
      </c>
      <c r="D125" s="37" t="s">
        <v>73</v>
      </c>
      <c r="E125" s="38">
        <v>639</v>
      </c>
      <c r="F125" s="37" t="s">
        <v>73</v>
      </c>
      <c r="G125" s="33">
        <f>IF(BD!$E125="","",(E125/(H125*I125)))</f>
        <v>639</v>
      </c>
      <c r="H125" s="54">
        <v>1</v>
      </c>
      <c r="I125" s="34">
        <v>1</v>
      </c>
    </row>
    <row r="126" spans="1:9" ht="15" customHeight="1">
      <c r="A126" s="27">
        <v>16</v>
      </c>
      <c r="B126" s="52" t="s">
        <v>98</v>
      </c>
      <c r="C126" s="53" t="s">
        <v>19</v>
      </c>
      <c r="D126" s="37" t="s">
        <v>73</v>
      </c>
      <c r="E126" s="38">
        <v>639</v>
      </c>
      <c r="F126" s="37" t="s">
        <v>73</v>
      </c>
      <c r="G126" s="33">
        <f>IF(BD!$E126="","",(E126/(H126*I126)))</f>
        <v>639</v>
      </c>
      <c r="H126" s="54">
        <v>1</v>
      </c>
      <c r="I126" s="34">
        <v>1</v>
      </c>
    </row>
    <row r="127" spans="1:9" ht="15" customHeight="1">
      <c r="A127" s="27">
        <v>50</v>
      </c>
      <c r="B127" s="52" t="s">
        <v>99</v>
      </c>
      <c r="C127" s="53" t="s">
        <v>19</v>
      </c>
      <c r="D127" s="37" t="s">
        <v>73</v>
      </c>
      <c r="E127" s="38">
        <v>639</v>
      </c>
      <c r="F127" s="55" t="s">
        <v>73</v>
      </c>
      <c r="G127" s="33">
        <f>IF(BD!$E127="","",(E127/(H127*I127)))</f>
        <v>639</v>
      </c>
      <c r="H127" s="54">
        <v>1</v>
      </c>
      <c r="I127" s="34">
        <v>1</v>
      </c>
    </row>
    <row r="128" spans="1:9" ht="15" customHeight="1">
      <c r="A128" s="27">
        <v>51</v>
      </c>
      <c r="B128" s="52" t="s">
        <v>100</v>
      </c>
      <c r="C128" s="53" t="s">
        <v>19</v>
      </c>
      <c r="D128" s="37" t="s">
        <v>73</v>
      </c>
      <c r="E128" s="38">
        <v>639</v>
      </c>
      <c r="F128" s="55" t="s">
        <v>73</v>
      </c>
      <c r="G128" s="33">
        <f>IF(BD!$E128="","",(E128/(H128*I128)))</f>
        <v>639</v>
      </c>
      <c r="H128" s="54">
        <v>1</v>
      </c>
      <c r="I128" s="34">
        <v>1</v>
      </c>
    </row>
    <row r="129" spans="1:9" ht="15" customHeight="1">
      <c r="A129" s="27">
        <v>52</v>
      </c>
      <c r="B129" s="52" t="s">
        <v>101</v>
      </c>
      <c r="C129" s="53" t="s">
        <v>19</v>
      </c>
      <c r="D129" s="30" t="s">
        <v>73</v>
      </c>
      <c r="E129" s="31">
        <v>639</v>
      </c>
      <c r="F129" s="32" t="s">
        <v>73</v>
      </c>
      <c r="G129" s="33">
        <f>IF(BD!$E129="","",(E129/(H129*I129)))</f>
        <v>639</v>
      </c>
      <c r="H129" s="54">
        <v>1</v>
      </c>
      <c r="I129" s="34">
        <v>1</v>
      </c>
    </row>
    <row r="130" spans="1:9" ht="15" customHeight="1">
      <c r="A130" s="27">
        <v>53</v>
      </c>
      <c r="B130" s="52" t="s">
        <v>102</v>
      </c>
      <c r="C130" s="53" t="s">
        <v>19</v>
      </c>
      <c r="D130" s="30" t="s">
        <v>73</v>
      </c>
      <c r="E130" s="31">
        <v>639</v>
      </c>
      <c r="F130" s="32" t="s">
        <v>73</v>
      </c>
      <c r="G130" s="33">
        <f>IF(BD!$E130="","",(E130/(H130*I130)))</f>
        <v>639</v>
      </c>
      <c r="H130" s="34">
        <v>1</v>
      </c>
      <c r="I130" s="34">
        <v>1</v>
      </c>
    </row>
    <row r="131" spans="1:9" ht="15" customHeight="1">
      <c r="A131" s="27">
        <v>54</v>
      </c>
      <c r="B131" s="52" t="s">
        <v>103</v>
      </c>
      <c r="C131" s="53" t="s">
        <v>19</v>
      </c>
      <c r="D131" s="30" t="s">
        <v>73</v>
      </c>
      <c r="E131" s="31">
        <v>639</v>
      </c>
      <c r="F131" s="32" t="s">
        <v>73</v>
      </c>
      <c r="G131" s="33">
        <f>IF(BD!$E131="","",(E131/(H131*I131)))</f>
        <v>639</v>
      </c>
      <c r="H131" s="34">
        <v>1</v>
      </c>
      <c r="I131" s="34">
        <v>1</v>
      </c>
    </row>
    <row r="132" spans="1:9" ht="15" customHeight="1">
      <c r="A132" s="27">
        <v>55</v>
      </c>
      <c r="B132" s="52" t="s">
        <v>104</v>
      </c>
      <c r="C132" s="53" t="s">
        <v>19</v>
      </c>
      <c r="D132" s="56" t="s">
        <v>73</v>
      </c>
      <c r="E132" s="57">
        <v>639</v>
      </c>
      <c r="F132" s="32" t="s">
        <v>73</v>
      </c>
      <c r="G132" s="33">
        <f>IF(BD!$E132="","",(E132/(H132*I132)))</f>
        <v>639</v>
      </c>
      <c r="H132" s="34">
        <v>1</v>
      </c>
      <c r="I132" s="34">
        <v>1</v>
      </c>
    </row>
    <row r="133" spans="1:9" ht="15" customHeight="1">
      <c r="A133" s="27">
        <v>56</v>
      </c>
      <c r="B133" s="52" t="s">
        <v>105</v>
      </c>
      <c r="C133" s="53" t="s">
        <v>19</v>
      </c>
      <c r="D133" s="30" t="s">
        <v>73</v>
      </c>
      <c r="E133" s="31">
        <v>639</v>
      </c>
      <c r="F133" s="32" t="s">
        <v>73</v>
      </c>
      <c r="G133" s="33">
        <f>IF(BD!$E133="","",(E133/(H133*I133)))</f>
        <v>639</v>
      </c>
      <c r="H133" s="34">
        <v>1</v>
      </c>
      <c r="I133" s="34">
        <v>1</v>
      </c>
    </row>
    <row r="134" spans="1:9" ht="15" customHeight="1">
      <c r="A134" s="27">
        <v>57</v>
      </c>
      <c r="B134" s="52" t="s">
        <v>106</v>
      </c>
      <c r="C134" s="53" t="s">
        <v>19</v>
      </c>
      <c r="D134" s="56" t="s">
        <v>73</v>
      </c>
      <c r="E134" s="57">
        <v>475.34</v>
      </c>
      <c r="F134" s="32" t="s">
        <v>73</v>
      </c>
      <c r="G134" s="33">
        <f>IF(BD!$E134="","",(E134/(H134*I134)))</f>
        <v>475.34</v>
      </c>
      <c r="H134" s="34">
        <v>1</v>
      </c>
      <c r="I134" s="34">
        <v>1</v>
      </c>
    </row>
    <row r="135" spans="1:9" ht="15" customHeight="1">
      <c r="A135" s="27">
        <v>17</v>
      </c>
      <c r="B135" s="52" t="s">
        <v>107</v>
      </c>
      <c r="C135" s="53" t="s">
        <v>19</v>
      </c>
      <c r="D135" s="56" t="s">
        <v>73</v>
      </c>
      <c r="E135" s="57">
        <v>475</v>
      </c>
      <c r="F135" s="30" t="s">
        <v>73</v>
      </c>
      <c r="G135" s="33">
        <f>IF(BD!$E135="","",(E135/(H135*I135)))</f>
        <v>475</v>
      </c>
      <c r="H135" s="34">
        <v>1</v>
      </c>
      <c r="I135" s="34">
        <v>1</v>
      </c>
    </row>
    <row r="136" spans="1:9" ht="15" customHeight="1">
      <c r="A136" s="27">
        <v>18</v>
      </c>
      <c r="B136" s="52" t="s">
        <v>108</v>
      </c>
      <c r="C136" s="53" t="s">
        <v>19</v>
      </c>
      <c r="D136" s="56" t="s">
        <v>73</v>
      </c>
      <c r="E136" s="57">
        <v>475</v>
      </c>
      <c r="F136" s="30" t="s">
        <v>73</v>
      </c>
      <c r="G136" s="33">
        <f>IF(BD!$E136="","",(E136/(H136*I136)))</f>
        <v>475</v>
      </c>
      <c r="H136" s="34">
        <v>1</v>
      </c>
      <c r="I136" s="34">
        <v>1</v>
      </c>
    </row>
    <row r="137" spans="1:9" ht="15" customHeight="1">
      <c r="A137" s="27">
        <v>19</v>
      </c>
      <c r="B137" s="52" t="s">
        <v>109</v>
      </c>
      <c r="C137" s="53" t="s">
        <v>19</v>
      </c>
      <c r="D137" s="56" t="s">
        <v>73</v>
      </c>
      <c r="E137" s="57">
        <v>475</v>
      </c>
      <c r="F137" s="30" t="s">
        <v>73</v>
      </c>
      <c r="G137" s="33">
        <f>IF(BD!$E137="","",(E137/(H137*I137)))</f>
        <v>475</v>
      </c>
      <c r="H137" s="34">
        <v>1</v>
      </c>
      <c r="I137" s="34">
        <v>1</v>
      </c>
    </row>
    <row r="138" spans="1:9" ht="15" customHeight="1">
      <c r="A138" s="27">
        <v>20</v>
      </c>
      <c r="B138" s="52" t="s">
        <v>110</v>
      </c>
      <c r="C138" s="53" t="s">
        <v>19</v>
      </c>
      <c r="D138" s="56" t="s">
        <v>73</v>
      </c>
      <c r="E138" s="57">
        <v>475</v>
      </c>
      <c r="F138" s="30" t="s">
        <v>73</v>
      </c>
      <c r="G138" s="33">
        <f>IF(BD!$E138="","",(E138/(H138*I138)))</f>
        <v>475</v>
      </c>
      <c r="H138" s="34">
        <v>1</v>
      </c>
      <c r="I138" s="34">
        <v>1</v>
      </c>
    </row>
    <row r="139" spans="1:9" ht="15" customHeight="1">
      <c r="A139" s="27">
        <v>21</v>
      </c>
      <c r="B139" s="52" t="s">
        <v>111</v>
      </c>
      <c r="C139" s="53" t="s">
        <v>19</v>
      </c>
      <c r="D139" s="56" t="s">
        <v>73</v>
      </c>
      <c r="E139" s="57">
        <v>475</v>
      </c>
      <c r="F139" s="30" t="s">
        <v>73</v>
      </c>
      <c r="G139" s="33">
        <f>IF(BD!$E139="","",(E139/(H139*I139)))</f>
        <v>475</v>
      </c>
      <c r="H139" s="34">
        <v>1</v>
      </c>
      <c r="I139" s="34">
        <v>1</v>
      </c>
    </row>
    <row r="140" spans="1:9" ht="15" customHeight="1">
      <c r="A140" s="27">
        <v>22</v>
      </c>
      <c r="B140" s="52" t="s">
        <v>112</v>
      </c>
      <c r="C140" s="53" t="s">
        <v>19</v>
      </c>
      <c r="D140" s="56" t="s">
        <v>73</v>
      </c>
      <c r="E140" s="57">
        <v>475</v>
      </c>
      <c r="F140" s="30" t="s">
        <v>73</v>
      </c>
      <c r="G140" s="33">
        <f>IF(BD!$E140="","",(E140/(H140*I140)))</f>
        <v>475</v>
      </c>
      <c r="H140" s="34">
        <v>1</v>
      </c>
      <c r="I140" s="34">
        <v>1</v>
      </c>
    </row>
    <row r="141" spans="1:9" ht="15" customHeight="1">
      <c r="A141" s="27">
        <v>23</v>
      </c>
      <c r="B141" s="52" t="s">
        <v>113</v>
      </c>
      <c r="C141" s="53" t="s">
        <v>19</v>
      </c>
      <c r="D141" s="30" t="s">
        <v>73</v>
      </c>
      <c r="E141" s="31">
        <v>475</v>
      </c>
      <c r="F141" s="30" t="s">
        <v>73</v>
      </c>
      <c r="G141" s="33">
        <f>IF(BD!$E141="","",(E141/(H141*I141)))</f>
        <v>475</v>
      </c>
      <c r="H141" s="34">
        <v>1</v>
      </c>
      <c r="I141" s="34">
        <v>1</v>
      </c>
    </row>
    <row r="142" spans="1:9" ht="15" customHeight="1">
      <c r="A142" s="27">
        <v>24</v>
      </c>
      <c r="B142" s="52" t="s">
        <v>114</v>
      </c>
      <c r="C142" s="53" t="s">
        <v>19</v>
      </c>
      <c r="D142" s="56" t="s">
        <v>73</v>
      </c>
      <c r="E142" s="57">
        <v>475</v>
      </c>
      <c r="F142" s="30" t="s">
        <v>73</v>
      </c>
      <c r="G142" s="33">
        <f>IF(BD!$E142="","",(E142/(H142*I142)))</f>
        <v>475</v>
      </c>
      <c r="H142" s="58">
        <v>1</v>
      </c>
      <c r="I142" s="34">
        <v>1</v>
      </c>
    </row>
    <row r="143" spans="1:9" ht="15" customHeight="1">
      <c r="A143" s="27">
        <v>25</v>
      </c>
      <c r="B143" s="52" t="s">
        <v>115</v>
      </c>
      <c r="C143" s="53" t="s">
        <v>19</v>
      </c>
      <c r="D143" s="56" t="s">
        <v>73</v>
      </c>
      <c r="E143" s="57">
        <v>475</v>
      </c>
      <c r="F143" s="30" t="s">
        <v>73</v>
      </c>
      <c r="G143" s="33">
        <f>IF(BD!$E143="","",(E143/(H143*I143)))</f>
        <v>475</v>
      </c>
      <c r="H143" s="58">
        <v>1</v>
      </c>
      <c r="I143" s="34">
        <v>1</v>
      </c>
    </row>
    <row r="144" spans="1:9" ht="15" customHeight="1">
      <c r="A144" s="27">
        <v>26</v>
      </c>
      <c r="B144" s="52" t="s">
        <v>116</v>
      </c>
      <c r="C144" s="53" t="s">
        <v>19</v>
      </c>
      <c r="D144" s="56" t="s">
        <v>73</v>
      </c>
      <c r="E144" s="57">
        <v>475</v>
      </c>
      <c r="F144" s="30" t="s">
        <v>73</v>
      </c>
      <c r="G144" s="33">
        <f>IF(BD!$E144="","",(E144/(H144*I144)))</f>
        <v>475</v>
      </c>
      <c r="H144" s="58">
        <v>1</v>
      </c>
      <c r="I144" s="34">
        <v>1</v>
      </c>
    </row>
    <row r="145" spans="1:9" ht="15" customHeight="1">
      <c r="A145" s="27">
        <v>27</v>
      </c>
      <c r="B145" s="52" t="s">
        <v>117</v>
      </c>
      <c r="C145" s="53" t="s">
        <v>19</v>
      </c>
      <c r="D145" s="56" t="s">
        <v>73</v>
      </c>
      <c r="E145" s="57">
        <v>475</v>
      </c>
      <c r="F145" s="30" t="s">
        <v>73</v>
      </c>
      <c r="G145" s="33">
        <f>IF(BD!$E145="","",(E145/(H145*I145)))</f>
        <v>475</v>
      </c>
      <c r="H145" s="58">
        <v>1</v>
      </c>
      <c r="I145" s="34">
        <v>1</v>
      </c>
    </row>
    <row r="146" spans="1:9" ht="15" customHeight="1">
      <c r="A146" s="27">
        <v>28</v>
      </c>
      <c r="B146" s="52" t="s">
        <v>118</v>
      </c>
      <c r="C146" s="53" t="s">
        <v>19</v>
      </c>
      <c r="D146" s="56" t="s">
        <v>73</v>
      </c>
      <c r="E146" s="57">
        <v>475</v>
      </c>
      <c r="F146" s="30" t="s">
        <v>73</v>
      </c>
      <c r="G146" s="33">
        <f>IF(BD!$E146="","",(E146/(H146*I146)))</f>
        <v>475</v>
      </c>
      <c r="H146" s="58">
        <v>1</v>
      </c>
      <c r="I146" s="34">
        <v>1</v>
      </c>
    </row>
    <row r="147" spans="1:9" ht="15" customHeight="1">
      <c r="A147" s="27">
        <v>29</v>
      </c>
      <c r="B147" s="52" t="s">
        <v>119</v>
      </c>
      <c r="C147" s="53" t="s">
        <v>19</v>
      </c>
      <c r="D147" s="30" t="s">
        <v>73</v>
      </c>
      <c r="E147" s="31">
        <v>475</v>
      </c>
      <c r="F147" s="30" t="s">
        <v>73</v>
      </c>
      <c r="G147" s="33">
        <f>IF(BD!$E147="","",(E147/(H147*I147)))</f>
        <v>475</v>
      </c>
      <c r="H147" s="58">
        <v>1</v>
      </c>
      <c r="I147" s="34">
        <v>1</v>
      </c>
    </row>
    <row r="148" spans="1:9" ht="15" customHeight="1">
      <c r="A148" s="27">
        <v>31</v>
      </c>
      <c r="B148" s="52" t="s">
        <v>120</v>
      </c>
      <c r="C148" s="53" t="s">
        <v>19</v>
      </c>
      <c r="D148" s="30" t="s">
        <v>73</v>
      </c>
      <c r="E148" s="59">
        <v>475</v>
      </c>
      <c r="F148" s="60" t="s">
        <v>73</v>
      </c>
      <c r="G148" s="33">
        <f>IF(BD!$E148="","",(E148/(H148*I148)))</f>
        <v>475</v>
      </c>
      <c r="H148" s="61">
        <v>1</v>
      </c>
      <c r="I148" s="34">
        <v>1</v>
      </c>
    </row>
    <row r="149" spans="1:9" ht="15" customHeight="1">
      <c r="A149" s="27">
        <v>32</v>
      </c>
      <c r="B149" s="52" t="s">
        <v>121</v>
      </c>
      <c r="C149" s="53" t="s">
        <v>19</v>
      </c>
      <c r="D149" s="30" t="s">
        <v>73</v>
      </c>
      <c r="E149" s="59">
        <v>475</v>
      </c>
      <c r="F149" s="60" t="s">
        <v>73</v>
      </c>
      <c r="G149" s="33">
        <f>IF(BD!$E149="","",(E149/(H149*I149)))</f>
        <v>475</v>
      </c>
      <c r="H149" s="61">
        <v>1</v>
      </c>
      <c r="I149" s="34">
        <v>1</v>
      </c>
    </row>
    <row r="150" spans="1:9" ht="15" customHeight="1">
      <c r="A150" s="27">
        <v>33</v>
      </c>
      <c r="B150" s="52" t="s">
        <v>122</v>
      </c>
      <c r="C150" s="53" t="s">
        <v>19</v>
      </c>
      <c r="D150" s="30" t="s">
        <v>73</v>
      </c>
      <c r="E150" s="59">
        <v>475</v>
      </c>
      <c r="F150" s="60" t="s">
        <v>73</v>
      </c>
      <c r="G150" s="33">
        <f>IF(BD!$E150="","",(E150/(H150*I150)))</f>
        <v>475</v>
      </c>
      <c r="H150" s="61">
        <v>1</v>
      </c>
      <c r="I150" s="34">
        <v>1</v>
      </c>
    </row>
    <row r="151" spans="1:9" ht="15" customHeight="1">
      <c r="A151" s="27">
        <v>34</v>
      </c>
      <c r="B151" s="62" t="s">
        <v>123</v>
      </c>
      <c r="C151" s="53" t="s">
        <v>19</v>
      </c>
      <c r="D151" s="30" t="s">
        <v>73</v>
      </c>
      <c r="E151" s="31">
        <v>475</v>
      </c>
      <c r="F151" s="63" t="s">
        <v>73</v>
      </c>
      <c r="G151" s="33">
        <f>IF(BD!$E151="","",(E151/(H151*I151)))</f>
        <v>475</v>
      </c>
      <c r="H151" s="58">
        <v>1</v>
      </c>
      <c r="I151" s="34">
        <v>1</v>
      </c>
    </row>
    <row r="152" spans="1:9" ht="15" customHeight="1">
      <c r="A152" s="27">
        <v>35</v>
      </c>
      <c r="B152" s="64" t="s">
        <v>124</v>
      </c>
      <c r="C152" s="53" t="s">
        <v>19</v>
      </c>
      <c r="D152" s="65" t="s">
        <v>73</v>
      </c>
      <c r="E152" s="59">
        <v>475</v>
      </c>
      <c r="F152" s="66" t="s">
        <v>73</v>
      </c>
      <c r="G152" s="33">
        <f>IF(BD!$E152="","",(E152/(H152*I152)))</f>
        <v>475</v>
      </c>
      <c r="H152" s="61">
        <v>1</v>
      </c>
      <c r="I152" s="61">
        <v>1</v>
      </c>
    </row>
    <row r="153" spans="1:9" ht="15" customHeight="1">
      <c r="A153" s="27">
        <v>36</v>
      </c>
      <c r="B153" s="64" t="s">
        <v>125</v>
      </c>
      <c r="C153" s="53" t="s">
        <v>19</v>
      </c>
      <c r="D153" s="65" t="s">
        <v>73</v>
      </c>
      <c r="E153" s="59">
        <v>475</v>
      </c>
      <c r="F153" s="66" t="s">
        <v>73</v>
      </c>
      <c r="G153" s="33">
        <f>IF(BD!$E153="","",(E153/(H153*I153)))</f>
        <v>475</v>
      </c>
      <c r="H153" s="61">
        <v>1</v>
      </c>
      <c r="I153" s="61">
        <v>1</v>
      </c>
    </row>
    <row r="154" spans="1:9" ht="15" customHeight="1">
      <c r="A154" s="27">
        <v>37</v>
      </c>
      <c r="B154" s="64" t="s">
        <v>126</v>
      </c>
      <c r="C154" s="53" t="s">
        <v>19</v>
      </c>
      <c r="D154" s="65" t="s">
        <v>73</v>
      </c>
      <c r="E154" s="59">
        <v>475</v>
      </c>
      <c r="F154" s="66" t="s">
        <v>73</v>
      </c>
      <c r="G154" s="33">
        <f>IF(BD!$E154="","",(E154/(H154*I154)))</f>
        <v>475</v>
      </c>
      <c r="H154" s="61">
        <v>1</v>
      </c>
      <c r="I154" s="61">
        <v>1</v>
      </c>
    </row>
    <row r="155" spans="1:9" ht="15" customHeight="1">
      <c r="A155" s="27">
        <v>38</v>
      </c>
      <c r="B155" s="64" t="s">
        <v>127</v>
      </c>
      <c r="C155" s="53" t="s">
        <v>19</v>
      </c>
      <c r="D155" s="65" t="s">
        <v>73</v>
      </c>
      <c r="E155" s="59">
        <v>475</v>
      </c>
      <c r="F155" s="66" t="s">
        <v>73</v>
      </c>
      <c r="G155" s="33">
        <f>IF(BD!$E155="","",(E155/(H155*I155)))</f>
        <v>475</v>
      </c>
      <c r="H155" s="61">
        <v>1</v>
      </c>
      <c r="I155" s="61">
        <v>1</v>
      </c>
    </row>
    <row r="156" spans="1:9" ht="15" customHeight="1">
      <c r="A156" s="27">
        <v>39</v>
      </c>
      <c r="B156" s="64" t="s">
        <v>128</v>
      </c>
      <c r="C156" s="53" t="s">
        <v>19</v>
      </c>
      <c r="D156" s="65" t="s">
        <v>73</v>
      </c>
      <c r="E156" s="59">
        <v>475</v>
      </c>
      <c r="F156" s="66" t="s">
        <v>73</v>
      </c>
      <c r="G156" s="33">
        <f>IF(BD!$E156="","",(E156/(H156*I156)))</f>
        <v>475</v>
      </c>
      <c r="H156" s="61">
        <v>1</v>
      </c>
      <c r="I156" s="61">
        <v>1</v>
      </c>
    </row>
    <row r="157" spans="1:9" ht="15" customHeight="1">
      <c r="A157" s="27">
        <v>40</v>
      </c>
      <c r="B157" s="64" t="s">
        <v>129</v>
      </c>
      <c r="C157" s="53" t="s">
        <v>19</v>
      </c>
      <c r="D157" s="65" t="s">
        <v>73</v>
      </c>
      <c r="E157" s="59">
        <v>475</v>
      </c>
      <c r="F157" s="66" t="s">
        <v>73</v>
      </c>
      <c r="G157" s="33">
        <f>IF(BD!$E157="","",(E157/(H157*I157)))</f>
        <v>475</v>
      </c>
      <c r="H157" s="61">
        <v>1</v>
      </c>
      <c r="I157" s="61">
        <v>1</v>
      </c>
    </row>
    <row r="158" spans="1:9" ht="15" customHeight="1">
      <c r="A158" s="27">
        <v>41</v>
      </c>
      <c r="B158" s="64" t="s">
        <v>130</v>
      </c>
      <c r="C158" s="53" t="s">
        <v>19</v>
      </c>
      <c r="D158" s="30" t="s">
        <v>73</v>
      </c>
      <c r="E158" s="59">
        <v>475</v>
      </c>
      <c r="F158" s="60" t="s">
        <v>73</v>
      </c>
      <c r="G158" s="33">
        <f>IF(BD!$E158="","",(E158/(H158*I158)))</f>
        <v>475</v>
      </c>
      <c r="H158" s="61">
        <v>1</v>
      </c>
      <c r="I158" s="61">
        <v>1</v>
      </c>
    </row>
    <row r="159" spans="1:9" ht="15" customHeight="1">
      <c r="A159" s="27">
        <v>58</v>
      </c>
      <c r="B159" s="64" t="s">
        <v>131</v>
      </c>
      <c r="C159" s="53" t="s">
        <v>19</v>
      </c>
      <c r="D159" s="30" t="s">
        <v>73</v>
      </c>
      <c r="E159" s="59">
        <v>475.34</v>
      </c>
      <c r="F159" s="60" t="s">
        <v>73</v>
      </c>
      <c r="G159" s="33">
        <f>IF(BD!$E159="","",(E159/(H159*I159)))</f>
        <v>475.34</v>
      </c>
      <c r="H159" s="61">
        <v>1</v>
      </c>
      <c r="I159" s="61">
        <v>1</v>
      </c>
    </row>
    <row r="160" spans="1:9" ht="15" customHeight="1">
      <c r="A160" s="27">
        <v>59</v>
      </c>
      <c r="B160" t="s">
        <v>132</v>
      </c>
      <c r="C160" s="53" t="s">
        <v>19</v>
      </c>
      <c r="D160" s="30" t="s">
        <v>73</v>
      </c>
      <c r="E160" s="59">
        <v>475.34</v>
      </c>
      <c r="F160" s="60" t="s">
        <v>73</v>
      </c>
      <c r="G160" s="33">
        <f>IF(BD!$E160="","",(E160/(H160*I160)))</f>
        <v>475.34</v>
      </c>
      <c r="H160" s="61">
        <v>1</v>
      </c>
      <c r="I160" s="61">
        <v>1</v>
      </c>
    </row>
    <row r="161" spans="1:9" ht="15" customHeight="1">
      <c r="A161" s="27">
        <v>60</v>
      </c>
      <c r="B161" t="s">
        <v>133</v>
      </c>
      <c r="C161" s="53" t="s">
        <v>19</v>
      </c>
      <c r="D161" s="30" t="s">
        <v>73</v>
      </c>
      <c r="E161" s="59">
        <v>475.34</v>
      </c>
      <c r="F161" s="60" t="s">
        <v>73</v>
      </c>
      <c r="G161" s="33">
        <f>IF(BD!$E161="","",(E161/(H161*I161)))</f>
        <v>475.34</v>
      </c>
      <c r="H161" s="61">
        <v>1</v>
      </c>
      <c r="I161" s="61">
        <v>1</v>
      </c>
    </row>
    <row r="162" spans="1:9" ht="15" customHeight="1">
      <c r="A162" s="27">
        <v>61</v>
      </c>
      <c r="B162" t="s">
        <v>134</v>
      </c>
      <c r="C162" s="53" t="s">
        <v>19</v>
      </c>
      <c r="D162" s="30" t="s">
        <v>73</v>
      </c>
      <c r="E162" s="59">
        <v>475.34</v>
      </c>
      <c r="F162" s="60" t="s">
        <v>73</v>
      </c>
      <c r="G162" s="33">
        <f>IF(BD!$E162="","",(E162/(H162*I162)))</f>
        <v>475.34</v>
      </c>
      <c r="H162" s="61">
        <v>1</v>
      </c>
      <c r="I162" s="61">
        <v>1</v>
      </c>
    </row>
    <row r="163" spans="1:9" ht="15" customHeight="1">
      <c r="A163" s="27">
        <v>62</v>
      </c>
      <c r="B163" t="s">
        <v>135</v>
      </c>
      <c r="C163" s="53" t="s">
        <v>19</v>
      </c>
      <c r="D163" s="30" t="s">
        <v>73</v>
      </c>
      <c r="E163" s="59">
        <v>475.34</v>
      </c>
      <c r="F163" s="60" t="s">
        <v>73</v>
      </c>
      <c r="G163" s="33">
        <f>IF(BD!$E163="","",(E163/(H163*I163)))</f>
        <v>475.34</v>
      </c>
      <c r="H163" s="61">
        <v>1</v>
      </c>
      <c r="I163" s="61">
        <v>1</v>
      </c>
    </row>
    <row r="164" spans="1:9" ht="15" customHeight="1">
      <c r="A164" s="27">
        <v>63</v>
      </c>
      <c r="B164" t="s">
        <v>136</v>
      </c>
      <c r="C164" s="53" t="s">
        <v>19</v>
      </c>
      <c r="D164" s="30" t="s">
        <v>73</v>
      </c>
      <c r="E164" s="59">
        <v>475.34</v>
      </c>
      <c r="F164" s="60" t="s">
        <v>73</v>
      </c>
      <c r="G164" s="33">
        <f>IF(BD!$E164="","",(E164/(H164*I164)))</f>
        <v>475.34</v>
      </c>
      <c r="H164" s="61">
        <v>1</v>
      </c>
      <c r="I164" s="61">
        <v>1</v>
      </c>
    </row>
    <row r="165" spans="1:9" ht="15" customHeight="1">
      <c r="A165" s="27">
        <v>64</v>
      </c>
      <c r="B165" t="s">
        <v>137</v>
      </c>
      <c r="C165" s="53" t="s">
        <v>19</v>
      </c>
      <c r="D165" s="30" t="s">
        <v>73</v>
      </c>
      <c r="E165" s="59">
        <v>475.34</v>
      </c>
      <c r="F165" s="60" t="s">
        <v>73</v>
      </c>
      <c r="G165" s="33">
        <f>IF(BD!$E165="","",(E165/(H165*I165)))</f>
        <v>475.34</v>
      </c>
      <c r="H165" s="61">
        <v>1</v>
      </c>
      <c r="I165" s="61">
        <v>1</v>
      </c>
    </row>
    <row r="166" spans="1:9" ht="15" customHeight="1">
      <c r="A166" s="27">
        <v>65</v>
      </c>
      <c r="B166" t="s">
        <v>138</v>
      </c>
      <c r="C166" s="53" t="s">
        <v>19</v>
      </c>
      <c r="D166" s="30" t="s">
        <v>73</v>
      </c>
      <c r="E166" s="59">
        <v>475.34</v>
      </c>
      <c r="F166" s="60" t="s">
        <v>73</v>
      </c>
      <c r="G166" s="33">
        <f>IF(BD!$E166="","",(E166/(H166*I166)))</f>
        <v>475.34</v>
      </c>
      <c r="H166" s="61">
        <v>1</v>
      </c>
      <c r="I166" s="61">
        <v>1</v>
      </c>
    </row>
    <row r="167" spans="1:9" ht="15" customHeight="1">
      <c r="A167" s="27">
        <v>66</v>
      </c>
      <c r="B167" t="s">
        <v>139</v>
      </c>
      <c r="C167" s="53" t="s">
        <v>19</v>
      </c>
      <c r="D167" s="30" t="s">
        <v>73</v>
      </c>
      <c r="E167" s="31">
        <v>475.34</v>
      </c>
      <c r="F167" s="63" t="s">
        <v>73</v>
      </c>
      <c r="G167" s="33">
        <f>IF(BD!$E167="","",(E167/(H167*I167)))</f>
        <v>475.34</v>
      </c>
      <c r="H167" s="58">
        <v>1</v>
      </c>
      <c r="I167" s="54">
        <v>1</v>
      </c>
    </row>
    <row r="168" spans="1:9" ht="15" customHeight="1">
      <c r="A168" s="27">
        <v>67</v>
      </c>
      <c r="B168" s="67" t="s">
        <v>140</v>
      </c>
      <c r="C168" s="53" t="s">
        <v>19</v>
      </c>
      <c r="D168" s="30" t="s">
        <v>78</v>
      </c>
      <c r="E168" s="31">
        <v>9800</v>
      </c>
      <c r="F168" s="63" t="s">
        <v>141</v>
      </c>
      <c r="G168" s="33">
        <f>IF(BD!$E168="","",(E168/(H168*I168)))</f>
        <v>98</v>
      </c>
      <c r="H168" s="58">
        <v>100</v>
      </c>
      <c r="I168" s="54">
        <v>1</v>
      </c>
    </row>
    <row r="169" spans="1:9" ht="15" customHeight="1">
      <c r="A169" s="27">
        <v>68</v>
      </c>
      <c r="B169" t="s">
        <v>142</v>
      </c>
      <c r="C169" s="53" t="s">
        <v>19</v>
      </c>
      <c r="D169" s="30" t="s">
        <v>78</v>
      </c>
      <c r="E169" s="31">
        <v>943.5</v>
      </c>
      <c r="F169" s="63" t="s">
        <v>141</v>
      </c>
      <c r="G169" s="33">
        <f>IF(BD!$E169="","",(E169/(H169*I169)))</f>
        <v>9.4350000000000005</v>
      </c>
      <c r="H169" s="58">
        <v>100</v>
      </c>
      <c r="I169" s="54">
        <v>1</v>
      </c>
    </row>
    <row r="170" spans="1:9" ht="15" customHeight="1">
      <c r="A170" s="27">
        <v>69</v>
      </c>
      <c r="B170" t="s">
        <v>143</v>
      </c>
      <c r="C170" s="53" t="s">
        <v>19</v>
      </c>
      <c r="D170" s="30" t="s">
        <v>78</v>
      </c>
      <c r="E170" s="31">
        <v>943.5</v>
      </c>
      <c r="F170" s="63" t="s">
        <v>141</v>
      </c>
      <c r="G170" s="33">
        <f>IF(BD!$E170="","",(E170/(H170*I170)))</f>
        <v>9.4350000000000005</v>
      </c>
      <c r="H170" s="58">
        <v>100</v>
      </c>
      <c r="I170" s="54">
        <v>1</v>
      </c>
    </row>
    <row r="171" spans="1:9" ht="15" customHeight="1">
      <c r="A171" s="27">
        <v>70</v>
      </c>
      <c r="B171" s="68" t="s">
        <v>144</v>
      </c>
      <c r="C171" s="53" t="s">
        <v>19</v>
      </c>
      <c r="D171" s="30" t="s">
        <v>78</v>
      </c>
      <c r="E171" s="31">
        <v>1223</v>
      </c>
      <c r="F171" s="63" t="s">
        <v>141</v>
      </c>
      <c r="G171" s="33">
        <f>IF(BD!$E171="","",(E171/(H171*I171)))</f>
        <v>12.23</v>
      </c>
      <c r="H171" s="58">
        <v>100</v>
      </c>
      <c r="I171" s="34">
        <v>1</v>
      </c>
    </row>
    <row r="172" spans="1:9" ht="15" customHeight="1">
      <c r="A172" s="69">
        <v>71</v>
      </c>
      <c r="B172" s="68" t="s">
        <v>145</v>
      </c>
      <c r="C172" s="53" t="s">
        <v>19</v>
      </c>
      <c r="D172" s="70" t="s">
        <v>75</v>
      </c>
      <c r="E172" s="71">
        <v>16471.25</v>
      </c>
      <c r="F172" s="63" t="s">
        <v>75</v>
      </c>
      <c r="G172" s="33">
        <f>IF(BD!$E172="","",(E172/(H172*I172)))</f>
        <v>16471.25</v>
      </c>
      <c r="H172" s="58">
        <v>1</v>
      </c>
      <c r="I172" s="54">
        <v>1</v>
      </c>
    </row>
    <row r="173" spans="1:9" ht="15" customHeight="1">
      <c r="A173" s="69">
        <v>72</v>
      </c>
      <c r="B173" s="68" t="s">
        <v>146</v>
      </c>
      <c r="C173" s="53" t="s">
        <v>19</v>
      </c>
      <c r="D173" s="70" t="s">
        <v>75</v>
      </c>
      <c r="E173" s="71">
        <v>32931.5</v>
      </c>
      <c r="F173" s="63" t="s">
        <v>75</v>
      </c>
      <c r="G173" s="33">
        <f>IF(BD!$E173="","",(E173/(H173*I173)))</f>
        <v>32931.5</v>
      </c>
      <c r="H173" s="58">
        <v>1</v>
      </c>
      <c r="I173" s="54">
        <v>1</v>
      </c>
    </row>
    <row r="174" spans="1:9" ht="15" customHeight="1">
      <c r="A174" s="69">
        <v>73</v>
      </c>
      <c r="B174" s="68" t="s">
        <v>147</v>
      </c>
      <c r="C174" s="53" t="s">
        <v>19</v>
      </c>
      <c r="D174" s="70" t="s">
        <v>75</v>
      </c>
      <c r="E174" s="71">
        <v>16209.5</v>
      </c>
      <c r="F174" s="63" t="s">
        <v>75</v>
      </c>
      <c r="G174" s="33">
        <f>IF(BD!$E174="","",(E174/(H174*I174)))</f>
        <v>16209.5</v>
      </c>
      <c r="H174" s="58">
        <v>1</v>
      </c>
      <c r="I174" s="54">
        <v>1</v>
      </c>
    </row>
    <row r="175" spans="1:9" ht="15" customHeight="1">
      <c r="A175" s="69">
        <v>74</v>
      </c>
      <c r="B175" s="68" t="s">
        <v>148</v>
      </c>
      <c r="C175" s="53" t="s">
        <v>19</v>
      </c>
      <c r="D175" s="70" t="s">
        <v>75</v>
      </c>
      <c r="E175" s="71">
        <v>32417</v>
      </c>
      <c r="F175" s="63" t="s">
        <v>75</v>
      </c>
      <c r="G175" s="33">
        <f>IF(BD!$E175="","",(E175/(H175*I175)))</f>
        <v>32417</v>
      </c>
      <c r="H175" s="58">
        <v>1</v>
      </c>
      <c r="I175" s="54">
        <v>1</v>
      </c>
    </row>
    <row r="176" spans="1:9" ht="15" customHeight="1">
      <c r="A176" s="69">
        <v>75</v>
      </c>
      <c r="B176" s="68" t="s">
        <v>149</v>
      </c>
      <c r="C176" s="53" t="s">
        <v>19</v>
      </c>
      <c r="D176" s="70" t="s">
        <v>75</v>
      </c>
      <c r="E176" s="71">
        <v>50250</v>
      </c>
      <c r="F176" s="63" t="s">
        <v>75</v>
      </c>
      <c r="G176" s="33">
        <f>IF(BD!$E176="","",(E176/(H176*I176)))</f>
        <v>50250</v>
      </c>
      <c r="H176" s="58">
        <v>1</v>
      </c>
      <c r="I176" s="54">
        <v>1</v>
      </c>
    </row>
    <row r="177" spans="1:9" ht="15" customHeight="1">
      <c r="A177" s="69">
        <v>76</v>
      </c>
      <c r="B177" s="72" t="s">
        <v>150</v>
      </c>
      <c r="C177" s="53" t="s">
        <v>19</v>
      </c>
      <c r="D177" s="70" t="s">
        <v>75</v>
      </c>
      <c r="E177" s="71">
        <v>25131.5</v>
      </c>
      <c r="F177" s="63" t="s">
        <v>75</v>
      </c>
      <c r="G177" s="33">
        <f>IF(BD!$E177="","",(E177/(H177*I177)))</f>
        <v>25131.5</v>
      </c>
      <c r="H177" s="58">
        <v>1</v>
      </c>
      <c r="I177" s="54">
        <v>1</v>
      </c>
    </row>
    <row r="178" spans="1:9" ht="15" customHeight="1">
      <c r="A178" s="69">
        <v>77</v>
      </c>
      <c r="B178" s="68" t="s">
        <v>20</v>
      </c>
      <c r="C178" s="53" t="s">
        <v>19</v>
      </c>
      <c r="D178" s="70" t="s">
        <v>77</v>
      </c>
      <c r="E178" s="71">
        <v>3700</v>
      </c>
      <c r="F178" s="63" t="s">
        <v>81</v>
      </c>
      <c r="G178" s="33">
        <f>IF(BD!$E178="","",(E178/(H178*I178)))</f>
        <v>26.428571428571427</v>
      </c>
      <c r="H178" s="58">
        <v>140</v>
      </c>
      <c r="I178" s="54">
        <v>1</v>
      </c>
    </row>
    <row r="179" spans="1:9" ht="15" customHeight="1">
      <c r="A179" s="69">
        <v>78</v>
      </c>
      <c r="B179" s="68" t="s">
        <v>151</v>
      </c>
      <c r="C179" s="53" t="s">
        <v>19</v>
      </c>
      <c r="D179" s="70" t="s">
        <v>78</v>
      </c>
      <c r="E179" s="71">
        <v>92</v>
      </c>
      <c r="F179" s="63" t="s">
        <v>78</v>
      </c>
      <c r="G179" s="33">
        <f>IF(BD!$E179="","",(E179/(H179*I179)))</f>
        <v>92</v>
      </c>
      <c r="H179" s="58">
        <v>1</v>
      </c>
      <c r="I179" s="54">
        <v>1</v>
      </c>
    </row>
    <row r="180" spans="1:9" ht="15" customHeight="1">
      <c r="A180" s="69">
        <v>79</v>
      </c>
      <c r="B180" s="68" t="s">
        <v>152</v>
      </c>
      <c r="C180" s="53" t="s">
        <v>19</v>
      </c>
      <c r="D180" s="70" t="s">
        <v>78</v>
      </c>
      <c r="E180" s="71">
        <v>92</v>
      </c>
      <c r="F180" s="63" t="s">
        <v>78</v>
      </c>
      <c r="G180" s="33">
        <f>IF(BD!$E180="","",(E180/(H180*I180)))</f>
        <v>92</v>
      </c>
      <c r="H180" s="58">
        <v>1</v>
      </c>
      <c r="I180" s="54">
        <v>1</v>
      </c>
    </row>
    <row r="181" spans="1:9" ht="15" customHeight="1">
      <c r="A181" s="69">
        <v>80</v>
      </c>
      <c r="B181" s="68" t="s">
        <v>153</v>
      </c>
      <c r="C181" s="53" t="s">
        <v>19</v>
      </c>
      <c r="D181" s="70" t="s">
        <v>78</v>
      </c>
      <c r="E181" s="71">
        <v>92</v>
      </c>
      <c r="F181" s="63" t="s">
        <v>78</v>
      </c>
      <c r="G181" s="33">
        <f>IF(BD!$E181="","",(E181/(H181*I181)))</f>
        <v>92</v>
      </c>
      <c r="H181" s="58">
        <v>1</v>
      </c>
      <c r="I181" s="54">
        <v>1</v>
      </c>
    </row>
    <row r="182" spans="1:9" ht="15" customHeight="1">
      <c r="A182" s="69">
        <v>81</v>
      </c>
      <c r="B182" s="68" t="s">
        <v>154</v>
      </c>
      <c r="C182" s="53" t="s">
        <v>19</v>
      </c>
      <c r="D182" s="70" t="s">
        <v>81</v>
      </c>
      <c r="E182" s="71">
        <v>8591.7999999999993</v>
      </c>
      <c r="F182" s="63" t="s">
        <v>78</v>
      </c>
      <c r="G182" s="33">
        <f>IF(BD!$E182="","",(E182/(H182*I182)))</f>
        <v>0.35799166666666665</v>
      </c>
      <c r="H182" s="58">
        <v>200</v>
      </c>
      <c r="I182" s="54">
        <v>120</v>
      </c>
    </row>
    <row r="183" spans="1:9" ht="15" customHeight="1">
      <c r="A183" s="69">
        <v>82</v>
      </c>
      <c r="B183" s="72" t="s">
        <v>155</v>
      </c>
      <c r="C183" s="53" t="s">
        <v>19</v>
      </c>
      <c r="D183" s="70" t="s">
        <v>78</v>
      </c>
      <c r="E183" s="71">
        <v>10740.701999999999</v>
      </c>
      <c r="F183" s="63" t="s">
        <v>78</v>
      </c>
      <c r="G183" s="33">
        <f>IF(BD!$E183="","",(E183/(H183*I183)))</f>
        <v>10740.701999999999</v>
      </c>
      <c r="H183" s="58">
        <v>1</v>
      </c>
      <c r="I183" s="54">
        <v>1</v>
      </c>
    </row>
    <row r="184" spans="1:9" ht="15" customHeight="1">
      <c r="A184" s="69">
        <v>83</v>
      </c>
      <c r="B184" s="68" t="s">
        <v>156</v>
      </c>
      <c r="C184" s="53" t="s">
        <v>19</v>
      </c>
      <c r="D184" s="70" t="s">
        <v>78</v>
      </c>
      <c r="E184" s="71">
        <v>28000</v>
      </c>
      <c r="F184" s="63" t="s">
        <v>81</v>
      </c>
      <c r="G184" s="33">
        <f>IF(BD!$E184="","",(E184/(H184*I184)))</f>
        <v>1.4</v>
      </c>
      <c r="H184" s="58">
        <v>200</v>
      </c>
      <c r="I184" s="54">
        <v>100</v>
      </c>
    </row>
    <row r="185" spans="1:9" ht="15" customHeight="1">
      <c r="A185" s="69">
        <v>84</v>
      </c>
      <c r="B185" s="68" t="s">
        <v>157</v>
      </c>
      <c r="C185" s="53" t="s">
        <v>19</v>
      </c>
      <c r="D185" s="70" t="s">
        <v>78</v>
      </c>
      <c r="E185" s="71">
        <v>20000</v>
      </c>
      <c r="F185" s="63" t="s">
        <v>81</v>
      </c>
      <c r="G185" s="33">
        <f>IF(BD!$E185="","",(E185/(H185*I185)))</f>
        <v>1</v>
      </c>
      <c r="H185" s="58">
        <v>200</v>
      </c>
      <c r="I185" s="54">
        <v>100</v>
      </c>
    </row>
    <row r="186" spans="1:9" ht="15" customHeight="1">
      <c r="A186" s="69">
        <v>85</v>
      </c>
      <c r="B186" s="62" t="s">
        <v>158</v>
      </c>
      <c r="C186" s="53" t="s">
        <v>19</v>
      </c>
      <c r="D186" s="70" t="s">
        <v>78</v>
      </c>
      <c r="E186" s="71">
        <v>7000</v>
      </c>
      <c r="F186" s="63" t="s">
        <v>159</v>
      </c>
      <c r="G186" s="33">
        <f>IF(BD!$E186="","",(E186/(H186*I186)))</f>
        <v>7000</v>
      </c>
      <c r="H186" s="58">
        <v>1</v>
      </c>
      <c r="I186" s="54">
        <v>1</v>
      </c>
    </row>
    <row r="187" spans="1:9" ht="15" customHeight="1">
      <c r="A187" s="69">
        <v>86</v>
      </c>
      <c r="B187" s="62" t="s">
        <v>160</v>
      </c>
      <c r="C187" s="53" t="s">
        <v>19</v>
      </c>
      <c r="D187" s="70" t="s">
        <v>77</v>
      </c>
      <c r="E187" s="71">
        <v>12000</v>
      </c>
      <c r="F187" s="63" t="s">
        <v>159</v>
      </c>
      <c r="G187" s="33">
        <f>IF(BD!$E187="","",(E187/(H187*I187)))</f>
        <v>12000</v>
      </c>
      <c r="H187" s="58">
        <v>1</v>
      </c>
      <c r="I187" s="54">
        <v>1</v>
      </c>
    </row>
    <row r="188" spans="1:9" ht="15" customHeight="1">
      <c r="A188" s="69">
        <v>87</v>
      </c>
      <c r="B188" s="62" t="s">
        <v>161</v>
      </c>
      <c r="C188" s="53" t="s">
        <v>19</v>
      </c>
      <c r="D188" s="70" t="s">
        <v>64</v>
      </c>
      <c r="E188" s="71">
        <v>7266.6666666666697</v>
      </c>
      <c r="F188" s="63" t="s">
        <v>159</v>
      </c>
      <c r="G188" s="33">
        <f>IF(BD!$E188="","",(E188/(H188*I188)))</f>
        <v>7266.6666666666697</v>
      </c>
      <c r="H188" s="58">
        <v>1</v>
      </c>
      <c r="I188" s="54">
        <v>1</v>
      </c>
    </row>
    <row r="189" spans="1:9" ht="15" customHeight="1">
      <c r="A189" s="69">
        <v>88</v>
      </c>
      <c r="B189" s="62" t="s">
        <v>162</v>
      </c>
      <c r="C189" s="53" t="s">
        <v>19</v>
      </c>
      <c r="D189" s="70" t="s">
        <v>64</v>
      </c>
      <c r="E189" s="71">
        <v>7266.6666666666697</v>
      </c>
      <c r="F189" s="63" t="s">
        <v>159</v>
      </c>
      <c r="G189" s="33">
        <f>IF(BD!$E189="","",(E189/(H189*I189)))</f>
        <v>7266.6666666666697</v>
      </c>
      <c r="H189" s="58">
        <v>1</v>
      </c>
      <c r="I189" s="54">
        <v>1</v>
      </c>
    </row>
    <row r="190" spans="1:9" ht="15" customHeight="1">
      <c r="A190" s="69">
        <v>89</v>
      </c>
      <c r="B190" s="62" t="s">
        <v>163</v>
      </c>
      <c r="C190" s="53" t="s">
        <v>19</v>
      </c>
      <c r="D190" s="70" t="s">
        <v>64</v>
      </c>
      <c r="E190" s="71">
        <v>7266.665</v>
      </c>
      <c r="F190" s="63" t="s">
        <v>159</v>
      </c>
      <c r="G190" s="33">
        <f>IF(BD!$E190="","",(E190/(H190*I190)))</f>
        <v>7266.665</v>
      </c>
      <c r="H190" s="58">
        <v>1</v>
      </c>
      <c r="I190" s="54">
        <v>1</v>
      </c>
    </row>
    <row r="191" spans="1:9" ht="15" customHeight="1">
      <c r="A191" s="69">
        <v>90</v>
      </c>
      <c r="B191" s="62" t="s">
        <v>164</v>
      </c>
      <c r="C191" s="53" t="s">
        <v>19</v>
      </c>
      <c r="D191" s="70" t="s">
        <v>77</v>
      </c>
      <c r="E191" s="71">
        <v>5000</v>
      </c>
      <c r="F191" s="63" t="s">
        <v>159</v>
      </c>
      <c r="G191" s="33">
        <f>IF(BD!$E191="","",(E191/(H191*I191)))</f>
        <v>5000</v>
      </c>
      <c r="H191" s="58">
        <v>1</v>
      </c>
      <c r="I191" s="54">
        <v>1</v>
      </c>
    </row>
    <row r="192" spans="1:9" ht="15" customHeight="1">
      <c r="A192" s="69">
        <v>91</v>
      </c>
      <c r="B192" s="62" t="s">
        <v>165</v>
      </c>
      <c r="C192" s="53" t="s">
        <v>19</v>
      </c>
      <c r="D192" s="70" t="s">
        <v>78</v>
      </c>
      <c r="E192" s="71">
        <v>7183</v>
      </c>
      <c r="F192" s="63" t="s">
        <v>81</v>
      </c>
      <c r="G192" s="33">
        <f>IF(BD!$E192="","",(E192/(H192*I192)))</f>
        <v>0.47886666666666666</v>
      </c>
      <c r="H192" s="58">
        <v>150</v>
      </c>
      <c r="I192" s="34">
        <v>100</v>
      </c>
    </row>
    <row r="193" spans="1:9" ht="15" customHeight="1">
      <c r="A193" s="69">
        <v>92</v>
      </c>
      <c r="B193" s="62" t="s">
        <v>166</v>
      </c>
      <c r="C193" s="53" t="s">
        <v>19</v>
      </c>
      <c r="D193" s="70" t="s">
        <v>78</v>
      </c>
      <c r="E193" s="71">
        <v>10597</v>
      </c>
      <c r="F193" s="63" t="s">
        <v>81</v>
      </c>
      <c r="G193" s="33">
        <f>IF(BD!$E193="","",(E193/(H193*I193)))</f>
        <v>0.70646666666666669</v>
      </c>
      <c r="H193" s="58">
        <v>150</v>
      </c>
      <c r="I193" s="34">
        <v>100</v>
      </c>
    </row>
    <row r="194" spans="1:9" ht="15" customHeight="1">
      <c r="A194" s="69">
        <v>93</v>
      </c>
      <c r="B194" s="62" t="s">
        <v>167</v>
      </c>
      <c r="C194" s="53" t="s">
        <v>19</v>
      </c>
      <c r="D194" s="70" t="s">
        <v>64</v>
      </c>
      <c r="E194" s="71">
        <v>2866.6666666666702</v>
      </c>
      <c r="F194" s="63" t="s">
        <v>64</v>
      </c>
      <c r="G194" s="33">
        <f>IF(BD!$E194="","",(E194/(H194*I194)))</f>
        <v>2866.6666666666702</v>
      </c>
      <c r="H194" s="58">
        <v>1</v>
      </c>
      <c r="I194" s="34">
        <v>1</v>
      </c>
    </row>
    <row r="195" spans="1:9" ht="15" customHeight="1">
      <c r="A195" s="69">
        <v>94</v>
      </c>
      <c r="B195" s="62" t="s">
        <v>168</v>
      </c>
      <c r="C195" s="53" t="s">
        <v>19</v>
      </c>
      <c r="D195" s="70" t="s">
        <v>64</v>
      </c>
      <c r="E195" s="71">
        <v>2866.6666666666702</v>
      </c>
      <c r="F195" s="63" t="s">
        <v>64</v>
      </c>
      <c r="G195" s="33">
        <f>IF(BD!$E195="","",(E195/(H195*I195)))</f>
        <v>2866.6666666666702</v>
      </c>
      <c r="H195" s="58">
        <v>1</v>
      </c>
      <c r="I195" s="34">
        <v>1</v>
      </c>
    </row>
    <row r="196" spans="1:9" ht="15" customHeight="1">
      <c r="A196" s="69">
        <v>96</v>
      </c>
      <c r="B196" s="62" t="s">
        <v>169</v>
      </c>
      <c r="C196" s="53" t="s">
        <v>19</v>
      </c>
      <c r="D196" s="70" t="s">
        <v>75</v>
      </c>
      <c r="E196" s="71">
        <v>8000</v>
      </c>
      <c r="F196" s="63" t="s">
        <v>81</v>
      </c>
      <c r="G196" s="33">
        <f>IF(BD!$E196="","",(E196/(H196*I196)))</f>
        <v>0.53333333333333333</v>
      </c>
      <c r="H196" s="58">
        <v>150</v>
      </c>
      <c r="I196" s="34">
        <v>100</v>
      </c>
    </row>
    <row r="197" spans="1:9" ht="15" customHeight="1">
      <c r="A197" s="69">
        <v>100</v>
      </c>
      <c r="B197" s="62" t="s">
        <v>170</v>
      </c>
      <c r="C197" s="53" t="s">
        <v>19</v>
      </c>
      <c r="D197" s="70" t="s">
        <v>171</v>
      </c>
      <c r="E197" s="71">
        <v>636792</v>
      </c>
      <c r="F197" s="63" t="s">
        <v>64</v>
      </c>
      <c r="G197" s="33">
        <f>IF(BD!$E197="","",(E197/(H197*I197)))</f>
        <v>53066</v>
      </c>
      <c r="H197" s="58">
        <v>12</v>
      </c>
      <c r="I197" s="34">
        <v>1</v>
      </c>
    </row>
    <row r="198" spans="1:9" ht="15" customHeight="1">
      <c r="A198" s="69">
        <v>102</v>
      </c>
      <c r="B198" s="62" t="s">
        <v>172</v>
      </c>
      <c r="C198" s="53" t="s">
        <v>19</v>
      </c>
      <c r="D198" s="70" t="s">
        <v>141</v>
      </c>
      <c r="E198" s="71">
        <v>2700</v>
      </c>
      <c r="F198" s="63" t="s">
        <v>141</v>
      </c>
      <c r="G198" s="33">
        <f>IF(BD!$E198="","",(E198/(H198*I198)))</f>
        <v>27</v>
      </c>
      <c r="H198" s="58">
        <v>100</v>
      </c>
      <c r="I198" s="34">
        <v>1</v>
      </c>
    </row>
    <row r="199" spans="1:9" ht="15" customHeight="1">
      <c r="A199" s="69">
        <v>103</v>
      </c>
      <c r="B199" s="62" t="s">
        <v>173</v>
      </c>
      <c r="C199" s="53" t="s">
        <v>19</v>
      </c>
      <c r="D199" s="70" t="s">
        <v>141</v>
      </c>
      <c r="E199" s="71">
        <v>18.53</v>
      </c>
      <c r="F199" s="63" t="s">
        <v>141</v>
      </c>
      <c r="G199" s="33">
        <f>IF(BD!$E199="","",(E199/(H199*I199)))</f>
        <v>18.53</v>
      </c>
      <c r="H199" s="58">
        <v>1</v>
      </c>
      <c r="I199" s="34">
        <v>1</v>
      </c>
    </row>
    <row r="200" spans="1:9" ht="15" customHeight="1">
      <c r="A200" s="69">
        <v>104</v>
      </c>
      <c r="B200" s="62" t="s">
        <v>174</v>
      </c>
      <c r="C200" s="53" t="s">
        <v>19</v>
      </c>
      <c r="D200" s="70" t="s">
        <v>78</v>
      </c>
      <c r="E200" s="71">
        <v>1800</v>
      </c>
      <c r="F200" s="63" t="s">
        <v>141</v>
      </c>
      <c r="G200" s="33">
        <f>IF(BD!$E200="","",(E200/(H200*I200)))</f>
        <v>18</v>
      </c>
      <c r="H200" s="58">
        <v>100</v>
      </c>
      <c r="I200" s="34">
        <v>1</v>
      </c>
    </row>
    <row r="201" spans="1:9" ht="15" customHeight="1">
      <c r="A201" s="69">
        <v>105</v>
      </c>
      <c r="B201" s="62" t="s">
        <v>175</v>
      </c>
      <c r="C201" s="53" t="s">
        <v>19</v>
      </c>
      <c r="D201" s="70" t="s">
        <v>78</v>
      </c>
      <c r="E201" s="71">
        <v>1057</v>
      </c>
      <c r="F201" s="63" t="s">
        <v>78</v>
      </c>
      <c r="G201" s="33">
        <f>IF(BD!$E201="","",(E201/(H201*I201)))</f>
        <v>1057</v>
      </c>
      <c r="H201" s="58">
        <v>1</v>
      </c>
      <c r="I201" s="34">
        <v>1</v>
      </c>
    </row>
    <row r="202" spans="1:9" ht="15" customHeight="1">
      <c r="A202" s="69">
        <v>106</v>
      </c>
      <c r="B202" s="62" t="s">
        <v>176</v>
      </c>
      <c r="C202" s="53" t="s">
        <v>19</v>
      </c>
      <c r="D202" s="70" t="s">
        <v>141</v>
      </c>
      <c r="E202" s="71">
        <v>18.53</v>
      </c>
      <c r="F202" s="63" t="s">
        <v>141</v>
      </c>
      <c r="G202" s="33">
        <f>IF(BD!$E202="","",(E202/(H202*I202)))</f>
        <v>18.53</v>
      </c>
      <c r="H202" s="58">
        <v>1</v>
      </c>
      <c r="I202" s="34">
        <v>1</v>
      </c>
    </row>
    <row r="203" spans="1:9" ht="15" customHeight="1">
      <c r="A203" s="69">
        <v>107</v>
      </c>
      <c r="B203" s="62" t="s">
        <v>177</v>
      </c>
      <c r="C203" s="53" t="s">
        <v>19</v>
      </c>
      <c r="D203" s="70" t="s">
        <v>141</v>
      </c>
      <c r="E203" s="71">
        <v>22.8</v>
      </c>
      <c r="F203" s="63" t="s">
        <v>141</v>
      </c>
      <c r="G203" s="33">
        <f>IF(BD!$E203="","",(E203/(H203*I203)))</f>
        <v>22.8</v>
      </c>
      <c r="H203" s="58">
        <v>1</v>
      </c>
      <c r="I203" s="34">
        <v>1</v>
      </c>
    </row>
    <row r="204" spans="1:9" ht="15" customHeight="1">
      <c r="A204" s="69">
        <v>108</v>
      </c>
      <c r="B204" s="62" t="s">
        <v>178</v>
      </c>
      <c r="C204" s="53" t="s">
        <v>19</v>
      </c>
      <c r="D204" s="70" t="s">
        <v>141</v>
      </c>
      <c r="E204" s="71">
        <v>22.8</v>
      </c>
      <c r="F204" s="63" t="s">
        <v>141</v>
      </c>
      <c r="G204" s="33">
        <f>IF(BD!$E204="","",(E204/(H204*I204)))</f>
        <v>22.8</v>
      </c>
      <c r="H204" s="58">
        <v>1</v>
      </c>
      <c r="I204" s="34">
        <v>1</v>
      </c>
    </row>
    <row r="205" spans="1:9" ht="15" customHeight="1">
      <c r="A205" s="69">
        <v>109</v>
      </c>
      <c r="B205" s="62" t="s">
        <v>179</v>
      </c>
      <c r="C205" s="53" t="s">
        <v>19</v>
      </c>
      <c r="D205" s="70" t="s">
        <v>141</v>
      </c>
      <c r="E205" s="71">
        <v>14.73</v>
      </c>
      <c r="F205" s="63" t="s">
        <v>141</v>
      </c>
      <c r="G205" s="33">
        <f>IF(BD!$E205="","",(E205/(H205*I205)))</f>
        <v>14.73</v>
      </c>
      <c r="H205" s="58">
        <v>1</v>
      </c>
      <c r="I205" s="34">
        <v>1</v>
      </c>
    </row>
    <row r="206" spans="1:9" ht="15" customHeight="1">
      <c r="A206" s="69">
        <v>110</v>
      </c>
      <c r="B206" s="62" t="s">
        <v>180</v>
      </c>
      <c r="C206" s="53" t="s">
        <v>19</v>
      </c>
      <c r="D206" s="70" t="s">
        <v>141</v>
      </c>
      <c r="E206" s="71">
        <v>14.73</v>
      </c>
      <c r="F206" s="63" t="s">
        <v>141</v>
      </c>
      <c r="G206" s="33">
        <f>IF(BD!$E206="","",(E206/(H206*I206)))</f>
        <v>14.73</v>
      </c>
      <c r="H206" s="58">
        <v>1</v>
      </c>
      <c r="I206" s="34">
        <v>1</v>
      </c>
    </row>
    <row r="207" spans="1:9" ht="15" customHeight="1">
      <c r="A207" s="69">
        <v>111</v>
      </c>
      <c r="B207" s="62" t="s">
        <v>181</v>
      </c>
      <c r="C207" s="53" t="s">
        <v>19</v>
      </c>
      <c r="D207" s="70" t="s">
        <v>78</v>
      </c>
      <c r="E207" s="71">
        <v>820</v>
      </c>
      <c r="F207" s="63" t="s">
        <v>78</v>
      </c>
      <c r="G207" s="33">
        <f>IF(BD!$E207="","",(E207/(H207*I207)))</f>
        <v>820</v>
      </c>
      <c r="H207" s="58">
        <v>1</v>
      </c>
      <c r="I207" s="34">
        <v>1</v>
      </c>
    </row>
    <row r="208" spans="1:9" ht="15" customHeight="1">
      <c r="A208" s="69">
        <v>112</v>
      </c>
      <c r="B208" s="62" t="s">
        <v>182</v>
      </c>
      <c r="C208" s="53" t="s">
        <v>19</v>
      </c>
      <c r="D208" s="70" t="s">
        <v>78</v>
      </c>
      <c r="E208" s="71">
        <v>1170</v>
      </c>
      <c r="F208" s="63" t="s">
        <v>78</v>
      </c>
      <c r="G208" s="33">
        <f>IF(BD!$E208="","",(E208/(H208*I208)))</f>
        <v>1170</v>
      </c>
      <c r="H208" s="58">
        <v>1</v>
      </c>
      <c r="I208" s="34">
        <v>1</v>
      </c>
    </row>
    <row r="209" spans="1:9" s="9" customFormat="1" ht="15" customHeight="1">
      <c r="A209" s="73">
        <v>113</v>
      </c>
      <c r="B209" s="72" t="s">
        <v>183</v>
      </c>
      <c r="C209" s="74" t="s">
        <v>19</v>
      </c>
      <c r="D209" s="75" t="s">
        <v>78</v>
      </c>
      <c r="E209" s="76">
        <v>8000</v>
      </c>
      <c r="F209" s="77" t="s">
        <v>81</v>
      </c>
      <c r="G209" s="78">
        <f>IF(BD!$E209="","",(E209/(H209*I209)))</f>
        <v>0.53333333333333333</v>
      </c>
      <c r="H209" s="79">
        <v>100</v>
      </c>
      <c r="I209" s="80">
        <v>150</v>
      </c>
    </row>
    <row r="210" spans="1:9" ht="15" customHeight="1">
      <c r="A210" s="69">
        <v>114</v>
      </c>
      <c r="B210" s="62" t="s">
        <v>184</v>
      </c>
      <c r="C210" s="53" t="s">
        <v>19</v>
      </c>
      <c r="D210" s="70" t="s">
        <v>78</v>
      </c>
      <c r="E210" s="71">
        <v>11000</v>
      </c>
      <c r="F210" s="63" t="s">
        <v>81</v>
      </c>
      <c r="G210" s="33">
        <f>IF(BD!$E210="","",(E210/(H210*I210)))</f>
        <v>0.7857142857142857</v>
      </c>
      <c r="H210" s="58">
        <v>140</v>
      </c>
      <c r="I210" s="34">
        <v>100</v>
      </c>
    </row>
    <row r="211" spans="1:9" ht="15" customHeight="1">
      <c r="A211" s="69">
        <v>115</v>
      </c>
      <c r="B211" s="62" t="s">
        <v>185</v>
      </c>
      <c r="C211" s="53" t="s">
        <v>19</v>
      </c>
      <c r="D211" s="70" t="s">
        <v>78</v>
      </c>
      <c r="E211" s="71">
        <v>10858</v>
      </c>
      <c r="F211" s="63" t="s">
        <v>81</v>
      </c>
      <c r="G211" s="33">
        <f>IF(BD!$E211="","",(E211/(H211*I211)))</f>
        <v>0.77557142857142858</v>
      </c>
      <c r="H211" s="58">
        <v>140</v>
      </c>
      <c r="I211" s="34">
        <v>100</v>
      </c>
    </row>
    <row r="212" spans="1:9" ht="15" customHeight="1">
      <c r="A212" s="69">
        <v>116</v>
      </c>
      <c r="B212" s="62" t="s">
        <v>186</v>
      </c>
      <c r="C212" s="53" t="s">
        <v>19</v>
      </c>
      <c r="D212" s="70" t="s">
        <v>78</v>
      </c>
      <c r="E212" s="71">
        <v>13999.16</v>
      </c>
      <c r="F212" s="63" t="s">
        <v>78</v>
      </c>
      <c r="G212" s="33">
        <f>IF(BD!$E212="","",(E212/(H212*I212)))</f>
        <v>13999.16</v>
      </c>
      <c r="H212" s="58">
        <v>1</v>
      </c>
      <c r="I212" s="34">
        <v>1</v>
      </c>
    </row>
    <row r="213" spans="1:9" ht="15" customHeight="1">
      <c r="A213" s="69">
        <v>123</v>
      </c>
      <c r="B213" s="62" t="s">
        <v>187</v>
      </c>
      <c r="C213" s="53" t="s">
        <v>19</v>
      </c>
      <c r="D213" s="70" t="s">
        <v>77</v>
      </c>
      <c r="E213" s="71">
        <v>700</v>
      </c>
      <c r="F213" s="63" t="s">
        <v>141</v>
      </c>
      <c r="G213" s="33">
        <f>IF(BD!$E213="","",(E213/(H213*I213)))</f>
        <v>7</v>
      </c>
      <c r="H213" s="58">
        <v>100</v>
      </c>
      <c r="I213" s="34">
        <v>1</v>
      </c>
    </row>
    <row r="214" spans="1:9" ht="15" customHeight="1">
      <c r="A214" s="69">
        <v>124</v>
      </c>
      <c r="B214" s="62" t="s">
        <v>188</v>
      </c>
      <c r="C214" s="53" t="s">
        <v>19</v>
      </c>
      <c r="D214" s="70" t="s">
        <v>77</v>
      </c>
      <c r="E214" s="71">
        <v>1100</v>
      </c>
      <c r="F214" s="63" t="s">
        <v>141</v>
      </c>
      <c r="G214" s="33">
        <f>IF(BD!$E214="","",(E214/(H214*I214)))</f>
        <v>11</v>
      </c>
      <c r="H214" s="58">
        <v>100</v>
      </c>
      <c r="I214" s="34">
        <v>1</v>
      </c>
    </row>
    <row r="215" spans="1:9" ht="15" customHeight="1">
      <c r="A215" s="69">
        <v>125</v>
      </c>
      <c r="B215" s="62" t="s">
        <v>189</v>
      </c>
      <c r="C215" s="53" t="s">
        <v>19</v>
      </c>
      <c r="D215" s="70" t="s">
        <v>141</v>
      </c>
      <c r="E215" s="71">
        <v>1000</v>
      </c>
      <c r="F215" s="63" t="s">
        <v>141</v>
      </c>
      <c r="G215" s="33">
        <f>IF(BD!$E215="","",(E215/(H215*I215)))</f>
        <v>1000</v>
      </c>
      <c r="H215" s="58">
        <v>1</v>
      </c>
      <c r="I215" s="34">
        <v>1</v>
      </c>
    </row>
    <row r="216" spans="1:9" ht="15" customHeight="1">
      <c r="A216" s="69">
        <v>126</v>
      </c>
      <c r="B216" s="62" t="s">
        <v>190</v>
      </c>
      <c r="C216" s="53" t="s">
        <v>19</v>
      </c>
      <c r="D216" s="70" t="s">
        <v>78</v>
      </c>
      <c r="E216" s="71">
        <v>700</v>
      </c>
      <c r="F216" s="63" t="s">
        <v>141</v>
      </c>
      <c r="G216" s="33">
        <f>IF(BD!$E216="","",(E216/(H216*I216)))</f>
        <v>7</v>
      </c>
      <c r="H216" s="58">
        <v>100</v>
      </c>
      <c r="I216" s="34">
        <v>1</v>
      </c>
    </row>
    <row r="217" spans="1:9" ht="15" customHeight="1">
      <c r="A217" s="69">
        <v>127</v>
      </c>
      <c r="B217" s="62" t="s">
        <v>191</v>
      </c>
      <c r="C217" s="53" t="s">
        <v>19</v>
      </c>
      <c r="D217" s="70" t="s">
        <v>78</v>
      </c>
      <c r="E217" s="71">
        <v>84</v>
      </c>
      <c r="F217" s="63" t="s">
        <v>141</v>
      </c>
      <c r="G217" s="33">
        <f>IF(BD!$E217="","",(E217/(H217*I217)))</f>
        <v>84</v>
      </c>
      <c r="H217" s="58">
        <v>1</v>
      </c>
      <c r="I217" s="34">
        <v>1</v>
      </c>
    </row>
    <row r="218" spans="1:9" ht="15" customHeight="1">
      <c r="A218" s="69">
        <v>128</v>
      </c>
      <c r="B218" s="62" t="s">
        <v>192</v>
      </c>
      <c r="C218" s="53" t="s">
        <v>19</v>
      </c>
      <c r="D218" s="70" t="s">
        <v>78</v>
      </c>
      <c r="E218" s="71">
        <v>10780</v>
      </c>
      <c r="F218" s="63" t="s">
        <v>81</v>
      </c>
      <c r="G218" s="33">
        <f>IF(BD!$E218="","",(E218/(H218*I218)))</f>
        <v>0.77</v>
      </c>
      <c r="H218" s="58">
        <v>140</v>
      </c>
      <c r="I218" s="34">
        <v>100</v>
      </c>
    </row>
    <row r="219" spans="1:9" ht="15" customHeight="1">
      <c r="B219"/>
      <c r="C219" s="209"/>
    </row>
    <row r="220" spans="1:9" ht="15" customHeight="1">
      <c r="B220"/>
      <c r="C220" s="209"/>
    </row>
    <row r="221" spans="1:9" ht="15" customHeight="1">
      <c r="B221"/>
      <c r="C221" s="209"/>
    </row>
    <row r="222" spans="1:9" ht="15" customHeight="1">
      <c r="B222"/>
      <c r="C222" s="209"/>
    </row>
    <row r="223" spans="1:9" ht="15" customHeight="1">
      <c r="B223"/>
      <c r="C223" s="209"/>
    </row>
    <row r="224" spans="1:9" ht="15" customHeight="1">
      <c r="B224"/>
      <c r="C224" s="209"/>
    </row>
    <row r="225" spans="2:2" ht="15" customHeight="1">
      <c r="B225"/>
    </row>
    <row r="226" spans="2:2" ht="15" customHeight="1">
      <c r="B226"/>
    </row>
    <row r="227" spans="2:2" ht="15" customHeight="1">
      <c r="B227"/>
    </row>
    <row r="228" spans="2:2" ht="15" customHeight="1">
      <c r="B228"/>
    </row>
    <row r="229" spans="2:2" ht="15" customHeight="1">
      <c r="B229"/>
    </row>
    <row r="230" spans="2:2" ht="15" customHeight="1">
      <c r="B230"/>
    </row>
    <row r="231" spans="2:2" ht="15" customHeight="1">
      <c r="B231"/>
    </row>
    <row r="232" spans="2:2" ht="15" customHeight="1">
      <c r="B232"/>
    </row>
    <row r="233" spans="2:2" ht="15" customHeight="1">
      <c r="B233"/>
    </row>
    <row r="234" spans="2:2" ht="15" customHeight="1">
      <c r="B234"/>
    </row>
    <row r="235" spans="2:2" ht="15" customHeight="1">
      <c r="B235"/>
    </row>
    <row r="236" spans="2:2" ht="15" customHeight="1">
      <c r="B236"/>
    </row>
    <row r="237" spans="2:2" ht="15" customHeight="1">
      <c r="B237"/>
    </row>
    <row r="238" spans="2:2" ht="15" customHeight="1">
      <c r="B238"/>
    </row>
    <row r="239" spans="2:2" ht="15" customHeight="1">
      <c r="B239"/>
    </row>
    <row r="240" spans="2:2" ht="15" customHeight="1">
      <c r="B240"/>
    </row>
    <row r="241" spans="2:2" ht="15" customHeight="1">
      <c r="B241"/>
    </row>
    <row r="242" spans="2:2" ht="15" customHeight="1">
      <c r="B242"/>
    </row>
    <row r="243" spans="2:2" ht="15" customHeight="1">
      <c r="B243"/>
    </row>
    <row r="244" spans="2:2" ht="15" customHeight="1">
      <c r="B244"/>
    </row>
    <row r="245" spans="2:2" ht="15" customHeight="1">
      <c r="B245"/>
    </row>
    <row r="246" spans="2:2" ht="15" customHeight="1">
      <c r="B246"/>
    </row>
    <row r="247" spans="2:2" ht="15" customHeight="1">
      <c r="B247"/>
    </row>
    <row r="248" spans="2:2" ht="15" customHeight="1">
      <c r="B248"/>
    </row>
    <row r="249" spans="2:2" ht="15" customHeight="1">
      <c r="B249"/>
    </row>
    <row r="250" spans="2:2" ht="15" customHeight="1">
      <c r="B250"/>
    </row>
    <row r="251" spans="2:2" ht="15" customHeight="1"/>
    <row r="252" spans="2:2" ht="15" customHeight="1">
      <c r="B252"/>
    </row>
    <row r="253" spans="2:2" ht="15" customHeight="1">
      <c r="B253"/>
    </row>
    <row r="254" spans="2:2" ht="15" customHeight="1">
      <c r="B254"/>
    </row>
    <row r="255" spans="2:2" ht="15" customHeight="1">
      <c r="B255"/>
    </row>
    <row r="256" spans="2:2" ht="15" customHeight="1">
      <c r="B256"/>
    </row>
    <row r="257" spans="2:2" ht="15" customHeight="1">
      <c r="B257"/>
    </row>
    <row r="258" spans="2:2" ht="15" customHeight="1">
      <c r="B258"/>
    </row>
    <row r="259" spans="2:2" ht="15" customHeight="1">
      <c r="B259"/>
    </row>
    <row r="260" spans="2:2" ht="15" customHeight="1">
      <c r="B260"/>
    </row>
    <row r="261" spans="2:2" ht="15" customHeight="1">
      <c r="B261"/>
    </row>
    <row r="262" spans="2:2" ht="15" customHeight="1">
      <c r="B262"/>
    </row>
    <row r="263" spans="2:2" ht="15" customHeight="1">
      <c r="B263"/>
    </row>
    <row r="264" spans="2:2" ht="15" customHeight="1">
      <c r="B264"/>
    </row>
    <row r="265" spans="2:2" ht="15" customHeight="1">
      <c r="B265"/>
    </row>
    <row r="266" spans="2:2" ht="15" customHeight="1">
      <c r="B266"/>
    </row>
    <row r="267" spans="2:2" ht="15" customHeight="1">
      <c r="B267"/>
    </row>
    <row r="268" spans="2:2" ht="15" customHeight="1">
      <c r="B268"/>
    </row>
    <row r="269" spans="2:2" ht="15" customHeight="1">
      <c r="B269"/>
    </row>
    <row r="270" spans="2:2" ht="15" customHeight="1">
      <c r="B270"/>
    </row>
    <row r="271" spans="2:2" ht="15" customHeight="1">
      <c r="B271"/>
    </row>
    <row r="272" spans="2:2" ht="15" customHeight="1">
      <c r="B272"/>
    </row>
    <row r="273" spans="2:2" ht="15" customHeight="1">
      <c r="B273"/>
    </row>
    <row r="274" spans="2:2" ht="15" customHeight="1">
      <c r="B274"/>
    </row>
    <row r="275" spans="2:2" ht="15" customHeight="1">
      <c r="B275"/>
    </row>
    <row r="276" spans="2:2" ht="15" customHeight="1">
      <c r="B276"/>
    </row>
    <row r="277" spans="2:2" ht="15" customHeight="1">
      <c r="B277"/>
    </row>
    <row r="278" spans="2:2" ht="15" customHeight="1">
      <c r="B278"/>
    </row>
    <row r="279" spans="2:2" ht="15" customHeight="1">
      <c r="B279"/>
    </row>
    <row r="280" spans="2:2" ht="15" customHeight="1">
      <c r="B280"/>
    </row>
    <row r="281" spans="2:2" ht="15" customHeight="1">
      <c r="B281"/>
    </row>
    <row r="282" spans="2:2" ht="15" customHeight="1">
      <c r="B282"/>
    </row>
    <row r="283" spans="2:2" ht="15" customHeight="1">
      <c r="B283"/>
    </row>
    <row r="284" spans="2:2" ht="15" customHeight="1">
      <c r="B284"/>
    </row>
    <row r="285" spans="2:2" ht="15" customHeight="1">
      <c r="B285"/>
    </row>
    <row r="286" spans="2:2" ht="15" customHeight="1">
      <c r="B286"/>
    </row>
    <row r="287" spans="2:2" ht="15" customHeight="1">
      <c r="B287"/>
    </row>
    <row r="288" spans="2:2" ht="15" customHeight="1">
      <c r="B288"/>
    </row>
    <row r="289" spans="2:2" ht="15" customHeight="1">
      <c r="B289"/>
    </row>
    <row r="290" spans="2:2" ht="15" customHeight="1">
      <c r="B290"/>
    </row>
    <row r="291" spans="2:2" ht="15" customHeight="1">
      <c r="B291"/>
    </row>
    <row r="292" spans="2:2" ht="15" customHeight="1">
      <c r="B292"/>
    </row>
    <row r="293" spans="2:2" ht="15" customHeight="1">
      <c r="B293"/>
    </row>
    <row r="294" spans="2:2" ht="15" customHeight="1">
      <c r="B294"/>
    </row>
    <row r="295" spans="2:2" ht="15" customHeight="1">
      <c r="B295"/>
    </row>
    <row r="296" spans="2:2" ht="15" customHeight="1">
      <c r="B296"/>
    </row>
    <row r="297" spans="2:2" ht="15" customHeight="1">
      <c r="B297"/>
    </row>
    <row r="298" spans="2:2" ht="15" customHeight="1">
      <c r="B298"/>
    </row>
    <row r="299" spans="2:2" ht="15" customHeight="1">
      <c r="B299"/>
    </row>
    <row r="300" spans="2:2" ht="15" customHeight="1">
      <c r="B300"/>
    </row>
    <row r="301" spans="2:2" ht="15" customHeight="1">
      <c r="B301"/>
    </row>
    <row r="302" spans="2:2" ht="15" customHeight="1">
      <c r="B302"/>
    </row>
    <row r="303" spans="2:2" ht="15" customHeight="1">
      <c r="B303"/>
    </row>
    <row r="304" spans="2:2" ht="15" customHeight="1">
      <c r="B304"/>
    </row>
    <row r="305" spans="2:2" ht="15" customHeight="1">
      <c r="B305"/>
    </row>
    <row r="306" spans="2:2" ht="15" customHeight="1">
      <c r="B306"/>
    </row>
    <row r="307" spans="2:2" ht="15" customHeight="1">
      <c r="B307"/>
    </row>
    <row r="308" spans="2:2" ht="15" customHeight="1">
      <c r="B308"/>
    </row>
    <row r="309" spans="2:2" ht="15" customHeight="1">
      <c r="B309"/>
    </row>
    <row r="310" spans="2:2" ht="15" customHeight="1">
      <c r="B310"/>
    </row>
    <row r="311" spans="2:2" ht="15" customHeight="1">
      <c r="B311"/>
    </row>
    <row r="312" spans="2:2" ht="15" customHeight="1">
      <c r="B312"/>
    </row>
    <row r="313" spans="2:2" ht="15" customHeight="1">
      <c r="B313"/>
    </row>
    <row r="314" spans="2:2" ht="15" customHeight="1">
      <c r="B314"/>
    </row>
    <row r="315" spans="2:2" ht="15" customHeight="1">
      <c r="B315"/>
    </row>
    <row r="316" spans="2:2" ht="15" customHeight="1">
      <c r="B316"/>
    </row>
    <row r="317" spans="2:2" ht="15" customHeight="1">
      <c r="B317"/>
    </row>
    <row r="318" spans="2:2" ht="15" customHeight="1">
      <c r="B318"/>
    </row>
    <row r="319" spans="2:2" ht="15" customHeight="1">
      <c r="B319"/>
    </row>
    <row r="320" spans="2:2" ht="15" customHeight="1">
      <c r="B320"/>
    </row>
    <row r="321" spans="2:2" ht="15" customHeight="1">
      <c r="B321"/>
    </row>
    <row r="322" spans="2:2" ht="15" customHeight="1">
      <c r="B322"/>
    </row>
    <row r="323" spans="2:2" ht="15" customHeight="1">
      <c r="B323"/>
    </row>
    <row r="324" spans="2:2" ht="15" customHeight="1">
      <c r="B324"/>
    </row>
    <row r="325" spans="2:2" ht="15" customHeight="1">
      <c r="B325"/>
    </row>
    <row r="326" spans="2:2" ht="15" customHeight="1">
      <c r="B326"/>
    </row>
    <row r="327" spans="2:2" ht="15" customHeight="1">
      <c r="B327"/>
    </row>
    <row r="328" spans="2:2" ht="15" customHeight="1">
      <c r="B328"/>
    </row>
    <row r="329" spans="2:2" ht="15" customHeight="1">
      <c r="B329"/>
    </row>
    <row r="330" spans="2:2" ht="15" customHeight="1">
      <c r="B330"/>
    </row>
    <row r="331" spans="2:2" ht="15" customHeight="1">
      <c r="B331"/>
    </row>
    <row r="332" spans="2:2" ht="15" customHeight="1">
      <c r="B332"/>
    </row>
    <row r="333" spans="2:2" ht="15" customHeight="1">
      <c r="B333"/>
    </row>
    <row r="334" spans="2:2" ht="15" customHeight="1">
      <c r="B334"/>
    </row>
    <row r="335" spans="2:2" ht="15" customHeight="1">
      <c r="B335"/>
    </row>
    <row r="336" spans="2:2" ht="15" customHeight="1">
      <c r="B336"/>
    </row>
    <row r="337" spans="2:2" ht="15" customHeight="1">
      <c r="B337"/>
    </row>
    <row r="338" spans="2:2" ht="15" customHeight="1">
      <c r="B338"/>
    </row>
    <row r="339" spans="2:2" ht="15" customHeight="1">
      <c r="B339"/>
    </row>
    <row r="340" spans="2:2" ht="15" customHeight="1">
      <c r="B340"/>
    </row>
    <row r="341" spans="2:2" ht="15" customHeight="1">
      <c r="B341"/>
    </row>
    <row r="342" spans="2:2" ht="15" customHeight="1">
      <c r="B342"/>
    </row>
    <row r="343" spans="2:2" ht="15" customHeight="1">
      <c r="B343"/>
    </row>
    <row r="344" spans="2:2" ht="15" customHeight="1">
      <c r="B344"/>
    </row>
    <row r="345" spans="2:2" ht="15" customHeight="1">
      <c r="B345"/>
    </row>
    <row r="346" spans="2:2" ht="15" customHeight="1">
      <c r="B346"/>
    </row>
    <row r="347" spans="2:2" ht="15" customHeight="1">
      <c r="B347"/>
    </row>
    <row r="348" spans="2:2" ht="15" customHeight="1">
      <c r="B348"/>
    </row>
    <row r="349" spans="2:2" ht="15" customHeight="1">
      <c r="B349"/>
    </row>
    <row r="350" spans="2:2" ht="15" customHeight="1">
      <c r="B350"/>
    </row>
    <row r="351" spans="2:2" ht="15" customHeight="1">
      <c r="B351"/>
    </row>
    <row r="352" spans="2:2" ht="15" customHeight="1">
      <c r="B352"/>
    </row>
    <row r="353" spans="2:2" ht="15" customHeight="1">
      <c r="B353"/>
    </row>
    <row r="354" spans="2:2" ht="17.25" customHeight="1">
      <c r="B354"/>
    </row>
    <row r="355" spans="2:2" ht="15" customHeight="1">
      <c r="B355"/>
    </row>
    <row r="356" spans="2:2" ht="27.75" customHeight="1">
      <c r="B356"/>
    </row>
    <row r="357" spans="2:2">
      <c r="B357"/>
    </row>
    <row r="358" spans="2:2" ht="15" customHeight="1">
      <c r="B358"/>
    </row>
    <row r="359" spans="2:2" ht="15" customHeight="1">
      <c r="B359"/>
    </row>
    <row r="360" spans="2:2" ht="15" customHeight="1">
      <c r="B360"/>
    </row>
    <row r="361" spans="2:2" ht="15" customHeight="1">
      <c r="B361"/>
    </row>
    <row r="362" spans="2:2" ht="15" customHeight="1">
      <c r="B362"/>
    </row>
    <row r="363" spans="2:2" ht="15" customHeight="1">
      <c r="B363"/>
    </row>
    <row r="364" spans="2:2" ht="15" customHeight="1">
      <c r="B364"/>
    </row>
    <row r="365" spans="2:2" ht="15" customHeight="1">
      <c r="B365"/>
    </row>
    <row r="366" spans="2:2" ht="15" customHeight="1">
      <c r="B366"/>
    </row>
    <row r="367" spans="2:2" ht="15" customHeight="1">
      <c r="B367"/>
    </row>
    <row r="368" spans="2:2" ht="15" customHeight="1">
      <c r="B368"/>
    </row>
    <row r="369" spans="2:2" ht="15" customHeight="1">
      <c r="B369"/>
    </row>
    <row r="370" spans="2:2" ht="15" customHeight="1">
      <c r="B370"/>
    </row>
    <row r="371" spans="2:2" ht="15" customHeight="1">
      <c r="B371"/>
    </row>
    <row r="372" spans="2:2" ht="15" customHeight="1">
      <c r="B372"/>
    </row>
    <row r="373" spans="2:2" ht="15" customHeight="1">
      <c r="B373"/>
    </row>
    <row r="374" spans="2:2" ht="15" customHeight="1">
      <c r="B374"/>
    </row>
    <row r="375" spans="2:2" ht="15" customHeight="1">
      <c r="B375"/>
    </row>
    <row r="376" spans="2:2" ht="15" customHeight="1">
      <c r="B376"/>
    </row>
    <row r="377" spans="2:2" ht="15" customHeight="1">
      <c r="B377"/>
    </row>
    <row r="378" spans="2:2" ht="15" customHeight="1">
      <c r="B378"/>
    </row>
    <row r="379" spans="2:2" ht="15" customHeight="1">
      <c r="B379"/>
    </row>
    <row r="380" spans="2:2" ht="15" customHeight="1">
      <c r="B380"/>
    </row>
    <row r="381" spans="2:2" ht="15" customHeight="1">
      <c r="B381"/>
    </row>
    <row r="382" spans="2:2" ht="15" customHeight="1">
      <c r="B382"/>
    </row>
    <row r="383" spans="2:2" ht="15" customHeight="1">
      <c r="B383"/>
    </row>
    <row r="384" spans="2:2" ht="15" customHeight="1">
      <c r="B384"/>
    </row>
    <row r="385" spans="1:10" ht="15" customHeight="1">
      <c r="B385"/>
      <c r="C385" s="209"/>
    </row>
    <row r="386" spans="1:10" ht="15" customHeight="1">
      <c r="B386"/>
      <c r="C386" s="209"/>
    </row>
    <row r="387" spans="1:10" ht="15" customHeight="1">
      <c r="B387"/>
      <c r="C387" s="209"/>
    </row>
    <row r="388" spans="1:10" ht="15" customHeight="1">
      <c r="B388"/>
      <c r="C388" s="209"/>
    </row>
    <row r="389" spans="1:10" ht="15" customHeight="1">
      <c r="B389"/>
      <c r="C389" s="209"/>
    </row>
    <row r="390" spans="1:10" ht="15" customHeight="1">
      <c r="B390"/>
      <c r="C390" s="209"/>
    </row>
    <row r="391" spans="1:10" ht="15" customHeight="1">
      <c r="B391"/>
      <c r="C391" s="209"/>
    </row>
    <row r="392" spans="1:10" ht="15" customHeight="1">
      <c r="B392"/>
      <c r="C392" s="209"/>
    </row>
    <row r="393" spans="1:10" ht="15" customHeight="1">
      <c r="B393"/>
      <c r="C393" s="209"/>
    </row>
    <row r="394" spans="1:10" ht="15" customHeight="1">
      <c r="B394"/>
      <c r="C394" s="209"/>
    </row>
    <row r="395" spans="1:10" ht="15" customHeight="1">
      <c r="B395"/>
      <c r="C395"/>
      <c r="D395"/>
      <c r="E395"/>
      <c r="F395" s="39"/>
      <c r="H395"/>
      <c r="I395"/>
    </row>
    <row r="396" spans="1:10" ht="15" customHeight="1">
      <c r="B396"/>
      <c r="C396"/>
      <c r="D396"/>
      <c r="E396"/>
      <c r="F396" s="39"/>
      <c r="H396"/>
      <c r="I396"/>
    </row>
    <row r="397" spans="1:10" ht="15" customHeight="1">
      <c r="B397"/>
      <c r="C397"/>
      <c r="D397"/>
      <c r="E397"/>
      <c r="F397" s="39"/>
      <c r="H397"/>
      <c r="I397"/>
    </row>
    <row r="398" spans="1:10" ht="15" customHeight="1">
      <c r="A398" s="9"/>
      <c r="B398" s="81" t="s">
        <v>71</v>
      </c>
      <c r="C398" s="9"/>
      <c r="D398" s="9"/>
      <c r="E398" s="9"/>
      <c r="F398" s="42"/>
      <c r="G398" s="9"/>
      <c r="H398" s="9"/>
      <c r="I398" s="9"/>
      <c r="J398" s="9"/>
    </row>
    <row r="399" spans="1:10" ht="15" customHeight="1">
      <c r="B399"/>
      <c r="C399"/>
      <c r="D399"/>
      <c r="E399"/>
      <c r="F399" s="39"/>
      <c r="H399"/>
      <c r="I399"/>
    </row>
    <row r="400" spans="1:10" ht="30.75" customHeight="1">
      <c r="A400" s="215" t="s">
        <v>44</v>
      </c>
      <c r="B400" s="216">
        <f>SUBTOTAL(3,(B402:B424))</f>
        <v>23</v>
      </c>
      <c r="C400" s="299"/>
      <c r="D400" s="299"/>
      <c r="E400"/>
      <c r="F400" s="39"/>
      <c r="H400"/>
      <c r="I400"/>
    </row>
    <row r="401" spans="1:11" ht="15" customHeight="1">
      <c r="A401" s="47" t="s">
        <v>46</v>
      </c>
      <c r="B401" s="82" t="s">
        <v>47</v>
      </c>
      <c r="C401" s="49" t="s">
        <v>48</v>
      </c>
      <c r="D401" s="50" t="s">
        <v>49</v>
      </c>
      <c r="E401" s="51" t="s">
        <v>50</v>
      </c>
      <c r="F401" s="25" t="s">
        <v>51</v>
      </c>
      <c r="G401" s="23" t="s">
        <v>52</v>
      </c>
      <c r="H401" s="26" t="s">
        <v>53</v>
      </c>
      <c r="I401" s="26" t="s">
        <v>54</v>
      </c>
      <c r="J401" t="s">
        <v>55</v>
      </c>
      <c r="K401" t="s">
        <v>56</v>
      </c>
    </row>
    <row r="402" spans="1:11" ht="25.5" customHeight="1">
      <c r="A402" s="27">
        <v>1</v>
      </c>
      <c r="B402" s="62" t="s">
        <v>193</v>
      </c>
      <c r="C402" s="53" t="s">
        <v>13</v>
      </c>
      <c r="D402" s="30" t="s">
        <v>194</v>
      </c>
      <c r="E402" s="31">
        <v>380</v>
      </c>
      <c r="F402" s="32" t="s">
        <v>194</v>
      </c>
      <c r="G402" s="33">
        <f>IF(BD!$E402="","",(E402/(H402*I402)))</f>
        <v>380</v>
      </c>
      <c r="H402" s="34">
        <v>1</v>
      </c>
      <c r="I402" s="34">
        <v>1</v>
      </c>
    </row>
    <row r="403" spans="1:11">
      <c r="A403" s="27">
        <f t="shared" ref="A403:A424" si="1">A402+1</f>
        <v>2</v>
      </c>
      <c r="B403" s="83" t="s">
        <v>195</v>
      </c>
      <c r="C403" s="53" t="s">
        <v>13</v>
      </c>
      <c r="D403" s="84" t="s">
        <v>194</v>
      </c>
      <c r="E403" s="85">
        <v>848.47</v>
      </c>
      <c r="F403" s="86" t="s">
        <v>194</v>
      </c>
      <c r="G403" s="33">
        <f>IF(BD!$E404="","",(E403/(H403*I403)))</f>
        <v>848.47</v>
      </c>
      <c r="H403" s="34">
        <v>1</v>
      </c>
      <c r="I403" s="34">
        <v>1</v>
      </c>
    </row>
    <row r="404" spans="1:11" ht="15" customHeight="1">
      <c r="A404" s="27">
        <f t="shared" si="1"/>
        <v>3</v>
      </c>
      <c r="B404" s="62" t="s">
        <v>196</v>
      </c>
      <c r="C404" s="53" t="s">
        <v>13</v>
      </c>
      <c r="D404" s="84" t="s">
        <v>194</v>
      </c>
      <c r="E404" s="31">
        <v>815</v>
      </c>
      <c r="F404" s="32" t="s">
        <v>194</v>
      </c>
      <c r="G404" s="33">
        <f>IF(BD!$E406="","",(E404/(H404*I404)))</f>
        <v>815</v>
      </c>
      <c r="H404" s="34">
        <v>1</v>
      </c>
      <c r="I404" s="34">
        <v>1</v>
      </c>
    </row>
    <row r="405" spans="1:11" ht="15" customHeight="1">
      <c r="A405" s="27">
        <f t="shared" si="1"/>
        <v>4</v>
      </c>
      <c r="B405" s="62" t="s">
        <v>197</v>
      </c>
      <c r="C405" s="53" t="s">
        <v>13</v>
      </c>
      <c r="D405" s="84" t="s">
        <v>194</v>
      </c>
      <c r="E405" s="31">
        <v>623.66666666666697</v>
      </c>
      <c r="F405" s="32" t="s">
        <v>194</v>
      </c>
      <c r="G405" s="33">
        <f>IF(BD!$E407="","",(E405/(H405*I405)))</f>
        <v>623.66666666666697</v>
      </c>
      <c r="H405" s="34">
        <v>1</v>
      </c>
      <c r="I405" s="34">
        <v>1</v>
      </c>
    </row>
    <row r="406" spans="1:11" ht="15" customHeight="1">
      <c r="A406" s="27">
        <f t="shared" si="1"/>
        <v>5</v>
      </c>
      <c r="B406" s="62" t="s">
        <v>198</v>
      </c>
      <c r="C406" s="53" t="s">
        <v>13</v>
      </c>
      <c r="D406" s="30" t="s">
        <v>194</v>
      </c>
      <c r="E406" s="31">
        <v>698.53</v>
      </c>
      <c r="F406" s="32" t="s">
        <v>194</v>
      </c>
      <c r="G406" s="33">
        <f>IF(BD!$E405="","",(E406/(H406*I406)))</f>
        <v>698.53</v>
      </c>
      <c r="H406" s="34">
        <v>1</v>
      </c>
      <c r="I406" s="34">
        <v>1</v>
      </c>
    </row>
    <row r="407" spans="1:11" ht="15" customHeight="1">
      <c r="A407" s="27">
        <f t="shared" si="1"/>
        <v>6</v>
      </c>
      <c r="B407" s="62" t="s">
        <v>199</v>
      </c>
      <c r="C407" s="53" t="s">
        <v>13</v>
      </c>
      <c r="D407" s="30" t="s">
        <v>194</v>
      </c>
      <c r="E407" s="31">
        <v>390.66666666666703</v>
      </c>
      <c r="F407" s="32" t="s">
        <v>194</v>
      </c>
      <c r="G407" s="33">
        <f>IF(BD!$E406="","",(E407/(H407*I407)))</f>
        <v>390.66666666666703</v>
      </c>
      <c r="H407" s="34">
        <v>1</v>
      </c>
      <c r="I407" s="34">
        <v>1</v>
      </c>
    </row>
    <row r="408" spans="1:11" ht="15" customHeight="1">
      <c r="A408" s="27">
        <f t="shared" si="1"/>
        <v>7</v>
      </c>
      <c r="B408" s="62" t="s">
        <v>200</v>
      </c>
      <c r="C408" s="53" t="s">
        <v>13</v>
      </c>
      <c r="D408" s="30" t="s">
        <v>194</v>
      </c>
      <c r="E408" s="31">
        <v>477.19</v>
      </c>
      <c r="F408" s="86" t="s">
        <v>194</v>
      </c>
      <c r="G408" s="33">
        <f>IF(BD!$E407="","",(E408/(H408*I408)))</f>
        <v>477.19</v>
      </c>
      <c r="H408" s="34">
        <v>1</v>
      </c>
      <c r="I408" s="34">
        <v>1</v>
      </c>
    </row>
    <row r="409" spans="1:11" ht="15" customHeight="1">
      <c r="A409" s="27">
        <f t="shared" si="1"/>
        <v>8</v>
      </c>
      <c r="B409" s="62" t="s">
        <v>201</v>
      </c>
      <c r="C409" s="53" t="s">
        <v>13</v>
      </c>
      <c r="D409" s="30" t="s">
        <v>194</v>
      </c>
      <c r="E409" s="31">
        <v>998.41</v>
      </c>
      <c r="F409" s="32" t="s">
        <v>194</v>
      </c>
      <c r="G409" s="33">
        <f>IF(BD!$E408="","",(E409/(H409*I409)))</f>
        <v>998.41</v>
      </c>
      <c r="H409" s="34">
        <v>1</v>
      </c>
      <c r="I409" s="34">
        <v>1</v>
      </c>
    </row>
    <row r="410" spans="1:11" ht="15" customHeight="1">
      <c r="A410" s="27">
        <f t="shared" si="1"/>
        <v>9</v>
      </c>
      <c r="B410" s="62" t="s">
        <v>202</v>
      </c>
      <c r="C410" s="53" t="s">
        <v>13</v>
      </c>
      <c r="D410" s="30" t="s">
        <v>194</v>
      </c>
      <c r="E410" s="31">
        <v>898.45</v>
      </c>
      <c r="F410" s="32" t="s">
        <v>194</v>
      </c>
      <c r="G410" s="33">
        <f>IF(BD!$E409="","",(E410/(H410*I410)))</f>
        <v>898.45</v>
      </c>
      <c r="H410" s="34">
        <v>1</v>
      </c>
      <c r="I410" s="34">
        <v>1</v>
      </c>
    </row>
    <row r="411" spans="1:11" ht="15" customHeight="1">
      <c r="A411" s="27">
        <f t="shared" si="1"/>
        <v>10</v>
      </c>
      <c r="B411" s="62" t="s">
        <v>203</v>
      </c>
      <c r="C411" s="53" t="s">
        <v>13</v>
      </c>
      <c r="D411" s="87" t="s">
        <v>194</v>
      </c>
      <c r="E411" s="88">
        <v>1500</v>
      </c>
      <c r="F411" s="89" t="s">
        <v>194</v>
      </c>
      <c r="G411" s="33">
        <f>IF(BD!$E410="","",(E411/(H411*I411)))</f>
        <v>1500</v>
      </c>
      <c r="H411" s="90">
        <v>1</v>
      </c>
      <c r="I411" s="90">
        <v>1</v>
      </c>
    </row>
    <row r="412" spans="1:11" ht="15" customHeight="1">
      <c r="A412" s="27">
        <f t="shared" si="1"/>
        <v>11</v>
      </c>
      <c r="B412" s="72" t="s">
        <v>204</v>
      </c>
      <c r="C412" s="53" t="s">
        <v>13</v>
      </c>
      <c r="D412" s="30" t="s">
        <v>194</v>
      </c>
      <c r="E412" s="91">
        <v>53371.5</v>
      </c>
      <c r="F412" s="86" t="s">
        <v>194</v>
      </c>
      <c r="G412" s="33">
        <f>IF(BD!$E411="","",(E412/(H412*I412)))</f>
        <v>53371.5</v>
      </c>
      <c r="H412" s="34">
        <v>1</v>
      </c>
      <c r="I412" s="34">
        <v>1</v>
      </c>
    </row>
    <row r="413" spans="1:11" ht="15" customHeight="1">
      <c r="A413" s="27">
        <f t="shared" si="1"/>
        <v>12</v>
      </c>
      <c r="B413" s="62" t="s">
        <v>205</v>
      </c>
      <c r="C413" s="53" t="s">
        <v>13</v>
      </c>
      <c r="D413" s="30" t="s">
        <v>194</v>
      </c>
      <c r="E413" s="31">
        <v>897.26</v>
      </c>
      <c r="F413" s="32" t="s">
        <v>194</v>
      </c>
      <c r="G413" s="33">
        <f>IF(BD!$E412="","",(E413/(H413*I413)))</f>
        <v>897.26</v>
      </c>
      <c r="H413" s="34">
        <v>1</v>
      </c>
      <c r="I413" s="34">
        <v>1</v>
      </c>
    </row>
    <row r="414" spans="1:11" ht="15" customHeight="1">
      <c r="A414" s="27">
        <f t="shared" si="1"/>
        <v>13</v>
      </c>
      <c r="B414" s="62" t="s">
        <v>206</v>
      </c>
      <c r="C414" s="53" t="s">
        <v>13</v>
      </c>
      <c r="D414" s="92" t="s">
        <v>194</v>
      </c>
      <c r="E414" s="31">
        <v>1673.3335</v>
      </c>
      <c r="F414" s="32" t="s">
        <v>194</v>
      </c>
      <c r="G414" s="33">
        <f>IF(BD!$E413="","",(E414/(H414*I414)))</f>
        <v>1673.3335</v>
      </c>
      <c r="H414" s="34">
        <v>1</v>
      </c>
      <c r="I414" s="34">
        <v>1</v>
      </c>
    </row>
    <row r="415" spans="1:11" ht="15" customHeight="1">
      <c r="A415" s="27">
        <f t="shared" si="1"/>
        <v>14</v>
      </c>
      <c r="B415" s="83" t="s">
        <v>207</v>
      </c>
      <c r="C415" s="53" t="s">
        <v>13</v>
      </c>
      <c r="D415" s="84" t="s">
        <v>194</v>
      </c>
      <c r="E415" s="93">
        <v>250</v>
      </c>
      <c r="F415" s="86" t="s">
        <v>194</v>
      </c>
      <c r="G415" s="33">
        <f>IF(BD!$E414="","",(E415/(H415*I415)))</f>
        <v>250</v>
      </c>
      <c r="H415" s="34">
        <v>1</v>
      </c>
      <c r="I415" s="34">
        <v>1</v>
      </c>
    </row>
    <row r="416" spans="1:11" ht="15" customHeight="1">
      <c r="A416" s="27">
        <f t="shared" si="1"/>
        <v>15</v>
      </c>
      <c r="B416" s="83" t="s">
        <v>208</v>
      </c>
      <c r="C416" s="53" t="s">
        <v>13</v>
      </c>
      <c r="D416" s="84" t="s">
        <v>194</v>
      </c>
      <c r="E416" s="85">
        <v>898.45</v>
      </c>
      <c r="F416" s="86" t="s">
        <v>194</v>
      </c>
      <c r="G416" s="33">
        <f>IF(BD!$E415="","",(E416/(H416*I416)))</f>
        <v>898.45</v>
      </c>
      <c r="H416" s="34">
        <v>1</v>
      </c>
      <c r="I416" s="34">
        <v>1</v>
      </c>
    </row>
    <row r="417" spans="1:9" ht="15" customHeight="1">
      <c r="A417" s="27">
        <f t="shared" si="1"/>
        <v>16</v>
      </c>
      <c r="B417" s="94" t="s">
        <v>209</v>
      </c>
      <c r="C417" s="53" t="s">
        <v>13</v>
      </c>
      <c r="D417" s="95" t="s">
        <v>194</v>
      </c>
      <c r="E417" s="96">
        <v>898.45</v>
      </c>
      <c r="F417" s="86" t="s">
        <v>194</v>
      </c>
      <c r="G417" s="33">
        <f>IF(BD!$E416="","",(E417/(H417*I417)))</f>
        <v>898.45</v>
      </c>
      <c r="H417" s="34">
        <v>1</v>
      </c>
      <c r="I417" s="34">
        <v>1</v>
      </c>
    </row>
    <row r="418" spans="1:9" ht="15" customHeight="1">
      <c r="A418" s="27">
        <f t="shared" si="1"/>
        <v>17</v>
      </c>
      <c r="B418" s="94" t="s">
        <v>210</v>
      </c>
      <c r="C418" s="53" t="s">
        <v>13</v>
      </c>
      <c r="D418" s="95" t="s">
        <v>194</v>
      </c>
      <c r="E418" s="96">
        <v>549.78</v>
      </c>
      <c r="F418" s="86" t="s">
        <v>194</v>
      </c>
      <c r="G418" s="33">
        <f>IF(BD!$E417="","",(E418/(H418*I418)))</f>
        <v>549.78</v>
      </c>
      <c r="H418" s="34">
        <v>1</v>
      </c>
      <c r="I418" s="34">
        <v>1</v>
      </c>
    </row>
    <row r="419" spans="1:9" ht="15" customHeight="1">
      <c r="A419" s="27">
        <f t="shared" si="1"/>
        <v>18</v>
      </c>
      <c r="B419" s="94" t="s">
        <v>211</v>
      </c>
      <c r="C419" s="53" t="s">
        <v>13</v>
      </c>
      <c r="D419" s="95" t="s">
        <v>194</v>
      </c>
      <c r="E419" s="97">
        <v>357</v>
      </c>
      <c r="F419" s="86" t="s">
        <v>194</v>
      </c>
      <c r="G419" s="33">
        <f>IF(BD!$E418="","",(E419/(H419*I419)))</f>
        <v>357</v>
      </c>
      <c r="H419" s="34">
        <v>1</v>
      </c>
      <c r="I419" s="34">
        <v>1</v>
      </c>
    </row>
    <row r="420" spans="1:9" ht="15" customHeight="1">
      <c r="A420" s="27">
        <f t="shared" si="1"/>
        <v>19</v>
      </c>
      <c r="B420" s="94" t="s">
        <v>212</v>
      </c>
      <c r="C420" s="53" t="s">
        <v>13</v>
      </c>
      <c r="D420" s="95" t="s">
        <v>194</v>
      </c>
      <c r="E420" s="96">
        <v>998.41</v>
      </c>
      <c r="F420" s="86" t="s">
        <v>194</v>
      </c>
      <c r="G420" s="33">
        <f>IF(BD!$E419="","",(E420/(H420*I420)))</f>
        <v>998.41</v>
      </c>
      <c r="H420" s="34">
        <v>1</v>
      </c>
      <c r="I420" s="34">
        <v>1</v>
      </c>
    </row>
    <row r="421" spans="1:9" ht="15" customHeight="1">
      <c r="A421" s="27">
        <f t="shared" si="1"/>
        <v>20</v>
      </c>
      <c r="B421" s="94" t="s">
        <v>213</v>
      </c>
      <c r="C421" s="53" t="s">
        <v>13</v>
      </c>
      <c r="D421" s="98" t="s">
        <v>194</v>
      </c>
      <c r="E421" s="96">
        <v>898.45</v>
      </c>
      <c r="F421" s="99" t="s">
        <v>194</v>
      </c>
      <c r="G421" s="33">
        <f>IF(BD!$E420="","",(E421/(H421*I421)))</f>
        <v>898.45</v>
      </c>
      <c r="H421" s="34">
        <v>1</v>
      </c>
      <c r="I421" s="34">
        <v>1</v>
      </c>
    </row>
    <row r="422" spans="1:9" ht="15" customHeight="1">
      <c r="A422" s="27">
        <f t="shared" si="1"/>
        <v>21</v>
      </c>
      <c r="B422" s="94" t="s">
        <v>14</v>
      </c>
      <c r="C422" s="53" t="s">
        <v>13</v>
      </c>
      <c r="D422" s="100" t="s">
        <v>194</v>
      </c>
      <c r="E422" s="101">
        <v>1200</v>
      </c>
      <c r="F422" s="89" t="s">
        <v>194</v>
      </c>
      <c r="G422" s="33">
        <f>IF(BD!$E421="","",(E422/(H422*I422)))</f>
        <v>1200</v>
      </c>
      <c r="H422" s="90">
        <v>1</v>
      </c>
      <c r="I422" s="90">
        <v>1</v>
      </c>
    </row>
    <row r="423" spans="1:9" ht="15" customHeight="1">
      <c r="A423" s="27">
        <f t="shared" si="1"/>
        <v>22</v>
      </c>
      <c r="B423" s="102" t="s">
        <v>214</v>
      </c>
      <c r="C423" s="53" t="s">
        <v>13</v>
      </c>
      <c r="D423" s="98" t="s">
        <v>194</v>
      </c>
      <c r="E423" s="71">
        <v>1217</v>
      </c>
      <c r="F423" s="32" t="s">
        <v>194</v>
      </c>
      <c r="G423" s="33">
        <f>IF(BD!$E422="","",(E423/(H423*I423)))</f>
        <v>1217</v>
      </c>
      <c r="H423" s="34">
        <v>1</v>
      </c>
      <c r="I423" s="34">
        <v>1</v>
      </c>
    </row>
    <row r="424" spans="1:9" ht="15" customHeight="1">
      <c r="A424" s="27">
        <f t="shared" si="1"/>
        <v>23</v>
      </c>
      <c r="B424" s="83" t="s">
        <v>215</v>
      </c>
      <c r="C424" s="53" t="s">
        <v>13</v>
      </c>
      <c r="D424" s="92" t="s">
        <v>194</v>
      </c>
      <c r="E424" s="85">
        <v>759.22</v>
      </c>
      <c r="F424" s="86" t="s">
        <v>194</v>
      </c>
      <c r="G424" s="33">
        <f>IF(BD!$E423="","",(E424/(H424*I424)))</f>
        <v>759.22</v>
      </c>
      <c r="H424" s="34">
        <v>1</v>
      </c>
      <c r="I424" s="34">
        <v>1</v>
      </c>
    </row>
    <row r="425" spans="1:9" ht="15" customHeight="1">
      <c r="B425" s="209"/>
      <c r="C425" s="209"/>
    </row>
    <row r="426" spans="1:9" ht="15" customHeight="1">
      <c r="B426" s="209"/>
      <c r="C426" s="209"/>
    </row>
    <row r="427" spans="1:9" ht="15" customHeight="1">
      <c r="B427" s="209"/>
      <c r="C427" s="209"/>
    </row>
    <row r="428" spans="1:9" ht="15" customHeight="1">
      <c r="B428" s="209"/>
      <c r="C428" s="209"/>
    </row>
    <row r="429" spans="1:9" ht="15" customHeight="1">
      <c r="B429" s="209"/>
      <c r="C429" s="209"/>
    </row>
    <row r="430" spans="1:9" ht="15" customHeight="1">
      <c r="B430" s="209"/>
      <c r="C430" s="209"/>
    </row>
    <row r="431" spans="1:9" ht="15" customHeight="1">
      <c r="B431" s="209"/>
      <c r="C431" s="209"/>
    </row>
    <row r="432" spans="1:9" ht="15" customHeight="1">
      <c r="B432" s="209"/>
      <c r="C432" s="209"/>
    </row>
    <row r="433" spans="1:11" ht="15" customHeight="1">
      <c r="B433" s="209"/>
      <c r="C433" s="209"/>
    </row>
    <row r="434" spans="1:11" ht="15" customHeight="1">
      <c r="B434" s="209"/>
      <c r="C434" s="209"/>
    </row>
    <row r="435" spans="1:11" ht="15" customHeight="1">
      <c r="B435" s="209"/>
      <c r="C435" s="209"/>
    </row>
    <row r="436" spans="1:11" ht="15" customHeight="1">
      <c r="B436" s="209"/>
      <c r="C436" s="209"/>
    </row>
    <row r="437" spans="1:11" ht="15" customHeight="1">
      <c r="B437" s="209"/>
      <c r="C437" s="209"/>
    </row>
    <row r="438" spans="1:11" ht="15" customHeight="1">
      <c r="B438" s="209"/>
      <c r="C438" s="209"/>
    </row>
    <row r="439" spans="1:11" ht="15" customHeight="1">
      <c r="B439" s="209"/>
      <c r="C439" s="209"/>
    </row>
    <row r="440" spans="1:11" ht="15" customHeight="1">
      <c r="A440" s="209"/>
      <c r="B440" s="209"/>
      <c r="C440" s="209"/>
      <c r="D440"/>
      <c r="E440"/>
      <c r="F440" s="39"/>
      <c r="H440"/>
      <c r="I440"/>
    </row>
    <row r="441" spans="1:11" ht="15" customHeight="1">
      <c r="A441" s="9"/>
      <c r="B441" s="40" t="s">
        <v>71</v>
      </c>
      <c r="C441" s="9"/>
      <c r="D441" s="9"/>
      <c r="E441" s="9"/>
      <c r="F441" s="42"/>
      <c r="G441" s="9"/>
      <c r="H441" s="9"/>
      <c r="I441" s="9"/>
      <c r="J441" s="9"/>
    </row>
    <row r="442" spans="1:11" ht="15" customHeight="1">
      <c r="A442" s="209"/>
      <c r="B442" s="209"/>
      <c r="C442" s="209"/>
      <c r="D442"/>
      <c r="E442"/>
      <c r="F442" s="39"/>
      <c r="H442"/>
      <c r="I442"/>
    </row>
    <row r="443" spans="1:11" ht="21.75" customHeight="1">
      <c r="A443" s="103" t="s">
        <v>44</v>
      </c>
      <c r="B443" s="104">
        <f>SUBTOTAL(3,(B445:B865))</f>
        <v>421</v>
      </c>
      <c r="C443" s="300"/>
      <c r="D443" s="301"/>
      <c r="E443"/>
      <c r="F443" s="39"/>
      <c r="H443"/>
      <c r="I443"/>
    </row>
    <row r="444" spans="1:11" ht="15" customHeight="1">
      <c r="A444" s="21" t="s">
        <v>46</v>
      </c>
      <c r="B444" s="105" t="s">
        <v>47</v>
      </c>
      <c r="C444" s="106" t="s">
        <v>48</v>
      </c>
      <c r="D444" s="107" t="s">
        <v>49</v>
      </c>
      <c r="E444" s="51" t="s">
        <v>50</v>
      </c>
      <c r="F444" s="25" t="s">
        <v>51</v>
      </c>
      <c r="G444" s="23" t="s">
        <v>52</v>
      </c>
      <c r="H444" s="26" t="s">
        <v>53</v>
      </c>
      <c r="I444" s="111" t="s">
        <v>54</v>
      </c>
      <c r="J444" t="s">
        <v>55</v>
      </c>
      <c r="K444" t="s">
        <v>56</v>
      </c>
    </row>
    <row r="445" spans="1:11" ht="15" customHeight="1">
      <c r="A445" s="27">
        <v>1</v>
      </c>
      <c r="B445" s="108" t="s">
        <v>216</v>
      </c>
      <c r="C445" s="53" t="s">
        <v>31</v>
      </c>
      <c r="D445" s="30" t="s">
        <v>64</v>
      </c>
      <c r="E445" s="31">
        <v>304.64</v>
      </c>
      <c r="F445" s="32" t="s">
        <v>64</v>
      </c>
      <c r="G445" s="33">
        <f>IF(BD!$E444="","",(E445/(H445*I445)))</f>
        <v>304.64</v>
      </c>
      <c r="H445" s="34">
        <v>1</v>
      </c>
      <c r="I445" s="112">
        <v>1</v>
      </c>
    </row>
    <row r="446" spans="1:11" ht="15" customHeight="1">
      <c r="A446" s="27">
        <f t="shared" ref="A446:A509" si="2">A445+1</f>
        <v>2</v>
      </c>
      <c r="B446" s="108" t="s">
        <v>217</v>
      </c>
      <c r="C446" s="53" t="s">
        <v>31</v>
      </c>
      <c r="D446" s="30" t="s">
        <v>64</v>
      </c>
      <c r="E446" s="109">
        <v>3356</v>
      </c>
      <c r="F446" s="110" t="s">
        <v>64</v>
      </c>
      <c r="G446" s="33">
        <f>IF(BD!$E445="","",(E446/(H446*I446)))</f>
        <v>3356</v>
      </c>
      <c r="H446" s="34">
        <v>1</v>
      </c>
      <c r="I446" s="112">
        <v>1</v>
      </c>
    </row>
    <row r="447" spans="1:11" ht="15" customHeight="1">
      <c r="A447" s="27">
        <f t="shared" si="2"/>
        <v>3</v>
      </c>
      <c r="B447" s="108" t="s">
        <v>218</v>
      </c>
      <c r="C447" s="53" t="s">
        <v>31</v>
      </c>
      <c r="D447" s="30" t="s">
        <v>64</v>
      </c>
      <c r="E447" s="109">
        <v>304.64</v>
      </c>
      <c r="F447" s="110" t="s">
        <v>64</v>
      </c>
      <c r="G447" s="33">
        <f>IF(BD!$E446="","",(E447/(H447*I447)))</f>
        <v>304.64</v>
      </c>
      <c r="H447" s="34">
        <v>1</v>
      </c>
      <c r="I447" s="112">
        <v>1</v>
      </c>
    </row>
    <row r="448" spans="1:11" ht="15" customHeight="1">
      <c r="A448" s="27">
        <f t="shared" si="2"/>
        <v>4</v>
      </c>
      <c r="B448" s="108" t="s">
        <v>219</v>
      </c>
      <c r="C448" s="53" t="s">
        <v>31</v>
      </c>
      <c r="D448" s="30" t="s">
        <v>64</v>
      </c>
      <c r="E448" s="31">
        <v>304.64</v>
      </c>
      <c r="F448" s="32" t="s">
        <v>64</v>
      </c>
      <c r="G448" s="33">
        <f>IF(BD!$E447="","",(E448/(H448*I448)))</f>
        <v>304.64</v>
      </c>
      <c r="H448" s="34">
        <v>1</v>
      </c>
      <c r="I448" s="112">
        <v>1</v>
      </c>
    </row>
    <row r="449" spans="1:9" ht="15" customHeight="1">
      <c r="A449" s="27">
        <f t="shared" si="2"/>
        <v>5</v>
      </c>
      <c r="B449" s="108" t="s">
        <v>220</v>
      </c>
      <c r="C449" s="53" t="s">
        <v>31</v>
      </c>
      <c r="D449" s="30" t="s">
        <v>64</v>
      </c>
      <c r="E449" s="109">
        <v>304.64</v>
      </c>
      <c r="F449" s="110" t="s">
        <v>64</v>
      </c>
      <c r="G449" s="33">
        <f>IF(BD!$E448="","",(E449/(H449*I449)))</f>
        <v>304.64</v>
      </c>
      <c r="H449" s="34">
        <v>1</v>
      </c>
      <c r="I449" s="112">
        <v>1</v>
      </c>
    </row>
    <row r="450" spans="1:9" ht="15" customHeight="1">
      <c r="A450" s="27">
        <f t="shared" si="2"/>
        <v>6</v>
      </c>
      <c r="B450" s="108" t="s">
        <v>221</v>
      </c>
      <c r="C450" s="53" t="s">
        <v>31</v>
      </c>
      <c r="D450" s="30" t="s">
        <v>64</v>
      </c>
      <c r="E450" s="31">
        <v>304.64</v>
      </c>
      <c r="F450" s="32" t="s">
        <v>64</v>
      </c>
      <c r="G450" s="33">
        <f>IF(BD!$E449="","",(E450/(H450*I450)))</f>
        <v>304.64</v>
      </c>
      <c r="H450" s="34">
        <v>1</v>
      </c>
      <c r="I450" s="112">
        <v>1</v>
      </c>
    </row>
    <row r="451" spans="1:9" ht="15" customHeight="1">
      <c r="A451" s="27">
        <f t="shared" si="2"/>
        <v>7</v>
      </c>
      <c r="B451" s="108" t="s">
        <v>222</v>
      </c>
      <c r="C451" s="53" t="s">
        <v>31</v>
      </c>
      <c r="D451" s="30" t="s">
        <v>64</v>
      </c>
      <c r="E451" s="109">
        <v>304.64</v>
      </c>
      <c r="F451" s="110" t="s">
        <v>64</v>
      </c>
      <c r="G451" s="33">
        <f>IF(BD!$E450="","",(E451/(H451*I451)))</f>
        <v>304.64</v>
      </c>
      <c r="H451" s="34">
        <v>1</v>
      </c>
      <c r="I451" s="112">
        <v>1</v>
      </c>
    </row>
    <row r="452" spans="1:9" ht="15" customHeight="1">
      <c r="A452" s="27">
        <f t="shared" si="2"/>
        <v>8</v>
      </c>
      <c r="B452" s="108" t="s">
        <v>223</v>
      </c>
      <c r="C452" s="53" t="s">
        <v>31</v>
      </c>
      <c r="D452" s="30" t="s">
        <v>64</v>
      </c>
      <c r="E452" s="31">
        <v>304.64</v>
      </c>
      <c r="F452" s="32" t="s">
        <v>64</v>
      </c>
      <c r="G452" s="33">
        <f>IF(BD!$E451="","",(E452/(H452*I452)))</f>
        <v>304.64</v>
      </c>
      <c r="H452" s="34">
        <v>1</v>
      </c>
      <c r="I452" s="112">
        <v>1</v>
      </c>
    </row>
    <row r="453" spans="1:9" ht="15" customHeight="1">
      <c r="A453" s="27">
        <f t="shared" si="2"/>
        <v>9</v>
      </c>
      <c r="B453" s="28" t="s">
        <v>224</v>
      </c>
      <c r="C453" s="53" t="s">
        <v>31</v>
      </c>
      <c r="D453" s="30" t="s">
        <v>64</v>
      </c>
      <c r="E453" s="31">
        <v>304.64</v>
      </c>
      <c r="F453" s="32" t="s">
        <v>64</v>
      </c>
      <c r="G453" s="33">
        <f>IF(BD!$E452="","",(E453/(H453*I453)))</f>
        <v>304.64</v>
      </c>
      <c r="H453" s="34">
        <v>1</v>
      </c>
      <c r="I453" s="112">
        <v>1</v>
      </c>
    </row>
    <row r="454" spans="1:9" ht="15" customHeight="1">
      <c r="A454" s="27">
        <f t="shared" si="2"/>
        <v>10</v>
      </c>
      <c r="B454" s="28" t="s">
        <v>225</v>
      </c>
      <c r="C454" s="53" t="s">
        <v>31</v>
      </c>
      <c r="D454" s="30" t="s">
        <v>64</v>
      </c>
      <c r="E454" s="109">
        <v>304.64</v>
      </c>
      <c r="F454" s="110" t="s">
        <v>64</v>
      </c>
      <c r="G454" s="33">
        <f>IF(BD!$E453="","",(E454/(H454*I454)))</f>
        <v>304.64</v>
      </c>
      <c r="H454" s="34">
        <v>1</v>
      </c>
      <c r="I454" s="112">
        <v>1</v>
      </c>
    </row>
    <row r="455" spans="1:9" ht="15" customHeight="1">
      <c r="A455" s="27">
        <f t="shared" si="2"/>
        <v>11</v>
      </c>
      <c r="B455" s="28" t="s">
        <v>226</v>
      </c>
      <c r="C455" s="53" t="s">
        <v>31</v>
      </c>
      <c r="D455" s="30" t="s">
        <v>64</v>
      </c>
      <c r="E455" s="31">
        <v>2400</v>
      </c>
      <c r="F455" s="32" t="s">
        <v>64</v>
      </c>
      <c r="G455" s="33">
        <f>IF(BD!$E454="","",(E455/(H455*I455)))</f>
        <v>2400</v>
      </c>
      <c r="H455" s="34">
        <v>1</v>
      </c>
      <c r="I455" s="112">
        <v>1</v>
      </c>
    </row>
    <row r="456" spans="1:9" ht="15" customHeight="1">
      <c r="A456" s="27">
        <f t="shared" si="2"/>
        <v>12</v>
      </c>
      <c r="B456" s="28" t="s">
        <v>227</v>
      </c>
      <c r="C456" s="53" t="s">
        <v>31</v>
      </c>
      <c r="D456" s="30" t="s">
        <v>64</v>
      </c>
      <c r="E456" s="31">
        <v>2400</v>
      </c>
      <c r="F456" s="32" t="s">
        <v>64</v>
      </c>
      <c r="G456" s="33">
        <f>IF(BD!$E455="","",(E456/(H456*I456)))</f>
        <v>2400</v>
      </c>
      <c r="H456" s="34">
        <v>1</v>
      </c>
      <c r="I456" s="112">
        <v>1</v>
      </c>
    </row>
    <row r="457" spans="1:9" ht="15" customHeight="1">
      <c r="A457" s="27">
        <f t="shared" si="2"/>
        <v>13</v>
      </c>
      <c r="B457" s="28" t="s">
        <v>228</v>
      </c>
      <c r="C457" s="53" t="s">
        <v>31</v>
      </c>
      <c r="D457" s="30" t="s">
        <v>64</v>
      </c>
      <c r="E457" s="31">
        <v>2400</v>
      </c>
      <c r="F457" s="32" t="s">
        <v>64</v>
      </c>
      <c r="G457" s="33">
        <f>IF(BD!$E456="","",(E457/(H457*I457)))</f>
        <v>2400</v>
      </c>
      <c r="H457" s="34">
        <v>1</v>
      </c>
      <c r="I457" s="112">
        <v>1</v>
      </c>
    </row>
    <row r="458" spans="1:9" ht="15" customHeight="1">
      <c r="A458" s="27">
        <f t="shared" si="2"/>
        <v>14</v>
      </c>
      <c r="B458" s="28" t="s">
        <v>229</v>
      </c>
      <c r="C458" s="53" t="s">
        <v>31</v>
      </c>
      <c r="D458" s="30" t="s">
        <v>64</v>
      </c>
      <c r="E458" s="31">
        <v>2400</v>
      </c>
      <c r="F458" s="32" t="s">
        <v>64</v>
      </c>
      <c r="G458" s="33">
        <f>IF(BD!$E457="","",(E458/(H458*I458)))</f>
        <v>2400</v>
      </c>
      <c r="H458" s="34">
        <v>1</v>
      </c>
      <c r="I458" s="112">
        <v>1</v>
      </c>
    </row>
    <row r="459" spans="1:9" ht="15" customHeight="1">
      <c r="A459" s="27">
        <f t="shared" si="2"/>
        <v>15</v>
      </c>
      <c r="B459" s="28" t="s">
        <v>230</v>
      </c>
      <c r="C459" s="53" t="s">
        <v>31</v>
      </c>
      <c r="D459" s="30" t="s">
        <v>64</v>
      </c>
      <c r="E459" s="31">
        <v>2400</v>
      </c>
      <c r="F459" s="32" t="s">
        <v>64</v>
      </c>
      <c r="G459" s="33">
        <f>IF(BD!$E458="","",(E459/(H459*I459)))</f>
        <v>2400</v>
      </c>
      <c r="H459" s="34">
        <v>1</v>
      </c>
      <c r="I459" s="112">
        <v>1</v>
      </c>
    </row>
    <row r="460" spans="1:9" ht="15" customHeight="1">
      <c r="A460" s="27">
        <f t="shared" si="2"/>
        <v>16</v>
      </c>
      <c r="B460" s="28" t="s">
        <v>231</v>
      </c>
      <c r="C460" s="53" t="s">
        <v>31</v>
      </c>
      <c r="D460" s="30" t="s">
        <v>64</v>
      </c>
      <c r="E460" s="31">
        <v>2400</v>
      </c>
      <c r="F460" s="32" t="s">
        <v>64</v>
      </c>
      <c r="G460" s="33">
        <f>IF(BD!$E459="","",(E460/(H460*I460)))</f>
        <v>2400</v>
      </c>
      <c r="H460" s="34">
        <v>1</v>
      </c>
      <c r="I460" s="112">
        <v>1</v>
      </c>
    </row>
    <row r="461" spans="1:9" ht="15" customHeight="1">
      <c r="A461" s="27">
        <f t="shared" si="2"/>
        <v>17</v>
      </c>
      <c r="B461" s="28" t="s">
        <v>232</v>
      </c>
      <c r="C461" s="53" t="s">
        <v>31</v>
      </c>
      <c r="D461" s="30" t="s">
        <v>64</v>
      </c>
      <c r="E461" s="31">
        <v>304.64</v>
      </c>
      <c r="F461" s="110" t="s">
        <v>64</v>
      </c>
      <c r="G461" s="33">
        <f>IF(BD!$E460="","",(E461/(H461*I461)))</f>
        <v>304.64</v>
      </c>
      <c r="H461" s="34">
        <v>1</v>
      </c>
      <c r="I461" s="112">
        <v>1</v>
      </c>
    </row>
    <row r="462" spans="1:9" ht="15" customHeight="1">
      <c r="A462" s="27">
        <f t="shared" si="2"/>
        <v>18</v>
      </c>
      <c r="B462" s="28" t="s">
        <v>233</v>
      </c>
      <c r="C462" s="53" t="s">
        <v>31</v>
      </c>
      <c r="D462" s="30" t="s">
        <v>64</v>
      </c>
      <c r="E462" s="31">
        <v>304.64</v>
      </c>
      <c r="F462" s="32" t="s">
        <v>64</v>
      </c>
      <c r="G462" s="33">
        <f>IF(BD!$E461="","",(E462/(H462*I462)))</f>
        <v>304.64</v>
      </c>
      <c r="H462" s="34">
        <v>1</v>
      </c>
      <c r="I462" s="112">
        <v>1</v>
      </c>
    </row>
    <row r="463" spans="1:9" ht="15" customHeight="1">
      <c r="A463" s="27">
        <f t="shared" si="2"/>
        <v>19</v>
      </c>
      <c r="B463" s="28" t="s">
        <v>234</v>
      </c>
      <c r="C463" s="53" t="s">
        <v>31</v>
      </c>
      <c r="D463" s="30" t="s">
        <v>64</v>
      </c>
      <c r="E463" s="31">
        <v>304.64</v>
      </c>
      <c r="F463" s="32" t="s">
        <v>64</v>
      </c>
      <c r="G463" s="33">
        <f>IF(BD!$E462="","",(E463/(H463*I463)))</f>
        <v>304.64</v>
      </c>
      <c r="H463" s="34">
        <v>1</v>
      </c>
      <c r="I463" s="112">
        <v>1</v>
      </c>
    </row>
    <row r="464" spans="1:9" ht="15" customHeight="1">
      <c r="A464" s="27">
        <f t="shared" si="2"/>
        <v>20</v>
      </c>
      <c r="B464" s="28" t="s">
        <v>235</v>
      </c>
      <c r="C464" s="53" t="s">
        <v>31</v>
      </c>
      <c r="D464" s="30" t="s">
        <v>64</v>
      </c>
      <c r="E464" s="31">
        <v>304.64</v>
      </c>
      <c r="F464" s="32" t="s">
        <v>64</v>
      </c>
      <c r="G464" s="33">
        <f>IF(BD!$E463="","",(E464/(H464*I464)))</f>
        <v>304.64</v>
      </c>
      <c r="H464" s="34">
        <v>1</v>
      </c>
      <c r="I464" s="112">
        <v>1</v>
      </c>
    </row>
    <row r="465" spans="1:9" ht="15" customHeight="1">
      <c r="A465" s="27">
        <f t="shared" si="2"/>
        <v>21</v>
      </c>
      <c r="B465" s="28" t="s">
        <v>236</v>
      </c>
      <c r="C465" s="53" t="s">
        <v>31</v>
      </c>
      <c r="D465" s="30" t="s">
        <v>64</v>
      </c>
      <c r="E465" s="31">
        <v>304.64</v>
      </c>
      <c r="F465" s="32" t="s">
        <v>64</v>
      </c>
      <c r="G465" s="33">
        <f>IF(BD!$E464="","",(E465/(H465*I465)))</f>
        <v>304.64</v>
      </c>
      <c r="H465" s="34">
        <v>1</v>
      </c>
      <c r="I465" s="112">
        <v>1</v>
      </c>
    </row>
    <row r="466" spans="1:9" ht="15" customHeight="1">
      <c r="A466" s="27">
        <f t="shared" si="2"/>
        <v>22</v>
      </c>
      <c r="B466" s="28" t="s">
        <v>237</v>
      </c>
      <c r="C466" s="53" t="s">
        <v>31</v>
      </c>
      <c r="D466" s="30" t="s">
        <v>64</v>
      </c>
      <c r="E466" s="109">
        <v>304.64</v>
      </c>
      <c r="F466" s="110" t="s">
        <v>64</v>
      </c>
      <c r="G466" s="33">
        <f>IF(BD!$E465="","",(E466/(H466*I466)))</f>
        <v>304.64</v>
      </c>
      <c r="H466" s="34">
        <v>1</v>
      </c>
      <c r="I466" s="112">
        <v>1</v>
      </c>
    </row>
    <row r="467" spans="1:9" ht="15" customHeight="1">
      <c r="A467" s="27">
        <f t="shared" si="2"/>
        <v>23</v>
      </c>
      <c r="B467" s="28" t="s">
        <v>238</v>
      </c>
      <c r="C467" s="53" t="s">
        <v>31</v>
      </c>
      <c r="D467" s="30" t="s">
        <v>64</v>
      </c>
      <c r="E467" s="31">
        <v>304.64</v>
      </c>
      <c r="F467" s="32" t="s">
        <v>64</v>
      </c>
      <c r="G467" s="33">
        <f>IF(BD!$E466="","",(E467/(H467*I467)))</f>
        <v>304.64</v>
      </c>
      <c r="H467" s="34">
        <v>1</v>
      </c>
      <c r="I467" s="112">
        <v>1</v>
      </c>
    </row>
    <row r="468" spans="1:9" ht="15" customHeight="1">
      <c r="A468" s="27">
        <f t="shared" si="2"/>
        <v>24</v>
      </c>
      <c r="B468" s="28" t="s">
        <v>239</v>
      </c>
      <c r="C468" s="53" t="s">
        <v>31</v>
      </c>
      <c r="D468" s="30" t="s">
        <v>64</v>
      </c>
      <c r="E468" s="31">
        <v>304.64</v>
      </c>
      <c r="F468" s="32" t="s">
        <v>64</v>
      </c>
      <c r="G468" s="33">
        <f>IF(BD!$E467="","",(E468/(H468*I468)))</f>
        <v>304.64</v>
      </c>
      <c r="H468" s="34">
        <v>1</v>
      </c>
      <c r="I468" s="112">
        <v>1</v>
      </c>
    </row>
    <row r="469" spans="1:9" ht="15" customHeight="1">
      <c r="A469" s="27">
        <f t="shared" si="2"/>
        <v>25</v>
      </c>
      <c r="B469" s="28" t="s">
        <v>240</v>
      </c>
      <c r="C469" s="53" t="s">
        <v>31</v>
      </c>
      <c r="D469" s="30" t="s">
        <v>64</v>
      </c>
      <c r="E469" s="31">
        <v>304.64</v>
      </c>
      <c r="F469" s="32" t="s">
        <v>64</v>
      </c>
      <c r="G469" s="33">
        <f>IF(BD!$E468="","",(E469/(H469*I469)))</f>
        <v>304.64</v>
      </c>
      <c r="H469" s="34">
        <v>1</v>
      </c>
      <c r="I469" s="112">
        <v>1</v>
      </c>
    </row>
    <row r="470" spans="1:9" ht="15" customHeight="1">
      <c r="A470" s="27">
        <f t="shared" si="2"/>
        <v>26</v>
      </c>
      <c r="B470" s="28" t="s">
        <v>241</v>
      </c>
      <c r="C470" s="53" t="s">
        <v>31</v>
      </c>
      <c r="D470" s="30" t="s">
        <v>64</v>
      </c>
      <c r="E470" s="31">
        <v>304.64</v>
      </c>
      <c r="F470" s="32" t="s">
        <v>64</v>
      </c>
      <c r="G470" s="33">
        <f>IF(BD!$E469="","",(E470/(H470*I470)))</f>
        <v>304.64</v>
      </c>
      <c r="H470" s="34">
        <v>1</v>
      </c>
      <c r="I470" s="112">
        <v>1</v>
      </c>
    </row>
    <row r="471" spans="1:9" ht="15" customHeight="1">
      <c r="A471" s="27">
        <f t="shared" si="2"/>
        <v>27</v>
      </c>
      <c r="B471" s="28" t="s">
        <v>242</v>
      </c>
      <c r="C471" s="53" t="s">
        <v>31</v>
      </c>
      <c r="D471" s="30" t="s">
        <v>64</v>
      </c>
      <c r="E471" s="31">
        <v>304.64</v>
      </c>
      <c r="F471" s="32" t="s">
        <v>64</v>
      </c>
      <c r="G471" s="33">
        <f>IF(BD!$E470="","",(E471/(H471*I471)))</f>
        <v>304.64</v>
      </c>
      <c r="H471" s="34">
        <v>1</v>
      </c>
      <c r="I471" s="112">
        <v>1</v>
      </c>
    </row>
    <row r="472" spans="1:9" ht="15" customHeight="1">
      <c r="A472" s="27">
        <f t="shared" si="2"/>
        <v>28</v>
      </c>
      <c r="B472" s="28" t="s">
        <v>243</v>
      </c>
      <c r="C472" s="53" t="s">
        <v>31</v>
      </c>
      <c r="D472" s="30" t="s">
        <v>64</v>
      </c>
      <c r="E472" s="31">
        <v>304.64</v>
      </c>
      <c r="F472" s="32" t="s">
        <v>64</v>
      </c>
      <c r="G472" s="33">
        <f>IF(BD!$E471="","",(E472/(H472*I472)))</f>
        <v>304.64</v>
      </c>
      <c r="H472" s="34">
        <v>1</v>
      </c>
      <c r="I472" s="112">
        <v>1</v>
      </c>
    </row>
    <row r="473" spans="1:9" ht="15" customHeight="1">
      <c r="A473" s="27">
        <f t="shared" si="2"/>
        <v>29</v>
      </c>
      <c r="B473" s="28" t="s">
        <v>244</v>
      </c>
      <c r="C473" s="53" t="s">
        <v>31</v>
      </c>
      <c r="D473" s="30" t="s">
        <v>64</v>
      </c>
      <c r="E473" s="31">
        <v>304.64</v>
      </c>
      <c r="F473" s="32" t="s">
        <v>64</v>
      </c>
      <c r="G473" s="33">
        <f>IF(BD!$E472="","",(E473/(H473*I473)))</f>
        <v>304.64</v>
      </c>
      <c r="H473" s="34">
        <v>1</v>
      </c>
      <c r="I473" s="112">
        <v>1</v>
      </c>
    </row>
    <row r="474" spans="1:9" ht="15" customHeight="1">
      <c r="A474" s="27">
        <f t="shared" si="2"/>
        <v>30</v>
      </c>
      <c r="B474" s="28" t="s">
        <v>245</v>
      </c>
      <c r="C474" s="53" t="s">
        <v>31</v>
      </c>
      <c r="D474" s="30" t="s">
        <v>64</v>
      </c>
      <c r="E474" s="31">
        <v>304.64</v>
      </c>
      <c r="F474" s="32" t="s">
        <v>64</v>
      </c>
      <c r="G474" s="33">
        <f>IF(BD!$E473="","",(E474/(H474*I474)))</f>
        <v>304.64</v>
      </c>
      <c r="H474" s="34">
        <v>1</v>
      </c>
      <c r="I474" s="112">
        <v>1</v>
      </c>
    </row>
    <row r="475" spans="1:9" ht="15" customHeight="1">
      <c r="A475" s="27">
        <f t="shared" si="2"/>
        <v>31</v>
      </c>
      <c r="B475" s="28" t="s">
        <v>246</v>
      </c>
      <c r="C475" s="53" t="s">
        <v>31</v>
      </c>
      <c r="D475" s="30" t="s">
        <v>64</v>
      </c>
      <c r="E475" s="109">
        <v>304.64</v>
      </c>
      <c r="F475" s="110" t="s">
        <v>64</v>
      </c>
      <c r="G475" s="33">
        <f>IF(BD!$E474="","",(E475/(H475*I475)))</f>
        <v>304.64</v>
      </c>
      <c r="H475" s="34">
        <v>1</v>
      </c>
      <c r="I475" s="112">
        <v>1</v>
      </c>
    </row>
    <row r="476" spans="1:9" ht="15" customHeight="1">
      <c r="A476" s="27">
        <f t="shared" si="2"/>
        <v>32</v>
      </c>
      <c r="B476" s="28" t="s">
        <v>247</v>
      </c>
      <c r="C476" s="53" t="s">
        <v>31</v>
      </c>
      <c r="D476" s="30" t="s">
        <v>64</v>
      </c>
      <c r="E476" s="31">
        <v>304.64</v>
      </c>
      <c r="F476" s="32" t="s">
        <v>64</v>
      </c>
      <c r="G476" s="33">
        <f>IF(BD!$E475="","",(E476/(H476*I476)))</f>
        <v>304.64</v>
      </c>
      <c r="H476" s="34">
        <v>1</v>
      </c>
      <c r="I476" s="112">
        <v>1</v>
      </c>
    </row>
    <row r="477" spans="1:9" ht="15" customHeight="1">
      <c r="A477" s="27">
        <f t="shared" si="2"/>
        <v>33</v>
      </c>
      <c r="B477" s="28" t="s">
        <v>248</v>
      </c>
      <c r="C477" s="53" t="s">
        <v>31</v>
      </c>
      <c r="D477" s="30" t="s">
        <v>64</v>
      </c>
      <c r="E477" s="31">
        <v>3356</v>
      </c>
      <c r="F477" s="32" t="s">
        <v>64</v>
      </c>
      <c r="G477" s="33">
        <f>IF(BD!$E476="","",(E477/(H477*I477)))</f>
        <v>3356</v>
      </c>
      <c r="H477" s="34">
        <v>1</v>
      </c>
      <c r="I477" s="112">
        <v>1</v>
      </c>
    </row>
    <row r="478" spans="1:9" ht="15" customHeight="1">
      <c r="A478" s="27">
        <f t="shared" si="2"/>
        <v>34</v>
      </c>
      <c r="B478" s="28" t="s">
        <v>249</v>
      </c>
      <c r="C478" s="53" t="s">
        <v>31</v>
      </c>
      <c r="D478" s="30" t="s">
        <v>64</v>
      </c>
      <c r="E478" s="31">
        <v>3356</v>
      </c>
      <c r="F478" s="32" t="s">
        <v>64</v>
      </c>
      <c r="G478" s="33">
        <f>IF(BD!$E477="","",(E478/(H478*I478)))</f>
        <v>3356</v>
      </c>
      <c r="H478" s="34">
        <v>1</v>
      </c>
      <c r="I478" s="112">
        <v>1</v>
      </c>
    </row>
    <row r="479" spans="1:9" ht="15" customHeight="1">
      <c r="A479" s="27">
        <f t="shared" si="2"/>
        <v>35</v>
      </c>
      <c r="B479" s="28" t="s">
        <v>250</v>
      </c>
      <c r="C479" s="53" t="s">
        <v>31</v>
      </c>
      <c r="D479" s="30" t="s">
        <v>64</v>
      </c>
      <c r="E479" s="31">
        <v>3356</v>
      </c>
      <c r="F479" s="32" t="s">
        <v>64</v>
      </c>
      <c r="G479" s="33">
        <f>IF(BD!$E478="","",(E479/(H479*I479)))</f>
        <v>3356</v>
      </c>
      <c r="H479" s="34">
        <v>1</v>
      </c>
      <c r="I479" s="112">
        <v>1</v>
      </c>
    </row>
    <row r="480" spans="1:9" ht="15" customHeight="1">
      <c r="A480" s="27">
        <f t="shared" si="2"/>
        <v>36</v>
      </c>
      <c r="B480" s="28" t="s">
        <v>251</v>
      </c>
      <c r="C480" s="53" t="s">
        <v>31</v>
      </c>
      <c r="D480" s="30" t="s">
        <v>64</v>
      </c>
      <c r="E480" s="31">
        <v>3356</v>
      </c>
      <c r="F480" s="32" t="s">
        <v>64</v>
      </c>
      <c r="G480" s="33">
        <f>IF(BD!$E479="","",(E480/(H480*I480)))</f>
        <v>3356</v>
      </c>
      <c r="H480" s="34">
        <v>1</v>
      </c>
      <c r="I480" s="112">
        <v>1</v>
      </c>
    </row>
    <row r="481" spans="1:9" ht="15" customHeight="1">
      <c r="A481" s="27">
        <f t="shared" si="2"/>
        <v>37</v>
      </c>
      <c r="B481" s="28" t="s">
        <v>252</v>
      </c>
      <c r="C481" s="53" t="s">
        <v>31</v>
      </c>
      <c r="D481" s="30" t="s">
        <v>64</v>
      </c>
      <c r="E481" s="31">
        <v>3356</v>
      </c>
      <c r="F481" s="32" t="s">
        <v>64</v>
      </c>
      <c r="G481" s="33">
        <f>IF(BD!$E480="","",(E481/(H481*I481)))</f>
        <v>3356</v>
      </c>
      <c r="H481" s="34">
        <v>1</v>
      </c>
      <c r="I481" s="112">
        <v>1</v>
      </c>
    </row>
    <row r="482" spans="1:9" ht="15" customHeight="1">
      <c r="A482" s="27">
        <f t="shared" si="2"/>
        <v>38</v>
      </c>
      <c r="B482" s="28" t="s">
        <v>253</v>
      </c>
      <c r="C482" s="53" t="s">
        <v>31</v>
      </c>
      <c r="D482" s="30" t="s">
        <v>64</v>
      </c>
      <c r="E482" s="31">
        <v>3356</v>
      </c>
      <c r="F482" s="32" t="s">
        <v>64</v>
      </c>
      <c r="G482" s="33">
        <f>IF(BD!$E481="","",(E482/(H482*I482)))</f>
        <v>3356</v>
      </c>
      <c r="H482" s="34">
        <v>1</v>
      </c>
      <c r="I482" s="112">
        <v>1</v>
      </c>
    </row>
    <row r="483" spans="1:9" ht="15" customHeight="1">
      <c r="A483" s="27">
        <f t="shared" si="2"/>
        <v>39</v>
      </c>
      <c r="B483" s="28" t="s">
        <v>254</v>
      </c>
      <c r="C483" s="53" t="s">
        <v>31</v>
      </c>
      <c r="D483" s="30" t="s">
        <v>64</v>
      </c>
      <c r="E483" s="31">
        <v>3356</v>
      </c>
      <c r="F483" s="32" t="s">
        <v>64</v>
      </c>
      <c r="G483" s="33">
        <f>IF(BD!$E482="","",(E483/(H483*I483)))</f>
        <v>3356</v>
      </c>
      <c r="H483" s="34">
        <v>1</v>
      </c>
      <c r="I483" s="112">
        <v>1</v>
      </c>
    </row>
    <row r="484" spans="1:9" ht="15" customHeight="1">
      <c r="A484" s="27">
        <f t="shared" si="2"/>
        <v>40</v>
      </c>
      <c r="B484" s="28" t="s">
        <v>255</v>
      </c>
      <c r="C484" s="53" t="s">
        <v>31</v>
      </c>
      <c r="D484" s="30" t="s">
        <v>64</v>
      </c>
      <c r="E484" s="31">
        <v>3356</v>
      </c>
      <c r="F484" s="32" t="s">
        <v>64</v>
      </c>
      <c r="G484" s="33">
        <f>IF(BD!$E483="","",(E484/(H484*I484)))</f>
        <v>3356</v>
      </c>
      <c r="H484" s="34">
        <v>1</v>
      </c>
      <c r="I484" s="112">
        <v>1</v>
      </c>
    </row>
    <row r="485" spans="1:9" ht="15" customHeight="1">
      <c r="A485" s="27">
        <f t="shared" si="2"/>
        <v>41</v>
      </c>
      <c r="B485" s="28" t="s">
        <v>256</v>
      </c>
      <c r="C485" s="53" t="s">
        <v>31</v>
      </c>
      <c r="D485" s="30" t="s">
        <v>64</v>
      </c>
      <c r="E485" s="31">
        <v>3356</v>
      </c>
      <c r="F485" s="32" t="s">
        <v>64</v>
      </c>
      <c r="G485" s="33">
        <f>IF(BD!$E484="","",(E485/(H485*I485)))</f>
        <v>3356</v>
      </c>
      <c r="H485" s="34">
        <v>1</v>
      </c>
      <c r="I485" s="112">
        <v>1</v>
      </c>
    </row>
    <row r="486" spans="1:9" ht="15" customHeight="1">
      <c r="A486" s="27">
        <f t="shared" si="2"/>
        <v>42</v>
      </c>
      <c r="B486" s="28" t="s">
        <v>257</v>
      </c>
      <c r="C486" s="53" t="s">
        <v>31</v>
      </c>
      <c r="D486" s="30" t="s">
        <v>64</v>
      </c>
      <c r="E486" s="31">
        <v>3356</v>
      </c>
      <c r="F486" s="32" t="s">
        <v>64</v>
      </c>
      <c r="G486" s="33">
        <f>IF(BD!$E485="","",(E486/(H486*I486)))</f>
        <v>3356</v>
      </c>
      <c r="H486" s="34">
        <v>1</v>
      </c>
      <c r="I486" s="112">
        <v>1</v>
      </c>
    </row>
    <row r="487" spans="1:9" ht="15" customHeight="1">
      <c r="A487" s="27">
        <f t="shared" si="2"/>
        <v>43</v>
      </c>
      <c r="B487" s="28" t="s">
        <v>258</v>
      </c>
      <c r="C487" s="53" t="s">
        <v>31</v>
      </c>
      <c r="D487" s="30" t="s">
        <v>64</v>
      </c>
      <c r="E487" s="31">
        <v>3356</v>
      </c>
      <c r="F487" s="32" t="s">
        <v>64</v>
      </c>
      <c r="G487" s="33">
        <f>IF(BD!$E486="","",(E487/(H487*I487)))</f>
        <v>3356</v>
      </c>
      <c r="H487" s="34">
        <v>1</v>
      </c>
      <c r="I487" s="112">
        <v>1</v>
      </c>
    </row>
    <row r="488" spans="1:9" ht="15" customHeight="1">
      <c r="A488" s="27">
        <f t="shared" si="2"/>
        <v>44</v>
      </c>
      <c r="B488" s="28" t="s">
        <v>259</v>
      </c>
      <c r="C488" s="53" t="s">
        <v>31</v>
      </c>
      <c r="D488" s="30" t="s">
        <v>64</v>
      </c>
      <c r="E488" s="31">
        <v>1537.48</v>
      </c>
      <c r="F488" s="32" t="s">
        <v>64</v>
      </c>
      <c r="G488" s="33">
        <f>IF(BD!$E487="","",(E488/(H488*I488)))</f>
        <v>1537.48</v>
      </c>
      <c r="H488" s="34">
        <v>1</v>
      </c>
      <c r="I488" s="112">
        <v>1</v>
      </c>
    </row>
    <row r="489" spans="1:9" ht="15" customHeight="1">
      <c r="A489" s="27">
        <f t="shared" si="2"/>
        <v>45</v>
      </c>
      <c r="B489" s="28" t="s">
        <v>260</v>
      </c>
      <c r="C489" s="53" t="s">
        <v>31</v>
      </c>
      <c r="D489" s="30" t="s">
        <v>64</v>
      </c>
      <c r="E489" s="109">
        <v>1537.48</v>
      </c>
      <c r="F489" s="32" t="s">
        <v>64</v>
      </c>
      <c r="G489" s="33">
        <f>IF(BD!$E488="","",(E489/(H489*I489)))</f>
        <v>1537.48</v>
      </c>
      <c r="H489" s="34">
        <v>1</v>
      </c>
      <c r="I489" s="112">
        <v>1</v>
      </c>
    </row>
    <row r="490" spans="1:9" ht="15" customHeight="1">
      <c r="A490" s="27">
        <f t="shared" si="2"/>
        <v>46</v>
      </c>
      <c r="B490" s="28" t="s">
        <v>261</v>
      </c>
      <c r="C490" s="53" t="s">
        <v>31</v>
      </c>
      <c r="D490" s="30" t="s">
        <v>64</v>
      </c>
      <c r="E490" s="31">
        <v>1537.48</v>
      </c>
      <c r="F490" s="32" t="s">
        <v>64</v>
      </c>
      <c r="G490" s="33">
        <f>IF(BD!$E489="","",(E490/(H490*I490)))</f>
        <v>1537.48</v>
      </c>
      <c r="H490" s="34">
        <v>1</v>
      </c>
      <c r="I490" s="112">
        <v>1</v>
      </c>
    </row>
    <row r="491" spans="1:9" ht="15" customHeight="1">
      <c r="A491" s="27">
        <f t="shared" si="2"/>
        <v>47</v>
      </c>
      <c r="B491" s="28" t="s">
        <v>262</v>
      </c>
      <c r="C491" s="53" t="s">
        <v>31</v>
      </c>
      <c r="D491" s="30" t="s">
        <v>64</v>
      </c>
      <c r="E491" s="31">
        <v>1537.48</v>
      </c>
      <c r="F491" s="32" t="s">
        <v>64</v>
      </c>
      <c r="G491" s="33">
        <f>IF(BD!$E490="","",(E491/(H491*I491)))</f>
        <v>1537.48</v>
      </c>
      <c r="H491" s="34">
        <v>1</v>
      </c>
      <c r="I491" s="112">
        <v>1</v>
      </c>
    </row>
    <row r="492" spans="1:9" ht="15" customHeight="1">
      <c r="A492" s="27">
        <f t="shared" si="2"/>
        <v>48</v>
      </c>
      <c r="B492" s="113" t="s">
        <v>263</v>
      </c>
      <c r="C492" s="53" t="s">
        <v>31</v>
      </c>
      <c r="D492" s="30" t="s">
        <v>64</v>
      </c>
      <c r="E492" s="109">
        <v>1537.48</v>
      </c>
      <c r="F492" s="110" t="s">
        <v>64</v>
      </c>
      <c r="G492" s="33">
        <f>IF(BD!$E491="","",(E492/(H492*I492)))</f>
        <v>1537.48</v>
      </c>
      <c r="H492" s="34">
        <v>1</v>
      </c>
      <c r="I492" s="112">
        <v>1</v>
      </c>
    </row>
    <row r="493" spans="1:9" ht="15" customHeight="1">
      <c r="A493" s="27">
        <f t="shared" si="2"/>
        <v>49</v>
      </c>
      <c r="B493" s="28" t="s">
        <v>264</v>
      </c>
      <c r="C493" s="53" t="s">
        <v>31</v>
      </c>
      <c r="D493" s="30" t="s">
        <v>64</v>
      </c>
      <c r="E493" s="109">
        <v>2727.48</v>
      </c>
      <c r="F493" s="32" t="s">
        <v>64</v>
      </c>
      <c r="G493" s="33">
        <f>IF(BD!$E492="","",(E493/(H493*I493)))</f>
        <v>2727.48</v>
      </c>
      <c r="H493" s="34">
        <v>1</v>
      </c>
      <c r="I493" s="112">
        <v>1</v>
      </c>
    </row>
    <row r="494" spans="1:9" ht="15" customHeight="1">
      <c r="A494" s="27">
        <f t="shared" si="2"/>
        <v>50</v>
      </c>
      <c r="B494" s="113" t="s">
        <v>265</v>
      </c>
      <c r="C494" s="53" t="s">
        <v>31</v>
      </c>
      <c r="D494" s="30" t="s">
        <v>64</v>
      </c>
      <c r="E494" s="109">
        <v>1537.48</v>
      </c>
      <c r="F494" s="110" t="s">
        <v>64</v>
      </c>
      <c r="G494" s="33">
        <f>IF(BD!$E493="","",(E494/(H494*I494)))</f>
        <v>1537.48</v>
      </c>
      <c r="H494" s="34">
        <v>1</v>
      </c>
      <c r="I494" s="112">
        <v>1</v>
      </c>
    </row>
    <row r="495" spans="1:9" ht="15" customHeight="1">
      <c r="A495" s="27">
        <f t="shared" si="2"/>
        <v>51</v>
      </c>
      <c r="B495" s="113" t="s">
        <v>266</v>
      </c>
      <c r="C495" s="53" t="s">
        <v>31</v>
      </c>
      <c r="D495" s="30" t="s">
        <v>64</v>
      </c>
      <c r="E495" s="109">
        <v>11057</v>
      </c>
      <c r="F495" s="110" t="s">
        <v>64</v>
      </c>
      <c r="G495" s="33">
        <f>IF(BD!$E494="","",(E495/(H495*I495)))</f>
        <v>11057</v>
      </c>
      <c r="H495" s="34">
        <v>1</v>
      </c>
      <c r="I495" s="112">
        <v>1</v>
      </c>
    </row>
    <row r="496" spans="1:9" ht="15" customHeight="1">
      <c r="A496" s="27">
        <f t="shared" si="2"/>
        <v>52</v>
      </c>
      <c r="B496" s="113" t="s">
        <v>267</v>
      </c>
      <c r="C496" s="53" t="s">
        <v>31</v>
      </c>
      <c r="D496" s="30" t="s">
        <v>64</v>
      </c>
      <c r="E496" s="109">
        <v>11057</v>
      </c>
      <c r="F496" s="110" t="s">
        <v>64</v>
      </c>
      <c r="G496" s="33">
        <f>IF(BD!$E495="","",(E496/(H496*I496)))</f>
        <v>11057</v>
      </c>
      <c r="H496" s="34">
        <v>1</v>
      </c>
      <c r="I496" s="112">
        <v>1</v>
      </c>
    </row>
    <row r="497" spans="1:9" ht="15" customHeight="1">
      <c r="A497" s="27">
        <f t="shared" si="2"/>
        <v>53</v>
      </c>
      <c r="B497" s="113" t="s">
        <v>268</v>
      </c>
      <c r="C497" s="53" t="s">
        <v>31</v>
      </c>
      <c r="D497" s="30" t="s">
        <v>64</v>
      </c>
      <c r="E497" s="109">
        <v>375</v>
      </c>
      <c r="F497" s="110" t="s">
        <v>64</v>
      </c>
      <c r="G497" s="33">
        <f>IF(BD!$E496="","",(E497/(H497*I497)))</f>
        <v>375</v>
      </c>
      <c r="H497" s="34">
        <v>1</v>
      </c>
      <c r="I497" s="112">
        <v>1</v>
      </c>
    </row>
    <row r="498" spans="1:9" ht="15" customHeight="1">
      <c r="A498" s="27">
        <f t="shared" si="2"/>
        <v>54</v>
      </c>
      <c r="B498" s="113" t="s">
        <v>269</v>
      </c>
      <c r="C498" s="53" t="s">
        <v>31</v>
      </c>
      <c r="D498" s="30" t="s">
        <v>64</v>
      </c>
      <c r="E498" s="109">
        <v>1006.66666666667</v>
      </c>
      <c r="F498" s="110" t="s">
        <v>64</v>
      </c>
      <c r="G498" s="33">
        <f>IF(BD!$E497="","",(E498/(H498*I498)))</f>
        <v>1006.66666666667</v>
      </c>
      <c r="H498" s="34">
        <v>1</v>
      </c>
      <c r="I498" s="112">
        <v>1</v>
      </c>
    </row>
    <row r="499" spans="1:9" ht="15" customHeight="1">
      <c r="A499" s="27">
        <f t="shared" si="2"/>
        <v>55</v>
      </c>
      <c r="B499" s="113" t="s">
        <v>270</v>
      </c>
      <c r="C499" s="53" t="s">
        <v>31</v>
      </c>
      <c r="D499" s="30" t="s">
        <v>64</v>
      </c>
      <c r="E499" s="109">
        <v>375</v>
      </c>
      <c r="F499" s="110" t="s">
        <v>64</v>
      </c>
      <c r="G499" s="33">
        <f>IF(BD!$E498="","",(E499/(H499*I499)))</f>
        <v>375</v>
      </c>
      <c r="H499" s="34">
        <v>1</v>
      </c>
      <c r="I499" s="112">
        <v>1</v>
      </c>
    </row>
    <row r="500" spans="1:9" ht="15" customHeight="1">
      <c r="A500" s="27">
        <f t="shared" si="2"/>
        <v>56</v>
      </c>
      <c r="B500" s="113" t="s">
        <v>271</v>
      </c>
      <c r="C500" s="53" t="s">
        <v>31</v>
      </c>
      <c r="D500" s="30" t="s">
        <v>64</v>
      </c>
      <c r="E500" s="109">
        <v>375</v>
      </c>
      <c r="F500" s="110" t="s">
        <v>64</v>
      </c>
      <c r="G500" s="33">
        <f>IF(BD!$E499="","",(E500/(H500*I500)))</f>
        <v>375</v>
      </c>
      <c r="H500" s="34">
        <v>1</v>
      </c>
      <c r="I500" s="112">
        <v>1</v>
      </c>
    </row>
    <row r="501" spans="1:9" ht="15" customHeight="1">
      <c r="A501" s="27">
        <f t="shared" si="2"/>
        <v>57</v>
      </c>
      <c r="B501" s="113" t="s">
        <v>272</v>
      </c>
      <c r="C501" s="53" t="s">
        <v>31</v>
      </c>
      <c r="D501" s="30" t="s">
        <v>64</v>
      </c>
      <c r="E501" s="109">
        <v>177.31</v>
      </c>
      <c r="F501" s="110" t="s">
        <v>64</v>
      </c>
      <c r="G501" s="33">
        <f>IF(BD!$E500="","",(E501/(H501*I501)))</f>
        <v>177.31</v>
      </c>
      <c r="H501" s="34">
        <v>1</v>
      </c>
      <c r="I501" s="112">
        <v>1</v>
      </c>
    </row>
    <row r="502" spans="1:9" ht="15" customHeight="1">
      <c r="A502" s="27">
        <f t="shared" si="2"/>
        <v>58</v>
      </c>
      <c r="B502" s="113" t="s">
        <v>273</v>
      </c>
      <c r="C502" s="53" t="s">
        <v>31</v>
      </c>
      <c r="D502" s="30" t="s">
        <v>64</v>
      </c>
      <c r="E502" s="109">
        <v>177.31</v>
      </c>
      <c r="F502" s="110" t="s">
        <v>64</v>
      </c>
      <c r="G502" s="33">
        <f>IF(BD!$E501="","",(E502/(H502*I502)))</f>
        <v>177.31</v>
      </c>
      <c r="H502" s="34">
        <v>1</v>
      </c>
      <c r="I502" s="112">
        <v>1</v>
      </c>
    </row>
    <row r="503" spans="1:9" ht="15" customHeight="1">
      <c r="A503" s="27">
        <f t="shared" si="2"/>
        <v>59</v>
      </c>
      <c r="B503" s="113" t="s">
        <v>274</v>
      </c>
      <c r="C503" s="53" t="s">
        <v>31</v>
      </c>
      <c r="D503" s="30" t="s">
        <v>64</v>
      </c>
      <c r="E503" s="109">
        <v>177.31</v>
      </c>
      <c r="F503" s="110" t="s">
        <v>64</v>
      </c>
      <c r="G503" s="33">
        <f>IF(BD!$E502="","",(E503/(H503*I503)))</f>
        <v>177.31</v>
      </c>
      <c r="H503" s="34">
        <v>1</v>
      </c>
      <c r="I503" s="112">
        <v>1</v>
      </c>
    </row>
    <row r="504" spans="1:9" ht="15" customHeight="1">
      <c r="A504" s="27">
        <f t="shared" si="2"/>
        <v>60</v>
      </c>
      <c r="B504" s="113" t="s">
        <v>275</v>
      </c>
      <c r="C504" s="53" t="s">
        <v>31</v>
      </c>
      <c r="D504" s="30" t="s">
        <v>64</v>
      </c>
      <c r="E504" s="109">
        <v>177.31</v>
      </c>
      <c r="F504" s="110" t="s">
        <v>64</v>
      </c>
      <c r="G504" s="33">
        <f>IF(BD!$E503="","",(E504/(H504*I504)))</f>
        <v>177.31</v>
      </c>
      <c r="H504" s="34">
        <v>1</v>
      </c>
      <c r="I504" s="112">
        <v>1</v>
      </c>
    </row>
    <row r="505" spans="1:9" ht="15" customHeight="1">
      <c r="A505" s="27">
        <f t="shared" si="2"/>
        <v>61</v>
      </c>
      <c r="B505" s="114" t="s">
        <v>276</v>
      </c>
      <c r="C505" s="53" t="s">
        <v>31</v>
      </c>
      <c r="D505" s="30" t="s">
        <v>64</v>
      </c>
      <c r="E505" s="31">
        <v>1280.44</v>
      </c>
      <c r="F505" s="32" t="s">
        <v>141</v>
      </c>
      <c r="G505" s="33">
        <f>IF(BD!$E504="","",(E505/(H505*I505)))</f>
        <v>1280.44</v>
      </c>
      <c r="H505" s="34">
        <v>1</v>
      </c>
      <c r="I505" s="112">
        <v>1</v>
      </c>
    </row>
    <row r="506" spans="1:9" ht="15" customHeight="1">
      <c r="A506" s="27">
        <f t="shared" si="2"/>
        <v>62</v>
      </c>
      <c r="B506" s="28" t="s">
        <v>277</v>
      </c>
      <c r="C506" s="53" t="s">
        <v>31</v>
      </c>
      <c r="D506" s="30" t="s">
        <v>64</v>
      </c>
      <c r="E506" s="109">
        <v>1280.44</v>
      </c>
      <c r="F506" s="32" t="s">
        <v>64</v>
      </c>
      <c r="G506" s="33">
        <f>IF(BD!$E505="","",(E506/(H506*I506)))</f>
        <v>1280.44</v>
      </c>
      <c r="H506" s="34">
        <v>1</v>
      </c>
      <c r="I506" s="112">
        <v>1</v>
      </c>
    </row>
    <row r="507" spans="1:9" ht="15" customHeight="1">
      <c r="A507" s="27">
        <f t="shared" si="2"/>
        <v>63</v>
      </c>
      <c r="B507" s="28" t="s">
        <v>278</v>
      </c>
      <c r="C507" s="53" t="s">
        <v>31</v>
      </c>
      <c r="D507" s="30" t="s">
        <v>64</v>
      </c>
      <c r="E507" s="31">
        <v>1280.44</v>
      </c>
      <c r="F507" s="32" t="s">
        <v>141</v>
      </c>
      <c r="G507" s="33">
        <f>IF(BD!$E506="","",(E507/(H507*I507)))</f>
        <v>1280.44</v>
      </c>
      <c r="H507" s="34">
        <v>1</v>
      </c>
      <c r="I507" s="112">
        <v>1</v>
      </c>
    </row>
    <row r="508" spans="1:9" ht="15" customHeight="1">
      <c r="A508" s="27">
        <f t="shared" si="2"/>
        <v>64</v>
      </c>
      <c r="B508" s="28" t="s">
        <v>279</v>
      </c>
      <c r="C508" s="53" t="s">
        <v>31</v>
      </c>
      <c r="D508" s="30" t="s">
        <v>64</v>
      </c>
      <c r="E508" s="31">
        <v>1280.44</v>
      </c>
      <c r="F508" s="32" t="s">
        <v>141</v>
      </c>
      <c r="G508" s="33">
        <f>IF(BD!$E507="","",(E508/(H508*I508)))</f>
        <v>1280.44</v>
      </c>
      <c r="H508" s="34">
        <v>1</v>
      </c>
      <c r="I508" s="112">
        <v>1</v>
      </c>
    </row>
    <row r="509" spans="1:9" ht="15" customHeight="1">
      <c r="A509" s="27">
        <f t="shared" si="2"/>
        <v>65</v>
      </c>
      <c r="B509" s="28" t="s">
        <v>280</v>
      </c>
      <c r="C509" s="53" t="s">
        <v>31</v>
      </c>
      <c r="D509" s="30" t="s">
        <v>64</v>
      </c>
      <c r="E509" s="31">
        <v>1280.44</v>
      </c>
      <c r="F509" s="32" t="s">
        <v>141</v>
      </c>
      <c r="G509" s="33">
        <f>IF(BD!$E508="","",(E509/(H509*I509)))</f>
        <v>1280.44</v>
      </c>
      <c r="H509" s="34">
        <v>1</v>
      </c>
      <c r="I509" s="112">
        <v>1</v>
      </c>
    </row>
    <row r="510" spans="1:9" ht="15" customHeight="1">
      <c r="A510" s="27">
        <f t="shared" ref="A510:A573" si="3">A509+1</f>
        <v>66</v>
      </c>
      <c r="B510" s="28" t="s">
        <v>281</v>
      </c>
      <c r="C510" s="53" t="s">
        <v>31</v>
      </c>
      <c r="D510" s="30" t="s">
        <v>64</v>
      </c>
      <c r="E510" s="109">
        <v>1280.44</v>
      </c>
      <c r="F510" s="32" t="s">
        <v>64</v>
      </c>
      <c r="G510" s="33">
        <f>IF(BD!$E509="","",(E510/(H510*I510)))</f>
        <v>1280.44</v>
      </c>
      <c r="H510" s="34">
        <v>1</v>
      </c>
      <c r="I510" s="112">
        <v>1</v>
      </c>
    </row>
    <row r="511" spans="1:9" ht="15" customHeight="1">
      <c r="A511" s="27">
        <f t="shared" si="3"/>
        <v>67</v>
      </c>
      <c r="B511" s="114" t="s">
        <v>282</v>
      </c>
      <c r="C511" s="53" t="s">
        <v>31</v>
      </c>
      <c r="D511" s="30" t="s">
        <v>64</v>
      </c>
      <c r="E511" s="31">
        <v>1280.44</v>
      </c>
      <c r="F511" s="32" t="s">
        <v>141</v>
      </c>
      <c r="G511" s="33">
        <f>IF(BD!$E510="","",(E511/(H511*I511)))</f>
        <v>1280.44</v>
      </c>
      <c r="H511" s="34">
        <v>1</v>
      </c>
      <c r="I511" s="112">
        <v>1</v>
      </c>
    </row>
    <row r="512" spans="1:9" ht="15" customHeight="1">
      <c r="A512" s="27">
        <f t="shared" si="3"/>
        <v>68</v>
      </c>
      <c r="B512" s="113" t="s">
        <v>283</v>
      </c>
      <c r="C512" s="53" t="s">
        <v>31</v>
      </c>
      <c r="D512" s="30" t="s">
        <v>64</v>
      </c>
      <c r="E512" s="109">
        <v>14750</v>
      </c>
      <c r="F512" s="110" t="s">
        <v>64</v>
      </c>
      <c r="G512" s="33">
        <f>IF(BD!$E511="","",(E512/(H512*I512)))</f>
        <v>14750</v>
      </c>
      <c r="H512" s="34">
        <v>1</v>
      </c>
      <c r="I512" s="112">
        <v>1</v>
      </c>
    </row>
    <row r="513" spans="1:9" ht="15" customHeight="1">
      <c r="A513" s="27">
        <f t="shared" si="3"/>
        <v>69</v>
      </c>
      <c r="B513" s="113" t="s">
        <v>284</v>
      </c>
      <c r="C513" s="53" t="s">
        <v>31</v>
      </c>
      <c r="D513" s="30" t="s">
        <v>64</v>
      </c>
      <c r="E513" s="109">
        <v>14750</v>
      </c>
      <c r="F513" s="110" t="s">
        <v>64</v>
      </c>
      <c r="G513" s="33">
        <f>IF(BD!$E512="","",(E513/(H513*I513)))</f>
        <v>14750</v>
      </c>
      <c r="H513" s="34">
        <v>1</v>
      </c>
      <c r="I513" s="112">
        <v>1</v>
      </c>
    </row>
    <row r="514" spans="1:9" ht="15" customHeight="1">
      <c r="A514" s="27">
        <f t="shared" si="3"/>
        <v>70</v>
      </c>
      <c r="B514" s="113" t="s">
        <v>285</v>
      </c>
      <c r="C514" s="53" t="s">
        <v>31</v>
      </c>
      <c r="D514" s="30" t="s">
        <v>64</v>
      </c>
      <c r="E514" s="109">
        <v>4799.2700000000004</v>
      </c>
      <c r="F514" s="110" t="s">
        <v>64</v>
      </c>
      <c r="G514" s="33">
        <f>IF(BD!$E513="","",(E514/(H514*I514)))</f>
        <v>4799.2700000000004</v>
      </c>
      <c r="H514" s="34">
        <v>1</v>
      </c>
      <c r="I514" s="112">
        <v>1</v>
      </c>
    </row>
    <row r="515" spans="1:9" ht="15" customHeight="1">
      <c r="A515" s="27">
        <f t="shared" si="3"/>
        <v>71</v>
      </c>
      <c r="B515" s="113" t="s">
        <v>286</v>
      </c>
      <c r="C515" s="53" t="s">
        <v>31</v>
      </c>
      <c r="D515" s="30" t="s">
        <v>64</v>
      </c>
      <c r="E515" s="109">
        <v>4799.2700000000004</v>
      </c>
      <c r="F515" s="110" t="s">
        <v>64</v>
      </c>
      <c r="G515" s="33">
        <f>IF(BD!$E514="","",(E515/(H515*I515)))</f>
        <v>4799.2700000000004</v>
      </c>
      <c r="H515" s="34">
        <v>1</v>
      </c>
      <c r="I515" s="112">
        <v>1</v>
      </c>
    </row>
    <row r="516" spans="1:9" ht="15" customHeight="1">
      <c r="A516" s="27">
        <f t="shared" si="3"/>
        <v>72</v>
      </c>
      <c r="B516" s="113" t="s">
        <v>287</v>
      </c>
      <c r="C516" s="53" t="s">
        <v>31</v>
      </c>
      <c r="D516" s="30" t="s">
        <v>64</v>
      </c>
      <c r="E516" s="109">
        <v>1000</v>
      </c>
      <c r="F516" s="110" t="s">
        <v>64</v>
      </c>
      <c r="G516" s="33">
        <f>IF(BD!$E515="","",(E516/(H516*I516)))</f>
        <v>1000</v>
      </c>
      <c r="H516" s="34">
        <v>1</v>
      </c>
      <c r="I516" s="112">
        <v>1</v>
      </c>
    </row>
    <row r="517" spans="1:9" ht="15" customHeight="1">
      <c r="A517" s="27">
        <f t="shared" si="3"/>
        <v>73</v>
      </c>
      <c r="B517" s="113" t="s">
        <v>288</v>
      </c>
      <c r="C517" s="53" t="s">
        <v>31</v>
      </c>
      <c r="D517" s="30" t="s">
        <v>64</v>
      </c>
      <c r="E517" s="109">
        <v>1000</v>
      </c>
      <c r="F517" s="110" t="s">
        <v>64</v>
      </c>
      <c r="G517" s="33">
        <f>IF(BD!$E516="","",(E517/(H517*I517)))</f>
        <v>1000</v>
      </c>
      <c r="H517" s="34">
        <v>1</v>
      </c>
      <c r="I517" s="112">
        <v>1</v>
      </c>
    </row>
    <row r="518" spans="1:9" ht="15" customHeight="1">
      <c r="A518" s="27">
        <f t="shared" si="3"/>
        <v>74</v>
      </c>
      <c r="B518" s="113" t="s">
        <v>289</v>
      </c>
      <c r="C518" s="53" t="s">
        <v>31</v>
      </c>
      <c r="D518" s="30" t="s">
        <v>64</v>
      </c>
      <c r="E518" s="109">
        <v>6957.93</v>
      </c>
      <c r="F518" s="110" t="s">
        <v>64</v>
      </c>
      <c r="G518" s="33">
        <f>IF(BD!$E517="","",(E518/(H518*I518)))</f>
        <v>6957.93</v>
      </c>
      <c r="H518" s="34">
        <v>1</v>
      </c>
      <c r="I518" s="112">
        <v>1</v>
      </c>
    </row>
    <row r="519" spans="1:9" ht="15" customHeight="1">
      <c r="A519" s="27">
        <f t="shared" si="3"/>
        <v>75</v>
      </c>
      <c r="B519" s="113" t="s">
        <v>290</v>
      </c>
      <c r="C519" s="53" t="s">
        <v>31</v>
      </c>
      <c r="D519" s="30" t="s">
        <v>64</v>
      </c>
      <c r="E519" s="109">
        <v>6957.93</v>
      </c>
      <c r="F519" s="110" t="s">
        <v>64</v>
      </c>
      <c r="G519" s="33">
        <f>IF(BD!$E518="","",(E519/(H519*I519)))</f>
        <v>6957.93</v>
      </c>
      <c r="H519" s="34">
        <v>1</v>
      </c>
      <c r="I519" s="112">
        <v>1</v>
      </c>
    </row>
    <row r="520" spans="1:9" ht="15" customHeight="1">
      <c r="A520" s="27">
        <f t="shared" si="3"/>
        <v>76</v>
      </c>
      <c r="B520" s="113" t="s">
        <v>291</v>
      </c>
      <c r="C520" s="53" t="s">
        <v>31</v>
      </c>
      <c r="D520" s="30" t="s">
        <v>64</v>
      </c>
      <c r="E520" s="109">
        <v>6957.93</v>
      </c>
      <c r="F520" s="110" t="s">
        <v>64</v>
      </c>
      <c r="G520" s="33">
        <f>IF(BD!$E519="","",(E520/(H520*I520)))</f>
        <v>6957.93</v>
      </c>
      <c r="H520" s="34">
        <v>1</v>
      </c>
      <c r="I520" s="112">
        <v>1</v>
      </c>
    </row>
    <row r="521" spans="1:9" ht="15" customHeight="1">
      <c r="A521" s="27">
        <f t="shared" si="3"/>
        <v>77</v>
      </c>
      <c r="B521" s="113" t="s">
        <v>292</v>
      </c>
      <c r="C521" s="53" t="s">
        <v>31</v>
      </c>
      <c r="D521" s="30" t="s">
        <v>64</v>
      </c>
      <c r="E521" s="109">
        <v>6957.93</v>
      </c>
      <c r="F521" s="110" t="s">
        <v>64</v>
      </c>
      <c r="G521" s="33">
        <f>IF(BD!$E520="","",(E521/(H521*I521)))</f>
        <v>6957.93</v>
      </c>
      <c r="H521" s="34">
        <v>1</v>
      </c>
      <c r="I521" s="112">
        <v>1</v>
      </c>
    </row>
    <row r="522" spans="1:9" ht="15" customHeight="1">
      <c r="A522" s="27">
        <f t="shared" si="3"/>
        <v>78</v>
      </c>
      <c r="B522" s="113" t="s">
        <v>293</v>
      </c>
      <c r="C522" s="53" t="s">
        <v>31</v>
      </c>
      <c r="D522" s="30" t="s">
        <v>64</v>
      </c>
      <c r="E522" s="109">
        <v>6957.93</v>
      </c>
      <c r="F522" s="110" t="s">
        <v>64</v>
      </c>
      <c r="G522" s="33">
        <f>IF(BD!$E521="","",(E522/(H522*I522)))</f>
        <v>6957.93</v>
      </c>
      <c r="H522" s="34">
        <v>1</v>
      </c>
      <c r="I522" s="112">
        <v>1</v>
      </c>
    </row>
    <row r="523" spans="1:9" ht="15" customHeight="1">
      <c r="A523" s="27">
        <f t="shared" si="3"/>
        <v>79</v>
      </c>
      <c r="B523" s="113" t="s">
        <v>294</v>
      </c>
      <c r="C523" s="53" t="s">
        <v>31</v>
      </c>
      <c r="D523" s="30" t="s">
        <v>64</v>
      </c>
      <c r="E523" s="109">
        <v>6957.93</v>
      </c>
      <c r="F523" s="110" t="s">
        <v>64</v>
      </c>
      <c r="G523" s="33">
        <f>IF(BD!$E522="","",(E523/(H523*I523)))</f>
        <v>6957.93</v>
      </c>
      <c r="H523" s="34">
        <v>1</v>
      </c>
      <c r="I523" s="112">
        <v>1</v>
      </c>
    </row>
    <row r="524" spans="1:9" ht="15" customHeight="1">
      <c r="A524" s="27">
        <f t="shared" si="3"/>
        <v>80</v>
      </c>
      <c r="B524" s="113" t="s">
        <v>295</v>
      </c>
      <c r="C524" s="53" t="s">
        <v>31</v>
      </c>
      <c r="D524" s="30" t="s">
        <v>64</v>
      </c>
      <c r="E524" s="109">
        <v>6957.93</v>
      </c>
      <c r="F524" s="110" t="s">
        <v>64</v>
      </c>
      <c r="G524" s="33">
        <f>IF(BD!$E523="","",(E524/(H524*I524)))</f>
        <v>6957.93</v>
      </c>
      <c r="H524" s="34">
        <v>1</v>
      </c>
      <c r="I524" s="112">
        <v>1</v>
      </c>
    </row>
    <row r="525" spans="1:9" ht="15" customHeight="1">
      <c r="A525" s="27">
        <f t="shared" si="3"/>
        <v>81</v>
      </c>
      <c r="B525" s="113" t="s">
        <v>296</v>
      </c>
      <c r="C525" s="53" t="s">
        <v>31</v>
      </c>
      <c r="D525" s="30" t="s">
        <v>64</v>
      </c>
      <c r="E525" s="109">
        <v>6957.93</v>
      </c>
      <c r="F525" s="110" t="s">
        <v>64</v>
      </c>
      <c r="G525" s="33">
        <f>IF(BD!$E524="","",(E525/(H525*I525)))</f>
        <v>6957.93</v>
      </c>
      <c r="H525" s="34">
        <v>1</v>
      </c>
      <c r="I525" s="112">
        <v>1</v>
      </c>
    </row>
    <row r="526" spans="1:9" ht="15" customHeight="1">
      <c r="A526" s="27">
        <f t="shared" si="3"/>
        <v>82</v>
      </c>
      <c r="B526" s="113" t="s">
        <v>297</v>
      </c>
      <c r="C526" s="53" t="s">
        <v>31</v>
      </c>
      <c r="D526" s="30" t="s">
        <v>64</v>
      </c>
      <c r="E526" s="109">
        <v>6957.93</v>
      </c>
      <c r="F526" s="110" t="s">
        <v>64</v>
      </c>
      <c r="G526" s="33">
        <f>IF(BD!$E525="","",(E526/(H526*I526)))</f>
        <v>6957.93</v>
      </c>
      <c r="H526" s="34">
        <v>1</v>
      </c>
      <c r="I526" s="112">
        <v>1</v>
      </c>
    </row>
    <row r="527" spans="1:9" ht="15" customHeight="1">
      <c r="A527" s="27">
        <f t="shared" si="3"/>
        <v>83</v>
      </c>
      <c r="B527" s="113" t="s">
        <v>298</v>
      </c>
      <c r="C527" s="53" t="s">
        <v>31</v>
      </c>
      <c r="D527" s="30" t="s">
        <v>64</v>
      </c>
      <c r="E527" s="109">
        <v>6957.93</v>
      </c>
      <c r="F527" s="110" t="s">
        <v>64</v>
      </c>
      <c r="G527" s="33">
        <f>IF(BD!$E526="","",(E527/(H527*I527)))</f>
        <v>6957.93</v>
      </c>
      <c r="H527" s="34">
        <v>1</v>
      </c>
      <c r="I527" s="112">
        <v>1</v>
      </c>
    </row>
    <row r="528" spans="1:9" ht="15" customHeight="1">
      <c r="A528" s="27">
        <f t="shared" si="3"/>
        <v>84</v>
      </c>
      <c r="B528" s="113" t="s">
        <v>299</v>
      </c>
      <c r="C528" s="53" t="s">
        <v>31</v>
      </c>
      <c r="D528" s="30" t="s">
        <v>64</v>
      </c>
      <c r="E528" s="109">
        <v>6957.93</v>
      </c>
      <c r="F528" s="110" t="s">
        <v>64</v>
      </c>
      <c r="G528" s="33">
        <f>IF(BD!$E527="","",(E528/(H528*I528)))</f>
        <v>6957.93</v>
      </c>
      <c r="H528" s="34">
        <v>1</v>
      </c>
      <c r="I528" s="112">
        <v>1</v>
      </c>
    </row>
    <row r="529" spans="1:9" ht="15" customHeight="1">
      <c r="A529" s="27">
        <f t="shared" si="3"/>
        <v>85</v>
      </c>
      <c r="B529" s="113" t="s">
        <v>300</v>
      </c>
      <c r="C529" s="53" t="s">
        <v>31</v>
      </c>
      <c r="D529" s="30" t="s">
        <v>64</v>
      </c>
      <c r="E529" s="109">
        <v>6957.93</v>
      </c>
      <c r="F529" s="110" t="s">
        <v>64</v>
      </c>
      <c r="G529" s="33">
        <f>IF(BD!$E528="","",(E529/(H529*I529)))</f>
        <v>6957.93</v>
      </c>
      <c r="H529" s="34">
        <v>1</v>
      </c>
      <c r="I529" s="112">
        <v>1</v>
      </c>
    </row>
    <row r="530" spans="1:9" ht="15" customHeight="1">
      <c r="A530" s="27">
        <f t="shared" si="3"/>
        <v>86</v>
      </c>
      <c r="B530" s="28" t="s">
        <v>301</v>
      </c>
      <c r="C530" s="53" t="s">
        <v>31</v>
      </c>
      <c r="D530" s="30" t="s">
        <v>64</v>
      </c>
      <c r="E530" s="31">
        <v>3700</v>
      </c>
      <c r="F530" s="32" t="s">
        <v>64</v>
      </c>
      <c r="G530" s="33">
        <f>IF(BD!$E529="","",(E530/(H530*I530)))</f>
        <v>3700</v>
      </c>
      <c r="H530" s="34">
        <v>1</v>
      </c>
      <c r="I530" s="112">
        <v>1</v>
      </c>
    </row>
    <row r="531" spans="1:9" ht="15" customHeight="1">
      <c r="A531" s="27">
        <f t="shared" si="3"/>
        <v>87</v>
      </c>
      <c r="B531" s="28" t="s">
        <v>302</v>
      </c>
      <c r="C531" s="53" t="s">
        <v>31</v>
      </c>
      <c r="D531" s="30" t="s">
        <v>64</v>
      </c>
      <c r="E531" s="31">
        <v>3700</v>
      </c>
      <c r="F531" s="32" t="s">
        <v>64</v>
      </c>
      <c r="G531" s="33">
        <f>IF(BD!$E530="","",(E531/(H531*I531)))</f>
        <v>3700</v>
      </c>
      <c r="H531" s="34">
        <v>1</v>
      </c>
      <c r="I531" s="112">
        <v>1</v>
      </c>
    </row>
    <row r="532" spans="1:9" ht="15" customHeight="1">
      <c r="A532" s="27">
        <f t="shared" si="3"/>
        <v>88</v>
      </c>
      <c r="B532" s="113" t="s">
        <v>303</v>
      </c>
      <c r="C532" s="53" t="s">
        <v>31</v>
      </c>
      <c r="D532" s="30" t="s">
        <v>64</v>
      </c>
      <c r="E532" s="109">
        <v>1200</v>
      </c>
      <c r="F532" s="110" t="s">
        <v>64</v>
      </c>
      <c r="G532" s="33">
        <f>IF(BD!$E531="","",(E532/(H532*I532)))</f>
        <v>1200</v>
      </c>
      <c r="H532" s="34">
        <v>1</v>
      </c>
      <c r="I532" s="112">
        <v>1</v>
      </c>
    </row>
    <row r="533" spans="1:9" ht="15" customHeight="1">
      <c r="A533" s="27">
        <f t="shared" si="3"/>
        <v>89</v>
      </c>
      <c r="B533" s="113" t="s">
        <v>304</v>
      </c>
      <c r="C533" s="53" t="s">
        <v>31</v>
      </c>
      <c r="D533" s="30" t="s">
        <v>64</v>
      </c>
      <c r="E533" s="109">
        <v>1200</v>
      </c>
      <c r="F533" s="110" t="s">
        <v>64</v>
      </c>
      <c r="G533" s="33">
        <f>IF(BD!$E532="","",(E533/(H533*I533)))</f>
        <v>1200</v>
      </c>
      <c r="H533" s="34">
        <v>1</v>
      </c>
      <c r="I533" s="112">
        <v>1</v>
      </c>
    </row>
    <row r="534" spans="1:9" ht="15" customHeight="1">
      <c r="A534" s="27">
        <f t="shared" si="3"/>
        <v>90</v>
      </c>
      <c r="B534" s="113" t="s">
        <v>305</v>
      </c>
      <c r="C534" s="53" t="s">
        <v>31</v>
      </c>
      <c r="D534" s="30" t="s">
        <v>64</v>
      </c>
      <c r="E534" s="109">
        <v>1200</v>
      </c>
      <c r="F534" s="110" t="s">
        <v>64</v>
      </c>
      <c r="G534" s="33">
        <f>IF(BD!$E533="","",(E534/(H534*I534)))</f>
        <v>1200</v>
      </c>
      <c r="H534" s="34">
        <v>1</v>
      </c>
      <c r="I534" s="112">
        <v>1</v>
      </c>
    </row>
    <row r="535" spans="1:9" ht="15" customHeight="1">
      <c r="A535" s="27">
        <f t="shared" si="3"/>
        <v>91</v>
      </c>
      <c r="B535" s="113" t="s">
        <v>306</v>
      </c>
      <c r="C535" s="53" t="s">
        <v>31</v>
      </c>
      <c r="D535" s="30" t="s">
        <v>64</v>
      </c>
      <c r="E535" s="109">
        <v>1200</v>
      </c>
      <c r="F535" s="110" t="s">
        <v>64</v>
      </c>
      <c r="G535" s="33">
        <f>IF(BD!$E534="","",(E535/(H535*I535)))</f>
        <v>1200</v>
      </c>
      <c r="H535" s="34">
        <v>1</v>
      </c>
      <c r="I535" s="112">
        <v>1</v>
      </c>
    </row>
    <row r="536" spans="1:9" ht="15" customHeight="1">
      <c r="A536" s="27">
        <f t="shared" si="3"/>
        <v>92</v>
      </c>
      <c r="B536" s="113" t="s">
        <v>307</v>
      </c>
      <c r="C536" s="53" t="s">
        <v>31</v>
      </c>
      <c r="D536" s="30" t="s">
        <v>64</v>
      </c>
      <c r="E536" s="109">
        <v>1200</v>
      </c>
      <c r="F536" s="110" t="s">
        <v>64</v>
      </c>
      <c r="G536" s="33">
        <f>IF(BD!$E535="","",(E536/(H536*I536)))</f>
        <v>1200</v>
      </c>
      <c r="H536" s="34">
        <v>1</v>
      </c>
      <c r="I536" s="112">
        <v>1</v>
      </c>
    </row>
    <row r="537" spans="1:9" ht="15" customHeight="1">
      <c r="A537" s="27">
        <f t="shared" si="3"/>
        <v>93</v>
      </c>
      <c r="B537" s="113" t="s">
        <v>308</v>
      </c>
      <c r="C537" s="53" t="s">
        <v>31</v>
      </c>
      <c r="D537" s="30" t="s">
        <v>64</v>
      </c>
      <c r="E537" s="109">
        <v>873.94</v>
      </c>
      <c r="F537" s="110" t="s">
        <v>64</v>
      </c>
      <c r="G537" s="33">
        <f>IF(BD!$E536="","",(E537/(H537*I537)))</f>
        <v>873.94</v>
      </c>
      <c r="H537" s="34">
        <v>1</v>
      </c>
      <c r="I537" s="112">
        <v>1</v>
      </c>
    </row>
    <row r="538" spans="1:9" ht="15" customHeight="1">
      <c r="A538" s="27">
        <f t="shared" si="3"/>
        <v>94</v>
      </c>
      <c r="B538" s="113" t="s">
        <v>309</v>
      </c>
      <c r="C538" s="53" t="s">
        <v>31</v>
      </c>
      <c r="D538" s="30" t="s">
        <v>64</v>
      </c>
      <c r="E538" s="109">
        <v>873.94</v>
      </c>
      <c r="F538" s="110" t="s">
        <v>64</v>
      </c>
      <c r="G538" s="33">
        <f>IF(BD!$E537="","",(E538/(H538*I538)))</f>
        <v>873.94</v>
      </c>
      <c r="H538" s="34">
        <v>1</v>
      </c>
      <c r="I538" s="112">
        <v>1</v>
      </c>
    </row>
    <row r="539" spans="1:9" ht="15" customHeight="1">
      <c r="A539" s="27">
        <f t="shared" si="3"/>
        <v>95</v>
      </c>
      <c r="B539" s="113" t="s">
        <v>310</v>
      </c>
      <c r="C539" s="53" t="s">
        <v>31</v>
      </c>
      <c r="D539" s="30" t="s">
        <v>64</v>
      </c>
      <c r="E539" s="109">
        <v>873.94</v>
      </c>
      <c r="F539" s="110" t="s">
        <v>64</v>
      </c>
      <c r="G539" s="33">
        <f>IF(BD!$E538="","",(E539/(H539*I539)))</f>
        <v>873.94</v>
      </c>
      <c r="H539" s="34">
        <v>1</v>
      </c>
      <c r="I539" s="112">
        <v>1</v>
      </c>
    </row>
    <row r="540" spans="1:9" ht="15" customHeight="1">
      <c r="A540" s="27">
        <f t="shared" si="3"/>
        <v>96</v>
      </c>
      <c r="B540" s="113" t="s">
        <v>311</v>
      </c>
      <c r="C540" s="53" t="s">
        <v>31</v>
      </c>
      <c r="D540" s="30" t="s">
        <v>64</v>
      </c>
      <c r="E540" s="109">
        <v>1173.3399999999999</v>
      </c>
      <c r="F540" s="110" t="s">
        <v>64</v>
      </c>
      <c r="G540" s="33">
        <f>IF(BD!$E539="","",(E540/(H540*I540)))</f>
        <v>1173.3399999999999</v>
      </c>
      <c r="H540" s="34">
        <v>1</v>
      </c>
      <c r="I540" s="112">
        <v>1</v>
      </c>
    </row>
    <row r="541" spans="1:9" ht="15" customHeight="1">
      <c r="A541" s="27">
        <f t="shared" si="3"/>
        <v>97</v>
      </c>
      <c r="B541" s="113" t="s">
        <v>312</v>
      </c>
      <c r="C541" s="53" t="s">
        <v>31</v>
      </c>
      <c r="D541" s="30" t="s">
        <v>64</v>
      </c>
      <c r="E541" s="109">
        <v>998.41</v>
      </c>
      <c r="F541" s="110" t="s">
        <v>64</v>
      </c>
      <c r="G541" s="33">
        <f>IF(BD!$E540="","",(E541/(H541*I541)))</f>
        <v>998.41</v>
      </c>
      <c r="H541" s="34">
        <v>1</v>
      </c>
      <c r="I541" s="112">
        <v>1</v>
      </c>
    </row>
    <row r="542" spans="1:9" ht="15" customHeight="1">
      <c r="A542" s="27">
        <f t="shared" si="3"/>
        <v>98</v>
      </c>
      <c r="B542" s="113" t="s">
        <v>313</v>
      </c>
      <c r="C542" s="53" t="s">
        <v>31</v>
      </c>
      <c r="D542" s="30" t="s">
        <v>64</v>
      </c>
      <c r="E542" s="109">
        <v>998.41</v>
      </c>
      <c r="F542" s="110" t="s">
        <v>64</v>
      </c>
      <c r="G542" s="33">
        <f>IF(BD!$E541="","",(E542/(H542*I542)))</f>
        <v>998.41</v>
      </c>
      <c r="H542" s="34">
        <v>1</v>
      </c>
      <c r="I542" s="112">
        <v>1</v>
      </c>
    </row>
    <row r="543" spans="1:9" ht="15" customHeight="1">
      <c r="A543" s="27">
        <f t="shared" si="3"/>
        <v>99</v>
      </c>
      <c r="B543" s="113" t="s">
        <v>314</v>
      </c>
      <c r="C543" s="53" t="s">
        <v>31</v>
      </c>
      <c r="D543" s="30" t="s">
        <v>64</v>
      </c>
      <c r="E543" s="109">
        <v>998.41</v>
      </c>
      <c r="F543" s="110" t="s">
        <v>64</v>
      </c>
      <c r="G543" s="33">
        <f>IF(BD!$E542="","",(E543/(H543*I543)))</f>
        <v>998.41</v>
      </c>
      <c r="H543" s="34">
        <v>1</v>
      </c>
      <c r="I543" s="112">
        <v>1</v>
      </c>
    </row>
    <row r="544" spans="1:9" ht="15" customHeight="1">
      <c r="A544" s="27">
        <f t="shared" si="3"/>
        <v>100</v>
      </c>
      <c r="B544" s="113" t="s">
        <v>315</v>
      </c>
      <c r="C544" s="53" t="s">
        <v>31</v>
      </c>
      <c r="D544" s="30" t="s">
        <v>64</v>
      </c>
      <c r="E544" s="109">
        <v>998.41</v>
      </c>
      <c r="F544" s="110" t="s">
        <v>64</v>
      </c>
      <c r="G544" s="33">
        <f>IF(BD!$E543="","",(E544/(H544*I544)))</f>
        <v>998.41</v>
      </c>
      <c r="H544" s="34">
        <v>1</v>
      </c>
      <c r="I544" s="112">
        <v>1</v>
      </c>
    </row>
    <row r="545" spans="1:9" ht="15" customHeight="1">
      <c r="A545" s="27">
        <f t="shared" si="3"/>
        <v>101</v>
      </c>
      <c r="B545" s="113" t="s">
        <v>316</v>
      </c>
      <c r="C545" s="53" t="s">
        <v>31</v>
      </c>
      <c r="D545" s="30" t="s">
        <v>64</v>
      </c>
      <c r="E545" s="109">
        <v>1173.3399999999999</v>
      </c>
      <c r="F545" s="110" t="s">
        <v>64</v>
      </c>
      <c r="G545" s="33">
        <f>IF(BD!$E544="","",(E545/(H545*I545)))</f>
        <v>1173.3399999999999</v>
      </c>
      <c r="H545" s="34">
        <v>1</v>
      </c>
      <c r="I545" s="112">
        <v>1</v>
      </c>
    </row>
    <row r="546" spans="1:9" ht="15" customHeight="1">
      <c r="A546" s="27">
        <f t="shared" si="3"/>
        <v>102</v>
      </c>
      <c r="B546" s="113" t="s">
        <v>317</v>
      </c>
      <c r="C546" s="53" t="s">
        <v>31</v>
      </c>
      <c r="D546" s="30" t="s">
        <v>64</v>
      </c>
      <c r="E546" s="109">
        <v>998.41</v>
      </c>
      <c r="F546" s="110" t="s">
        <v>64</v>
      </c>
      <c r="G546" s="33">
        <f>IF(BD!$E545="","",(E546/(H546*I546)))</f>
        <v>998.41</v>
      </c>
      <c r="H546" s="34">
        <v>1</v>
      </c>
      <c r="I546" s="112">
        <v>1</v>
      </c>
    </row>
    <row r="547" spans="1:9" ht="15" customHeight="1">
      <c r="A547" s="27">
        <f t="shared" si="3"/>
        <v>103</v>
      </c>
      <c r="B547" s="113" t="s">
        <v>318</v>
      </c>
      <c r="C547" s="53" t="s">
        <v>31</v>
      </c>
      <c r="D547" s="30" t="s">
        <v>64</v>
      </c>
      <c r="E547" s="109">
        <v>998.41</v>
      </c>
      <c r="F547" s="110" t="s">
        <v>64</v>
      </c>
      <c r="G547" s="33">
        <f>IF(BD!$E546="","",(E547/(H547*I547)))</f>
        <v>998.41</v>
      </c>
      <c r="H547" s="34">
        <v>1</v>
      </c>
      <c r="I547" s="112">
        <v>1</v>
      </c>
    </row>
    <row r="548" spans="1:9" ht="15" customHeight="1">
      <c r="A548" s="27">
        <f t="shared" si="3"/>
        <v>104</v>
      </c>
      <c r="B548" s="113" t="s">
        <v>319</v>
      </c>
      <c r="C548" s="53" t="s">
        <v>31</v>
      </c>
      <c r="D548" s="30" t="s">
        <v>64</v>
      </c>
      <c r="E548" s="109">
        <v>1173.3399999999999</v>
      </c>
      <c r="F548" s="110" t="s">
        <v>64</v>
      </c>
      <c r="G548" s="33">
        <f>IF(BD!$E547="","",(E548/(H548*I548)))</f>
        <v>1173.3399999999999</v>
      </c>
      <c r="H548" s="34">
        <v>1</v>
      </c>
      <c r="I548" s="112">
        <v>1</v>
      </c>
    </row>
    <row r="549" spans="1:9" ht="15" customHeight="1">
      <c r="A549" s="27">
        <f t="shared" si="3"/>
        <v>105</v>
      </c>
      <c r="B549" s="113" t="s">
        <v>320</v>
      </c>
      <c r="C549" s="53" t="s">
        <v>31</v>
      </c>
      <c r="D549" s="30" t="s">
        <v>64</v>
      </c>
      <c r="E549" s="109">
        <v>998.41</v>
      </c>
      <c r="F549" s="110" t="s">
        <v>64</v>
      </c>
      <c r="G549" s="33">
        <f>IF(BD!$E548="","",(E549/(H549*I549)))</f>
        <v>998.41</v>
      </c>
      <c r="H549" s="34">
        <v>1</v>
      </c>
      <c r="I549" s="112">
        <v>1</v>
      </c>
    </row>
    <row r="550" spans="1:9" ht="15" customHeight="1">
      <c r="A550" s="27">
        <f t="shared" si="3"/>
        <v>106</v>
      </c>
      <c r="B550" s="113" t="s">
        <v>321</v>
      </c>
      <c r="C550" s="53" t="s">
        <v>31</v>
      </c>
      <c r="D550" s="30" t="s">
        <v>64</v>
      </c>
      <c r="E550" s="109">
        <v>998.41</v>
      </c>
      <c r="F550" s="110" t="s">
        <v>64</v>
      </c>
      <c r="G550" s="33">
        <f>IF(BD!$E549="","",(E550/(H550*I550)))</f>
        <v>998.41</v>
      </c>
      <c r="H550" s="34">
        <v>1</v>
      </c>
      <c r="I550" s="112">
        <v>1</v>
      </c>
    </row>
    <row r="551" spans="1:9" ht="15" customHeight="1">
      <c r="A551" s="27">
        <f t="shared" si="3"/>
        <v>107</v>
      </c>
      <c r="B551" s="113" t="s">
        <v>322</v>
      </c>
      <c r="C551" s="53" t="s">
        <v>31</v>
      </c>
      <c r="D551" s="30" t="s">
        <v>64</v>
      </c>
      <c r="E551" s="109">
        <v>1018.64</v>
      </c>
      <c r="F551" s="110" t="s">
        <v>64</v>
      </c>
      <c r="G551" s="33">
        <f>IF(BD!$E550="","",(E551/(H551*I551)))</f>
        <v>1018.64</v>
      </c>
      <c r="H551" s="34">
        <v>1</v>
      </c>
      <c r="I551" s="112">
        <v>1</v>
      </c>
    </row>
    <row r="552" spans="1:9" ht="15" customHeight="1">
      <c r="A552" s="27">
        <f t="shared" si="3"/>
        <v>108</v>
      </c>
      <c r="B552" s="113" t="s">
        <v>323</v>
      </c>
      <c r="C552" s="53" t="s">
        <v>31</v>
      </c>
      <c r="D552" s="30" t="s">
        <v>64</v>
      </c>
      <c r="E552" s="109">
        <v>1173.3399999999999</v>
      </c>
      <c r="F552" s="110" t="s">
        <v>64</v>
      </c>
      <c r="G552" s="33">
        <f>IF(BD!$E551="","",(E552/(H552*I552)))</f>
        <v>1173.3399999999999</v>
      </c>
      <c r="H552" s="34">
        <v>1</v>
      </c>
      <c r="I552" s="112">
        <v>1</v>
      </c>
    </row>
    <row r="553" spans="1:9" ht="15" customHeight="1">
      <c r="A553" s="27">
        <f t="shared" si="3"/>
        <v>109</v>
      </c>
      <c r="B553" s="113" t="s">
        <v>324</v>
      </c>
      <c r="C553" s="53" t="s">
        <v>31</v>
      </c>
      <c r="D553" s="30" t="s">
        <v>64</v>
      </c>
      <c r="E553" s="109">
        <v>1173.3399999999999</v>
      </c>
      <c r="F553" s="110" t="s">
        <v>64</v>
      </c>
      <c r="G553" s="33">
        <f>IF(BD!$E552="","",(E553/(H553*I553)))</f>
        <v>1173.3399999999999</v>
      </c>
      <c r="H553" s="34">
        <v>1</v>
      </c>
      <c r="I553" s="112">
        <v>1</v>
      </c>
    </row>
    <row r="554" spans="1:9" ht="15" customHeight="1">
      <c r="A554" s="27">
        <f t="shared" si="3"/>
        <v>110</v>
      </c>
      <c r="B554" s="113" t="s">
        <v>325</v>
      </c>
      <c r="C554" s="53" t="s">
        <v>31</v>
      </c>
      <c r="D554" s="30" t="s">
        <v>64</v>
      </c>
      <c r="E554" s="109">
        <v>1018.64</v>
      </c>
      <c r="F554" s="110" t="s">
        <v>64</v>
      </c>
      <c r="G554" s="33">
        <f>IF(BD!$E553="","",(E554/(H554*I554)))</f>
        <v>1018.64</v>
      </c>
      <c r="H554" s="34">
        <v>1</v>
      </c>
      <c r="I554" s="112">
        <v>1</v>
      </c>
    </row>
    <row r="555" spans="1:9" ht="15" customHeight="1">
      <c r="A555" s="27">
        <f t="shared" si="3"/>
        <v>111</v>
      </c>
      <c r="B555" s="113" t="s">
        <v>326</v>
      </c>
      <c r="C555" s="53" t="s">
        <v>31</v>
      </c>
      <c r="D555" s="30" t="s">
        <v>64</v>
      </c>
      <c r="E555" s="109">
        <v>1018.64</v>
      </c>
      <c r="F555" s="110" t="s">
        <v>64</v>
      </c>
      <c r="G555" s="33">
        <f>IF(BD!$E554="","",(E555/(H555*I555)))</f>
        <v>1018.64</v>
      </c>
      <c r="H555" s="34">
        <v>1</v>
      </c>
      <c r="I555" s="112">
        <v>1</v>
      </c>
    </row>
    <row r="556" spans="1:9" ht="15" customHeight="1">
      <c r="A556" s="27">
        <f t="shared" si="3"/>
        <v>112</v>
      </c>
      <c r="B556" s="113" t="s">
        <v>327</v>
      </c>
      <c r="C556" s="53" t="s">
        <v>31</v>
      </c>
      <c r="D556" s="30" t="s">
        <v>64</v>
      </c>
      <c r="E556" s="109">
        <v>2746.52</v>
      </c>
      <c r="F556" s="110" t="s">
        <v>64</v>
      </c>
      <c r="G556" s="33">
        <f>IF(BD!$E555="","",(E556/(H556*I556)))</f>
        <v>2746.52</v>
      </c>
      <c r="H556" s="34">
        <v>1</v>
      </c>
      <c r="I556" s="112">
        <v>1</v>
      </c>
    </row>
    <row r="557" spans="1:9" ht="15" customHeight="1">
      <c r="A557" s="27">
        <f t="shared" si="3"/>
        <v>113</v>
      </c>
      <c r="B557" s="113" t="s">
        <v>328</v>
      </c>
      <c r="C557" s="53" t="s">
        <v>31</v>
      </c>
      <c r="D557" s="30" t="s">
        <v>64</v>
      </c>
      <c r="E557" s="109">
        <v>1173.3399999999999</v>
      </c>
      <c r="F557" s="110" t="s">
        <v>64</v>
      </c>
      <c r="G557" s="33">
        <f>IF(BD!$E556="","",(E557/(H557*I557)))</f>
        <v>1173.3399999999999</v>
      </c>
      <c r="H557" s="34">
        <v>1</v>
      </c>
      <c r="I557" s="112">
        <v>1</v>
      </c>
    </row>
    <row r="558" spans="1:9" ht="15" customHeight="1">
      <c r="A558" s="27">
        <f t="shared" si="3"/>
        <v>114</v>
      </c>
      <c r="B558" s="113" t="s">
        <v>329</v>
      </c>
      <c r="C558" s="53" t="s">
        <v>31</v>
      </c>
      <c r="D558" s="30" t="s">
        <v>64</v>
      </c>
      <c r="E558" s="109">
        <v>1173.3399999999999</v>
      </c>
      <c r="F558" s="110" t="s">
        <v>64</v>
      </c>
      <c r="G558" s="33">
        <f>IF(BD!$E557="","",(E558/(H558*I558)))</f>
        <v>1173.3399999999999</v>
      </c>
      <c r="H558" s="34">
        <v>1</v>
      </c>
      <c r="I558" s="112">
        <v>1</v>
      </c>
    </row>
    <row r="559" spans="1:9" ht="15" customHeight="1">
      <c r="A559" s="27">
        <f t="shared" si="3"/>
        <v>115</v>
      </c>
      <c r="B559" s="113" t="s">
        <v>330</v>
      </c>
      <c r="C559" s="53" t="s">
        <v>31</v>
      </c>
      <c r="D559" s="30" t="s">
        <v>64</v>
      </c>
      <c r="E559" s="109">
        <v>1173.3399999999999</v>
      </c>
      <c r="F559" s="110" t="s">
        <v>64</v>
      </c>
      <c r="G559" s="33">
        <f>IF(BD!$E558="","",(E559/(H559*I559)))</f>
        <v>1173.3399999999999</v>
      </c>
      <c r="H559" s="34">
        <v>1</v>
      </c>
      <c r="I559" s="112">
        <v>1</v>
      </c>
    </row>
    <row r="560" spans="1:9" ht="15" customHeight="1">
      <c r="A560" s="27">
        <f t="shared" si="3"/>
        <v>116</v>
      </c>
      <c r="B560" s="113" t="s">
        <v>331</v>
      </c>
      <c r="C560" s="53" t="s">
        <v>31</v>
      </c>
      <c r="D560" s="30" t="s">
        <v>64</v>
      </c>
      <c r="E560" s="109">
        <v>1173.3399999999999</v>
      </c>
      <c r="F560" s="110" t="s">
        <v>64</v>
      </c>
      <c r="G560" s="33">
        <f>IF(BD!$E559="","",(E560/(H560*I560)))</f>
        <v>1173.3399999999999</v>
      </c>
      <c r="H560" s="34">
        <v>1</v>
      </c>
      <c r="I560" s="112">
        <v>1</v>
      </c>
    </row>
    <row r="561" spans="1:9" ht="15" customHeight="1">
      <c r="A561" s="27">
        <f t="shared" si="3"/>
        <v>117</v>
      </c>
      <c r="B561" s="113" t="s">
        <v>332</v>
      </c>
      <c r="C561" s="53" t="s">
        <v>31</v>
      </c>
      <c r="D561" s="30" t="s">
        <v>64</v>
      </c>
      <c r="E561" s="109">
        <v>1173.3399999999999</v>
      </c>
      <c r="F561" s="110" t="s">
        <v>64</v>
      </c>
      <c r="G561" s="33">
        <f>IF(BD!$E560="","",(E561/(H561*I561)))</f>
        <v>1173.3399999999999</v>
      </c>
      <c r="H561" s="34">
        <v>1</v>
      </c>
      <c r="I561" s="112">
        <v>1</v>
      </c>
    </row>
    <row r="562" spans="1:9" ht="15" customHeight="1">
      <c r="A562" s="27">
        <f t="shared" si="3"/>
        <v>118</v>
      </c>
      <c r="B562" s="113" t="s">
        <v>333</v>
      </c>
      <c r="C562" s="53" t="s">
        <v>31</v>
      </c>
      <c r="D562" s="30" t="s">
        <v>64</v>
      </c>
      <c r="E562" s="109">
        <v>1173.3399999999999</v>
      </c>
      <c r="F562" s="110" t="s">
        <v>64</v>
      </c>
      <c r="G562" s="33">
        <f>IF(BD!$E561="","",(E562/(H562*I562)))</f>
        <v>1173.3399999999999</v>
      </c>
      <c r="H562" s="34">
        <v>1</v>
      </c>
      <c r="I562" s="112">
        <v>1</v>
      </c>
    </row>
    <row r="563" spans="1:9" ht="15" customHeight="1">
      <c r="A563" s="27">
        <f t="shared" si="3"/>
        <v>119</v>
      </c>
      <c r="B563" s="113" t="s">
        <v>334</v>
      </c>
      <c r="C563" s="53" t="s">
        <v>31</v>
      </c>
      <c r="D563" s="30" t="s">
        <v>64</v>
      </c>
      <c r="E563" s="109">
        <v>1173.3399999999999</v>
      </c>
      <c r="F563" s="110" t="s">
        <v>64</v>
      </c>
      <c r="G563" s="33">
        <f>IF(BD!$E562="","",(E563/(H563*I563)))</f>
        <v>1173.3399999999999</v>
      </c>
      <c r="H563" s="34">
        <v>1</v>
      </c>
      <c r="I563" s="112">
        <v>1</v>
      </c>
    </row>
    <row r="564" spans="1:9" ht="15" customHeight="1">
      <c r="A564" s="27">
        <f t="shared" si="3"/>
        <v>120</v>
      </c>
      <c r="B564" s="113" t="s">
        <v>335</v>
      </c>
      <c r="C564" s="53" t="s">
        <v>31</v>
      </c>
      <c r="D564" s="30" t="s">
        <v>64</v>
      </c>
      <c r="E564" s="109">
        <v>1173.3399999999999</v>
      </c>
      <c r="F564" s="110" t="s">
        <v>64</v>
      </c>
      <c r="G564" s="33">
        <f>IF(BD!$E563="","",(E564/(H564*I564)))</f>
        <v>1173.3399999999999</v>
      </c>
      <c r="H564" s="34">
        <v>1</v>
      </c>
      <c r="I564" s="112">
        <v>1</v>
      </c>
    </row>
    <row r="565" spans="1:9" ht="15" customHeight="1">
      <c r="A565" s="27">
        <f t="shared" si="3"/>
        <v>121</v>
      </c>
      <c r="B565" s="113" t="s">
        <v>336</v>
      </c>
      <c r="C565" s="53" t="s">
        <v>31</v>
      </c>
      <c r="D565" s="30" t="s">
        <v>64</v>
      </c>
      <c r="E565" s="109">
        <v>1173.3399999999999</v>
      </c>
      <c r="F565" s="110" t="s">
        <v>64</v>
      </c>
      <c r="G565" s="33">
        <f>IF(BD!$E564="","",(E565/(H565*I565)))</f>
        <v>1173.3399999999999</v>
      </c>
      <c r="H565" s="34">
        <v>1</v>
      </c>
      <c r="I565" s="112">
        <v>1</v>
      </c>
    </row>
    <row r="566" spans="1:9" ht="15" customHeight="1">
      <c r="A566" s="27">
        <f t="shared" si="3"/>
        <v>122</v>
      </c>
      <c r="B566" s="28" t="s">
        <v>337</v>
      </c>
      <c r="C566" s="53" t="s">
        <v>31</v>
      </c>
      <c r="D566" s="30" t="s">
        <v>64</v>
      </c>
      <c r="E566" s="109">
        <v>2563</v>
      </c>
      <c r="F566" s="32" t="s">
        <v>64</v>
      </c>
      <c r="G566" s="33">
        <f>IF(BD!$E565="","",(E566/(H566*I566)))</f>
        <v>2563</v>
      </c>
      <c r="H566" s="34">
        <v>1</v>
      </c>
      <c r="I566" s="112">
        <v>1</v>
      </c>
    </row>
    <row r="567" spans="1:9" ht="15" customHeight="1">
      <c r="A567" s="27">
        <f t="shared" si="3"/>
        <v>123</v>
      </c>
      <c r="B567" s="28" t="s">
        <v>338</v>
      </c>
      <c r="C567" s="53" t="s">
        <v>31</v>
      </c>
      <c r="D567" s="30" t="s">
        <v>64</v>
      </c>
      <c r="E567" s="31">
        <v>2364.5300000000002</v>
      </c>
      <c r="F567" s="32" t="s">
        <v>64</v>
      </c>
      <c r="G567" s="33">
        <f>IF(BD!$E566="","",(E567/(H567*I567)))</f>
        <v>2364.5300000000002</v>
      </c>
      <c r="H567" s="34">
        <v>1</v>
      </c>
      <c r="I567" s="112">
        <v>1</v>
      </c>
    </row>
    <row r="568" spans="1:9" ht="15" customHeight="1">
      <c r="A568" s="27">
        <f t="shared" si="3"/>
        <v>124</v>
      </c>
      <c r="B568" s="28" t="s">
        <v>339</v>
      </c>
      <c r="C568" s="53" t="s">
        <v>31</v>
      </c>
      <c r="D568" s="30" t="s">
        <v>64</v>
      </c>
      <c r="E568" s="31">
        <v>2364.5300000000002</v>
      </c>
      <c r="F568" s="32" t="s">
        <v>64</v>
      </c>
      <c r="G568" s="33">
        <f>IF(BD!$E567="","",(E568/(H568*I568)))</f>
        <v>2364.5300000000002</v>
      </c>
      <c r="H568" s="34">
        <v>1</v>
      </c>
      <c r="I568" s="112">
        <v>1</v>
      </c>
    </row>
    <row r="569" spans="1:9" ht="15" customHeight="1">
      <c r="A569" s="27">
        <f t="shared" si="3"/>
        <v>125</v>
      </c>
      <c r="B569" s="28" t="s">
        <v>340</v>
      </c>
      <c r="C569" s="53" t="s">
        <v>31</v>
      </c>
      <c r="D569" s="30" t="s">
        <v>64</v>
      </c>
      <c r="E569" s="31">
        <v>2563</v>
      </c>
      <c r="F569" s="32" t="s">
        <v>64</v>
      </c>
      <c r="G569" s="33">
        <f>IF(BD!$E568="","",(E569/(H569*I569)))</f>
        <v>2563</v>
      </c>
      <c r="H569" s="34">
        <v>1</v>
      </c>
      <c r="I569" s="112">
        <v>1</v>
      </c>
    </row>
    <row r="570" spans="1:9" ht="15" customHeight="1">
      <c r="A570" s="27">
        <f t="shared" si="3"/>
        <v>126</v>
      </c>
      <c r="B570" s="28" t="s">
        <v>341</v>
      </c>
      <c r="C570" s="53" t="s">
        <v>31</v>
      </c>
      <c r="D570" s="30" t="s">
        <v>64</v>
      </c>
      <c r="E570" s="109">
        <v>2563</v>
      </c>
      <c r="F570" s="110" t="s">
        <v>64</v>
      </c>
      <c r="G570" s="33">
        <f>IF(BD!$E569="","",(E570/(H570*I570)))</f>
        <v>2563</v>
      </c>
      <c r="H570" s="34">
        <v>1</v>
      </c>
      <c r="I570" s="112">
        <v>1</v>
      </c>
    </row>
    <row r="571" spans="1:9" ht="15" customHeight="1">
      <c r="A571" s="27">
        <f t="shared" si="3"/>
        <v>127</v>
      </c>
      <c r="B571" s="28" t="s">
        <v>342</v>
      </c>
      <c r="C571" s="53" t="s">
        <v>31</v>
      </c>
      <c r="D571" s="30" t="s">
        <v>64</v>
      </c>
      <c r="E571" s="109">
        <v>2563</v>
      </c>
      <c r="F571" s="110" t="s">
        <v>64</v>
      </c>
      <c r="G571" s="33">
        <f>IF(BD!$E570="","",(E571/(H571*I571)))</f>
        <v>2563</v>
      </c>
      <c r="H571" s="34">
        <v>1</v>
      </c>
      <c r="I571" s="112">
        <v>1</v>
      </c>
    </row>
    <row r="572" spans="1:9" ht="15" customHeight="1">
      <c r="A572" s="27">
        <f t="shared" si="3"/>
        <v>128</v>
      </c>
      <c r="B572" s="28" t="s">
        <v>343</v>
      </c>
      <c r="C572" s="53" t="s">
        <v>31</v>
      </c>
      <c r="D572" s="30" t="s">
        <v>64</v>
      </c>
      <c r="E572" s="31">
        <v>2440.69</v>
      </c>
      <c r="F572" s="32" t="s">
        <v>64</v>
      </c>
      <c r="G572" s="33">
        <f>IF(BD!$E571="","",(E572/(H572*I572)))</f>
        <v>2440.69</v>
      </c>
      <c r="H572" s="34">
        <v>1</v>
      </c>
      <c r="I572" s="112">
        <v>1</v>
      </c>
    </row>
    <row r="573" spans="1:9" ht="15" customHeight="1">
      <c r="A573" s="27">
        <f t="shared" si="3"/>
        <v>129</v>
      </c>
      <c r="B573" s="28" t="s">
        <v>344</v>
      </c>
      <c r="C573" s="53" t="s">
        <v>31</v>
      </c>
      <c r="D573" s="30" t="s">
        <v>64</v>
      </c>
      <c r="E573" s="31">
        <v>2440.69</v>
      </c>
      <c r="F573" s="32" t="s">
        <v>64</v>
      </c>
      <c r="G573" s="33">
        <f>IF(BD!$E572="","",(E573/(H573*I573)))</f>
        <v>2440.69</v>
      </c>
      <c r="H573" s="34">
        <v>1</v>
      </c>
      <c r="I573" s="112">
        <v>1</v>
      </c>
    </row>
    <row r="574" spans="1:9" ht="15" customHeight="1">
      <c r="A574" s="27">
        <f t="shared" ref="A574:A637" si="4">A573+1</f>
        <v>130</v>
      </c>
      <c r="B574" s="113" t="s">
        <v>345</v>
      </c>
      <c r="C574" s="53" t="s">
        <v>31</v>
      </c>
      <c r="D574" s="30" t="s">
        <v>64</v>
      </c>
      <c r="E574" s="109">
        <v>873.94</v>
      </c>
      <c r="F574" s="110" t="s">
        <v>64</v>
      </c>
      <c r="G574" s="33">
        <f>IF(BD!$E573="","",(E574/(H574*I574)))</f>
        <v>873.94</v>
      </c>
      <c r="H574" s="34">
        <v>1</v>
      </c>
      <c r="I574" s="112">
        <v>1</v>
      </c>
    </row>
    <row r="575" spans="1:9" ht="15" customHeight="1">
      <c r="A575" s="27">
        <f t="shared" si="4"/>
        <v>131</v>
      </c>
      <c r="B575" s="113" t="s">
        <v>346</v>
      </c>
      <c r="C575" s="53" t="s">
        <v>31</v>
      </c>
      <c r="D575" s="30" t="s">
        <v>64</v>
      </c>
      <c r="E575" s="109">
        <v>873.94</v>
      </c>
      <c r="F575" s="110" t="s">
        <v>64</v>
      </c>
      <c r="G575" s="33">
        <f>IF(BD!$E574="","",(E575/(H575*I575)))</f>
        <v>873.94</v>
      </c>
      <c r="H575" s="34">
        <v>1</v>
      </c>
      <c r="I575" s="112">
        <v>1</v>
      </c>
    </row>
    <row r="576" spans="1:9" ht="15" customHeight="1">
      <c r="A576" s="27">
        <f t="shared" si="4"/>
        <v>132</v>
      </c>
      <c r="B576" s="113" t="s">
        <v>347</v>
      </c>
      <c r="C576" s="53" t="s">
        <v>31</v>
      </c>
      <c r="D576" s="30" t="s">
        <v>64</v>
      </c>
      <c r="E576" s="109">
        <v>873.94</v>
      </c>
      <c r="F576" s="110" t="s">
        <v>64</v>
      </c>
      <c r="G576" s="33">
        <f>IF(BD!$E575="","",(E576/(H576*I576)))</f>
        <v>873.94</v>
      </c>
      <c r="H576" s="34">
        <v>1</v>
      </c>
      <c r="I576" s="112">
        <v>1</v>
      </c>
    </row>
    <row r="577" spans="1:9" ht="15" customHeight="1">
      <c r="A577" s="27">
        <f t="shared" si="4"/>
        <v>133</v>
      </c>
      <c r="B577" s="113" t="s">
        <v>348</v>
      </c>
      <c r="C577" s="53" t="s">
        <v>31</v>
      </c>
      <c r="D577" s="30" t="s">
        <v>64</v>
      </c>
      <c r="E577" s="109">
        <v>873.94</v>
      </c>
      <c r="F577" s="110" t="s">
        <v>64</v>
      </c>
      <c r="G577" s="33">
        <f>IF(BD!$E576="","",(E577/(H577*I577)))</f>
        <v>873.94</v>
      </c>
      <c r="H577" s="34">
        <v>1</v>
      </c>
      <c r="I577" s="112">
        <v>1</v>
      </c>
    </row>
    <row r="578" spans="1:9" ht="15" customHeight="1">
      <c r="A578" s="27">
        <f t="shared" si="4"/>
        <v>134</v>
      </c>
      <c r="B578" s="113" t="s">
        <v>349</v>
      </c>
      <c r="C578" s="53" t="s">
        <v>31</v>
      </c>
      <c r="D578" s="30" t="s">
        <v>64</v>
      </c>
      <c r="E578" s="109">
        <v>873.94</v>
      </c>
      <c r="F578" s="110" t="s">
        <v>64</v>
      </c>
      <c r="G578" s="33">
        <f>IF(BD!$E577="","",(E578/(H578*I578)))</f>
        <v>873.94</v>
      </c>
      <c r="H578" s="34">
        <v>1</v>
      </c>
      <c r="I578" s="112">
        <v>1</v>
      </c>
    </row>
    <row r="579" spans="1:9" ht="15" customHeight="1">
      <c r="A579" s="27">
        <f t="shared" si="4"/>
        <v>135</v>
      </c>
      <c r="B579" s="113" t="s">
        <v>350</v>
      </c>
      <c r="C579" s="53" t="s">
        <v>31</v>
      </c>
      <c r="D579" s="30" t="s">
        <v>64</v>
      </c>
      <c r="E579" s="109">
        <v>1547</v>
      </c>
      <c r="F579" s="110" t="s">
        <v>64</v>
      </c>
      <c r="G579" s="33">
        <f>IF(BD!$E578="","",(E579/(H579*I579)))</f>
        <v>1547</v>
      </c>
      <c r="H579" s="34">
        <v>1</v>
      </c>
      <c r="I579" s="112">
        <v>1</v>
      </c>
    </row>
    <row r="580" spans="1:9" ht="15" customHeight="1">
      <c r="A580" s="27">
        <f t="shared" si="4"/>
        <v>136</v>
      </c>
      <c r="B580" s="113" t="s">
        <v>351</v>
      </c>
      <c r="C580" s="53" t="s">
        <v>31</v>
      </c>
      <c r="D580" s="30" t="s">
        <v>64</v>
      </c>
      <c r="E580" s="109">
        <v>1547</v>
      </c>
      <c r="F580" s="110" t="s">
        <v>64</v>
      </c>
      <c r="G580" s="33">
        <f>IF(BD!$E579="","",(E580/(H580*I580)))</f>
        <v>1547</v>
      </c>
      <c r="H580" s="34">
        <v>1</v>
      </c>
      <c r="I580" s="112">
        <v>1</v>
      </c>
    </row>
    <row r="581" spans="1:9" ht="15" customHeight="1">
      <c r="A581" s="27">
        <f t="shared" si="4"/>
        <v>137</v>
      </c>
      <c r="B581" s="113" t="s">
        <v>352</v>
      </c>
      <c r="C581" s="53" t="s">
        <v>31</v>
      </c>
      <c r="D581" s="30" t="s">
        <v>64</v>
      </c>
      <c r="E581" s="109">
        <v>1547</v>
      </c>
      <c r="F581" s="110" t="s">
        <v>64</v>
      </c>
      <c r="G581" s="33">
        <f>IF(BD!$E580="","",(E581/(H581*I581)))</f>
        <v>1547</v>
      </c>
      <c r="H581" s="34">
        <v>1</v>
      </c>
      <c r="I581" s="112">
        <v>1</v>
      </c>
    </row>
    <row r="582" spans="1:9" ht="15" customHeight="1">
      <c r="A582" s="27">
        <f t="shared" si="4"/>
        <v>138</v>
      </c>
      <c r="B582" s="113" t="s">
        <v>353</v>
      </c>
      <c r="C582" s="53" t="s">
        <v>31</v>
      </c>
      <c r="D582" s="30" t="s">
        <v>64</v>
      </c>
      <c r="E582" s="109">
        <v>1850</v>
      </c>
      <c r="F582" s="110" t="s">
        <v>64</v>
      </c>
      <c r="G582" s="33">
        <f>IF(BD!$E581="","",(E582/(H582*I582)))</f>
        <v>1850</v>
      </c>
      <c r="H582" s="34">
        <v>1</v>
      </c>
      <c r="I582" s="112">
        <v>1</v>
      </c>
    </row>
    <row r="583" spans="1:9" ht="15" customHeight="1">
      <c r="A583" s="27">
        <f t="shared" si="4"/>
        <v>139</v>
      </c>
      <c r="B583" s="113" t="s">
        <v>354</v>
      </c>
      <c r="C583" s="53" t="s">
        <v>31</v>
      </c>
      <c r="D583" s="30" t="s">
        <v>64</v>
      </c>
      <c r="E583" s="109">
        <v>1850</v>
      </c>
      <c r="F583" s="110" t="s">
        <v>64</v>
      </c>
      <c r="G583" s="33">
        <f>IF(BD!$E582="","",(E583/(H583*I583)))</f>
        <v>1850</v>
      </c>
      <c r="H583" s="34">
        <v>1</v>
      </c>
      <c r="I583" s="112">
        <v>1</v>
      </c>
    </row>
    <row r="584" spans="1:9" ht="15" customHeight="1">
      <c r="A584" s="27">
        <f t="shared" si="4"/>
        <v>140</v>
      </c>
      <c r="B584" s="113" t="s">
        <v>355</v>
      </c>
      <c r="C584" s="53" t="s">
        <v>31</v>
      </c>
      <c r="D584" s="30" t="s">
        <v>64</v>
      </c>
      <c r="E584" s="109">
        <v>4799.2700000000004</v>
      </c>
      <c r="F584" s="110" t="s">
        <v>64</v>
      </c>
      <c r="G584" s="33">
        <f>IF(BD!$E583="","",(E584/(H584*I584)))</f>
        <v>4799.2700000000004</v>
      </c>
      <c r="H584" s="34">
        <v>1</v>
      </c>
      <c r="I584" s="112">
        <v>1</v>
      </c>
    </row>
    <row r="585" spans="1:9" ht="15" customHeight="1">
      <c r="A585" s="27">
        <f t="shared" si="4"/>
        <v>141</v>
      </c>
      <c r="B585" s="113" t="s">
        <v>356</v>
      </c>
      <c r="C585" s="53" t="s">
        <v>31</v>
      </c>
      <c r="D585" s="30" t="s">
        <v>64</v>
      </c>
      <c r="E585" s="109">
        <v>4799.2700000000004</v>
      </c>
      <c r="F585" s="110" t="s">
        <v>64</v>
      </c>
      <c r="G585" s="33">
        <f>IF(BD!$E584="","",(E585/(H585*I585)))</f>
        <v>4799.2700000000004</v>
      </c>
      <c r="H585" s="34">
        <v>1</v>
      </c>
      <c r="I585" s="112">
        <v>1</v>
      </c>
    </row>
    <row r="586" spans="1:9" ht="15" customHeight="1">
      <c r="A586" s="27">
        <f t="shared" si="4"/>
        <v>142</v>
      </c>
      <c r="B586" s="113" t="s">
        <v>357</v>
      </c>
      <c r="C586" s="53" t="s">
        <v>31</v>
      </c>
      <c r="D586" s="30" t="s">
        <v>64</v>
      </c>
      <c r="E586" s="109">
        <v>4799.2700000000004</v>
      </c>
      <c r="F586" s="110" t="s">
        <v>64</v>
      </c>
      <c r="G586" s="33">
        <f>IF(BD!$E585="","",(E586/(H586*I586)))</f>
        <v>4799.2700000000004</v>
      </c>
      <c r="H586" s="34">
        <v>1</v>
      </c>
      <c r="I586" s="112">
        <v>1</v>
      </c>
    </row>
    <row r="587" spans="1:9" ht="15" customHeight="1">
      <c r="A587" s="27">
        <f t="shared" si="4"/>
        <v>143</v>
      </c>
      <c r="B587" s="113" t="s">
        <v>358</v>
      </c>
      <c r="C587" s="53" t="s">
        <v>31</v>
      </c>
      <c r="D587" s="30" t="s">
        <v>64</v>
      </c>
      <c r="E587" s="109">
        <v>4799.2700000000004</v>
      </c>
      <c r="F587" s="110" t="s">
        <v>64</v>
      </c>
      <c r="G587" s="33">
        <f>IF(BD!$E586="","",(E587/(H587*I587)))</f>
        <v>4799.2700000000004</v>
      </c>
      <c r="H587" s="34">
        <v>1</v>
      </c>
      <c r="I587" s="112">
        <v>1</v>
      </c>
    </row>
    <row r="588" spans="1:9" ht="15" customHeight="1">
      <c r="A588" s="27">
        <f t="shared" si="4"/>
        <v>144</v>
      </c>
      <c r="B588" s="113" t="s">
        <v>359</v>
      </c>
      <c r="C588" s="53" t="s">
        <v>31</v>
      </c>
      <c r="D588" s="30" t="s">
        <v>64</v>
      </c>
      <c r="E588" s="109">
        <v>4799.2700000000004</v>
      </c>
      <c r="F588" s="110" t="s">
        <v>64</v>
      </c>
      <c r="G588" s="33">
        <f>IF(BD!$E587="","",(E588/(H588*I588)))</f>
        <v>4799.2700000000004</v>
      </c>
      <c r="H588" s="34">
        <v>1</v>
      </c>
      <c r="I588" s="112">
        <v>1</v>
      </c>
    </row>
    <row r="589" spans="1:9" ht="15" customHeight="1">
      <c r="A589" s="27">
        <f t="shared" si="4"/>
        <v>145</v>
      </c>
      <c r="B589" s="113" t="s">
        <v>360</v>
      </c>
      <c r="C589" s="53" t="s">
        <v>31</v>
      </c>
      <c r="D589" s="30" t="s">
        <v>64</v>
      </c>
      <c r="E589" s="109">
        <v>4799.2700000000004</v>
      </c>
      <c r="F589" s="110" t="s">
        <v>64</v>
      </c>
      <c r="G589" s="33">
        <f>IF(BD!$E588="","",(E589/(H589*I589)))</f>
        <v>4799.2700000000004</v>
      </c>
      <c r="H589" s="34">
        <v>1</v>
      </c>
      <c r="I589" s="112">
        <v>1</v>
      </c>
    </row>
    <row r="590" spans="1:9" ht="15" customHeight="1">
      <c r="A590" s="27">
        <f t="shared" si="4"/>
        <v>146</v>
      </c>
      <c r="B590" s="113" t="s">
        <v>361</v>
      </c>
      <c r="C590" s="53" t="s">
        <v>31</v>
      </c>
      <c r="D590" s="30" t="s">
        <v>64</v>
      </c>
      <c r="E590" s="109">
        <v>4799.2700000000004</v>
      </c>
      <c r="F590" s="110" t="s">
        <v>64</v>
      </c>
      <c r="G590" s="33">
        <f>IF(BD!$E589="","",(E590/(H590*I590)))</f>
        <v>4799.2700000000004</v>
      </c>
      <c r="H590" s="34">
        <v>1</v>
      </c>
      <c r="I590" s="112">
        <v>1</v>
      </c>
    </row>
    <row r="591" spans="1:9" ht="15" customHeight="1">
      <c r="A591" s="27">
        <f t="shared" si="4"/>
        <v>147</v>
      </c>
      <c r="B591" s="113" t="s">
        <v>362</v>
      </c>
      <c r="C591" s="53" t="s">
        <v>31</v>
      </c>
      <c r="D591" s="30" t="s">
        <v>64</v>
      </c>
      <c r="E591" s="109">
        <v>4799.2700000000004</v>
      </c>
      <c r="F591" s="110" t="s">
        <v>64</v>
      </c>
      <c r="G591" s="33">
        <f>IF(BD!$E590="","",(E591/(H591*I591)))</f>
        <v>4799.2700000000004</v>
      </c>
      <c r="H591" s="34">
        <v>1</v>
      </c>
      <c r="I591" s="112">
        <v>1</v>
      </c>
    </row>
    <row r="592" spans="1:9" ht="15" customHeight="1">
      <c r="A592" s="27">
        <f t="shared" si="4"/>
        <v>148</v>
      </c>
      <c r="B592" s="113" t="s">
        <v>363</v>
      </c>
      <c r="C592" s="53" t="s">
        <v>31</v>
      </c>
      <c r="D592" s="30" t="s">
        <v>64</v>
      </c>
      <c r="E592" s="109">
        <v>1000</v>
      </c>
      <c r="F592" s="110" t="s">
        <v>64</v>
      </c>
      <c r="G592" s="33">
        <f>IF(BD!$E591="","",(E592/(H592*I592)))</f>
        <v>1000</v>
      </c>
      <c r="H592" s="34">
        <v>1</v>
      </c>
      <c r="I592" s="112">
        <v>1</v>
      </c>
    </row>
    <row r="593" spans="1:9" ht="15" customHeight="1">
      <c r="A593" s="27">
        <f t="shared" si="4"/>
        <v>149</v>
      </c>
      <c r="B593" s="113" t="s">
        <v>364</v>
      </c>
      <c r="C593" s="53" t="s">
        <v>31</v>
      </c>
      <c r="D593" s="30" t="s">
        <v>64</v>
      </c>
      <c r="E593" s="109">
        <v>8973.7900000000009</v>
      </c>
      <c r="F593" s="110" t="s">
        <v>64</v>
      </c>
      <c r="G593" s="33">
        <f>IF(BD!$E592="","",(E593/(H593*I593)))</f>
        <v>8973.7900000000009</v>
      </c>
      <c r="H593" s="34">
        <v>1</v>
      </c>
      <c r="I593" s="112">
        <v>1</v>
      </c>
    </row>
    <row r="594" spans="1:9" ht="15" customHeight="1">
      <c r="A594" s="27">
        <f t="shared" si="4"/>
        <v>150</v>
      </c>
      <c r="B594" s="113" t="s">
        <v>365</v>
      </c>
      <c r="C594" s="53" t="s">
        <v>31</v>
      </c>
      <c r="D594" s="30" t="s">
        <v>64</v>
      </c>
      <c r="E594" s="109">
        <v>8973.7900000000009</v>
      </c>
      <c r="F594" s="110" t="s">
        <v>64</v>
      </c>
      <c r="G594" s="33">
        <f>IF(BD!$E593="","",(E594/(H594*I594)))</f>
        <v>8973.7900000000009</v>
      </c>
      <c r="H594" s="34">
        <v>1</v>
      </c>
      <c r="I594" s="112">
        <v>1</v>
      </c>
    </row>
    <row r="595" spans="1:9" ht="15" customHeight="1">
      <c r="A595" s="27">
        <f t="shared" si="4"/>
        <v>151</v>
      </c>
      <c r="B595" s="113" t="s">
        <v>366</v>
      </c>
      <c r="C595" s="53" t="s">
        <v>31</v>
      </c>
      <c r="D595" s="30" t="s">
        <v>64</v>
      </c>
      <c r="E595" s="109">
        <v>8973.7900000000009</v>
      </c>
      <c r="F595" s="110" t="s">
        <v>64</v>
      </c>
      <c r="G595" s="33">
        <f>IF(BD!$E594="","",(E595/(H595*I595)))</f>
        <v>8973.7900000000009</v>
      </c>
      <c r="H595" s="34">
        <v>1</v>
      </c>
      <c r="I595" s="112">
        <v>1</v>
      </c>
    </row>
    <row r="596" spans="1:9" ht="15" customHeight="1">
      <c r="A596" s="27">
        <f t="shared" si="4"/>
        <v>152</v>
      </c>
      <c r="B596" s="113" t="s">
        <v>367</v>
      </c>
      <c r="C596" s="53" t="s">
        <v>31</v>
      </c>
      <c r="D596" s="30" t="s">
        <v>64</v>
      </c>
      <c r="E596" s="109">
        <v>8973.7900000000009</v>
      </c>
      <c r="F596" s="110" t="s">
        <v>64</v>
      </c>
      <c r="G596" s="33">
        <f>IF(BD!$E595="","",(E596/(H596*I596)))</f>
        <v>8973.7900000000009</v>
      </c>
      <c r="H596" s="34">
        <v>1</v>
      </c>
      <c r="I596" s="112">
        <v>1</v>
      </c>
    </row>
    <row r="597" spans="1:9" ht="15" customHeight="1">
      <c r="A597" s="27">
        <f t="shared" si="4"/>
        <v>153</v>
      </c>
      <c r="B597" s="113" t="s">
        <v>368</v>
      </c>
      <c r="C597" s="53" t="s">
        <v>31</v>
      </c>
      <c r="D597" s="30" t="s">
        <v>64</v>
      </c>
      <c r="E597" s="109">
        <v>3844.89</v>
      </c>
      <c r="F597" s="110" t="s">
        <v>64</v>
      </c>
      <c r="G597" s="33">
        <f>IF(BD!$E596="","",(E597/(H597*I597)))</f>
        <v>3844.89</v>
      </c>
      <c r="H597" s="34">
        <v>1</v>
      </c>
      <c r="I597" s="112">
        <v>1</v>
      </c>
    </row>
    <row r="598" spans="1:9" ht="15" customHeight="1">
      <c r="A598" s="27">
        <f t="shared" si="4"/>
        <v>154</v>
      </c>
      <c r="B598" s="113" t="s">
        <v>369</v>
      </c>
      <c r="C598" s="53" t="s">
        <v>31</v>
      </c>
      <c r="D598" s="30" t="s">
        <v>64</v>
      </c>
      <c r="E598" s="109">
        <v>3844.89</v>
      </c>
      <c r="F598" s="110" t="s">
        <v>64</v>
      </c>
      <c r="G598" s="33">
        <f>IF(BD!$E597="","",(E598/(H598*I598)))</f>
        <v>3844.89</v>
      </c>
      <c r="H598" s="34">
        <v>1</v>
      </c>
      <c r="I598" s="112">
        <v>1</v>
      </c>
    </row>
    <row r="599" spans="1:9" ht="15" customHeight="1">
      <c r="A599" s="27">
        <f t="shared" si="4"/>
        <v>155</v>
      </c>
      <c r="B599" s="113" t="s">
        <v>370</v>
      </c>
      <c r="C599" s="53" t="s">
        <v>31</v>
      </c>
      <c r="D599" s="30" t="s">
        <v>64</v>
      </c>
      <c r="E599" s="109">
        <v>3844.89</v>
      </c>
      <c r="F599" s="110" t="s">
        <v>64</v>
      </c>
      <c r="G599" s="33">
        <f>IF(BD!$E598="","",(E599/(H599*I599)))</f>
        <v>3844.89</v>
      </c>
      <c r="H599" s="34">
        <v>1</v>
      </c>
      <c r="I599" s="112">
        <v>1</v>
      </c>
    </row>
    <row r="600" spans="1:9" ht="15" customHeight="1">
      <c r="A600" s="27">
        <f t="shared" si="4"/>
        <v>156</v>
      </c>
      <c r="B600" s="113" t="s">
        <v>371</v>
      </c>
      <c r="C600" s="53" t="s">
        <v>31</v>
      </c>
      <c r="D600" s="30" t="s">
        <v>64</v>
      </c>
      <c r="E600" s="109">
        <v>3844.89</v>
      </c>
      <c r="F600" s="110" t="s">
        <v>64</v>
      </c>
      <c r="G600" s="33">
        <f>IF(BD!$E599="","",(E600/(H600*I600)))</f>
        <v>3844.89</v>
      </c>
      <c r="H600" s="34">
        <v>1</v>
      </c>
      <c r="I600" s="112">
        <v>1</v>
      </c>
    </row>
    <row r="601" spans="1:9" ht="15" customHeight="1">
      <c r="A601" s="27">
        <f t="shared" si="4"/>
        <v>157</v>
      </c>
      <c r="B601" s="113" t="s">
        <v>372</v>
      </c>
      <c r="C601" s="53" t="s">
        <v>31</v>
      </c>
      <c r="D601" s="30" t="s">
        <v>64</v>
      </c>
      <c r="E601" s="109">
        <v>3844.89</v>
      </c>
      <c r="F601" s="110" t="s">
        <v>64</v>
      </c>
      <c r="G601" s="33">
        <f>IF(BD!$E600="","",(E601/(H601*I601)))</f>
        <v>3844.89</v>
      </c>
      <c r="H601" s="34">
        <v>1</v>
      </c>
      <c r="I601" s="112">
        <v>1</v>
      </c>
    </row>
    <row r="602" spans="1:9" ht="15" customHeight="1">
      <c r="A602" s="27">
        <f t="shared" si="4"/>
        <v>158</v>
      </c>
      <c r="B602" s="113" t="s">
        <v>373</v>
      </c>
      <c r="C602" s="53" t="s">
        <v>31</v>
      </c>
      <c r="D602" s="30" t="s">
        <v>64</v>
      </c>
      <c r="E602" s="109">
        <v>3844.89</v>
      </c>
      <c r="F602" s="110" t="s">
        <v>64</v>
      </c>
      <c r="G602" s="33">
        <f>IF(BD!$E601="","",(E602/(H602*I602)))</f>
        <v>3844.89</v>
      </c>
      <c r="H602" s="34">
        <v>1</v>
      </c>
      <c r="I602" s="112">
        <v>1</v>
      </c>
    </row>
    <row r="603" spans="1:9" ht="15" customHeight="1">
      <c r="A603" s="27">
        <f t="shared" si="4"/>
        <v>159</v>
      </c>
      <c r="B603" s="113" t="s">
        <v>374</v>
      </c>
      <c r="C603" s="53" t="s">
        <v>31</v>
      </c>
      <c r="D603" s="30" t="s">
        <v>64</v>
      </c>
      <c r="E603" s="109">
        <v>3844.89</v>
      </c>
      <c r="F603" s="110" t="s">
        <v>64</v>
      </c>
      <c r="G603" s="33">
        <f>IF(BD!$E602="","",(E603/(H603*I603)))</f>
        <v>3844.89</v>
      </c>
      <c r="H603" s="34">
        <v>1</v>
      </c>
      <c r="I603" s="112">
        <v>1</v>
      </c>
    </row>
    <row r="604" spans="1:9" ht="15" customHeight="1">
      <c r="A604" s="27">
        <f t="shared" si="4"/>
        <v>160</v>
      </c>
      <c r="B604" s="113" t="s">
        <v>375</v>
      </c>
      <c r="C604" s="53" t="s">
        <v>31</v>
      </c>
      <c r="D604" s="30" t="s">
        <v>64</v>
      </c>
      <c r="E604" s="109">
        <v>3844.89</v>
      </c>
      <c r="F604" s="110" t="s">
        <v>64</v>
      </c>
      <c r="G604" s="33">
        <f>IF(BD!$E603="","",(E604/(H604*I604)))</f>
        <v>3844.89</v>
      </c>
      <c r="H604" s="34">
        <v>1</v>
      </c>
      <c r="I604" s="112">
        <v>1</v>
      </c>
    </row>
    <row r="605" spans="1:9" ht="30">
      <c r="A605" s="27">
        <f t="shared" si="4"/>
        <v>161</v>
      </c>
      <c r="B605" s="113" t="s">
        <v>376</v>
      </c>
      <c r="C605" s="53" t="s">
        <v>31</v>
      </c>
      <c r="D605" s="30" t="s">
        <v>64</v>
      </c>
      <c r="E605" s="109">
        <v>1661.24</v>
      </c>
      <c r="F605" s="110" t="s">
        <v>64</v>
      </c>
      <c r="G605" s="33">
        <f>IF(BD!$E604="","",(E605/(H605*I605)))</f>
        <v>1661.24</v>
      </c>
      <c r="H605" s="34">
        <v>1</v>
      </c>
      <c r="I605" s="112">
        <v>1</v>
      </c>
    </row>
    <row r="606" spans="1:9" ht="15" customHeight="1">
      <c r="A606" s="27">
        <f t="shared" si="4"/>
        <v>162</v>
      </c>
      <c r="B606" s="113" t="s">
        <v>377</v>
      </c>
      <c r="C606" s="53" t="s">
        <v>31</v>
      </c>
      <c r="D606" s="30" t="s">
        <v>64</v>
      </c>
      <c r="E606" s="109">
        <v>1661.24</v>
      </c>
      <c r="F606" s="110" t="s">
        <v>64</v>
      </c>
      <c r="G606" s="33">
        <f>IF(BD!$E605="","",(E606/(H606*I606)))</f>
        <v>1661.24</v>
      </c>
      <c r="H606" s="34">
        <v>1</v>
      </c>
      <c r="I606" s="112">
        <v>1</v>
      </c>
    </row>
    <row r="607" spans="1:9" ht="15" customHeight="1">
      <c r="A607" s="27">
        <f t="shared" si="4"/>
        <v>163</v>
      </c>
      <c r="B607" s="113" t="s">
        <v>378</v>
      </c>
      <c r="C607" s="53" t="s">
        <v>31</v>
      </c>
      <c r="D607" s="30" t="s">
        <v>64</v>
      </c>
      <c r="E607" s="109">
        <v>1661.24</v>
      </c>
      <c r="F607" s="110" t="s">
        <v>64</v>
      </c>
      <c r="G607" s="33">
        <f>IF(BD!$E606="","",(E607/(H607*I607)))</f>
        <v>1661.24</v>
      </c>
      <c r="H607" s="34">
        <v>1</v>
      </c>
      <c r="I607" s="112">
        <v>1</v>
      </c>
    </row>
    <row r="608" spans="1:9" ht="15" customHeight="1">
      <c r="A608" s="27">
        <f t="shared" si="4"/>
        <v>164</v>
      </c>
      <c r="B608" s="113" t="s">
        <v>379</v>
      </c>
      <c r="C608" s="53" t="s">
        <v>31</v>
      </c>
      <c r="D608" s="30" t="s">
        <v>64</v>
      </c>
      <c r="E608" s="109">
        <v>1661.24</v>
      </c>
      <c r="F608" s="110" t="s">
        <v>64</v>
      </c>
      <c r="G608" s="33">
        <f>IF(BD!$E607="","",(E608/(H608*I608)))</f>
        <v>1661.24</v>
      </c>
      <c r="H608" s="34">
        <v>1</v>
      </c>
      <c r="I608" s="112">
        <v>1</v>
      </c>
    </row>
    <row r="609" spans="1:9" ht="15" customHeight="1">
      <c r="A609" s="27">
        <f t="shared" si="4"/>
        <v>165</v>
      </c>
      <c r="B609" s="113" t="s">
        <v>380</v>
      </c>
      <c r="C609" s="53" t="s">
        <v>31</v>
      </c>
      <c r="D609" s="30" t="s">
        <v>64</v>
      </c>
      <c r="E609" s="109">
        <v>1661.24</v>
      </c>
      <c r="F609" s="110" t="s">
        <v>64</v>
      </c>
      <c r="G609" s="33">
        <f>IF(BD!$E608="","",(E609/(H609*I609)))</f>
        <v>1661.24</v>
      </c>
      <c r="H609" s="34">
        <v>1</v>
      </c>
      <c r="I609" s="112">
        <v>1</v>
      </c>
    </row>
    <row r="610" spans="1:9" ht="15" customHeight="1">
      <c r="A610" s="27">
        <f t="shared" si="4"/>
        <v>166</v>
      </c>
      <c r="B610" s="113" t="s">
        <v>381</v>
      </c>
      <c r="C610" s="53" t="s">
        <v>31</v>
      </c>
      <c r="D610" s="30" t="s">
        <v>64</v>
      </c>
      <c r="E610" s="109">
        <v>690.75</v>
      </c>
      <c r="F610" s="110" t="s">
        <v>64</v>
      </c>
      <c r="G610" s="33">
        <f>IF(BD!$E609="","",(E610/(H610*I610)))</f>
        <v>690.75</v>
      </c>
      <c r="H610" s="34">
        <v>1</v>
      </c>
      <c r="I610" s="112">
        <v>1</v>
      </c>
    </row>
    <row r="611" spans="1:9" ht="15" customHeight="1">
      <c r="A611" s="27">
        <f t="shared" si="4"/>
        <v>167</v>
      </c>
      <c r="B611" s="113" t="s">
        <v>382</v>
      </c>
      <c r="C611" s="53" t="s">
        <v>31</v>
      </c>
      <c r="D611" s="30" t="s">
        <v>64</v>
      </c>
      <c r="E611" s="109">
        <v>690.75</v>
      </c>
      <c r="F611" s="110" t="s">
        <v>64</v>
      </c>
      <c r="G611" s="33">
        <f>IF(BD!$E610="","",(E611/(H611*I611)))</f>
        <v>690.75</v>
      </c>
      <c r="H611" s="34">
        <v>1</v>
      </c>
      <c r="I611" s="112">
        <v>1</v>
      </c>
    </row>
    <row r="612" spans="1:9" ht="15" customHeight="1">
      <c r="A612" s="27">
        <f t="shared" si="4"/>
        <v>168</v>
      </c>
      <c r="B612" s="113" t="s">
        <v>383</v>
      </c>
      <c r="C612" s="53" t="s">
        <v>31</v>
      </c>
      <c r="D612" s="30" t="s">
        <v>64</v>
      </c>
      <c r="E612" s="109">
        <v>690.75</v>
      </c>
      <c r="F612" s="110" t="s">
        <v>64</v>
      </c>
      <c r="G612" s="33">
        <f>IF(BD!$E611="","",(E612/(H612*I612)))</f>
        <v>690.75</v>
      </c>
      <c r="H612" s="34">
        <v>1</v>
      </c>
      <c r="I612" s="112">
        <v>1</v>
      </c>
    </row>
    <row r="613" spans="1:9" ht="15" customHeight="1">
      <c r="A613" s="27">
        <f t="shared" si="4"/>
        <v>169</v>
      </c>
      <c r="B613" s="113" t="s">
        <v>384</v>
      </c>
      <c r="C613" s="53" t="s">
        <v>31</v>
      </c>
      <c r="D613" s="30" t="s">
        <v>64</v>
      </c>
      <c r="E613" s="109">
        <v>690.75</v>
      </c>
      <c r="F613" s="110" t="s">
        <v>64</v>
      </c>
      <c r="G613" s="33">
        <f>IF(BD!$E612="","",(E613/(H613*I613)))</f>
        <v>690.75</v>
      </c>
      <c r="H613" s="34">
        <v>1</v>
      </c>
      <c r="I613" s="112">
        <v>1</v>
      </c>
    </row>
    <row r="614" spans="1:9" ht="15" customHeight="1">
      <c r="A614" s="27">
        <f t="shared" si="4"/>
        <v>170</v>
      </c>
      <c r="B614" s="113" t="s">
        <v>385</v>
      </c>
      <c r="C614" s="53" t="s">
        <v>31</v>
      </c>
      <c r="D614" s="30" t="s">
        <v>64</v>
      </c>
      <c r="E614" s="109">
        <v>690.75</v>
      </c>
      <c r="F614" s="110" t="s">
        <v>64</v>
      </c>
      <c r="G614" s="33">
        <f>IF(BD!$E613="","",(E614/(H614*I614)))</f>
        <v>690.75</v>
      </c>
      <c r="H614" s="34">
        <v>1</v>
      </c>
      <c r="I614" s="112">
        <v>1</v>
      </c>
    </row>
    <row r="615" spans="1:9" ht="15" customHeight="1">
      <c r="A615" s="27">
        <f t="shared" si="4"/>
        <v>171</v>
      </c>
      <c r="B615" s="113" t="s">
        <v>386</v>
      </c>
      <c r="C615" s="53" t="s">
        <v>31</v>
      </c>
      <c r="D615" s="30" t="s">
        <v>64</v>
      </c>
      <c r="E615" s="109">
        <v>690.75</v>
      </c>
      <c r="F615" s="110" t="s">
        <v>64</v>
      </c>
      <c r="G615" s="33">
        <f>IF(BD!$E614="","",(E615/(H615*I615)))</f>
        <v>690.75</v>
      </c>
      <c r="H615" s="34">
        <v>1</v>
      </c>
      <c r="I615" s="112">
        <v>1</v>
      </c>
    </row>
    <row r="616" spans="1:9" ht="15" customHeight="1">
      <c r="A616" s="27">
        <f t="shared" si="4"/>
        <v>172</v>
      </c>
      <c r="B616" s="113" t="s">
        <v>387</v>
      </c>
      <c r="C616" s="53" t="s">
        <v>31</v>
      </c>
      <c r="D616" s="30" t="s">
        <v>64</v>
      </c>
      <c r="E616" s="31">
        <v>690.75</v>
      </c>
      <c r="F616" s="32" t="s">
        <v>64</v>
      </c>
      <c r="G616" s="33">
        <f>IF(BD!$E615="","",(E616/(H616*I616)))</f>
        <v>690.75</v>
      </c>
      <c r="H616" s="34">
        <v>1</v>
      </c>
      <c r="I616" s="112">
        <v>1</v>
      </c>
    </row>
    <row r="617" spans="1:9" ht="15" customHeight="1">
      <c r="A617" s="27">
        <f t="shared" si="4"/>
        <v>173</v>
      </c>
      <c r="B617" s="113" t="s">
        <v>388</v>
      </c>
      <c r="C617" s="53" t="s">
        <v>31</v>
      </c>
      <c r="D617" s="30" t="s">
        <v>64</v>
      </c>
      <c r="E617" s="31">
        <v>690.75</v>
      </c>
      <c r="F617" s="32" t="s">
        <v>64</v>
      </c>
      <c r="G617" s="33">
        <f>IF(BD!$E616="","",(E617/(H617*I617)))</f>
        <v>690.75</v>
      </c>
      <c r="H617" s="34">
        <v>1</v>
      </c>
      <c r="I617" s="112">
        <v>1</v>
      </c>
    </row>
    <row r="618" spans="1:9" ht="15" customHeight="1">
      <c r="A618" s="27">
        <f t="shared" si="4"/>
        <v>174</v>
      </c>
      <c r="B618" s="113" t="s">
        <v>389</v>
      </c>
      <c r="C618" s="53" t="s">
        <v>31</v>
      </c>
      <c r="D618" s="30" t="s">
        <v>64</v>
      </c>
      <c r="E618" s="109">
        <v>690.75</v>
      </c>
      <c r="F618" s="110" t="s">
        <v>64</v>
      </c>
      <c r="G618" s="33">
        <f>IF(BD!$E617="","",(E618/(H618*I618)))</f>
        <v>690.75</v>
      </c>
      <c r="H618" s="34">
        <v>1</v>
      </c>
      <c r="I618" s="112">
        <v>1</v>
      </c>
    </row>
    <row r="619" spans="1:9" ht="15" customHeight="1">
      <c r="A619" s="27">
        <f t="shared" si="4"/>
        <v>175</v>
      </c>
      <c r="B619" s="113" t="s">
        <v>390</v>
      </c>
      <c r="C619" s="53" t="s">
        <v>31</v>
      </c>
      <c r="D619" s="30" t="s">
        <v>64</v>
      </c>
      <c r="E619" s="109">
        <v>690.75</v>
      </c>
      <c r="F619" s="110" t="s">
        <v>64</v>
      </c>
      <c r="G619" s="33">
        <f>IF(BD!$E618="","",(E619/(H619*I619)))</f>
        <v>690.75</v>
      </c>
      <c r="H619" s="34">
        <v>1</v>
      </c>
      <c r="I619" s="112">
        <v>1</v>
      </c>
    </row>
    <row r="620" spans="1:9" ht="15" customHeight="1">
      <c r="A620" s="27">
        <f t="shared" si="4"/>
        <v>176</v>
      </c>
      <c r="B620" s="113" t="s">
        <v>391</v>
      </c>
      <c r="C620" s="53" t="s">
        <v>31</v>
      </c>
      <c r="D620" s="30" t="s">
        <v>64</v>
      </c>
      <c r="E620" s="109">
        <v>690.75</v>
      </c>
      <c r="F620" s="110" t="s">
        <v>64</v>
      </c>
      <c r="G620" s="33">
        <f>IF(BD!$E619="","",(E620/(H620*I620)))</f>
        <v>690.75</v>
      </c>
      <c r="H620" s="34">
        <v>1</v>
      </c>
      <c r="I620" s="112">
        <v>1</v>
      </c>
    </row>
    <row r="621" spans="1:9" ht="15" customHeight="1">
      <c r="A621" s="27">
        <f t="shared" si="4"/>
        <v>177</v>
      </c>
      <c r="B621" s="113" t="s">
        <v>392</v>
      </c>
      <c r="C621" s="53" t="s">
        <v>31</v>
      </c>
      <c r="D621" s="30" t="s">
        <v>64</v>
      </c>
      <c r="E621" s="109">
        <v>690.75</v>
      </c>
      <c r="F621" s="110" t="s">
        <v>64</v>
      </c>
      <c r="G621" s="33">
        <f>IF(BD!$E620="","",(E621/(H621*I621)))</f>
        <v>690.75</v>
      </c>
      <c r="H621" s="34">
        <v>1</v>
      </c>
      <c r="I621" s="112">
        <v>1</v>
      </c>
    </row>
    <row r="622" spans="1:9" ht="15" customHeight="1">
      <c r="A622" s="27">
        <f t="shared" si="4"/>
        <v>178</v>
      </c>
      <c r="B622" s="113" t="s">
        <v>393</v>
      </c>
      <c r="C622" s="53" t="s">
        <v>31</v>
      </c>
      <c r="D622" s="30" t="s">
        <v>64</v>
      </c>
      <c r="E622" s="31">
        <v>690.75</v>
      </c>
      <c r="F622" s="32" t="s">
        <v>64</v>
      </c>
      <c r="G622" s="33">
        <f>IF(BD!$E621="","",(E622/(H622*I622)))</f>
        <v>690.75</v>
      </c>
      <c r="H622" s="34">
        <v>1</v>
      </c>
      <c r="I622" s="112">
        <v>1</v>
      </c>
    </row>
    <row r="623" spans="1:9" ht="15" customHeight="1">
      <c r="A623" s="27">
        <f t="shared" si="4"/>
        <v>179</v>
      </c>
      <c r="B623" s="113" t="s">
        <v>394</v>
      </c>
      <c r="C623" s="53" t="s">
        <v>31</v>
      </c>
      <c r="D623" s="30" t="s">
        <v>64</v>
      </c>
      <c r="E623" s="31">
        <v>690.75</v>
      </c>
      <c r="F623" s="32" t="s">
        <v>64</v>
      </c>
      <c r="G623" s="33">
        <f>IF(BD!$E622="","",(E623/(H623*I623)))</f>
        <v>690.75</v>
      </c>
      <c r="H623" s="34">
        <v>1</v>
      </c>
      <c r="I623" s="112">
        <v>1</v>
      </c>
    </row>
    <row r="624" spans="1:9" ht="15" customHeight="1">
      <c r="A624" s="27">
        <f t="shared" si="4"/>
        <v>180</v>
      </c>
      <c r="B624" s="113" t="s">
        <v>395</v>
      </c>
      <c r="C624" s="53" t="s">
        <v>31</v>
      </c>
      <c r="D624" s="30" t="s">
        <v>64</v>
      </c>
      <c r="E624" s="109">
        <v>690.75</v>
      </c>
      <c r="F624" s="110" t="s">
        <v>64</v>
      </c>
      <c r="G624" s="33">
        <f>IF(BD!$E623="","",(E624/(H624*I624)))</f>
        <v>690.75</v>
      </c>
      <c r="H624" s="34">
        <v>1</v>
      </c>
      <c r="I624" s="112">
        <v>1</v>
      </c>
    </row>
    <row r="625" spans="1:9" ht="15" customHeight="1">
      <c r="A625" s="27">
        <f t="shared" si="4"/>
        <v>181</v>
      </c>
      <c r="B625" s="113" t="s">
        <v>396</v>
      </c>
      <c r="C625" s="53" t="s">
        <v>31</v>
      </c>
      <c r="D625" s="30" t="s">
        <v>64</v>
      </c>
      <c r="E625" s="109">
        <v>690.75</v>
      </c>
      <c r="F625" s="110" t="s">
        <v>64</v>
      </c>
      <c r="G625" s="33">
        <f>IF(BD!$E624="","",(E625/(H625*I625)))</f>
        <v>690.75</v>
      </c>
      <c r="H625" s="34">
        <v>1</v>
      </c>
      <c r="I625" s="112">
        <v>1</v>
      </c>
    </row>
    <row r="626" spans="1:9" ht="15" customHeight="1">
      <c r="A626" s="27">
        <f t="shared" si="4"/>
        <v>182</v>
      </c>
      <c r="B626" s="113" t="s">
        <v>397</v>
      </c>
      <c r="C626" s="53" t="s">
        <v>31</v>
      </c>
      <c r="D626" s="30" t="s">
        <v>64</v>
      </c>
      <c r="E626" s="109">
        <v>690.75</v>
      </c>
      <c r="F626" s="110" t="s">
        <v>64</v>
      </c>
      <c r="G626" s="33">
        <f>IF(BD!$E625="","",(E626/(H626*I626)))</f>
        <v>690.75</v>
      </c>
      <c r="H626" s="34">
        <v>1</v>
      </c>
      <c r="I626" s="112">
        <v>1</v>
      </c>
    </row>
    <row r="627" spans="1:9" ht="15" customHeight="1">
      <c r="A627" s="27">
        <f t="shared" si="4"/>
        <v>183</v>
      </c>
      <c r="B627" s="113" t="s">
        <v>398</v>
      </c>
      <c r="C627" s="53" t="s">
        <v>31</v>
      </c>
      <c r="D627" s="30" t="s">
        <v>64</v>
      </c>
      <c r="E627" s="31">
        <v>690.75</v>
      </c>
      <c r="F627" s="32" t="s">
        <v>64</v>
      </c>
      <c r="G627" s="33">
        <f>IF(BD!$E626="","",(E627/(H627*I627)))</f>
        <v>690.75</v>
      </c>
      <c r="H627" s="34">
        <v>1</v>
      </c>
      <c r="I627" s="112">
        <v>1</v>
      </c>
    </row>
    <row r="628" spans="1:9" ht="30">
      <c r="A628" s="27">
        <f t="shared" si="4"/>
        <v>184</v>
      </c>
      <c r="B628" s="113" t="s">
        <v>399</v>
      </c>
      <c r="C628" s="53" t="s">
        <v>31</v>
      </c>
      <c r="D628" s="30" t="s">
        <v>64</v>
      </c>
      <c r="E628" s="109">
        <v>690.75</v>
      </c>
      <c r="F628" s="110" t="s">
        <v>64</v>
      </c>
      <c r="G628" s="33">
        <f>IF(BD!$E627="","",(E628/(H628*I628)))</f>
        <v>690.75</v>
      </c>
      <c r="H628" s="34">
        <v>1</v>
      </c>
      <c r="I628" s="112">
        <v>1</v>
      </c>
    </row>
    <row r="629" spans="1:9" ht="30">
      <c r="A629" s="27">
        <f t="shared" si="4"/>
        <v>185</v>
      </c>
      <c r="B629" s="113" t="s">
        <v>400</v>
      </c>
      <c r="C629" s="53" t="s">
        <v>31</v>
      </c>
      <c r="D629" s="30" t="s">
        <v>64</v>
      </c>
      <c r="E629" s="109">
        <v>690.75</v>
      </c>
      <c r="F629" s="110" t="s">
        <v>64</v>
      </c>
      <c r="G629" s="33">
        <f>IF(BD!$E628="","",(E629/(H629*I629)))</f>
        <v>690.75</v>
      </c>
      <c r="H629" s="34">
        <v>1</v>
      </c>
      <c r="I629" s="112">
        <v>1</v>
      </c>
    </row>
    <row r="630" spans="1:9" ht="30">
      <c r="A630" s="27">
        <f t="shared" si="4"/>
        <v>186</v>
      </c>
      <c r="B630" s="113" t="s">
        <v>401</v>
      </c>
      <c r="C630" s="53" t="s">
        <v>31</v>
      </c>
      <c r="D630" s="30" t="s">
        <v>64</v>
      </c>
      <c r="E630" s="109">
        <v>690.75</v>
      </c>
      <c r="F630" s="110" t="s">
        <v>64</v>
      </c>
      <c r="G630" s="33">
        <f>IF(BD!$E629="","",(E630/(H630*I630)))</f>
        <v>690.75</v>
      </c>
      <c r="H630" s="34">
        <v>1</v>
      </c>
      <c r="I630" s="112">
        <v>1</v>
      </c>
    </row>
    <row r="631" spans="1:9">
      <c r="A631" s="27">
        <f t="shared" si="4"/>
        <v>187</v>
      </c>
      <c r="B631" s="113" t="s">
        <v>402</v>
      </c>
      <c r="C631" s="53" t="s">
        <v>31</v>
      </c>
      <c r="D631" s="30" t="s">
        <v>64</v>
      </c>
      <c r="E631" s="109">
        <v>690.75</v>
      </c>
      <c r="F631" s="110" t="s">
        <v>64</v>
      </c>
      <c r="G631" s="33">
        <f>IF(BD!$E630="","",(E631/(H631*I631)))</f>
        <v>690.75</v>
      </c>
      <c r="H631" s="34">
        <v>1</v>
      </c>
      <c r="I631" s="112">
        <v>1</v>
      </c>
    </row>
    <row r="632" spans="1:9">
      <c r="A632" s="27">
        <f t="shared" si="4"/>
        <v>188</v>
      </c>
      <c r="B632" s="113" t="s">
        <v>403</v>
      </c>
      <c r="C632" s="53" t="s">
        <v>31</v>
      </c>
      <c r="D632" s="30" t="s">
        <v>64</v>
      </c>
      <c r="E632" s="31">
        <v>690.75</v>
      </c>
      <c r="F632" s="32" t="s">
        <v>64</v>
      </c>
      <c r="G632" s="33">
        <f>IF(BD!$E631="","",(E632/(H632*I632)))</f>
        <v>690.75</v>
      </c>
      <c r="H632" s="34">
        <v>1</v>
      </c>
      <c r="I632" s="112">
        <v>1</v>
      </c>
    </row>
    <row r="633" spans="1:9">
      <c r="A633" s="27">
        <f t="shared" si="4"/>
        <v>189</v>
      </c>
      <c r="B633" s="113" t="s">
        <v>404</v>
      </c>
      <c r="C633" s="53" t="s">
        <v>31</v>
      </c>
      <c r="D633" s="30" t="s">
        <v>64</v>
      </c>
      <c r="E633" s="109">
        <v>690.75</v>
      </c>
      <c r="F633" s="110" t="s">
        <v>64</v>
      </c>
      <c r="G633" s="33">
        <f>IF(BD!$E632="","",(E633/(H633*I633)))</f>
        <v>690.75</v>
      </c>
      <c r="H633" s="34">
        <v>1</v>
      </c>
      <c r="I633" s="112">
        <v>1</v>
      </c>
    </row>
    <row r="634" spans="1:9">
      <c r="A634" s="27">
        <f t="shared" si="4"/>
        <v>190</v>
      </c>
      <c r="B634" s="113" t="s">
        <v>405</v>
      </c>
      <c r="C634" s="53" t="s">
        <v>31</v>
      </c>
      <c r="D634" s="30" t="s">
        <v>64</v>
      </c>
      <c r="E634" s="109">
        <v>690.75</v>
      </c>
      <c r="F634" s="110" t="s">
        <v>64</v>
      </c>
      <c r="G634" s="33">
        <f>IF(BD!$E633="","",(E634/(H634*I634)))</f>
        <v>690.75</v>
      </c>
      <c r="H634" s="34">
        <v>1</v>
      </c>
      <c r="I634" s="112">
        <v>1</v>
      </c>
    </row>
    <row r="635" spans="1:9" ht="30">
      <c r="A635" s="27">
        <f t="shared" si="4"/>
        <v>191</v>
      </c>
      <c r="B635" s="113" t="s">
        <v>406</v>
      </c>
      <c r="C635" s="53" t="s">
        <v>31</v>
      </c>
      <c r="D635" s="30" t="s">
        <v>64</v>
      </c>
      <c r="E635" s="109">
        <v>3850</v>
      </c>
      <c r="F635" s="110" t="s">
        <v>64</v>
      </c>
      <c r="G635" s="33">
        <f>IF(BD!$E634="","",(E635/(H635*I635)))</f>
        <v>3850</v>
      </c>
      <c r="H635" s="34">
        <v>1</v>
      </c>
      <c r="I635" s="112">
        <v>1</v>
      </c>
    </row>
    <row r="636" spans="1:9" ht="30">
      <c r="A636" s="27">
        <f t="shared" si="4"/>
        <v>192</v>
      </c>
      <c r="B636" s="113" t="s">
        <v>407</v>
      </c>
      <c r="C636" s="53" t="s">
        <v>31</v>
      </c>
      <c r="D636" s="30" t="s">
        <v>64</v>
      </c>
      <c r="E636" s="109">
        <v>3850</v>
      </c>
      <c r="F636" s="110" t="s">
        <v>64</v>
      </c>
      <c r="G636" s="33">
        <f>IF(BD!$E635="","",(E636/(H636*I636)))</f>
        <v>3850</v>
      </c>
      <c r="H636" s="34">
        <v>1</v>
      </c>
      <c r="I636" s="112">
        <v>1</v>
      </c>
    </row>
    <row r="637" spans="1:9" ht="30">
      <c r="A637" s="27">
        <f t="shared" si="4"/>
        <v>193</v>
      </c>
      <c r="B637" s="113" t="s">
        <v>408</v>
      </c>
      <c r="C637" s="53" t="s">
        <v>31</v>
      </c>
      <c r="D637" s="30" t="s">
        <v>64</v>
      </c>
      <c r="E637" s="109">
        <v>3850</v>
      </c>
      <c r="F637" s="110" t="s">
        <v>64</v>
      </c>
      <c r="G637" s="33">
        <f>IF(BD!$E636="","",(E637/(H637*I637)))</f>
        <v>3850</v>
      </c>
      <c r="H637" s="34">
        <v>1</v>
      </c>
      <c r="I637" s="112">
        <v>1</v>
      </c>
    </row>
    <row r="638" spans="1:9" ht="30">
      <c r="A638" s="27">
        <f t="shared" ref="A638:A701" si="5">A637+1</f>
        <v>194</v>
      </c>
      <c r="B638" s="113" t="s">
        <v>409</v>
      </c>
      <c r="C638" s="53" t="s">
        <v>31</v>
      </c>
      <c r="D638" s="30" t="s">
        <v>64</v>
      </c>
      <c r="E638" s="109">
        <v>3850</v>
      </c>
      <c r="F638" s="110" t="s">
        <v>64</v>
      </c>
      <c r="G638" s="33">
        <f>IF(BD!$E637="","",(E638/(H638*I638)))</f>
        <v>3850</v>
      </c>
      <c r="H638" s="34">
        <v>1</v>
      </c>
      <c r="I638" s="112">
        <v>1</v>
      </c>
    </row>
    <row r="639" spans="1:9" ht="30">
      <c r="A639" s="27">
        <f t="shared" si="5"/>
        <v>195</v>
      </c>
      <c r="B639" s="113" t="s">
        <v>410</v>
      </c>
      <c r="C639" s="53" t="s">
        <v>31</v>
      </c>
      <c r="D639" s="30" t="s">
        <v>64</v>
      </c>
      <c r="E639" s="109">
        <v>3850</v>
      </c>
      <c r="F639" s="110" t="s">
        <v>64</v>
      </c>
      <c r="G639" s="33">
        <f>IF(BD!$E638="","",(E639/(H639*I639)))</f>
        <v>3850</v>
      </c>
      <c r="H639" s="34">
        <v>1</v>
      </c>
      <c r="I639" s="112">
        <v>1</v>
      </c>
    </row>
    <row r="640" spans="1:9" ht="30">
      <c r="A640" s="27">
        <f t="shared" si="5"/>
        <v>196</v>
      </c>
      <c r="B640" s="113" t="s">
        <v>411</v>
      </c>
      <c r="C640" s="53" t="s">
        <v>31</v>
      </c>
      <c r="D640" s="30" t="s">
        <v>64</v>
      </c>
      <c r="E640" s="109">
        <v>3850</v>
      </c>
      <c r="F640" s="110" t="s">
        <v>64</v>
      </c>
      <c r="G640" s="33">
        <f>IF(BD!$E639="","",(E640/(H640*I640)))</f>
        <v>3850</v>
      </c>
      <c r="H640" s="34">
        <v>1</v>
      </c>
      <c r="I640" s="112">
        <v>1</v>
      </c>
    </row>
    <row r="641" spans="1:9" ht="30">
      <c r="A641" s="27">
        <f t="shared" si="5"/>
        <v>197</v>
      </c>
      <c r="B641" s="113" t="s">
        <v>412</v>
      </c>
      <c r="C641" s="53" t="s">
        <v>31</v>
      </c>
      <c r="D641" s="30" t="s">
        <v>64</v>
      </c>
      <c r="E641" s="109">
        <v>3850</v>
      </c>
      <c r="F641" s="110" t="s">
        <v>64</v>
      </c>
      <c r="G641" s="33">
        <f>IF(BD!$E640="","",(E641/(H641*I641)))</f>
        <v>3850</v>
      </c>
      <c r="H641" s="34">
        <v>1</v>
      </c>
      <c r="I641" s="112">
        <v>1</v>
      </c>
    </row>
    <row r="642" spans="1:9" ht="30">
      <c r="A642" s="27">
        <f t="shared" si="5"/>
        <v>198</v>
      </c>
      <c r="B642" s="113" t="s">
        <v>413</v>
      </c>
      <c r="C642" s="53" t="s">
        <v>31</v>
      </c>
      <c r="D642" s="30" t="s">
        <v>64</v>
      </c>
      <c r="E642" s="109">
        <v>3850</v>
      </c>
      <c r="F642" s="110" t="s">
        <v>64</v>
      </c>
      <c r="G642" s="33">
        <f>IF(BD!$E641="","",(E642/(H642*I642)))</f>
        <v>3850</v>
      </c>
      <c r="H642" s="34">
        <v>1</v>
      </c>
      <c r="I642" s="112">
        <v>1</v>
      </c>
    </row>
    <row r="643" spans="1:9" ht="30">
      <c r="A643" s="27">
        <f t="shared" si="5"/>
        <v>199</v>
      </c>
      <c r="B643" s="113" t="s">
        <v>414</v>
      </c>
      <c r="C643" s="53" t="s">
        <v>31</v>
      </c>
      <c r="D643" s="30" t="s">
        <v>64</v>
      </c>
      <c r="E643" s="109">
        <v>3850</v>
      </c>
      <c r="F643" s="110" t="s">
        <v>64</v>
      </c>
      <c r="G643" s="33">
        <f>IF(BD!$E642="","",(E643/(H643*I643)))</f>
        <v>3850</v>
      </c>
      <c r="H643" s="34">
        <v>1</v>
      </c>
      <c r="I643" s="112">
        <v>1</v>
      </c>
    </row>
    <row r="644" spans="1:9" ht="30">
      <c r="A644" s="27">
        <f t="shared" si="5"/>
        <v>200</v>
      </c>
      <c r="B644" s="113" t="s">
        <v>415</v>
      </c>
      <c r="C644" s="53" t="s">
        <v>31</v>
      </c>
      <c r="D644" s="30" t="s">
        <v>64</v>
      </c>
      <c r="E644" s="109">
        <v>3850</v>
      </c>
      <c r="F644" s="110" t="s">
        <v>64</v>
      </c>
      <c r="G644" s="33">
        <f>IF(BD!$E643="","",(E644/(H644*I644)))</f>
        <v>3850</v>
      </c>
      <c r="H644" s="34">
        <v>1</v>
      </c>
      <c r="I644" s="112">
        <v>1</v>
      </c>
    </row>
    <row r="645" spans="1:9" ht="30">
      <c r="A645" s="27">
        <f t="shared" si="5"/>
        <v>201</v>
      </c>
      <c r="B645" s="113" t="s">
        <v>416</v>
      </c>
      <c r="C645" s="53" t="s">
        <v>31</v>
      </c>
      <c r="D645" s="30" t="s">
        <v>64</v>
      </c>
      <c r="E645" s="109">
        <v>3850</v>
      </c>
      <c r="F645" s="110" t="s">
        <v>64</v>
      </c>
      <c r="G645" s="33">
        <f>IF(BD!$E644="","",(E645/(H645*I645)))</f>
        <v>3850</v>
      </c>
      <c r="H645" s="34">
        <v>1</v>
      </c>
      <c r="I645" s="112">
        <v>1</v>
      </c>
    </row>
    <row r="646" spans="1:9" ht="30">
      <c r="A646" s="27">
        <f t="shared" si="5"/>
        <v>202</v>
      </c>
      <c r="B646" s="113" t="s">
        <v>417</v>
      </c>
      <c r="C646" s="53" t="s">
        <v>31</v>
      </c>
      <c r="D646" s="30" t="s">
        <v>64</v>
      </c>
      <c r="E646" s="109">
        <v>3850</v>
      </c>
      <c r="F646" s="110" t="s">
        <v>64</v>
      </c>
      <c r="G646" s="33">
        <f>IF(BD!$E645="","",(E646/(H646*I646)))</f>
        <v>3850</v>
      </c>
      <c r="H646" s="34">
        <v>1</v>
      </c>
      <c r="I646" s="112">
        <v>1</v>
      </c>
    </row>
    <row r="647" spans="1:9" ht="30">
      <c r="A647" s="27">
        <f t="shared" si="5"/>
        <v>203</v>
      </c>
      <c r="B647" s="113" t="s">
        <v>418</v>
      </c>
      <c r="C647" s="53" t="s">
        <v>31</v>
      </c>
      <c r="D647" s="30" t="s">
        <v>64</v>
      </c>
      <c r="E647" s="109">
        <v>3850</v>
      </c>
      <c r="F647" s="110" t="s">
        <v>64</v>
      </c>
      <c r="G647" s="33">
        <f>IF(BD!$E646="","",(E647/(H647*I647)))</f>
        <v>3850</v>
      </c>
      <c r="H647" s="34">
        <v>1</v>
      </c>
      <c r="I647" s="112">
        <v>1</v>
      </c>
    </row>
    <row r="648" spans="1:9" ht="30">
      <c r="A648" s="27">
        <f t="shared" si="5"/>
        <v>204</v>
      </c>
      <c r="B648" s="113" t="s">
        <v>419</v>
      </c>
      <c r="C648" s="53" t="s">
        <v>31</v>
      </c>
      <c r="D648" s="30" t="s">
        <v>64</v>
      </c>
      <c r="E648" s="109">
        <v>3850</v>
      </c>
      <c r="F648" s="110" t="s">
        <v>64</v>
      </c>
      <c r="G648" s="33">
        <f>IF(BD!$E647="","",(E648/(H648*I648)))</f>
        <v>3850</v>
      </c>
      <c r="H648" s="34">
        <v>1</v>
      </c>
      <c r="I648" s="112">
        <v>1</v>
      </c>
    </row>
    <row r="649" spans="1:9" ht="30">
      <c r="A649" s="27">
        <f t="shared" si="5"/>
        <v>205</v>
      </c>
      <c r="B649" s="113" t="s">
        <v>420</v>
      </c>
      <c r="C649" s="53" t="s">
        <v>31</v>
      </c>
      <c r="D649" s="30" t="s">
        <v>64</v>
      </c>
      <c r="E649" s="109">
        <v>3850</v>
      </c>
      <c r="F649" s="110" t="s">
        <v>64</v>
      </c>
      <c r="G649" s="33">
        <f>IF(BD!$E648="","",(E649/(H649*I649)))</f>
        <v>3850</v>
      </c>
      <c r="H649" s="34">
        <v>1</v>
      </c>
      <c r="I649" s="112">
        <v>1</v>
      </c>
    </row>
    <row r="650" spans="1:9" ht="30">
      <c r="A650" s="27">
        <f t="shared" si="5"/>
        <v>206</v>
      </c>
      <c r="B650" s="113" t="s">
        <v>421</v>
      </c>
      <c r="C650" s="53" t="s">
        <v>31</v>
      </c>
      <c r="D650" s="30" t="s">
        <v>64</v>
      </c>
      <c r="E650" s="109">
        <v>3850</v>
      </c>
      <c r="F650" s="110" t="s">
        <v>64</v>
      </c>
      <c r="G650" s="33">
        <f>IF(BD!$E649="","",(E650/(H650*I650)))</f>
        <v>3850</v>
      </c>
      <c r="H650" s="34">
        <v>1</v>
      </c>
      <c r="I650" s="112">
        <v>1</v>
      </c>
    </row>
    <row r="651" spans="1:9" ht="30">
      <c r="A651" s="27">
        <f t="shared" si="5"/>
        <v>207</v>
      </c>
      <c r="B651" s="113" t="s">
        <v>422</v>
      </c>
      <c r="C651" s="53" t="s">
        <v>31</v>
      </c>
      <c r="D651" s="30" t="s">
        <v>64</v>
      </c>
      <c r="E651" s="109">
        <v>3850</v>
      </c>
      <c r="F651" s="110" t="s">
        <v>64</v>
      </c>
      <c r="G651" s="33">
        <f>IF(BD!$E650="","",(E651/(H651*I651)))</f>
        <v>3850</v>
      </c>
      <c r="H651" s="34">
        <v>1</v>
      </c>
      <c r="I651" s="112">
        <v>1</v>
      </c>
    </row>
    <row r="652" spans="1:9" ht="30">
      <c r="A652" s="27">
        <f t="shared" si="5"/>
        <v>208</v>
      </c>
      <c r="B652" s="113" t="s">
        <v>423</v>
      </c>
      <c r="C652" s="53" t="s">
        <v>31</v>
      </c>
      <c r="D652" s="30" t="s">
        <v>64</v>
      </c>
      <c r="E652" s="109">
        <v>3850</v>
      </c>
      <c r="F652" s="110" t="s">
        <v>64</v>
      </c>
      <c r="G652" s="33">
        <f>IF(BD!$E651="","",(E652/(H652*I652)))</f>
        <v>3850</v>
      </c>
      <c r="H652" s="34">
        <v>1</v>
      </c>
      <c r="I652" s="112">
        <v>1</v>
      </c>
    </row>
    <row r="653" spans="1:9" ht="30">
      <c r="A653" s="27">
        <f t="shared" si="5"/>
        <v>209</v>
      </c>
      <c r="B653" s="113" t="s">
        <v>424</v>
      </c>
      <c r="C653" s="53" t="s">
        <v>31</v>
      </c>
      <c r="D653" s="30" t="s">
        <v>64</v>
      </c>
      <c r="E653" s="109">
        <v>3850</v>
      </c>
      <c r="F653" s="110" t="s">
        <v>64</v>
      </c>
      <c r="G653" s="33">
        <f>IF(BD!$E652="","",(E653/(H653*I653)))</f>
        <v>3850</v>
      </c>
      <c r="H653" s="34">
        <v>1</v>
      </c>
      <c r="I653" s="112">
        <v>1</v>
      </c>
    </row>
    <row r="654" spans="1:9" ht="30">
      <c r="A654" s="27">
        <f t="shared" si="5"/>
        <v>210</v>
      </c>
      <c r="B654" s="113" t="s">
        <v>425</v>
      </c>
      <c r="C654" s="53" t="s">
        <v>31</v>
      </c>
      <c r="D654" s="30" t="s">
        <v>64</v>
      </c>
      <c r="E654" s="109">
        <v>3850</v>
      </c>
      <c r="F654" s="110" t="s">
        <v>64</v>
      </c>
      <c r="G654" s="33">
        <f>IF(BD!$E653="","",(E654/(H654*I654)))</f>
        <v>3850</v>
      </c>
      <c r="H654" s="34">
        <v>1</v>
      </c>
      <c r="I654" s="112">
        <v>1</v>
      </c>
    </row>
    <row r="655" spans="1:9" ht="30">
      <c r="A655" s="27">
        <f t="shared" si="5"/>
        <v>211</v>
      </c>
      <c r="B655" s="113" t="s">
        <v>426</v>
      </c>
      <c r="C655" s="53" t="s">
        <v>31</v>
      </c>
      <c r="D655" s="30" t="s">
        <v>64</v>
      </c>
      <c r="E655" s="109">
        <v>3850</v>
      </c>
      <c r="F655" s="110" t="s">
        <v>64</v>
      </c>
      <c r="G655" s="33">
        <f>IF(BD!$E654="","",(E655/(H655*I655)))</f>
        <v>3850</v>
      </c>
      <c r="H655" s="34">
        <v>1</v>
      </c>
      <c r="I655" s="112">
        <v>1</v>
      </c>
    </row>
    <row r="656" spans="1:9" ht="30">
      <c r="A656" s="27">
        <f t="shared" si="5"/>
        <v>212</v>
      </c>
      <c r="B656" s="113" t="s">
        <v>427</v>
      </c>
      <c r="C656" s="53" t="s">
        <v>31</v>
      </c>
      <c r="D656" s="30" t="s">
        <v>64</v>
      </c>
      <c r="E656" s="109">
        <v>8973.7900000000009</v>
      </c>
      <c r="F656" s="110" t="s">
        <v>64</v>
      </c>
      <c r="G656" s="33">
        <f>IF(BD!$E655="","",(E656/(H656*I656)))</f>
        <v>8973.7900000000009</v>
      </c>
      <c r="H656" s="34">
        <v>1</v>
      </c>
      <c r="I656" s="112">
        <v>1</v>
      </c>
    </row>
    <row r="657" spans="1:9" ht="30">
      <c r="A657" s="27">
        <f t="shared" si="5"/>
        <v>213</v>
      </c>
      <c r="B657" s="113" t="s">
        <v>428</v>
      </c>
      <c r="C657" s="53" t="s">
        <v>31</v>
      </c>
      <c r="D657" s="30" t="s">
        <v>64</v>
      </c>
      <c r="E657" s="109">
        <v>8973.7900000000009</v>
      </c>
      <c r="F657" s="110" t="s">
        <v>64</v>
      </c>
      <c r="G657" s="33">
        <f>IF(BD!$E656="","",(E657/(H657*I657)))</f>
        <v>8973.7900000000009</v>
      </c>
      <c r="H657" s="34">
        <v>1</v>
      </c>
      <c r="I657" s="112">
        <v>1</v>
      </c>
    </row>
    <row r="658" spans="1:9" ht="30">
      <c r="A658" s="27">
        <f t="shared" si="5"/>
        <v>214</v>
      </c>
      <c r="B658" s="113" t="s">
        <v>429</v>
      </c>
      <c r="C658" s="53" t="s">
        <v>31</v>
      </c>
      <c r="D658" s="30" t="s">
        <v>64</v>
      </c>
      <c r="E658" s="109">
        <v>8973.7900000000009</v>
      </c>
      <c r="F658" s="110" t="s">
        <v>64</v>
      </c>
      <c r="G658" s="33">
        <f>IF(BD!$E657="","",(E658/(H658*I658)))</f>
        <v>8973.7900000000009</v>
      </c>
      <c r="H658" s="34">
        <v>1</v>
      </c>
      <c r="I658" s="112">
        <v>1</v>
      </c>
    </row>
    <row r="659" spans="1:9">
      <c r="A659" s="27">
        <f t="shared" si="5"/>
        <v>215</v>
      </c>
      <c r="B659" s="113" t="s">
        <v>430</v>
      </c>
      <c r="C659" s="53" t="s">
        <v>31</v>
      </c>
      <c r="D659" s="30" t="s">
        <v>64</v>
      </c>
      <c r="E659" s="109">
        <v>1661.24</v>
      </c>
      <c r="F659" s="110" t="s">
        <v>64</v>
      </c>
      <c r="G659" s="33">
        <f>IF(BD!$E658="","",(E659/(H659*I659)))</f>
        <v>1661.24</v>
      </c>
      <c r="H659" s="34">
        <v>1</v>
      </c>
      <c r="I659" s="112">
        <v>1</v>
      </c>
    </row>
    <row r="660" spans="1:9" ht="30">
      <c r="A660" s="27">
        <f t="shared" si="5"/>
        <v>216</v>
      </c>
      <c r="B660" s="113" t="s">
        <v>431</v>
      </c>
      <c r="C660" s="53" t="s">
        <v>31</v>
      </c>
      <c r="D660" s="30" t="s">
        <v>64</v>
      </c>
      <c r="E660" s="109">
        <v>1661.24</v>
      </c>
      <c r="F660" s="110" t="s">
        <v>64</v>
      </c>
      <c r="G660" s="33">
        <f>IF(BD!$E659="","",(E660/(H660*I660)))</f>
        <v>1661.24</v>
      </c>
      <c r="H660" s="34">
        <v>1</v>
      </c>
      <c r="I660" s="112">
        <v>1</v>
      </c>
    </row>
    <row r="661" spans="1:9">
      <c r="A661" s="27">
        <f t="shared" si="5"/>
        <v>217</v>
      </c>
      <c r="B661" s="113" t="s">
        <v>432</v>
      </c>
      <c r="C661" s="53" t="s">
        <v>31</v>
      </c>
      <c r="D661" s="30" t="s">
        <v>64</v>
      </c>
      <c r="E661" s="109">
        <v>690.75</v>
      </c>
      <c r="F661" s="110" t="s">
        <v>64</v>
      </c>
      <c r="G661" s="33">
        <f>IF(BD!$E660="","",(E661/(H661*I661)))</f>
        <v>690.75</v>
      </c>
      <c r="H661" s="34">
        <v>1</v>
      </c>
      <c r="I661" s="112">
        <v>1</v>
      </c>
    </row>
    <row r="662" spans="1:9">
      <c r="A662" s="27">
        <f t="shared" si="5"/>
        <v>218</v>
      </c>
      <c r="B662" s="115" t="s">
        <v>433</v>
      </c>
      <c r="C662" s="53" t="s">
        <v>31</v>
      </c>
      <c r="D662" s="30" t="s">
        <v>64</v>
      </c>
      <c r="E662" s="116">
        <v>1505.04</v>
      </c>
      <c r="F662" s="32" t="s">
        <v>64</v>
      </c>
      <c r="G662" s="33">
        <f>IF(BD!$E661="","",(E662/(H662*I662)))</f>
        <v>1505.04</v>
      </c>
      <c r="H662" s="34">
        <v>1</v>
      </c>
      <c r="I662" s="112">
        <v>1</v>
      </c>
    </row>
    <row r="663" spans="1:9">
      <c r="A663" s="27">
        <f t="shared" si="5"/>
        <v>219</v>
      </c>
      <c r="B663" s="115" t="s">
        <v>434</v>
      </c>
      <c r="C663" s="53" t="s">
        <v>31</v>
      </c>
      <c r="D663" s="30" t="s">
        <v>64</v>
      </c>
      <c r="E663" s="116">
        <v>3628.57</v>
      </c>
      <c r="F663" s="32" t="s">
        <v>64</v>
      </c>
      <c r="G663" s="33">
        <f>IF(BD!$E662="","",(E663/(H663*I663)))</f>
        <v>3628.57</v>
      </c>
      <c r="H663" s="34">
        <v>1</v>
      </c>
      <c r="I663" s="112">
        <v>1</v>
      </c>
    </row>
    <row r="664" spans="1:9">
      <c r="A664" s="27">
        <f t="shared" si="5"/>
        <v>220</v>
      </c>
      <c r="B664" s="115" t="s">
        <v>435</v>
      </c>
      <c r="C664" s="53" t="s">
        <v>31</v>
      </c>
      <c r="D664" s="30" t="s">
        <v>64</v>
      </c>
      <c r="E664" s="116">
        <v>1505.04</v>
      </c>
      <c r="F664" s="32" t="s">
        <v>64</v>
      </c>
      <c r="G664" s="33">
        <f>IF(BD!$E663="","",(E664/(H664*I664)))</f>
        <v>1505.04</v>
      </c>
      <c r="H664" s="34">
        <v>1</v>
      </c>
      <c r="I664" s="112">
        <v>1</v>
      </c>
    </row>
    <row r="665" spans="1:9" ht="30">
      <c r="A665" s="27">
        <f t="shared" si="5"/>
        <v>221</v>
      </c>
      <c r="B665" s="113" t="s">
        <v>436</v>
      </c>
      <c r="C665" s="53" t="s">
        <v>31</v>
      </c>
      <c r="D665" s="30" t="s">
        <v>64</v>
      </c>
      <c r="E665" s="109">
        <v>2898.84</v>
      </c>
      <c r="F665" s="110" t="s">
        <v>64</v>
      </c>
      <c r="G665" s="33">
        <f>IF(BD!$E664="","",(E665/(H665*I665)))</f>
        <v>2898.84</v>
      </c>
      <c r="H665" s="34">
        <v>1</v>
      </c>
      <c r="I665" s="112">
        <v>1</v>
      </c>
    </row>
    <row r="666" spans="1:9" ht="30">
      <c r="A666" s="27">
        <f t="shared" si="5"/>
        <v>222</v>
      </c>
      <c r="B666" s="113" t="s">
        <v>437</v>
      </c>
      <c r="C666" s="53" t="s">
        <v>31</v>
      </c>
      <c r="D666" s="30" t="s">
        <v>64</v>
      </c>
      <c r="E666" s="109">
        <v>2898.84</v>
      </c>
      <c r="F666" s="110" t="s">
        <v>64</v>
      </c>
      <c r="G666" s="33">
        <f>IF(BD!$E665="","",(E666/(H666*I666)))</f>
        <v>2898.84</v>
      </c>
      <c r="H666" s="34">
        <v>1</v>
      </c>
      <c r="I666" s="112">
        <v>1</v>
      </c>
    </row>
    <row r="667" spans="1:9" ht="30">
      <c r="A667" s="27">
        <f t="shared" si="5"/>
        <v>223</v>
      </c>
      <c r="B667" s="113" t="s">
        <v>438</v>
      </c>
      <c r="C667" s="53" t="s">
        <v>31</v>
      </c>
      <c r="D667" s="30" t="s">
        <v>64</v>
      </c>
      <c r="E667" s="109">
        <v>2898.84</v>
      </c>
      <c r="F667" s="110" t="s">
        <v>64</v>
      </c>
      <c r="G667" s="33">
        <f>IF(BD!$E666="","",(E667/(H667*I667)))</f>
        <v>2898.84</v>
      </c>
      <c r="H667" s="34">
        <v>1</v>
      </c>
      <c r="I667" s="112">
        <v>1</v>
      </c>
    </row>
    <row r="668" spans="1:9" ht="30">
      <c r="A668" s="27">
        <f t="shared" si="5"/>
        <v>224</v>
      </c>
      <c r="B668" s="113" t="s">
        <v>439</v>
      </c>
      <c r="C668" s="53" t="s">
        <v>31</v>
      </c>
      <c r="D668" s="30" t="s">
        <v>64</v>
      </c>
      <c r="E668" s="109">
        <v>833</v>
      </c>
      <c r="F668" s="110" t="s">
        <v>64</v>
      </c>
      <c r="G668" s="33">
        <f>IF(BD!$E667="","",(E668/(H668*I668)))</f>
        <v>833</v>
      </c>
      <c r="H668" s="34">
        <v>1</v>
      </c>
      <c r="I668" s="112">
        <v>1</v>
      </c>
    </row>
    <row r="669" spans="1:9" ht="30">
      <c r="A669" s="27">
        <f t="shared" si="5"/>
        <v>225</v>
      </c>
      <c r="B669" s="113" t="s">
        <v>440</v>
      </c>
      <c r="C669" s="53" t="s">
        <v>31</v>
      </c>
      <c r="D669" s="30" t="s">
        <v>64</v>
      </c>
      <c r="E669" s="109">
        <v>833</v>
      </c>
      <c r="F669" s="110" t="s">
        <v>64</v>
      </c>
      <c r="G669" s="33">
        <f>IF(BD!$E668="","",(E669/(H669*I669)))</f>
        <v>833</v>
      </c>
      <c r="H669" s="34">
        <v>1</v>
      </c>
      <c r="I669" s="112">
        <v>1</v>
      </c>
    </row>
    <row r="670" spans="1:9" ht="30">
      <c r="A670" s="27">
        <f t="shared" si="5"/>
        <v>226</v>
      </c>
      <c r="B670" s="113" t="s">
        <v>441</v>
      </c>
      <c r="C670" s="53" t="s">
        <v>31</v>
      </c>
      <c r="D670" s="30" t="s">
        <v>64</v>
      </c>
      <c r="E670" s="109">
        <v>1266.6666666666699</v>
      </c>
      <c r="F670" s="110" t="s">
        <v>64</v>
      </c>
      <c r="G670" s="33">
        <f>IF(BD!$E669="","",(E670/(H670*I670)))</f>
        <v>1266.6666666666699</v>
      </c>
      <c r="H670" s="34">
        <v>1</v>
      </c>
      <c r="I670" s="112">
        <v>1</v>
      </c>
    </row>
    <row r="671" spans="1:9" ht="30">
      <c r="A671" s="27">
        <f t="shared" si="5"/>
        <v>227</v>
      </c>
      <c r="B671" s="113" t="s">
        <v>442</v>
      </c>
      <c r="C671" s="53" t="s">
        <v>31</v>
      </c>
      <c r="D671" s="30" t="s">
        <v>64</v>
      </c>
      <c r="E671" s="109">
        <v>1266.6666666666699</v>
      </c>
      <c r="F671" s="110" t="s">
        <v>64</v>
      </c>
      <c r="G671" s="33">
        <f>IF(BD!$E670="","",(E671/(H671*I671)))</f>
        <v>1266.6666666666699</v>
      </c>
      <c r="H671" s="34">
        <v>1</v>
      </c>
      <c r="I671" s="112">
        <v>1</v>
      </c>
    </row>
    <row r="672" spans="1:9" ht="30">
      <c r="A672" s="27">
        <f t="shared" si="5"/>
        <v>228</v>
      </c>
      <c r="B672" s="113" t="s">
        <v>443</v>
      </c>
      <c r="C672" s="53" t="s">
        <v>31</v>
      </c>
      <c r="D672" s="30" t="s">
        <v>64</v>
      </c>
      <c r="E672" s="109">
        <v>1266.6666666666699</v>
      </c>
      <c r="F672" s="110" t="s">
        <v>64</v>
      </c>
      <c r="G672" s="33">
        <f>IF(BD!$E671="","",(E672/(H672*I672)))</f>
        <v>1266.6666666666699</v>
      </c>
      <c r="H672" s="34">
        <v>1</v>
      </c>
      <c r="I672" s="112">
        <v>1</v>
      </c>
    </row>
    <row r="673" spans="1:9" ht="30">
      <c r="A673" s="27">
        <f t="shared" si="5"/>
        <v>229</v>
      </c>
      <c r="B673" s="113" t="s">
        <v>444</v>
      </c>
      <c r="C673" s="53" t="s">
        <v>31</v>
      </c>
      <c r="D673" s="30" t="s">
        <v>64</v>
      </c>
      <c r="E673" s="109">
        <v>1266.6666666666699</v>
      </c>
      <c r="F673" s="110" t="s">
        <v>64</v>
      </c>
      <c r="G673" s="33">
        <f>IF(BD!$E672="","",(E673/(H673*I673)))</f>
        <v>1266.6666666666699</v>
      </c>
      <c r="H673" s="34">
        <v>1</v>
      </c>
      <c r="I673" s="112">
        <v>1</v>
      </c>
    </row>
    <row r="674" spans="1:9" ht="30">
      <c r="A674" s="27">
        <f t="shared" si="5"/>
        <v>230</v>
      </c>
      <c r="B674" s="113" t="s">
        <v>445</v>
      </c>
      <c r="C674" s="53" t="s">
        <v>31</v>
      </c>
      <c r="D674" s="30" t="s">
        <v>64</v>
      </c>
      <c r="E674" s="31">
        <v>1266.6666666666699</v>
      </c>
      <c r="F674" s="32" t="s">
        <v>64</v>
      </c>
      <c r="G674" s="33">
        <f>IF(BD!$E673="","",(E674/(H674*I674)))</f>
        <v>1266.6666666666699</v>
      </c>
      <c r="H674" s="34">
        <v>1</v>
      </c>
      <c r="I674" s="112">
        <v>1</v>
      </c>
    </row>
    <row r="675" spans="1:9" ht="30">
      <c r="A675" s="27">
        <f t="shared" si="5"/>
        <v>231</v>
      </c>
      <c r="B675" s="113" t="s">
        <v>446</v>
      </c>
      <c r="C675" s="53" t="s">
        <v>31</v>
      </c>
      <c r="D675" s="30" t="s">
        <v>64</v>
      </c>
      <c r="E675" s="109">
        <v>1266.6666666666699</v>
      </c>
      <c r="F675" s="110" t="s">
        <v>64</v>
      </c>
      <c r="G675" s="33">
        <f>IF(BD!$E674="","",(E675/(H675*I675)))</f>
        <v>1266.6666666666699</v>
      </c>
      <c r="H675" s="34">
        <v>1</v>
      </c>
      <c r="I675" s="112">
        <v>1</v>
      </c>
    </row>
    <row r="676" spans="1:9" ht="30">
      <c r="A676" s="27">
        <f t="shared" si="5"/>
        <v>232</v>
      </c>
      <c r="B676" s="113" t="s">
        <v>447</v>
      </c>
      <c r="C676" s="53" t="s">
        <v>31</v>
      </c>
      <c r="D676" s="30" t="s">
        <v>64</v>
      </c>
      <c r="E676" s="109">
        <v>1266.6666666666699</v>
      </c>
      <c r="F676" s="110" t="s">
        <v>64</v>
      </c>
      <c r="G676" s="33">
        <f>IF(BD!$E675="","",(E676/(H676*I676)))</f>
        <v>1266.6666666666699</v>
      </c>
      <c r="H676" s="34">
        <v>1</v>
      </c>
      <c r="I676" s="112">
        <v>1</v>
      </c>
    </row>
    <row r="677" spans="1:9" ht="30">
      <c r="A677" s="27">
        <f t="shared" si="5"/>
        <v>233</v>
      </c>
      <c r="B677" s="113" t="s">
        <v>448</v>
      </c>
      <c r="C677" s="53" t="s">
        <v>31</v>
      </c>
      <c r="D677" s="30" t="s">
        <v>64</v>
      </c>
      <c r="E677" s="109">
        <v>1266.6666666666699</v>
      </c>
      <c r="F677" s="110" t="s">
        <v>64</v>
      </c>
      <c r="G677" s="33">
        <f>IF(BD!$E676="","",(E677/(H677*I677)))</f>
        <v>1266.6666666666699</v>
      </c>
      <c r="H677" s="34">
        <v>1</v>
      </c>
      <c r="I677" s="112">
        <v>1</v>
      </c>
    </row>
    <row r="678" spans="1:9" ht="30">
      <c r="A678" s="27">
        <f t="shared" si="5"/>
        <v>234</v>
      </c>
      <c r="B678" s="113" t="s">
        <v>449</v>
      </c>
      <c r="C678" s="53" t="s">
        <v>31</v>
      </c>
      <c r="D678" s="30" t="s">
        <v>64</v>
      </c>
      <c r="E678" s="109">
        <v>1266.6666666666699</v>
      </c>
      <c r="F678" s="110" t="s">
        <v>64</v>
      </c>
      <c r="G678" s="33">
        <f>IF(BD!$E677="","",(E678/(H678*I678)))</f>
        <v>1266.6666666666699</v>
      </c>
      <c r="H678" s="34">
        <v>1</v>
      </c>
      <c r="I678" s="112">
        <v>1</v>
      </c>
    </row>
    <row r="679" spans="1:9" ht="30">
      <c r="A679" s="27">
        <f t="shared" si="5"/>
        <v>235</v>
      </c>
      <c r="B679" s="113" t="s">
        <v>450</v>
      </c>
      <c r="C679" s="53" t="s">
        <v>31</v>
      </c>
      <c r="D679" s="30" t="s">
        <v>64</v>
      </c>
      <c r="E679" s="109">
        <v>1266.6666666666699</v>
      </c>
      <c r="F679" s="110" t="s">
        <v>64</v>
      </c>
      <c r="G679" s="33">
        <f>IF(BD!$E678="","",(E679/(H679*I679)))</f>
        <v>1266.6666666666699</v>
      </c>
      <c r="H679" s="34">
        <v>1</v>
      </c>
      <c r="I679" s="112">
        <v>1</v>
      </c>
    </row>
    <row r="680" spans="1:9" ht="30">
      <c r="A680" s="27">
        <f t="shared" si="5"/>
        <v>236</v>
      </c>
      <c r="B680" s="113" t="s">
        <v>451</v>
      </c>
      <c r="C680" s="53" t="s">
        <v>31</v>
      </c>
      <c r="D680" s="30" t="s">
        <v>64</v>
      </c>
      <c r="E680" s="109">
        <v>1266.6666666666699</v>
      </c>
      <c r="F680" s="110" t="s">
        <v>64</v>
      </c>
      <c r="G680" s="33">
        <f>IF(BD!$E679="","",(E680/(H680*I680)))</f>
        <v>1266.6666666666699</v>
      </c>
      <c r="H680" s="34">
        <v>1</v>
      </c>
      <c r="I680" s="112">
        <v>1</v>
      </c>
    </row>
    <row r="681" spans="1:9" ht="30">
      <c r="A681" s="27">
        <f t="shared" si="5"/>
        <v>237</v>
      </c>
      <c r="B681" s="113" t="s">
        <v>452</v>
      </c>
      <c r="C681" s="53" t="s">
        <v>31</v>
      </c>
      <c r="D681" s="30" t="s">
        <v>64</v>
      </c>
      <c r="E681" s="109">
        <v>1266.6666666666699</v>
      </c>
      <c r="F681" s="110" t="s">
        <v>64</v>
      </c>
      <c r="G681" s="33">
        <f>IF(BD!$E680="","",(E681/(H681*I681)))</f>
        <v>1266.6666666666699</v>
      </c>
      <c r="H681" s="34">
        <v>1</v>
      </c>
      <c r="I681" s="112">
        <v>1</v>
      </c>
    </row>
    <row r="682" spans="1:9" ht="30">
      <c r="A682" s="27">
        <f t="shared" si="5"/>
        <v>238</v>
      </c>
      <c r="B682" s="113" t="s">
        <v>453</v>
      </c>
      <c r="C682" s="53" t="s">
        <v>31</v>
      </c>
      <c r="D682" s="30" t="s">
        <v>64</v>
      </c>
      <c r="E682" s="109">
        <v>455.66624999999999</v>
      </c>
      <c r="F682" s="110" t="s">
        <v>64</v>
      </c>
      <c r="G682" s="33">
        <f>IF(BD!$E681="","",(E682/(H682*I682)))</f>
        <v>455.66624999999999</v>
      </c>
      <c r="H682" s="34">
        <v>1</v>
      </c>
      <c r="I682" s="112">
        <v>1</v>
      </c>
    </row>
    <row r="683" spans="1:9" ht="30">
      <c r="A683" s="27">
        <f t="shared" si="5"/>
        <v>239</v>
      </c>
      <c r="B683" s="113" t="s">
        <v>454</v>
      </c>
      <c r="C683" s="53" t="s">
        <v>31</v>
      </c>
      <c r="D683" s="30" t="s">
        <v>64</v>
      </c>
      <c r="E683" s="109">
        <v>455.66624999999999</v>
      </c>
      <c r="F683" s="110" t="s">
        <v>64</v>
      </c>
      <c r="G683" s="33">
        <f>IF(BD!$E682="","",(E683/(H683*I683)))</f>
        <v>455.66624999999999</v>
      </c>
      <c r="H683" s="34">
        <v>1</v>
      </c>
      <c r="I683" s="112">
        <v>1</v>
      </c>
    </row>
    <row r="684" spans="1:9" ht="30">
      <c r="A684" s="27">
        <f t="shared" si="5"/>
        <v>240</v>
      </c>
      <c r="B684" s="113" t="s">
        <v>455</v>
      </c>
      <c r="C684" s="53" t="s">
        <v>31</v>
      </c>
      <c r="D684" s="30" t="s">
        <v>64</v>
      </c>
      <c r="E684" s="109">
        <v>455.66624999999999</v>
      </c>
      <c r="F684" s="110" t="s">
        <v>64</v>
      </c>
      <c r="G684" s="33">
        <f>IF(BD!$E683="","",(E684/(H684*I684)))</f>
        <v>455.66624999999999</v>
      </c>
      <c r="H684" s="34">
        <v>1</v>
      </c>
      <c r="I684" s="112">
        <v>1</v>
      </c>
    </row>
    <row r="685" spans="1:9" ht="30">
      <c r="A685" s="27">
        <f t="shared" si="5"/>
        <v>241</v>
      </c>
      <c r="B685" s="113" t="s">
        <v>456</v>
      </c>
      <c r="C685" s="53" t="s">
        <v>31</v>
      </c>
      <c r="D685" s="30" t="s">
        <v>64</v>
      </c>
      <c r="E685" s="109">
        <v>455.66624999999999</v>
      </c>
      <c r="F685" s="110" t="s">
        <v>64</v>
      </c>
      <c r="G685" s="33">
        <f>IF(BD!$E684="","",(E685/(H685*I685)))</f>
        <v>455.66624999999999</v>
      </c>
      <c r="H685" s="34">
        <v>1</v>
      </c>
      <c r="I685" s="112">
        <v>1</v>
      </c>
    </row>
    <row r="686" spans="1:9" ht="30">
      <c r="A686" s="27">
        <f t="shared" si="5"/>
        <v>242</v>
      </c>
      <c r="B686" s="113" t="s">
        <v>457</v>
      </c>
      <c r="C686" s="53" t="s">
        <v>31</v>
      </c>
      <c r="D686" s="30" t="s">
        <v>64</v>
      </c>
      <c r="E686" s="109">
        <v>455.66624999999999</v>
      </c>
      <c r="F686" s="110" t="s">
        <v>64</v>
      </c>
      <c r="G686" s="33">
        <f>IF(BD!$E685="","",(E686/(H686*I686)))</f>
        <v>455.66624999999999</v>
      </c>
      <c r="H686" s="34">
        <v>1</v>
      </c>
      <c r="I686" s="112">
        <v>1</v>
      </c>
    </row>
    <row r="687" spans="1:9" ht="30">
      <c r="A687" s="27">
        <f t="shared" si="5"/>
        <v>243</v>
      </c>
      <c r="B687" s="113" t="s">
        <v>458</v>
      </c>
      <c r="C687" s="53" t="s">
        <v>31</v>
      </c>
      <c r="D687" s="30" t="s">
        <v>64</v>
      </c>
      <c r="E687" s="109">
        <v>455.66624999999999</v>
      </c>
      <c r="F687" s="110" t="s">
        <v>64</v>
      </c>
      <c r="G687" s="33">
        <f>IF(BD!$E686="","",(E687/(H687*I687)))</f>
        <v>455.66624999999999</v>
      </c>
      <c r="H687" s="34">
        <v>1</v>
      </c>
      <c r="I687" s="112">
        <v>1</v>
      </c>
    </row>
    <row r="688" spans="1:9" ht="30">
      <c r="A688" s="27">
        <f t="shared" si="5"/>
        <v>244</v>
      </c>
      <c r="B688" s="113" t="s">
        <v>459</v>
      </c>
      <c r="C688" s="53" t="s">
        <v>31</v>
      </c>
      <c r="D688" s="30" t="s">
        <v>64</v>
      </c>
      <c r="E688" s="109">
        <v>455.66624999999999</v>
      </c>
      <c r="F688" s="110" t="s">
        <v>64</v>
      </c>
      <c r="G688" s="33">
        <f>IF(BD!$E687="","",(E688/(H688*I688)))</f>
        <v>455.66624999999999</v>
      </c>
      <c r="H688" s="34">
        <v>1</v>
      </c>
      <c r="I688" s="112">
        <v>1</v>
      </c>
    </row>
    <row r="689" spans="1:9" ht="30">
      <c r="A689" s="27">
        <f t="shared" si="5"/>
        <v>245</v>
      </c>
      <c r="B689" s="113" t="s">
        <v>460</v>
      </c>
      <c r="C689" s="53" t="s">
        <v>31</v>
      </c>
      <c r="D689" s="30" t="s">
        <v>64</v>
      </c>
      <c r="E689" s="109">
        <v>455.66624999999999</v>
      </c>
      <c r="F689" s="110" t="s">
        <v>64</v>
      </c>
      <c r="G689" s="33">
        <f>IF(BD!$E688="","",(E689/(H689*I689)))</f>
        <v>455.66624999999999</v>
      </c>
      <c r="H689" s="34">
        <v>1</v>
      </c>
      <c r="I689" s="112">
        <v>1</v>
      </c>
    </row>
    <row r="690" spans="1:9" ht="30">
      <c r="A690" s="27">
        <f t="shared" si="5"/>
        <v>246</v>
      </c>
      <c r="B690" s="113" t="s">
        <v>461</v>
      </c>
      <c r="C690" s="53" t="s">
        <v>31</v>
      </c>
      <c r="D690" s="30" t="s">
        <v>64</v>
      </c>
      <c r="E690" s="109">
        <v>455.66624999999999</v>
      </c>
      <c r="F690" s="110" t="s">
        <v>64</v>
      </c>
      <c r="G690" s="33">
        <f>IF(BD!$E689="","",(E690/(H690*I690)))</f>
        <v>455.66624999999999</v>
      </c>
      <c r="H690" s="34">
        <v>1</v>
      </c>
      <c r="I690" s="112">
        <v>1</v>
      </c>
    </row>
    <row r="691" spans="1:9" ht="30">
      <c r="A691" s="27">
        <f t="shared" si="5"/>
        <v>247</v>
      </c>
      <c r="B691" s="113" t="s">
        <v>462</v>
      </c>
      <c r="C691" s="53" t="s">
        <v>31</v>
      </c>
      <c r="D691" s="30" t="s">
        <v>64</v>
      </c>
      <c r="E691" s="109">
        <v>455.66624999999999</v>
      </c>
      <c r="F691" s="110" t="s">
        <v>64</v>
      </c>
      <c r="G691" s="33">
        <f>IF(BD!$E690="","",(E691/(H691*I691)))</f>
        <v>455.66624999999999</v>
      </c>
      <c r="H691" s="34">
        <v>1</v>
      </c>
      <c r="I691" s="112">
        <v>1</v>
      </c>
    </row>
    <row r="692" spans="1:9" ht="30">
      <c r="A692" s="27">
        <f t="shared" si="5"/>
        <v>248</v>
      </c>
      <c r="B692" s="113" t="s">
        <v>463</v>
      </c>
      <c r="C692" s="53" t="s">
        <v>31</v>
      </c>
      <c r="D692" s="30" t="s">
        <v>64</v>
      </c>
      <c r="E692" s="109">
        <v>455.66624999999999</v>
      </c>
      <c r="F692" s="110" t="s">
        <v>64</v>
      </c>
      <c r="G692" s="33">
        <f>IF(BD!$E691="","",(E692/(H692*I692)))</f>
        <v>455.66624999999999</v>
      </c>
      <c r="H692" s="34">
        <v>1</v>
      </c>
      <c r="I692" s="112">
        <v>1</v>
      </c>
    </row>
    <row r="693" spans="1:9" ht="30">
      <c r="A693" s="27">
        <f t="shared" si="5"/>
        <v>249</v>
      </c>
      <c r="B693" s="113" t="s">
        <v>464</v>
      </c>
      <c r="C693" s="53" t="s">
        <v>31</v>
      </c>
      <c r="D693" s="30" t="s">
        <v>64</v>
      </c>
      <c r="E693" s="109">
        <v>455.66624999999999</v>
      </c>
      <c r="F693" s="110" t="s">
        <v>64</v>
      </c>
      <c r="G693" s="33">
        <f>IF(BD!$E692="","",(E693/(H693*I693)))</f>
        <v>455.66624999999999</v>
      </c>
      <c r="H693" s="34">
        <v>1</v>
      </c>
      <c r="I693" s="112">
        <v>1</v>
      </c>
    </row>
    <row r="694" spans="1:9" ht="30">
      <c r="A694" s="27">
        <f t="shared" si="5"/>
        <v>250</v>
      </c>
      <c r="B694" s="113" t="s">
        <v>465</v>
      </c>
      <c r="C694" s="53" t="s">
        <v>31</v>
      </c>
      <c r="D694" s="30" t="s">
        <v>64</v>
      </c>
      <c r="E694" s="109">
        <v>455.66624999999999</v>
      </c>
      <c r="F694" s="110" t="s">
        <v>64</v>
      </c>
      <c r="G694" s="33">
        <f>IF(BD!$E693="","",(E694/(H694*I694)))</f>
        <v>455.66624999999999</v>
      </c>
      <c r="H694" s="34">
        <v>1</v>
      </c>
      <c r="I694" s="112">
        <v>1</v>
      </c>
    </row>
    <row r="695" spans="1:9" ht="30">
      <c r="A695" s="27">
        <f t="shared" si="5"/>
        <v>251</v>
      </c>
      <c r="B695" s="113" t="s">
        <v>466</v>
      </c>
      <c r="C695" s="53" t="s">
        <v>31</v>
      </c>
      <c r="D695" s="30" t="s">
        <v>64</v>
      </c>
      <c r="E695" s="109">
        <v>455.66624999999999</v>
      </c>
      <c r="F695" s="110" t="s">
        <v>64</v>
      </c>
      <c r="G695" s="33">
        <f>IF(BD!$E694="","",(E695/(H695*I695)))</f>
        <v>455.66624999999999</v>
      </c>
      <c r="H695" s="34">
        <v>1</v>
      </c>
      <c r="I695" s="112">
        <v>1</v>
      </c>
    </row>
    <row r="696" spans="1:9">
      <c r="A696" s="27">
        <f t="shared" si="5"/>
        <v>252</v>
      </c>
      <c r="B696" s="28" t="s">
        <v>467</v>
      </c>
      <c r="C696" s="53" t="s">
        <v>31</v>
      </c>
      <c r="D696" s="30" t="s">
        <v>64</v>
      </c>
      <c r="E696" s="31">
        <v>3356</v>
      </c>
      <c r="F696" s="32" t="s">
        <v>64</v>
      </c>
      <c r="G696" s="33">
        <f>IF(BD!$E695="","",(E696/(H696*I696)))</f>
        <v>3356</v>
      </c>
      <c r="H696" s="34">
        <v>1</v>
      </c>
      <c r="I696" s="112">
        <v>1</v>
      </c>
    </row>
    <row r="697" spans="1:9">
      <c r="A697" s="27">
        <f t="shared" si="5"/>
        <v>253</v>
      </c>
      <c r="B697" s="113" t="s">
        <v>468</v>
      </c>
      <c r="C697" s="53" t="s">
        <v>31</v>
      </c>
      <c r="D697" s="30" t="s">
        <v>64</v>
      </c>
      <c r="E697" s="109">
        <v>1900</v>
      </c>
      <c r="F697" s="110" t="s">
        <v>64</v>
      </c>
      <c r="G697" s="33">
        <f>IF(BD!$E696="","",(E697/(H697*I697)))</f>
        <v>1900</v>
      </c>
      <c r="H697" s="34">
        <v>1</v>
      </c>
      <c r="I697" s="112">
        <v>1</v>
      </c>
    </row>
    <row r="698" spans="1:9">
      <c r="A698" s="27">
        <f t="shared" si="5"/>
        <v>254</v>
      </c>
      <c r="B698" s="113" t="s">
        <v>469</v>
      </c>
      <c r="C698" s="53" t="s">
        <v>31</v>
      </c>
      <c r="D698" s="30" t="s">
        <v>64</v>
      </c>
      <c r="E698" s="109">
        <v>1900</v>
      </c>
      <c r="F698" s="110" t="s">
        <v>64</v>
      </c>
      <c r="G698" s="33">
        <f>IF(BD!$E697="","",(E698/(H698*I698)))</f>
        <v>1900</v>
      </c>
      <c r="H698" s="34">
        <v>1</v>
      </c>
      <c r="I698" s="112">
        <v>1</v>
      </c>
    </row>
    <row r="699" spans="1:9">
      <c r="A699" s="27">
        <f t="shared" si="5"/>
        <v>255</v>
      </c>
      <c r="B699" s="113" t="s">
        <v>470</v>
      </c>
      <c r="C699" s="53" t="s">
        <v>31</v>
      </c>
      <c r="D699" s="30" t="s">
        <v>64</v>
      </c>
      <c r="E699" s="109">
        <v>23075</v>
      </c>
      <c r="F699" s="110" t="s">
        <v>64</v>
      </c>
      <c r="G699" s="33">
        <f>IF(BD!$E698="","",(E699/(H699*I699)))</f>
        <v>23075</v>
      </c>
      <c r="H699" s="34">
        <v>1</v>
      </c>
      <c r="I699" s="112">
        <v>1</v>
      </c>
    </row>
    <row r="700" spans="1:9">
      <c r="A700" s="27">
        <f t="shared" si="5"/>
        <v>256</v>
      </c>
      <c r="B700" s="28" t="s">
        <v>471</v>
      </c>
      <c r="C700" s="53" t="s">
        <v>31</v>
      </c>
      <c r="D700" s="30" t="s">
        <v>64</v>
      </c>
      <c r="E700" s="109">
        <v>23075.29</v>
      </c>
      <c r="F700" s="32" t="s">
        <v>64</v>
      </c>
      <c r="G700" s="33">
        <f>IF(BD!$E699="","",(E700/(H700*I700)))</f>
        <v>23075.29</v>
      </c>
      <c r="H700" s="34">
        <v>1</v>
      </c>
      <c r="I700" s="112">
        <v>1</v>
      </c>
    </row>
    <row r="701" spans="1:9">
      <c r="A701" s="27">
        <f t="shared" si="5"/>
        <v>257</v>
      </c>
      <c r="B701" s="113" t="s">
        <v>472</v>
      </c>
      <c r="C701" s="53" t="s">
        <v>31</v>
      </c>
      <c r="D701" s="30" t="s">
        <v>64</v>
      </c>
      <c r="E701" s="109">
        <v>1018.64</v>
      </c>
      <c r="F701" s="110" t="s">
        <v>64</v>
      </c>
      <c r="G701" s="33">
        <f>IF(BD!$E700="","",(E701/(H701*I701)))</f>
        <v>1018.64</v>
      </c>
      <c r="H701" s="34">
        <v>1</v>
      </c>
      <c r="I701" s="112">
        <v>1</v>
      </c>
    </row>
    <row r="702" spans="1:9">
      <c r="A702" s="27">
        <f t="shared" ref="A702:A765" si="6">A701+1</f>
        <v>258</v>
      </c>
      <c r="B702" s="113" t="s">
        <v>473</v>
      </c>
      <c r="C702" s="53" t="s">
        <v>31</v>
      </c>
      <c r="D702" s="30" t="s">
        <v>64</v>
      </c>
      <c r="E702" s="109">
        <v>1018.64</v>
      </c>
      <c r="F702" s="110" t="s">
        <v>64</v>
      </c>
      <c r="G702" s="33">
        <f>IF(BD!$E701="","",(E702/(H702*I702)))</f>
        <v>1018.64</v>
      </c>
      <c r="H702" s="34">
        <v>1</v>
      </c>
      <c r="I702" s="112">
        <v>1</v>
      </c>
    </row>
    <row r="703" spans="1:9">
      <c r="A703" s="27">
        <f t="shared" si="6"/>
        <v>259</v>
      </c>
      <c r="B703" s="28" t="s">
        <v>474</v>
      </c>
      <c r="C703" s="53" t="s">
        <v>31</v>
      </c>
      <c r="D703" s="30" t="s">
        <v>64</v>
      </c>
      <c r="E703" s="31">
        <v>3356</v>
      </c>
      <c r="F703" s="32" t="s">
        <v>64</v>
      </c>
      <c r="G703" s="33">
        <f>IF(BD!$E702="","",(E703/(H703*I703)))</f>
        <v>3356</v>
      </c>
      <c r="H703" s="34">
        <v>1</v>
      </c>
      <c r="I703" s="112">
        <v>1</v>
      </c>
    </row>
    <row r="704" spans="1:9" ht="30">
      <c r="A704" s="27">
        <f t="shared" si="6"/>
        <v>260</v>
      </c>
      <c r="B704" s="28" t="s">
        <v>475</v>
      </c>
      <c r="C704" s="53" t="s">
        <v>31</v>
      </c>
      <c r="D704" s="30" t="s">
        <v>64</v>
      </c>
      <c r="E704" s="31">
        <v>3356</v>
      </c>
      <c r="F704" s="32" t="s">
        <v>64</v>
      </c>
      <c r="G704" s="33">
        <f>IF(BD!$E703="","",(E704/(H704*I704)))</f>
        <v>3356</v>
      </c>
      <c r="H704" s="34">
        <v>1</v>
      </c>
      <c r="I704" s="112">
        <v>1</v>
      </c>
    </row>
    <row r="705" spans="1:9">
      <c r="A705" s="27">
        <f t="shared" si="6"/>
        <v>261</v>
      </c>
      <c r="B705" s="28" t="s">
        <v>476</v>
      </c>
      <c r="C705" s="53" t="s">
        <v>31</v>
      </c>
      <c r="D705" s="30" t="s">
        <v>64</v>
      </c>
      <c r="E705" s="31">
        <v>3356</v>
      </c>
      <c r="F705" s="32" t="s">
        <v>64</v>
      </c>
      <c r="G705" s="33">
        <f>IF(BD!$E704="","",(E705/(H705*I705)))</f>
        <v>3356</v>
      </c>
      <c r="H705" s="34">
        <v>1</v>
      </c>
      <c r="I705" s="112">
        <v>1</v>
      </c>
    </row>
    <row r="706" spans="1:9">
      <c r="A706" s="27">
        <f t="shared" si="6"/>
        <v>262</v>
      </c>
      <c r="B706" s="28" t="s">
        <v>477</v>
      </c>
      <c r="C706" s="53" t="s">
        <v>31</v>
      </c>
      <c r="D706" s="30" t="s">
        <v>64</v>
      </c>
      <c r="E706" s="31">
        <v>3356</v>
      </c>
      <c r="F706" s="32" t="s">
        <v>64</v>
      </c>
      <c r="G706" s="33">
        <f>IF(BD!$E705="","",(E706/(H706*I706)))</f>
        <v>3356</v>
      </c>
      <c r="H706" s="34">
        <v>1</v>
      </c>
      <c r="I706" s="112">
        <v>1</v>
      </c>
    </row>
    <row r="707" spans="1:9" ht="30">
      <c r="A707" s="27">
        <f t="shared" si="6"/>
        <v>263</v>
      </c>
      <c r="B707" s="28" t="s">
        <v>478</v>
      </c>
      <c r="C707" s="53" t="s">
        <v>31</v>
      </c>
      <c r="D707" s="30" t="s">
        <v>64</v>
      </c>
      <c r="E707" s="109">
        <v>3356</v>
      </c>
      <c r="F707" s="110" t="s">
        <v>64</v>
      </c>
      <c r="G707" s="33">
        <f>IF(BD!$E706="","",(E707/(H707*I707)))</f>
        <v>3356</v>
      </c>
      <c r="H707" s="34">
        <v>1</v>
      </c>
      <c r="I707" s="112">
        <v>1</v>
      </c>
    </row>
    <row r="708" spans="1:9">
      <c r="A708" s="27">
        <f t="shared" si="6"/>
        <v>264</v>
      </c>
      <c r="B708" s="28" t="s">
        <v>479</v>
      </c>
      <c r="C708" s="53" t="s">
        <v>31</v>
      </c>
      <c r="D708" s="30" t="s">
        <v>64</v>
      </c>
      <c r="E708" s="31">
        <v>3356</v>
      </c>
      <c r="F708" s="32" t="s">
        <v>64</v>
      </c>
      <c r="G708" s="33">
        <f>IF(BD!$E707="","",(E708/(H708*I708)))</f>
        <v>3356</v>
      </c>
      <c r="H708" s="34">
        <v>1</v>
      </c>
      <c r="I708" s="112">
        <v>1</v>
      </c>
    </row>
    <row r="709" spans="1:9" ht="30">
      <c r="A709" s="27">
        <f t="shared" si="6"/>
        <v>265</v>
      </c>
      <c r="B709" s="28" t="s">
        <v>480</v>
      </c>
      <c r="C709" s="53" t="s">
        <v>31</v>
      </c>
      <c r="D709" s="30" t="s">
        <v>64</v>
      </c>
      <c r="E709" s="31">
        <v>3356</v>
      </c>
      <c r="F709" s="32" t="s">
        <v>64</v>
      </c>
      <c r="G709" s="33">
        <f>IF(BD!$E708="","",(E709/(H709*I709)))</f>
        <v>3356</v>
      </c>
      <c r="H709" s="34">
        <v>1</v>
      </c>
      <c r="I709" s="112">
        <v>1</v>
      </c>
    </row>
    <row r="710" spans="1:9" ht="30">
      <c r="A710" s="27">
        <f t="shared" si="6"/>
        <v>266</v>
      </c>
      <c r="B710" s="28" t="s">
        <v>481</v>
      </c>
      <c r="C710" s="53" t="s">
        <v>31</v>
      </c>
      <c r="D710" s="30" t="s">
        <v>64</v>
      </c>
      <c r="E710" s="31">
        <v>3356</v>
      </c>
      <c r="F710" s="32" t="s">
        <v>64</v>
      </c>
      <c r="G710" s="33">
        <f>IF(BD!$E709="","",(E710/(H710*I710)))</f>
        <v>3356</v>
      </c>
      <c r="H710" s="34">
        <v>1</v>
      </c>
      <c r="I710" s="112">
        <v>1</v>
      </c>
    </row>
    <row r="711" spans="1:9">
      <c r="A711" s="27">
        <f t="shared" si="6"/>
        <v>267</v>
      </c>
      <c r="B711" s="28" t="s">
        <v>482</v>
      </c>
      <c r="C711" s="53" t="s">
        <v>31</v>
      </c>
      <c r="D711" s="30" t="s">
        <v>64</v>
      </c>
      <c r="E711" s="109">
        <v>198</v>
      </c>
      <c r="F711" s="110" t="s">
        <v>64</v>
      </c>
      <c r="G711" s="33">
        <f>IF(BD!$E710="","",(E711/(H711*I711)))</f>
        <v>198</v>
      </c>
      <c r="H711" s="34">
        <v>1</v>
      </c>
      <c r="I711" s="112">
        <v>1</v>
      </c>
    </row>
    <row r="712" spans="1:9">
      <c r="A712" s="27">
        <f t="shared" si="6"/>
        <v>268</v>
      </c>
      <c r="B712" s="28" t="s">
        <v>483</v>
      </c>
      <c r="C712" s="53" t="s">
        <v>31</v>
      </c>
      <c r="D712" s="30" t="s">
        <v>64</v>
      </c>
      <c r="E712" s="109">
        <v>3356</v>
      </c>
      <c r="F712" s="110" t="s">
        <v>64</v>
      </c>
      <c r="G712" s="33">
        <f>IF(BD!$E711="","",(E712/(H712*I712)))</f>
        <v>3356</v>
      </c>
      <c r="H712" s="34">
        <v>1</v>
      </c>
      <c r="I712" s="112">
        <v>1</v>
      </c>
    </row>
    <row r="713" spans="1:9">
      <c r="A713" s="27">
        <f t="shared" si="6"/>
        <v>269</v>
      </c>
      <c r="B713" s="28" t="s">
        <v>484</v>
      </c>
      <c r="C713" s="53" t="s">
        <v>31</v>
      </c>
      <c r="D713" s="30" t="s">
        <v>64</v>
      </c>
      <c r="E713" s="109">
        <v>198</v>
      </c>
      <c r="F713" s="110" t="s">
        <v>64</v>
      </c>
      <c r="G713" s="33">
        <f>IF(BD!$E712="","",(E713/(H713*I713)))</f>
        <v>198</v>
      </c>
      <c r="H713" s="34">
        <v>1</v>
      </c>
      <c r="I713" s="112">
        <v>1</v>
      </c>
    </row>
    <row r="714" spans="1:9">
      <c r="A714" s="27">
        <f t="shared" si="6"/>
        <v>270</v>
      </c>
      <c r="B714" s="28" t="s">
        <v>485</v>
      </c>
      <c r="C714" s="53" t="s">
        <v>31</v>
      </c>
      <c r="D714" s="30" t="s">
        <v>64</v>
      </c>
      <c r="E714" s="109">
        <v>3356</v>
      </c>
      <c r="F714" s="110" t="s">
        <v>64</v>
      </c>
      <c r="G714" s="33">
        <f>IF(BD!$E713="","",(E714/(H714*I714)))</f>
        <v>3356</v>
      </c>
      <c r="H714" s="34">
        <v>1</v>
      </c>
      <c r="I714" s="112">
        <v>1</v>
      </c>
    </row>
    <row r="715" spans="1:9">
      <c r="A715" s="27">
        <f t="shared" si="6"/>
        <v>271</v>
      </c>
      <c r="B715" s="28" t="s">
        <v>486</v>
      </c>
      <c r="C715" s="53" t="s">
        <v>31</v>
      </c>
      <c r="D715" s="30" t="s">
        <v>64</v>
      </c>
      <c r="E715" s="109">
        <v>3356</v>
      </c>
      <c r="F715" s="110" t="s">
        <v>64</v>
      </c>
      <c r="G715" s="33">
        <f>IF(BD!$E714="","",(E715/(H715*I715)))</f>
        <v>3356</v>
      </c>
      <c r="H715" s="34">
        <v>1</v>
      </c>
      <c r="I715" s="112">
        <v>1</v>
      </c>
    </row>
    <row r="716" spans="1:9" ht="30">
      <c r="A716" s="27">
        <f t="shared" si="6"/>
        <v>272</v>
      </c>
      <c r="B716" s="28" t="s">
        <v>487</v>
      </c>
      <c r="C716" s="53" t="s">
        <v>31</v>
      </c>
      <c r="D716" s="30" t="s">
        <v>64</v>
      </c>
      <c r="E716" s="31">
        <v>198</v>
      </c>
      <c r="F716" s="32" t="s">
        <v>64</v>
      </c>
      <c r="G716" s="33">
        <f>IF(BD!$E715="","",(E716/(H716*I716)))</f>
        <v>198</v>
      </c>
      <c r="H716" s="34">
        <v>1</v>
      </c>
      <c r="I716" s="112">
        <v>1</v>
      </c>
    </row>
    <row r="717" spans="1:9" ht="30">
      <c r="A717" s="27">
        <f t="shared" si="6"/>
        <v>273</v>
      </c>
      <c r="B717" s="28" t="s">
        <v>488</v>
      </c>
      <c r="C717" s="53" t="s">
        <v>31</v>
      </c>
      <c r="D717" s="30" t="s">
        <v>64</v>
      </c>
      <c r="E717" s="109">
        <v>198</v>
      </c>
      <c r="F717" s="110" t="s">
        <v>64</v>
      </c>
      <c r="G717" s="33">
        <f>IF(BD!$E716="","",(E717/(H717*I717)))</f>
        <v>198</v>
      </c>
      <c r="H717" s="34">
        <v>1</v>
      </c>
      <c r="I717" s="112">
        <v>1</v>
      </c>
    </row>
    <row r="718" spans="1:9">
      <c r="A718" s="27">
        <f t="shared" si="6"/>
        <v>274</v>
      </c>
      <c r="B718" s="28" t="s">
        <v>489</v>
      </c>
      <c r="C718" s="53" t="s">
        <v>31</v>
      </c>
      <c r="D718" s="30" t="s">
        <v>64</v>
      </c>
      <c r="E718" s="109">
        <v>198</v>
      </c>
      <c r="F718" s="110" t="s">
        <v>64</v>
      </c>
      <c r="G718" s="33">
        <f>IF(BD!$E717="","",(E718/(H718*I718)))</f>
        <v>198</v>
      </c>
      <c r="H718" s="34">
        <v>1</v>
      </c>
      <c r="I718" s="112">
        <v>1</v>
      </c>
    </row>
    <row r="719" spans="1:9">
      <c r="A719" s="27">
        <f t="shared" si="6"/>
        <v>275</v>
      </c>
      <c r="B719" s="28" t="s">
        <v>490</v>
      </c>
      <c r="C719" s="53" t="s">
        <v>31</v>
      </c>
      <c r="D719" s="30" t="s">
        <v>64</v>
      </c>
      <c r="E719" s="109">
        <v>198</v>
      </c>
      <c r="F719" s="110" t="s">
        <v>64</v>
      </c>
      <c r="G719" s="33">
        <f>IF(BD!$E718="","",(E719/(H719*I719)))</f>
        <v>198</v>
      </c>
      <c r="H719" s="34">
        <v>1</v>
      </c>
      <c r="I719" s="112">
        <v>1</v>
      </c>
    </row>
    <row r="720" spans="1:9" ht="30">
      <c r="A720" s="27">
        <f t="shared" si="6"/>
        <v>276</v>
      </c>
      <c r="B720" s="28" t="s">
        <v>491</v>
      </c>
      <c r="C720" s="53" t="s">
        <v>31</v>
      </c>
      <c r="D720" s="30" t="s">
        <v>64</v>
      </c>
      <c r="E720" s="109">
        <v>198</v>
      </c>
      <c r="F720" s="110" t="s">
        <v>64</v>
      </c>
      <c r="G720" s="33">
        <f>IF(BD!$E719="","",(E720/(H720*I720)))</f>
        <v>198</v>
      </c>
      <c r="H720" s="34">
        <v>1</v>
      </c>
      <c r="I720" s="112">
        <v>1</v>
      </c>
    </row>
    <row r="721" spans="1:9">
      <c r="A721" s="27">
        <f t="shared" si="6"/>
        <v>277</v>
      </c>
      <c r="B721" s="28" t="s">
        <v>492</v>
      </c>
      <c r="C721" s="53" t="s">
        <v>31</v>
      </c>
      <c r="D721" s="30" t="s">
        <v>64</v>
      </c>
      <c r="E721" s="109">
        <v>3356</v>
      </c>
      <c r="F721" s="110" t="s">
        <v>64</v>
      </c>
      <c r="G721" s="33">
        <f>IF(BD!$E720="","",(E721/(H721*I721)))</f>
        <v>3356</v>
      </c>
      <c r="H721" s="34">
        <v>1</v>
      </c>
      <c r="I721" s="112">
        <v>1</v>
      </c>
    </row>
    <row r="722" spans="1:9">
      <c r="A722" s="27">
        <f t="shared" si="6"/>
        <v>278</v>
      </c>
      <c r="B722" s="113" t="s">
        <v>493</v>
      </c>
      <c r="C722" s="53" t="s">
        <v>31</v>
      </c>
      <c r="D722" s="30" t="s">
        <v>64</v>
      </c>
      <c r="E722" s="109">
        <v>1100</v>
      </c>
      <c r="F722" s="110" t="s">
        <v>64</v>
      </c>
      <c r="G722" s="33">
        <f>IF(BD!$E721="","",(E722/(H722*I722)))</f>
        <v>1100</v>
      </c>
      <c r="H722" s="34">
        <v>1</v>
      </c>
      <c r="I722" s="112">
        <v>1</v>
      </c>
    </row>
    <row r="723" spans="1:9">
      <c r="A723" s="27">
        <f t="shared" si="6"/>
        <v>279</v>
      </c>
      <c r="B723" s="113" t="s">
        <v>494</v>
      </c>
      <c r="C723" s="53" t="s">
        <v>31</v>
      </c>
      <c r="D723" s="30" t="s">
        <v>64</v>
      </c>
      <c r="E723" s="109">
        <v>1350</v>
      </c>
      <c r="F723" s="110" t="s">
        <v>64</v>
      </c>
      <c r="G723" s="33">
        <f>IF(BD!$E722="","",(E723/(H723*I723)))</f>
        <v>1350</v>
      </c>
      <c r="H723" s="34">
        <v>1</v>
      </c>
      <c r="I723" s="112">
        <v>1</v>
      </c>
    </row>
    <row r="724" spans="1:9">
      <c r="A724" s="27">
        <f t="shared" si="6"/>
        <v>280</v>
      </c>
      <c r="B724" s="113" t="s">
        <v>495</v>
      </c>
      <c r="C724" s="53" t="s">
        <v>31</v>
      </c>
      <c r="D724" s="30" t="s">
        <v>64</v>
      </c>
      <c r="E724" s="109">
        <v>925</v>
      </c>
      <c r="F724" s="110" t="s">
        <v>64</v>
      </c>
      <c r="G724" s="33">
        <f>IF(BD!$E723="","",(E724/(H724*I724)))</f>
        <v>925</v>
      </c>
      <c r="H724" s="34">
        <v>1</v>
      </c>
      <c r="I724" s="112">
        <v>1</v>
      </c>
    </row>
    <row r="725" spans="1:9">
      <c r="A725" s="27">
        <f t="shared" si="6"/>
        <v>281</v>
      </c>
      <c r="B725" s="28" t="s">
        <v>496</v>
      </c>
      <c r="C725" s="53" t="s">
        <v>31</v>
      </c>
      <c r="D725" s="30" t="s">
        <v>64</v>
      </c>
      <c r="E725" s="31">
        <v>3373</v>
      </c>
      <c r="F725" s="32" t="s">
        <v>64</v>
      </c>
      <c r="G725" s="33">
        <f>IF(BD!$E724="","",(E725/(H725*I725)))</f>
        <v>3373</v>
      </c>
      <c r="H725" s="34">
        <v>1</v>
      </c>
      <c r="I725" s="112">
        <v>1</v>
      </c>
    </row>
    <row r="726" spans="1:9">
      <c r="A726" s="27">
        <f t="shared" si="6"/>
        <v>282</v>
      </c>
      <c r="B726" s="115" t="s">
        <v>497</v>
      </c>
      <c r="C726" s="53" t="s">
        <v>31</v>
      </c>
      <c r="D726" s="30" t="s">
        <v>64</v>
      </c>
      <c r="E726" s="116">
        <v>1275.68</v>
      </c>
      <c r="F726" s="32" t="s">
        <v>64</v>
      </c>
      <c r="G726" s="33">
        <f>IF(BD!$E725="","",(E726/(H726*I726)))</f>
        <v>1275.68</v>
      </c>
      <c r="H726" s="34">
        <v>1</v>
      </c>
      <c r="I726" s="112">
        <v>1</v>
      </c>
    </row>
    <row r="727" spans="1:9">
      <c r="A727" s="27">
        <f t="shared" si="6"/>
        <v>283</v>
      </c>
      <c r="B727" s="28" t="s">
        <v>498</v>
      </c>
      <c r="C727" s="53" t="s">
        <v>31</v>
      </c>
      <c r="D727" s="30" t="s">
        <v>64</v>
      </c>
      <c r="E727" s="109">
        <v>3373</v>
      </c>
      <c r="F727" s="110" t="s">
        <v>64</v>
      </c>
      <c r="G727" s="33">
        <f>IF(BD!$E726="","",(E727/(H727*I727)))</f>
        <v>3373</v>
      </c>
      <c r="H727" s="34">
        <v>1</v>
      </c>
      <c r="I727" s="112">
        <v>1</v>
      </c>
    </row>
    <row r="728" spans="1:9">
      <c r="A728" s="27">
        <f t="shared" si="6"/>
        <v>284</v>
      </c>
      <c r="B728" s="115" t="s">
        <v>499</v>
      </c>
      <c r="C728" s="53" t="s">
        <v>31</v>
      </c>
      <c r="D728" s="30" t="s">
        <v>64</v>
      </c>
      <c r="E728" s="116">
        <v>1275.68</v>
      </c>
      <c r="F728" s="32" t="s">
        <v>64</v>
      </c>
      <c r="G728" s="33">
        <f>IF(BD!$E727="","",(E728/(H728*I728)))</f>
        <v>1275.68</v>
      </c>
      <c r="H728" s="34">
        <v>1</v>
      </c>
      <c r="I728" s="112">
        <v>1</v>
      </c>
    </row>
    <row r="729" spans="1:9">
      <c r="A729" s="27">
        <f t="shared" si="6"/>
        <v>285</v>
      </c>
      <c r="B729" s="28" t="s">
        <v>500</v>
      </c>
      <c r="C729" s="53" t="s">
        <v>31</v>
      </c>
      <c r="D729" s="30" t="s">
        <v>64</v>
      </c>
      <c r="E729" s="31">
        <v>1275.68</v>
      </c>
      <c r="F729" s="32" t="s">
        <v>64</v>
      </c>
      <c r="G729" s="33">
        <f>IF(BD!$E728="","",(E729/(H729*I729)))</f>
        <v>1275.68</v>
      </c>
      <c r="H729" s="34">
        <v>1</v>
      </c>
      <c r="I729" s="112">
        <v>1</v>
      </c>
    </row>
    <row r="730" spans="1:9">
      <c r="A730" s="27">
        <f t="shared" si="6"/>
        <v>286</v>
      </c>
      <c r="B730" s="113" t="s">
        <v>501</v>
      </c>
      <c r="C730" s="53" t="s">
        <v>31</v>
      </c>
      <c r="D730" s="30" t="s">
        <v>64</v>
      </c>
      <c r="E730" s="109">
        <v>2746.52</v>
      </c>
      <c r="F730" s="110" t="s">
        <v>64</v>
      </c>
      <c r="G730" s="33">
        <f>IF(BD!$E729="","",(E730/(H730*I730)))</f>
        <v>2746.52</v>
      </c>
      <c r="H730" s="34">
        <v>1</v>
      </c>
      <c r="I730" s="112">
        <v>1</v>
      </c>
    </row>
    <row r="731" spans="1:9">
      <c r="A731" s="27">
        <f t="shared" si="6"/>
        <v>287</v>
      </c>
      <c r="B731" s="28" t="s">
        <v>502</v>
      </c>
      <c r="C731" s="53" t="s">
        <v>31</v>
      </c>
      <c r="D731" s="30" t="s">
        <v>64</v>
      </c>
      <c r="E731" s="31">
        <v>1275.68</v>
      </c>
      <c r="F731" s="32" t="s">
        <v>64</v>
      </c>
      <c r="G731" s="33">
        <f>IF(BD!$E730="","",(E731/(H731*I731)))</f>
        <v>1275.68</v>
      </c>
      <c r="H731" s="34">
        <v>1</v>
      </c>
      <c r="I731" s="112">
        <v>1</v>
      </c>
    </row>
    <row r="732" spans="1:9">
      <c r="A732" s="27">
        <f t="shared" si="6"/>
        <v>288</v>
      </c>
      <c r="B732" s="28" t="s">
        <v>503</v>
      </c>
      <c r="C732" s="53" t="s">
        <v>31</v>
      </c>
      <c r="D732" s="30" t="s">
        <v>64</v>
      </c>
      <c r="E732" s="31">
        <v>1225.7</v>
      </c>
      <c r="F732" s="32" t="s">
        <v>64</v>
      </c>
      <c r="G732" s="33">
        <f>IF(BD!$E731="","",(E732/(H732*I732)))</f>
        <v>1225.7</v>
      </c>
      <c r="H732" s="34">
        <v>1</v>
      </c>
      <c r="I732" s="112">
        <v>1</v>
      </c>
    </row>
    <row r="733" spans="1:9">
      <c r="A733" s="27">
        <f t="shared" si="6"/>
        <v>289</v>
      </c>
      <c r="B733" s="28" t="s">
        <v>504</v>
      </c>
      <c r="C733" s="53" t="s">
        <v>31</v>
      </c>
      <c r="D733" s="30" t="s">
        <v>64</v>
      </c>
      <c r="E733" s="31">
        <v>3881.78</v>
      </c>
      <c r="F733" s="32" t="s">
        <v>64</v>
      </c>
      <c r="G733" s="33">
        <f>IF(BD!$E732="","",(E733/(H733*I733)))</f>
        <v>3881.78</v>
      </c>
      <c r="H733" s="34">
        <v>1</v>
      </c>
      <c r="I733" s="112">
        <v>1</v>
      </c>
    </row>
    <row r="734" spans="1:9">
      <c r="A734" s="27">
        <f t="shared" si="6"/>
        <v>290</v>
      </c>
      <c r="B734" s="28" t="s">
        <v>505</v>
      </c>
      <c r="C734" s="53" t="s">
        <v>31</v>
      </c>
      <c r="D734" s="30" t="s">
        <v>64</v>
      </c>
      <c r="E734" s="31">
        <v>1275.68</v>
      </c>
      <c r="F734" s="32" t="s">
        <v>64</v>
      </c>
      <c r="G734" s="33">
        <f>IF(BD!$E733="","",(E734/(H734*I734)))</f>
        <v>1275.68</v>
      </c>
      <c r="H734" s="34">
        <v>1</v>
      </c>
      <c r="I734" s="112">
        <v>1</v>
      </c>
    </row>
    <row r="735" spans="1:9">
      <c r="A735" s="27">
        <f t="shared" si="6"/>
        <v>291</v>
      </c>
      <c r="B735" s="28" t="s">
        <v>506</v>
      </c>
      <c r="C735" s="53" t="s">
        <v>31</v>
      </c>
      <c r="D735" s="30" t="s">
        <v>64</v>
      </c>
      <c r="E735" s="31">
        <v>3881.78</v>
      </c>
      <c r="F735" s="32" t="s">
        <v>64</v>
      </c>
      <c r="G735" s="33">
        <f>IF(BD!$E734="","",(E735/(H735*I735)))</f>
        <v>3881.78</v>
      </c>
      <c r="H735" s="34">
        <v>1</v>
      </c>
      <c r="I735" s="112">
        <v>1</v>
      </c>
    </row>
    <row r="736" spans="1:9">
      <c r="A736" s="27">
        <f t="shared" si="6"/>
        <v>292</v>
      </c>
      <c r="B736" s="28" t="s">
        <v>507</v>
      </c>
      <c r="C736" s="53" t="s">
        <v>31</v>
      </c>
      <c r="D736" s="30" t="s">
        <v>64</v>
      </c>
      <c r="E736" s="109">
        <v>1225.7</v>
      </c>
      <c r="F736" s="110" t="s">
        <v>64</v>
      </c>
      <c r="G736" s="33">
        <f>IF(BD!$E735="","",(E736/(H736*I736)))</f>
        <v>1225.7</v>
      </c>
      <c r="H736" s="34">
        <v>1</v>
      </c>
      <c r="I736" s="112">
        <v>1</v>
      </c>
    </row>
    <row r="737" spans="1:9">
      <c r="A737" s="27">
        <f t="shared" si="6"/>
        <v>293</v>
      </c>
      <c r="B737" s="28" t="s">
        <v>508</v>
      </c>
      <c r="C737" s="53" t="s">
        <v>31</v>
      </c>
      <c r="D737" s="30" t="s">
        <v>64</v>
      </c>
      <c r="E737" s="31">
        <v>1225.7</v>
      </c>
      <c r="F737" s="32" t="s">
        <v>64</v>
      </c>
      <c r="G737" s="33">
        <f>IF(BD!$E736="","",(E737/(H737*I737)))</f>
        <v>1225.7</v>
      </c>
      <c r="H737" s="34">
        <v>1</v>
      </c>
      <c r="I737" s="112">
        <v>1</v>
      </c>
    </row>
    <row r="738" spans="1:9">
      <c r="A738" s="27">
        <f t="shared" si="6"/>
        <v>294</v>
      </c>
      <c r="B738" s="28" t="s">
        <v>509</v>
      </c>
      <c r="C738" s="53" t="s">
        <v>31</v>
      </c>
      <c r="D738" s="30" t="s">
        <v>64</v>
      </c>
      <c r="E738" s="31">
        <v>2400</v>
      </c>
      <c r="F738" s="32" t="s">
        <v>64</v>
      </c>
      <c r="G738" s="33">
        <f>IF(BD!$E737="","",(E738/(H738*I738)))</f>
        <v>2400</v>
      </c>
      <c r="H738" s="34">
        <v>1</v>
      </c>
      <c r="I738" s="112">
        <v>1</v>
      </c>
    </row>
    <row r="739" spans="1:9">
      <c r="A739" s="27">
        <f t="shared" si="6"/>
        <v>295</v>
      </c>
      <c r="B739" s="28" t="s">
        <v>510</v>
      </c>
      <c r="C739" s="53" t="s">
        <v>31</v>
      </c>
      <c r="D739" s="30" t="s">
        <v>64</v>
      </c>
      <c r="E739" s="31">
        <v>1275.68</v>
      </c>
      <c r="F739" s="32" t="s">
        <v>64</v>
      </c>
      <c r="G739" s="33">
        <f>IF(BD!$E738="","",(E739/(H739*I739)))</f>
        <v>1275.68</v>
      </c>
      <c r="H739" s="34">
        <v>1</v>
      </c>
      <c r="I739" s="112">
        <v>1</v>
      </c>
    </row>
    <row r="740" spans="1:9">
      <c r="A740" s="27">
        <f t="shared" si="6"/>
        <v>296</v>
      </c>
      <c r="B740" s="28" t="s">
        <v>511</v>
      </c>
      <c r="C740" s="53" t="s">
        <v>31</v>
      </c>
      <c r="D740" s="30" t="s">
        <v>64</v>
      </c>
      <c r="E740" s="31">
        <v>1225.7</v>
      </c>
      <c r="F740" s="32" t="s">
        <v>64</v>
      </c>
      <c r="G740" s="33">
        <f>IF(BD!$E739="","",(E740/(H740*I740)))</f>
        <v>1225.7</v>
      </c>
      <c r="H740" s="34">
        <v>1</v>
      </c>
      <c r="I740" s="112">
        <v>1</v>
      </c>
    </row>
    <row r="741" spans="1:9">
      <c r="A741" s="27">
        <f t="shared" si="6"/>
        <v>297</v>
      </c>
      <c r="B741" s="28" t="s">
        <v>512</v>
      </c>
      <c r="C741" s="53" t="s">
        <v>31</v>
      </c>
      <c r="D741" s="30" t="s">
        <v>64</v>
      </c>
      <c r="E741" s="31">
        <v>1275.68</v>
      </c>
      <c r="F741" s="32" t="s">
        <v>64</v>
      </c>
      <c r="G741" s="33">
        <f>IF(BD!$E740="","",(E741/(H741*I741)))</f>
        <v>1275.68</v>
      </c>
      <c r="H741" s="34">
        <v>1</v>
      </c>
      <c r="I741" s="112">
        <v>1</v>
      </c>
    </row>
    <row r="742" spans="1:9">
      <c r="A742" s="27">
        <f t="shared" si="6"/>
        <v>298</v>
      </c>
      <c r="B742" s="28" t="s">
        <v>513</v>
      </c>
      <c r="C742" s="53" t="s">
        <v>31</v>
      </c>
      <c r="D742" s="30" t="s">
        <v>64</v>
      </c>
      <c r="E742" s="31">
        <v>2400</v>
      </c>
      <c r="F742" s="32" t="s">
        <v>64</v>
      </c>
      <c r="G742" s="33">
        <f>IF(BD!$E741="","",(E742/(H742*I742)))</f>
        <v>2400</v>
      </c>
      <c r="H742" s="34">
        <v>1</v>
      </c>
      <c r="I742" s="112">
        <v>1</v>
      </c>
    </row>
    <row r="743" spans="1:9" ht="30">
      <c r="A743" s="27">
        <f t="shared" si="6"/>
        <v>299</v>
      </c>
      <c r="B743" s="113" t="s">
        <v>514</v>
      </c>
      <c r="C743" s="53" t="s">
        <v>31</v>
      </c>
      <c r="D743" s="30" t="s">
        <v>64</v>
      </c>
      <c r="E743" s="109">
        <v>873.94</v>
      </c>
      <c r="F743" s="110" t="s">
        <v>64</v>
      </c>
      <c r="G743" s="33">
        <f>IF(BD!$E742="","",(E743/(H743*I743)))</f>
        <v>873.94</v>
      </c>
      <c r="H743" s="34">
        <v>1</v>
      </c>
      <c r="I743" s="112">
        <v>1</v>
      </c>
    </row>
    <row r="744" spans="1:9">
      <c r="A744" s="27">
        <f t="shared" si="6"/>
        <v>300</v>
      </c>
      <c r="B744" s="113" t="s">
        <v>515</v>
      </c>
      <c r="C744" s="53" t="s">
        <v>31</v>
      </c>
      <c r="D744" s="30" t="s">
        <v>64</v>
      </c>
      <c r="E744" s="109">
        <v>873.94</v>
      </c>
      <c r="F744" s="110" t="s">
        <v>64</v>
      </c>
      <c r="G744" s="33">
        <f>IF(BD!$E743="","",(E744/(H744*I744)))</f>
        <v>873.94</v>
      </c>
      <c r="H744" s="34">
        <v>1</v>
      </c>
      <c r="I744" s="112">
        <v>1</v>
      </c>
    </row>
    <row r="745" spans="1:9">
      <c r="A745" s="27">
        <f t="shared" si="6"/>
        <v>301</v>
      </c>
      <c r="B745" s="113" t="s">
        <v>516</v>
      </c>
      <c r="C745" s="53" t="s">
        <v>31</v>
      </c>
      <c r="D745" s="30" t="s">
        <v>64</v>
      </c>
      <c r="E745" s="109">
        <v>873.94</v>
      </c>
      <c r="F745" s="110" t="s">
        <v>64</v>
      </c>
      <c r="G745" s="33">
        <f>IF(BD!$E744="","",(E745/(H745*I745)))</f>
        <v>873.94</v>
      </c>
      <c r="H745" s="34">
        <v>1</v>
      </c>
      <c r="I745" s="112">
        <v>1</v>
      </c>
    </row>
    <row r="746" spans="1:9">
      <c r="A746" s="27">
        <f t="shared" si="6"/>
        <v>302</v>
      </c>
      <c r="B746" s="113" t="s">
        <v>517</v>
      </c>
      <c r="C746" s="53" t="s">
        <v>31</v>
      </c>
      <c r="D746" s="30" t="s">
        <v>64</v>
      </c>
      <c r="E746" s="109">
        <v>873.94</v>
      </c>
      <c r="F746" s="110" t="s">
        <v>64</v>
      </c>
      <c r="G746" s="33">
        <f>IF(BD!$E745="","",(E746/(H746*I746)))</f>
        <v>873.94</v>
      </c>
      <c r="H746" s="34">
        <v>1</v>
      </c>
      <c r="I746" s="112">
        <v>1</v>
      </c>
    </row>
    <row r="747" spans="1:9">
      <c r="A747" s="27">
        <f t="shared" si="6"/>
        <v>303</v>
      </c>
      <c r="B747" s="28" t="s">
        <v>518</v>
      </c>
      <c r="C747" s="53" t="s">
        <v>31</v>
      </c>
      <c r="D747" s="30" t="s">
        <v>64</v>
      </c>
      <c r="E747" s="31">
        <v>131.97</v>
      </c>
      <c r="F747" s="32" t="s">
        <v>64</v>
      </c>
      <c r="G747" s="33">
        <f>IF(BD!$E746="","",(E747/(H747*I747)))</f>
        <v>131.97</v>
      </c>
      <c r="H747" s="34">
        <v>1</v>
      </c>
      <c r="I747" s="112">
        <v>1</v>
      </c>
    </row>
    <row r="748" spans="1:9">
      <c r="A748" s="27">
        <f t="shared" si="6"/>
        <v>304</v>
      </c>
      <c r="B748" s="113" t="s">
        <v>519</v>
      </c>
      <c r="C748" s="53" t="s">
        <v>31</v>
      </c>
      <c r="D748" s="30" t="s">
        <v>64</v>
      </c>
      <c r="E748" s="109">
        <v>5450</v>
      </c>
      <c r="F748" s="110" t="s">
        <v>64</v>
      </c>
      <c r="G748" s="33">
        <f>IF(BD!$E747="","",(E748/(H748*I748)))</f>
        <v>5450</v>
      </c>
      <c r="H748" s="34">
        <v>1</v>
      </c>
      <c r="I748" s="112">
        <v>1</v>
      </c>
    </row>
    <row r="749" spans="1:9">
      <c r="A749" s="27">
        <f t="shared" si="6"/>
        <v>305</v>
      </c>
      <c r="B749" s="113" t="s">
        <v>520</v>
      </c>
      <c r="C749" s="53" t="s">
        <v>31</v>
      </c>
      <c r="D749" s="30" t="s">
        <v>64</v>
      </c>
      <c r="E749" s="109">
        <v>5450</v>
      </c>
      <c r="F749" s="110" t="s">
        <v>64</v>
      </c>
      <c r="G749" s="33">
        <f>IF(BD!$E748="","",(E749/(H749*I749)))</f>
        <v>5450</v>
      </c>
      <c r="H749" s="34">
        <v>1</v>
      </c>
      <c r="I749" s="112">
        <v>1</v>
      </c>
    </row>
    <row r="750" spans="1:9" ht="30">
      <c r="A750" s="27">
        <f t="shared" si="6"/>
        <v>306</v>
      </c>
      <c r="B750" s="113" t="s">
        <v>521</v>
      </c>
      <c r="C750" s="53" t="s">
        <v>31</v>
      </c>
      <c r="D750" s="30" t="s">
        <v>64</v>
      </c>
      <c r="E750" s="109">
        <v>5450</v>
      </c>
      <c r="F750" s="110" t="s">
        <v>64</v>
      </c>
      <c r="G750" s="33">
        <f>IF(BD!$E749="","",(E750/(H750*I750)))</f>
        <v>5450</v>
      </c>
      <c r="H750" s="34">
        <v>1</v>
      </c>
      <c r="I750" s="112">
        <v>1</v>
      </c>
    </row>
    <row r="751" spans="1:9" ht="30">
      <c r="A751" s="27">
        <f t="shared" si="6"/>
        <v>307</v>
      </c>
      <c r="B751" s="113" t="s">
        <v>522</v>
      </c>
      <c r="C751" s="53" t="s">
        <v>31</v>
      </c>
      <c r="D751" s="30" t="s">
        <v>64</v>
      </c>
      <c r="E751" s="109">
        <v>5450</v>
      </c>
      <c r="F751" s="110" t="s">
        <v>64</v>
      </c>
      <c r="G751" s="33">
        <f>IF(BD!$E750="","",(E751/(H751*I751)))</f>
        <v>5450</v>
      </c>
      <c r="H751" s="34">
        <v>1</v>
      </c>
      <c r="I751" s="112">
        <v>1</v>
      </c>
    </row>
    <row r="752" spans="1:9" ht="30">
      <c r="A752" s="27">
        <f t="shared" si="6"/>
        <v>308</v>
      </c>
      <c r="B752" s="113" t="s">
        <v>523</v>
      </c>
      <c r="C752" s="53" t="s">
        <v>31</v>
      </c>
      <c r="D752" s="30" t="s">
        <v>64</v>
      </c>
      <c r="E752" s="109">
        <v>5450</v>
      </c>
      <c r="F752" s="110" t="s">
        <v>64</v>
      </c>
      <c r="G752" s="33">
        <f>IF(BD!$E751="","",(E752/(H752*I752)))</f>
        <v>5450</v>
      </c>
      <c r="H752" s="34">
        <v>1</v>
      </c>
      <c r="I752" s="112">
        <v>1</v>
      </c>
    </row>
    <row r="753" spans="1:9" ht="30">
      <c r="A753" s="27">
        <f t="shared" si="6"/>
        <v>309</v>
      </c>
      <c r="B753" s="113" t="s">
        <v>524</v>
      </c>
      <c r="C753" s="53" t="s">
        <v>31</v>
      </c>
      <c r="D753" s="30" t="s">
        <v>64</v>
      </c>
      <c r="E753" s="109">
        <v>5450</v>
      </c>
      <c r="F753" s="110" t="s">
        <v>64</v>
      </c>
      <c r="G753" s="33">
        <f>IF(BD!$E752="","",(E753/(H753*I753)))</f>
        <v>5450</v>
      </c>
      <c r="H753" s="34">
        <v>1</v>
      </c>
      <c r="I753" s="112">
        <v>1</v>
      </c>
    </row>
    <row r="754" spans="1:9" ht="30">
      <c r="A754" s="27">
        <f t="shared" si="6"/>
        <v>310</v>
      </c>
      <c r="B754" s="113" t="s">
        <v>525</v>
      </c>
      <c r="C754" s="53" t="s">
        <v>31</v>
      </c>
      <c r="D754" s="30" t="s">
        <v>64</v>
      </c>
      <c r="E754" s="109">
        <v>5450</v>
      </c>
      <c r="F754" s="110" t="s">
        <v>64</v>
      </c>
      <c r="G754" s="33">
        <f>IF(BD!$E753="","",(E754/(H754*I754)))</f>
        <v>5450</v>
      </c>
      <c r="H754" s="34">
        <v>1</v>
      </c>
      <c r="I754" s="112">
        <v>1</v>
      </c>
    </row>
    <row r="755" spans="1:9" ht="30">
      <c r="A755" s="27">
        <f t="shared" si="6"/>
        <v>311</v>
      </c>
      <c r="B755" s="113" t="s">
        <v>526</v>
      </c>
      <c r="C755" s="53" t="s">
        <v>31</v>
      </c>
      <c r="D755" s="30" t="s">
        <v>64</v>
      </c>
      <c r="E755" s="109">
        <v>5450</v>
      </c>
      <c r="F755" s="110" t="s">
        <v>64</v>
      </c>
      <c r="G755" s="33">
        <f>IF(BD!$E754="","",(E755/(H755*I755)))</f>
        <v>5450</v>
      </c>
      <c r="H755" s="34">
        <v>1</v>
      </c>
      <c r="I755" s="112">
        <v>1</v>
      </c>
    </row>
    <row r="756" spans="1:9">
      <c r="A756" s="27">
        <f t="shared" si="6"/>
        <v>312</v>
      </c>
      <c r="B756" s="28" t="s">
        <v>527</v>
      </c>
      <c r="C756" s="53" t="s">
        <v>31</v>
      </c>
      <c r="D756" s="30" t="s">
        <v>64</v>
      </c>
      <c r="E756" s="31">
        <v>131.97</v>
      </c>
      <c r="F756" s="32" t="s">
        <v>64</v>
      </c>
      <c r="G756" s="33">
        <f>IF(BD!$E755="","",(E756/(H756*I756)))</f>
        <v>131.97</v>
      </c>
      <c r="H756" s="34">
        <v>1</v>
      </c>
      <c r="I756" s="112">
        <v>1</v>
      </c>
    </row>
    <row r="757" spans="1:9">
      <c r="A757" s="27">
        <f t="shared" si="6"/>
        <v>313</v>
      </c>
      <c r="B757" s="28" t="s">
        <v>528</v>
      </c>
      <c r="C757" s="53" t="s">
        <v>31</v>
      </c>
      <c r="D757" s="30" t="s">
        <v>64</v>
      </c>
      <c r="E757" s="31">
        <v>131.97</v>
      </c>
      <c r="F757" s="32" t="s">
        <v>64</v>
      </c>
      <c r="G757" s="33">
        <f>IF(BD!$E756="","",(E757/(H757*I757)))</f>
        <v>131.97</v>
      </c>
      <c r="H757" s="34">
        <v>1</v>
      </c>
      <c r="I757" s="112">
        <v>1</v>
      </c>
    </row>
    <row r="758" spans="1:9">
      <c r="A758" s="27">
        <f t="shared" si="6"/>
        <v>314</v>
      </c>
      <c r="B758" s="114" t="s">
        <v>529</v>
      </c>
      <c r="C758" s="53" t="s">
        <v>31</v>
      </c>
      <c r="D758" s="30" t="s">
        <v>64</v>
      </c>
      <c r="E758" s="31">
        <v>249.9</v>
      </c>
      <c r="F758" s="32" t="s">
        <v>141</v>
      </c>
      <c r="G758" s="33">
        <f>IF(BD!$E757="","",(E758/(H758*I758)))</f>
        <v>249.9</v>
      </c>
      <c r="H758" s="34">
        <v>1</v>
      </c>
      <c r="I758" s="112">
        <v>1</v>
      </c>
    </row>
    <row r="759" spans="1:9">
      <c r="A759" s="27">
        <f t="shared" si="6"/>
        <v>315</v>
      </c>
      <c r="B759" s="28" t="s">
        <v>530</v>
      </c>
      <c r="C759" s="53" t="s">
        <v>31</v>
      </c>
      <c r="D759" s="30" t="s">
        <v>64</v>
      </c>
      <c r="E759" s="31">
        <v>131.97</v>
      </c>
      <c r="F759" s="32" t="s">
        <v>78</v>
      </c>
      <c r="G759" s="33">
        <f>IF(BD!$E758="","",(E759/(H759*I759)))</f>
        <v>131.97</v>
      </c>
      <c r="H759" s="34">
        <v>1</v>
      </c>
      <c r="I759" s="112">
        <v>1</v>
      </c>
    </row>
    <row r="760" spans="1:9">
      <c r="A760" s="27">
        <f t="shared" si="6"/>
        <v>316</v>
      </c>
      <c r="B760" s="28" t="s">
        <v>531</v>
      </c>
      <c r="C760" s="53" t="s">
        <v>31</v>
      </c>
      <c r="D760" s="30" t="s">
        <v>64</v>
      </c>
      <c r="E760" s="31">
        <v>131.97</v>
      </c>
      <c r="F760" s="32" t="s">
        <v>64</v>
      </c>
      <c r="G760" s="33">
        <f>IF(BD!$E759="","",(E760/(H760*I760)))</f>
        <v>131.97</v>
      </c>
      <c r="H760" s="34">
        <v>1</v>
      </c>
      <c r="I760" s="112">
        <v>1</v>
      </c>
    </row>
    <row r="761" spans="1:9">
      <c r="A761" s="27">
        <f t="shared" si="6"/>
        <v>317</v>
      </c>
      <c r="B761" s="28" t="s">
        <v>532</v>
      </c>
      <c r="C761" s="53" t="s">
        <v>31</v>
      </c>
      <c r="D761" s="30" t="s">
        <v>64</v>
      </c>
      <c r="E761" s="109">
        <v>131.97</v>
      </c>
      <c r="F761" s="110" t="s">
        <v>64</v>
      </c>
      <c r="G761" s="33">
        <f>IF(BD!$E760="","",(E761/(H761*I761)))</f>
        <v>131.97</v>
      </c>
      <c r="H761" s="34">
        <v>1</v>
      </c>
      <c r="I761" s="112">
        <v>1</v>
      </c>
    </row>
    <row r="762" spans="1:9">
      <c r="A762" s="27">
        <f t="shared" si="6"/>
        <v>318</v>
      </c>
      <c r="B762" s="28" t="s">
        <v>533</v>
      </c>
      <c r="C762" s="53" t="s">
        <v>31</v>
      </c>
      <c r="D762" s="30" t="s">
        <v>64</v>
      </c>
      <c r="E762" s="31">
        <v>131.97</v>
      </c>
      <c r="F762" s="32" t="s">
        <v>64</v>
      </c>
      <c r="G762" s="33">
        <f>IF(BD!$E761="","",(E762/(H762*I762)))</f>
        <v>131.97</v>
      </c>
      <c r="H762" s="34">
        <v>1</v>
      </c>
      <c r="I762" s="112">
        <v>1</v>
      </c>
    </row>
    <row r="763" spans="1:9">
      <c r="A763" s="27">
        <f t="shared" si="6"/>
        <v>319</v>
      </c>
      <c r="B763" s="28" t="s">
        <v>534</v>
      </c>
      <c r="C763" s="53" t="s">
        <v>31</v>
      </c>
      <c r="D763" s="30" t="s">
        <v>64</v>
      </c>
      <c r="E763" s="31">
        <v>131.97</v>
      </c>
      <c r="F763" s="32" t="s">
        <v>64</v>
      </c>
      <c r="G763" s="33">
        <f>IF(BD!$E762="","",(E763/(H763*I763)))</f>
        <v>131.97</v>
      </c>
      <c r="H763" s="34">
        <v>1</v>
      </c>
      <c r="I763" s="112">
        <v>1</v>
      </c>
    </row>
    <row r="764" spans="1:9">
      <c r="A764" s="27">
        <f t="shared" si="6"/>
        <v>320</v>
      </c>
      <c r="B764" s="28" t="s">
        <v>535</v>
      </c>
      <c r="C764" s="53" t="s">
        <v>31</v>
      </c>
      <c r="D764" s="30" t="s">
        <v>64</v>
      </c>
      <c r="E764" s="31">
        <v>131.97</v>
      </c>
      <c r="F764" s="32" t="s">
        <v>64</v>
      </c>
      <c r="G764" s="33">
        <f>IF(BD!$E763="","",(E764/(H764*I764)))</f>
        <v>131.97</v>
      </c>
      <c r="H764" s="34">
        <v>1</v>
      </c>
      <c r="I764" s="112">
        <v>1</v>
      </c>
    </row>
    <row r="765" spans="1:9">
      <c r="A765" s="27">
        <f t="shared" si="6"/>
        <v>321</v>
      </c>
      <c r="B765" s="28" t="s">
        <v>536</v>
      </c>
      <c r="C765" s="53" t="s">
        <v>31</v>
      </c>
      <c r="D765" s="30" t="s">
        <v>64</v>
      </c>
      <c r="E765" s="31">
        <v>131.97</v>
      </c>
      <c r="F765" s="32" t="s">
        <v>64</v>
      </c>
      <c r="G765" s="33">
        <f>IF(BD!$E764="","",(E765/(H765*I765)))</f>
        <v>131.97</v>
      </c>
      <c r="H765" s="34">
        <v>1</v>
      </c>
      <c r="I765" s="112">
        <v>1</v>
      </c>
    </row>
    <row r="766" spans="1:9">
      <c r="A766" s="27">
        <f t="shared" ref="A766:A829" si="7">A765+1</f>
        <v>322</v>
      </c>
      <c r="B766" s="28" t="s">
        <v>537</v>
      </c>
      <c r="C766" s="53" t="s">
        <v>31</v>
      </c>
      <c r="D766" s="30" t="s">
        <v>64</v>
      </c>
      <c r="E766" s="31">
        <v>131.97</v>
      </c>
      <c r="F766" s="32" t="s">
        <v>64</v>
      </c>
      <c r="G766" s="33">
        <f>IF(BD!$E765="","",(E766/(H766*I766)))</f>
        <v>131.97</v>
      </c>
      <c r="H766" s="34">
        <v>1</v>
      </c>
      <c r="I766" s="112">
        <v>1</v>
      </c>
    </row>
    <row r="767" spans="1:9">
      <c r="A767" s="27">
        <f t="shared" si="7"/>
        <v>323</v>
      </c>
      <c r="B767" s="28" t="s">
        <v>538</v>
      </c>
      <c r="C767" s="53" t="s">
        <v>31</v>
      </c>
      <c r="D767" s="30" t="s">
        <v>64</v>
      </c>
      <c r="E767" s="31">
        <v>131.97</v>
      </c>
      <c r="F767" s="32" t="s">
        <v>64</v>
      </c>
      <c r="G767" s="33">
        <f>IF(BD!$E766="","",(E767/(H767*I767)))</f>
        <v>131.97</v>
      </c>
      <c r="H767" s="34">
        <v>1</v>
      </c>
      <c r="I767" s="112">
        <v>1</v>
      </c>
    </row>
    <row r="768" spans="1:9">
      <c r="A768" s="27">
        <f t="shared" si="7"/>
        <v>324</v>
      </c>
      <c r="B768" s="28" t="s">
        <v>539</v>
      </c>
      <c r="C768" s="53" t="s">
        <v>31</v>
      </c>
      <c r="D768" s="30" t="s">
        <v>64</v>
      </c>
      <c r="E768" s="31">
        <v>131.97</v>
      </c>
      <c r="F768" s="110" t="s">
        <v>64</v>
      </c>
      <c r="G768" s="33">
        <f>IF(BD!$E767="","",(E768/(H768*I768)))</f>
        <v>131.97</v>
      </c>
      <c r="H768" s="34">
        <v>1</v>
      </c>
      <c r="I768" s="112">
        <v>1</v>
      </c>
    </row>
    <row r="769" spans="1:9">
      <c r="A769" s="27">
        <f t="shared" si="7"/>
        <v>325</v>
      </c>
      <c r="B769" s="28" t="s">
        <v>540</v>
      </c>
      <c r="C769" s="53" t="s">
        <v>31</v>
      </c>
      <c r="D769" s="30" t="s">
        <v>64</v>
      </c>
      <c r="E769" s="31">
        <v>131.97</v>
      </c>
      <c r="F769" s="32" t="s">
        <v>64</v>
      </c>
      <c r="G769" s="33">
        <f>IF(BD!$E768="","",(E769/(H769*I769)))</f>
        <v>131.97</v>
      </c>
      <c r="H769" s="34">
        <v>1</v>
      </c>
      <c r="I769" s="112">
        <v>1</v>
      </c>
    </row>
    <row r="770" spans="1:9">
      <c r="A770" s="27">
        <f t="shared" si="7"/>
        <v>326</v>
      </c>
      <c r="B770" s="28" t="s">
        <v>541</v>
      </c>
      <c r="C770" s="53" t="s">
        <v>31</v>
      </c>
      <c r="D770" s="30" t="s">
        <v>64</v>
      </c>
      <c r="E770" s="31">
        <v>131.97</v>
      </c>
      <c r="F770" s="32" t="s">
        <v>64</v>
      </c>
      <c r="G770" s="33">
        <f>IF(BD!$E769="","",(E770/(H770*I770)))</f>
        <v>131.97</v>
      </c>
      <c r="H770" s="34">
        <v>1</v>
      </c>
      <c r="I770" s="112">
        <v>1</v>
      </c>
    </row>
    <row r="771" spans="1:9">
      <c r="A771" s="27">
        <f t="shared" si="7"/>
        <v>327</v>
      </c>
      <c r="B771" s="28" t="s">
        <v>542</v>
      </c>
      <c r="C771" s="53" t="s">
        <v>31</v>
      </c>
      <c r="D771" s="30" t="s">
        <v>64</v>
      </c>
      <c r="E771" s="31">
        <v>131.97</v>
      </c>
      <c r="F771" s="32" t="s">
        <v>64</v>
      </c>
      <c r="G771" s="33">
        <f>IF(BD!$E770="","",(E771/(H771*I771)))</f>
        <v>131.97</v>
      </c>
      <c r="H771" s="34">
        <v>1</v>
      </c>
      <c r="I771" s="112">
        <v>1</v>
      </c>
    </row>
    <row r="772" spans="1:9">
      <c r="A772" s="27">
        <f t="shared" si="7"/>
        <v>328</v>
      </c>
      <c r="B772" s="28" t="s">
        <v>543</v>
      </c>
      <c r="C772" s="53" t="s">
        <v>31</v>
      </c>
      <c r="D772" s="30" t="s">
        <v>64</v>
      </c>
      <c r="E772" s="109">
        <v>131.97</v>
      </c>
      <c r="F772" s="110" t="s">
        <v>64</v>
      </c>
      <c r="G772" s="33">
        <f>IF(BD!$E771="","",(E772/(H772*I772)))</f>
        <v>131.97</v>
      </c>
      <c r="H772" s="34">
        <v>1</v>
      </c>
      <c r="I772" s="112">
        <v>1</v>
      </c>
    </row>
    <row r="773" spans="1:9">
      <c r="A773" s="27">
        <f t="shared" si="7"/>
        <v>329</v>
      </c>
      <c r="B773" s="28" t="s">
        <v>544</v>
      </c>
      <c r="C773" s="53" t="s">
        <v>31</v>
      </c>
      <c r="D773" s="30" t="s">
        <v>64</v>
      </c>
      <c r="E773" s="31">
        <v>131.97</v>
      </c>
      <c r="F773" s="32" t="s">
        <v>64</v>
      </c>
      <c r="G773" s="33">
        <f>IF(BD!$E772="","",(E773/(H773*I773)))</f>
        <v>131.97</v>
      </c>
      <c r="H773" s="34">
        <v>1</v>
      </c>
      <c r="I773" s="112">
        <v>1</v>
      </c>
    </row>
    <row r="774" spans="1:9">
      <c r="A774" s="27">
        <f t="shared" si="7"/>
        <v>330</v>
      </c>
      <c r="B774" s="28" t="s">
        <v>545</v>
      </c>
      <c r="C774" s="53" t="s">
        <v>31</v>
      </c>
      <c r="D774" s="30" t="s">
        <v>64</v>
      </c>
      <c r="E774" s="31">
        <v>131.97</v>
      </c>
      <c r="F774" s="32" t="s">
        <v>64</v>
      </c>
      <c r="G774" s="33">
        <f>IF(BD!$E773="","",(E774/(H774*I774)))</f>
        <v>131.97</v>
      </c>
      <c r="H774" s="34">
        <v>1</v>
      </c>
      <c r="I774" s="112">
        <v>1</v>
      </c>
    </row>
    <row r="775" spans="1:9">
      <c r="A775" s="27">
        <f t="shared" si="7"/>
        <v>331</v>
      </c>
      <c r="B775" s="28" t="s">
        <v>546</v>
      </c>
      <c r="C775" s="53" t="s">
        <v>31</v>
      </c>
      <c r="D775" s="30" t="s">
        <v>64</v>
      </c>
      <c r="E775" s="31">
        <v>131.97</v>
      </c>
      <c r="F775" s="32" t="s">
        <v>64</v>
      </c>
      <c r="G775" s="33">
        <f>IF(BD!$E774="","",(E775/(H775*I775)))</f>
        <v>131.97</v>
      </c>
      <c r="H775" s="34">
        <v>1</v>
      </c>
      <c r="I775" s="112">
        <v>1</v>
      </c>
    </row>
    <row r="776" spans="1:9">
      <c r="A776" s="27">
        <f t="shared" si="7"/>
        <v>332</v>
      </c>
      <c r="B776" s="28" t="s">
        <v>547</v>
      </c>
      <c r="C776" s="53" t="s">
        <v>31</v>
      </c>
      <c r="D776" s="30" t="s">
        <v>64</v>
      </c>
      <c r="E776" s="31">
        <v>131.97</v>
      </c>
      <c r="F776" s="32" t="s">
        <v>64</v>
      </c>
      <c r="G776" s="33">
        <f>IF(BD!$E775="","",(E776/(H776*I776)))</f>
        <v>131.97</v>
      </c>
      <c r="H776" s="34">
        <v>1</v>
      </c>
      <c r="I776" s="112">
        <v>1</v>
      </c>
    </row>
    <row r="777" spans="1:9">
      <c r="A777" s="27">
        <f t="shared" si="7"/>
        <v>333</v>
      </c>
      <c r="B777" s="28" t="s">
        <v>548</v>
      </c>
      <c r="C777" s="53" t="s">
        <v>31</v>
      </c>
      <c r="D777" s="30" t="s">
        <v>64</v>
      </c>
      <c r="E777" s="109">
        <v>131.97</v>
      </c>
      <c r="F777" s="110" t="s">
        <v>64</v>
      </c>
      <c r="G777" s="33">
        <f>IF(BD!$E776="","",(E777/(H777*I777)))</f>
        <v>131.97</v>
      </c>
      <c r="H777" s="34">
        <v>1</v>
      </c>
      <c r="I777" s="112">
        <v>1</v>
      </c>
    </row>
    <row r="778" spans="1:9" ht="30">
      <c r="A778" s="27">
        <f t="shared" si="7"/>
        <v>334</v>
      </c>
      <c r="B778" s="113" t="s">
        <v>549</v>
      </c>
      <c r="C778" s="53" t="s">
        <v>31</v>
      </c>
      <c r="D778" s="30" t="s">
        <v>64</v>
      </c>
      <c r="E778" s="109">
        <v>6957.93</v>
      </c>
      <c r="F778" s="110" t="s">
        <v>64</v>
      </c>
      <c r="G778" s="33">
        <f>IF(BD!$E777="","",(E778/(H778*I778)))</f>
        <v>6957.93</v>
      </c>
      <c r="H778" s="34">
        <v>1</v>
      </c>
      <c r="I778" s="112">
        <v>1</v>
      </c>
    </row>
    <row r="779" spans="1:9">
      <c r="A779" s="27">
        <f t="shared" si="7"/>
        <v>335</v>
      </c>
      <c r="B779" s="113" t="s">
        <v>550</v>
      </c>
      <c r="C779" s="53" t="s">
        <v>31</v>
      </c>
      <c r="D779" s="30" t="s">
        <v>64</v>
      </c>
      <c r="E779" s="109">
        <v>2563</v>
      </c>
      <c r="F779" s="110" t="s">
        <v>64</v>
      </c>
      <c r="G779" s="33">
        <f>IF(BD!$E778="","",(E779/(H779*I779)))</f>
        <v>2563</v>
      </c>
      <c r="H779" s="34">
        <v>1</v>
      </c>
      <c r="I779" s="112">
        <v>1</v>
      </c>
    </row>
    <row r="780" spans="1:9">
      <c r="A780" s="27">
        <f t="shared" si="7"/>
        <v>336</v>
      </c>
      <c r="B780" s="113" t="s">
        <v>551</v>
      </c>
      <c r="C780" s="53" t="s">
        <v>31</v>
      </c>
      <c r="D780" s="30" t="s">
        <v>64</v>
      </c>
      <c r="E780" s="109">
        <v>2563</v>
      </c>
      <c r="F780" s="110" t="s">
        <v>64</v>
      </c>
      <c r="G780" s="33">
        <f>IF(BD!$E779="","",(E780/(H780*I780)))</f>
        <v>2563</v>
      </c>
      <c r="H780" s="34">
        <v>1</v>
      </c>
      <c r="I780" s="112">
        <v>1</v>
      </c>
    </row>
    <row r="781" spans="1:9" ht="30">
      <c r="A781" s="27">
        <f t="shared" si="7"/>
        <v>337</v>
      </c>
      <c r="B781" s="113" t="s">
        <v>552</v>
      </c>
      <c r="C781" s="53" t="s">
        <v>31</v>
      </c>
      <c r="D781" s="30" t="s">
        <v>64</v>
      </c>
      <c r="E781" s="109">
        <v>2563</v>
      </c>
      <c r="F781" s="110" t="s">
        <v>64</v>
      </c>
      <c r="G781" s="33">
        <f>IF(BD!$E780="","",(E781/(H781*I781)))</f>
        <v>2563</v>
      </c>
      <c r="H781" s="34">
        <v>1</v>
      </c>
      <c r="I781" s="112">
        <v>1</v>
      </c>
    </row>
    <row r="782" spans="1:9">
      <c r="A782" s="27">
        <f t="shared" si="7"/>
        <v>338</v>
      </c>
      <c r="B782" s="113" t="s">
        <v>553</v>
      </c>
      <c r="C782" s="53" t="s">
        <v>31</v>
      </c>
      <c r="D782" s="30" t="s">
        <v>64</v>
      </c>
      <c r="E782" s="109">
        <v>2563</v>
      </c>
      <c r="F782" s="110" t="s">
        <v>64</v>
      </c>
      <c r="G782" s="33">
        <f>IF(BD!$E781="","",(E782/(H782*I782)))</f>
        <v>2563</v>
      </c>
      <c r="H782" s="34">
        <v>1</v>
      </c>
      <c r="I782" s="112">
        <v>1</v>
      </c>
    </row>
    <row r="783" spans="1:9" ht="30">
      <c r="A783" s="27">
        <f t="shared" si="7"/>
        <v>339</v>
      </c>
      <c r="B783" s="113" t="s">
        <v>554</v>
      </c>
      <c r="C783" s="53" t="s">
        <v>31</v>
      </c>
      <c r="D783" s="30" t="s">
        <v>64</v>
      </c>
      <c r="E783" s="109">
        <v>2885.5</v>
      </c>
      <c r="F783" s="110" t="s">
        <v>64</v>
      </c>
      <c r="G783" s="33">
        <f>IF(BD!$E782="","",(E783/(H783*I783)))</f>
        <v>2885.5</v>
      </c>
      <c r="H783" s="34">
        <v>1</v>
      </c>
      <c r="I783" s="112">
        <v>1</v>
      </c>
    </row>
    <row r="784" spans="1:9" ht="30">
      <c r="A784" s="27">
        <f t="shared" si="7"/>
        <v>340</v>
      </c>
      <c r="B784" s="113" t="s">
        <v>555</v>
      </c>
      <c r="C784" s="53" t="s">
        <v>31</v>
      </c>
      <c r="D784" s="30" t="s">
        <v>64</v>
      </c>
      <c r="E784" s="109">
        <v>2885.5</v>
      </c>
      <c r="F784" s="110" t="s">
        <v>64</v>
      </c>
      <c r="G784" s="33">
        <f>IF(BD!$E783="","",(E784/(H784*I784)))</f>
        <v>2885.5</v>
      </c>
      <c r="H784" s="34">
        <v>1</v>
      </c>
      <c r="I784" s="112">
        <v>1</v>
      </c>
    </row>
    <row r="785" spans="1:9" ht="30">
      <c r="A785" s="27">
        <f t="shared" si="7"/>
        <v>341</v>
      </c>
      <c r="B785" s="113" t="s">
        <v>556</v>
      </c>
      <c r="C785" s="53" t="s">
        <v>31</v>
      </c>
      <c r="D785" s="30" t="s">
        <v>64</v>
      </c>
      <c r="E785" s="109">
        <v>2885.5</v>
      </c>
      <c r="F785" s="110" t="s">
        <v>64</v>
      </c>
      <c r="G785" s="33">
        <f>IF(BD!$E784="","",(E785/(H785*I785)))</f>
        <v>2885.5</v>
      </c>
      <c r="H785" s="34">
        <v>1</v>
      </c>
      <c r="I785" s="112">
        <v>1</v>
      </c>
    </row>
    <row r="786" spans="1:9" ht="30">
      <c r="A786" s="27">
        <f t="shared" si="7"/>
        <v>342</v>
      </c>
      <c r="B786" s="113" t="s">
        <v>557</v>
      </c>
      <c r="C786" s="53" t="s">
        <v>31</v>
      </c>
      <c r="D786" s="30" t="s">
        <v>64</v>
      </c>
      <c r="E786" s="109">
        <v>2885.5</v>
      </c>
      <c r="F786" s="110" t="s">
        <v>64</v>
      </c>
      <c r="G786" s="33">
        <f>IF(BD!$E785="","",(E786/(H786*I786)))</f>
        <v>2885.5</v>
      </c>
      <c r="H786" s="34">
        <v>1</v>
      </c>
      <c r="I786" s="112">
        <v>1</v>
      </c>
    </row>
    <row r="787" spans="1:9" ht="30">
      <c r="A787" s="27">
        <f t="shared" si="7"/>
        <v>343</v>
      </c>
      <c r="B787" s="113" t="s">
        <v>558</v>
      </c>
      <c r="C787" s="53" t="s">
        <v>31</v>
      </c>
      <c r="D787" s="30" t="s">
        <v>64</v>
      </c>
      <c r="E787" s="109">
        <v>2885.5</v>
      </c>
      <c r="F787" s="110" t="s">
        <v>64</v>
      </c>
      <c r="G787" s="33">
        <f>IF(BD!$E786="","",(E787/(H787*I787)))</f>
        <v>2885.5</v>
      </c>
      <c r="H787" s="34">
        <v>1</v>
      </c>
      <c r="I787" s="112">
        <v>1</v>
      </c>
    </row>
    <row r="788" spans="1:9" ht="30">
      <c r="A788" s="27">
        <f t="shared" si="7"/>
        <v>344</v>
      </c>
      <c r="B788" s="113" t="s">
        <v>559</v>
      </c>
      <c r="C788" s="53" t="s">
        <v>31</v>
      </c>
      <c r="D788" s="30" t="s">
        <v>64</v>
      </c>
      <c r="E788" s="109">
        <v>2885.5</v>
      </c>
      <c r="F788" s="110" t="s">
        <v>64</v>
      </c>
      <c r="G788" s="33">
        <f>IF(BD!$E787="","",(E788/(H788*I788)))</f>
        <v>2885.5</v>
      </c>
      <c r="H788" s="34">
        <v>1</v>
      </c>
      <c r="I788" s="112">
        <v>1</v>
      </c>
    </row>
    <row r="789" spans="1:9" ht="30">
      <c r="A789" s="27">
        <f t="shared" si="7"/>
        <v>345</v>
      </c>
      <c r="B789" s="113" t="s">
        <v>560</v>
      </c>
      <c r="C789" s="53" t="s">
        <v>31</v>
      </c>
      <c r="D789" s="30" t="s">
        <v>64</v>
      </c>
      <c r="E789" s="109">
        <v>2885.5</v>
      </c>
      <c r="F789" s="110" t="s">
        <v>64</v>
      </c>
      <c r="G789" s="33">
        <f>IF(BD!$E788="","",(E789/(H789*I789)))</f>
        <v>2885.5</v>
      </c>
      <c r="H789" s="34">
        <v>1</v>
      </c>
      <c r="I789" s="112">
        <v>1</v>
      </c>
    </row>
    <row r="790" spans="1:9" ht="30">
      <c r="A790" s="27">
        <f t="shared" si="7"/>
        <v>346</v>
      </c>
      <c r="B790" s="113" t="s">
        <v>561</v>
      </c>
      <c r="C790" s="53" t="s">
        <v>31</v>
      </c>
      <c r="D790" s="30" t="s">
        <v>64</v>
      </c>
      <c r="E790" s="109">
        <v>2885.5</v>
      </c>
      <c r="F790" s="110" t="s">
        <v>64</v>
      </c>
      <c r="G790" s="33">
        <f>IF(BD!$E789="","",(E790/(H790*I790)))</f>
        <v>2885.5</v>
      </c>
      <c r="H790" s="34">
        <v>1</v>
      </c>
      <c r="I790" s="112">
        <v>1</v>
      </c>
    </row>
    <row r="791" spans="1:9" ht="30">
      <c r="A791" s="27">
        <f t="shared" si="7"/>
        <v>347</v>
      </c>
      <c r="B791" s="113" t="s">
        <v>562</v>
      </c>
      <c r="C791" s="53" t="s">
        <v>31</v>
      </c>
      <c r="D791" s="30" t="s">
        <v>64</v>
      </c>
      <c r="E791" s="109">
        <v>2785.5</v>
      </c>
      <c r="F791" s="110" t="s">
        <v>64</v>
      </c>
      <c r="G791" s="33">
        <f>IF(BD!$E790="","",(E791/(H791*I791)))</f>
        <v>2785.5</v>
      </c>
      <c r="H791" s="34">
        <v>1</v>
      </c>
      <c r="I791" s="112">
        <v>1</v>
      </c>
    </row>
    <row r="792" spans="1:9" ht="30">
      <c r="A792" s="27">
        <f t="shared" si="7"/>
        <v>348</v>
      </c>
      <c r="B792" s="113" t="s">
        <v>563</v>
      </c>
      <c r="C792" s="53" t="s">
        <v>31</v>
      </c>
      <c r="D792" s="30" t="s">
        <v>64</v>
      </c>
      <c r="E792" s="109">
        <v>2785.5</v>
      </c>
      <c r="F792" s="110" t="s">
        <v>64</v>
      </c>
      <c r="G792" s="33">
        <f>IF(BD!$E791="","",(E792/(H792*I792)))</f>
        <v>2785.5</v>
      </c>
      <c r="H792" s="34">
        <v>1</v>
      </c>
      <c r="I792" s="112">
        <v>1</v>
      </c>
    </row>
    <row r="793" spans="1:9" ht="30">
      <c r="A793" s="27">
        <f t="shared" si="7"/>
        <v>349</v>
      </c>
      <c r="B793" s="113" t="s">
        <v>564</v>
      </c>
      <c r="C793" s="53" t="s">
        <v>31</v>
      </c>
      <c r="D793" s="30" t="s">
        <v>64</v>
      </c>
      <c r="E793" s="109">
        <v>1</v>
      </c>
      <c r="F793" s="110" t="s">
        <v>64</v>
      </c>
      <c r="G793" s="33">
        <f>IF(BD!$E792="","",(E793/(H793*I793)))</f>
        <v>1</v>
      </c>
      <c r="H793" s="34">
        <v>1</v>
      </c>
      <c r="I793" s="112">
        <v>1</v>
      </c>
    </row>
    <row r="794" spans="1:9" ht="30">
      <c r="A794" s="27">
        <f t="shared" si="7"/>
        <v>350</v>
      </c>
      <c r="B794" s="113" t="s">
        <v>565</v>
      </c>
      <c r="C794" s="53" t="s">
        <v>31</v>
      </c>
      <c r="D794" s="30" t="s">
        <v>64</v>
      </c>
      <c r="E794" s="109">
        <v>1200</v>
      </c>
      <c r="F794" s="110" t="s">
        <v>64</v>
      </c>
      <c r="G794" s="33">
        <f>IF(BD!$E793="","",(E794/(H794*I794)))</f>
        <v>1200</v>
      </c>
      <c r="H794" s="34">
        <v>1</v>
      </c>
      <c r="I794" s="112">
        <v>1</v>
      </c>
    </row>
    <row r="795" spans="1:9" ht="30">
      <c r="A795" s="27">
        <f t="shared" si="7"/>
        <v>351</v>
      </c>
      <c r="B795" s="113" t="s">
        <v>566</v>
      </c>
      <c r="C795" s="53" t="s">
        <v>31</v>
      </c>
      <c r="D795" s="30" t="s">
        <v>64</v>
      </c>
      <c r="E795" s="109">
        <v>1200</v>
      </c>
      <c r="F795" s="110" t="s">
        <v>64</v>
      </c>
      <c r="G795" s="33">
        <f>IF(BD!$E794="","",(E795/(H795*I795)))</f>
        <v>1200</v>
      </c>
      <c r="H795" s="34">
        <v>1</v>
      </c>
      <c r="I795" s="112">
        <v>1</v>
      </c>
    </row>
    <row r="796" spans="1:9">
      <c r="A796" s="27">
        <f t="shared" si="7"/>
        <v>352</v>
      </c>
      <c r="B796" s="113" t="s">
        <v>567</v>
      </c>
      <c r="C796" s="53" t="s">
        <v>31</v>
      </c>
      <c r="D796" s="30" t="s">
        <v>64</v>
      </c>
      <c r="E796" s="109">
        <v>1200</v>
      </c>
      <c r="F796" s="110" t="s">
        <v>64</v>
      </c>
      <c r="G796" s="33">
        <f>IF(BD!$E795="","",(E796/(H796*I796)))</f>
        <v>1200</v>
      </c>
      <c r="H796" s="34">
        <v>1</v>
      </c>
      <c r="I796" s="112">
        <v>1</v>
      </c>
    </row>
    <row r="797" spans="1:9">
      <c r="A797" s="27">
        <f t="shared" si="7"/>
        <v>353</v>
      </c>
      <c r="B797" s="113" t="s">
        <v>568</v>
      </c>
      <c r="C797" s="53" t="s">
        <v>31</v>
      </c>
      <c r="D797" s="30" t="s">
        <v>64</v>
      </c>
      <c r="E797" s="109">
        <v>500</v>
      </c>
      <c r="F797" s="110" t="s">
        <v>64</v>
      </c>
      <c r="G797" s="33">
        <f>IF(BD!$E796="","",(E797/(H797*I797)))</f>
        <v>500</v>
      </c>
      <c r="H797" s="34">
        <v>1</v>
      </c>
      <c r="I797" s="112">
        <v>1</v>
      </c>
    </row>
    <row r="798" spans="1:9">
      <c r="A798" s="27">
        <f t="shared" si="7"/>
        <v>354</v>
      </c>
      <c r="B798" s="113" t="s">
        <v>569</v>
      </c>
      <c r="C798" s="53" t="s">
        <v>31</v>
      </c>
      <c r="D798" s="30" t="s">
        <v>64</v>
      </c>
      <c r="E798" s="109">
        <v>500</v>
      </c>
      <c r="F798" s="110" t="s">
        <v>64</v>
      </c>
      <c r="G798" s="33">
        <f>IF(BD!$E797="","",(E798/(H798*I798)))</f>
        <v>500</v>
      </c>
      <c r="H798" s="34">
        <v>1</v>
      </c>
      <c r="I798" s="112">
        <v>1</v>
      </c>
    </row>
    <row r="799" spans="1:9">
      <c r="A799" s="27">
        <f t="shared" si="7"/>
        <v>355</v>
      </c>
      <c r="B799" s="113" t="s">
        <v>570</v>
      </c>
      <c r="C799" s="53" t="s">
        <v>31</v>
      </c>
      <c r="D799" s="30" t="s">
        <v>64</v>
      </c>
      <c r="E799" s="109">
        <v>500</v>
      </c>
      <c r="F799" s="110" t="s">
        <v>64</v>
      </c>
      <c r="G799" s="33">
        <f>IF(BD!$E798="","",(E799/(H799*I799)))</f>
        <v>500</v>
      </c>
      <c r="H799" s="34">
        <v>1</v>
      </c>
      <c r="I799" s="112">
        <v>1</v>
      </c>
    </row>
    <row r="800" spans="1:9">
      <c r="A800" s="27">
        <f t="shared" si="7"/>
        <v>356</v>
      </c>
      <c r="B800" s="113" t="s">
        <v>571</v>
      </c>
      <c r="C800" s="53" t="s">
        <v>31</v>
      </c>
      <c r="D800" s="30" t="s">
        <v>64</v>
      </c>
      <c r="E800" s="109">
        <v>500</v>
      </c>
      <c r="F800" s="110" t="s">
        <v>64</v>
      </c>
      <c r="G800" s="33">
        <f>IF(BD!$E799="","",(E800/(H800*I800)))</f>
        <v>500</v>
      </c>
      <c r="H800" s="34">
        <v>1</v>
      </c>
      <c r="I800" s="112">
        <v>1</v>
      </c>
    </row>
    <row r="801" spans="1:9">
      <c r="A801" s="27">
        <f t="shared" si="7"/>
        <v>357</v>
      </c>
      <c r="B801" s="113" t="s">
        <v>572</v>
      </c>
      <c r="C801" s="53" t="s">
        <v>31</v>
      </c>
      <c r="D801" s="30" t="s">
        <v>64</v>
      </c>
      <c r="E801" s="109">
        <v>500</v>
      </c>
      <c r="F801" s="110" t="s">
        <v>64</v>
      </c>
      <c r="G801" s="33">
        <f>IF(BD!$E800="","",(E801/(H801*I801)))</f>
        <v>500</v>
      </c>
      <c r="H801" s="34">
        <v>1</v>
      </c>
      <c r="I801" s="112">
        <v>1</v>
      </c>
    </row>
    <row r="802" spans="1:9">
      <c r="A802" s="27">
        <f t="shared" si="7"/>
        <v>358</v>
      </c>
      <c r="B802" s="113" t="s">
        <v>573</v>
      </c>
      <c r="C802" s="53" t="s">
        <v>31</v>
      </c>
      <c r="D802" s="30" t="s">
        <v>64</v>
      </c>
      <c r="E802" s="109">
        <v>114.24</v>
      </c>
      <c r="F802" s="110" t="s">
        <v>64</v>
      </c>
      <c r="G802" s="33">
        <f>IF(BD!$E801="","",(E802/(H802*I802)))</f>
        <v>114.24</v>
      </c>
      <c r="H802" s="34">
        <v>1</v>
      </c>
      <c r="I802" s="112">
        <v>1</v>
      </c>
    </row>
    <row r="803" spans="1:9">
      <c r="A803" s="27">
        <f t="shared" si="7"/>
        <v>359</v>
      </c>
      <c r="B803" s="113" t="s">
        <v>574</v>
      </c>
      <c r="C803" s="53" t="s">
        <v>31</v>
      </c>
      <c r="D803" s="30" t="s">
        <v>64</v>
      </c>
      <c r="E803" s="109">
        <v>114.24</v>
      </c>
      <c r="F803" s="110" t="s">
        <v>64</v>
      </c>
      <c r="G803" s="33">
        <f>IF(BD!$E802="","",(E803/(H803*I803)))</f>
        <v>114.24</v>
      </c>
      <c r="H803" s="34">
        <v>1</v>
      </c>
      <c r="I803" s="112">
        <v>1</v>
      </c>
    </row>
    <row r="804" spans="1:9">
      <c r="A804" s="27">
        <f t="shared" si="7"/>
        <v>360</v>
      </c>
      <c r="B804" s="113" t="s">
        <v>575</v>
      </c>
      <c r="C804" s="53" t="s">
        <v>31</v>
      </c>
      <c r="D804" s="30" t="s">
        <v>64</v>
      </c>
      <c r="E804" s="109">
        <v>114.24</v>
      </c>
      <c r="F804" s="110" t="s">
        <v>64</v>
      </c>
      <c r="G804" s="33">
        <f>IF(BD!$E803="","",(E804/(H804*I804)))</f>
        <v>114.24</v>
      </c>
      <c r="H804" s="34">
        <v>1</v>
      </c>
      <c r="I804" s="112">
        <v>1</v>
      </c>
    </row>
    <row r="805" spans="1:9">
      <c r="A805" s="27">
        <f t="shared" si="7"/>
        <v>361</v>
      </c>
      <c r="B805" s="113" t="s">
        <v>576</v>
      </c>
      <c r="C805" s="53" t="s">
        <v>31</v>
      </c>
      <c r="D805" s="30" t="s">
        <v>64</v>
      </c>
      <c r="E805" s="109">
        <v>114.24</v>
      </c>
      <c r="F805" s="110" t="s">
        <v>64</v>
      </c>
      <c r="G805" s="33">
        <f>IF(BD!$E804="","",(E805/(H805*I805)))</f>
        <v>114.24</v>
      </c>
      <c r="H805" s="34">
        <v>1</v>
      </c>
      <c r="I805" s="112">
        <v>1</v>
      </c>
    </row>
    <row r="806" spans="1:9">
      <c r="A806" s="27">
        <f t="shared" si="7"/>
        <v>362</v>
      </c>
      <c r="B806" s="113" t="s">
        <v>577</v>
      </c>
      <c r="C806" s="53" t="s">
        <v>31</v>
      </c>
      <c r="D806" s="30" t="s">
        <v>64</v>
      </c>
      <c r="E806" s="109">
        <v>114.24</v>
      </c>
      <c r="F806" s="110" t="s">
        <v>64</v>
      </c>
      <c r="G806" s="33">
        <f>IF(BD!$E805="","",(E806/(H806*I806)))</f>
        <v>114.24</v>
      </c>
      <c r="H806" s="34">
        <v>1</v>
      </c>
      <c r="I806" s="112">
        <v>1</v>
      </c>
    </row>
    <row r="807" spans="1:9">
      <c r="A807" s="27">
        <f t="shared" si="7"/>
        <v>363</v>
      </c>
      <c r="B807" s="113" t="s">
        <v>578</v>
      </c>
      <c r="C807" s="53" t="s">
        <v>31</v>
      </c>
      <c r="D807" s="30" t="s">
        <v>64</v>
      </c>
      <c r="E807" s="109">
        <v>114.24</v>
      </c>
      <c r="F807" s="110" t="s">
        <v>64</v>
      </c>
      <c r="G807" s="33">
        <f>IF(BD!$E806="","",(E807/(H807*I807)))</f>
        <v>114.24</v>
      </c>
      <c r="H807" s="34">
        <v>1</v>
      </c>
      <c r="I807" s="112">
        <v>1</v>
      </c>
    </row>
    <row r="808" spans="1:9">
      <c r="A808" s="27">
        <f t="shared" si="7"/>
        <v>364</v>
      </c>
      <c r="B808" s="113" t="s">
        <v>579</v>
      </c>
      <c r="C808" s="53" t="s">
        <v>31</v>
      </c>
      <c r="D808" s="30" t="s">
        <v>64</v>
      </c>
      <c r="E808" s="109">
        <v>114.24</v>
      </c>
      <c r="F808" s="110" t="s">
        <v>64</v>
      </c>
      <c r="G808" s="33">
        <f>IF(BD!$E807="","",(E808/(H808*I808)))</f>
        <v>114.24</v>
      </c>
      <c r="H808" s="34">
        <v>1</v>
      </c>
      <c r="I808" s="112">
        <v>1</v>
      </c>
    </row>
    <row r="809" spans="1:9">
      <c r="A809" s="27">
        <f t="shared" si="7"/>
        <v>365</v>
      </c>
      <c r="B809" s="113" t="s">
        <v>580</v>
      </c>
      <c r="C809" s="53" t="s">
        <v>31</v>
      </c>
      <c r="D809" s="30" t="s">
        <v>64</v>
      </c>
      <c r="E809" s="109">
        <v>114.24</v>
      </c>
      <c r="F809" s="110" t="s">
        <v>64</v>
      </c>
      <c r="G809" s="33">
        <f>IF(BD!$E808="","",(E809/(H809*I809)))</f>
        <v>114.24</v>
      </c>
      <c r="H809" s="34">
        <v>1</v>
      </c>
      <c r="I809" s="112">
        <v>1</v>
      </c>
    </row>
    <row r="810" spans="1:9">
      <c r="A810" s="27">
        <f t="shared" si="7"/>
        <v>366</v>
      </c>
      <c r="B810" s="113" t="s">
        <v>581</v>
      </c>
      <c r="C810" s="53" t="s">
        <v>31</v>
      </c>
      <c r="D810" s="30" t="s">
        <v>64</v>
      </c>
      <c r="E810" s="109">
        <v>114.24</v>
      </c>
      <c r="F810" s="110" t="s">
        <v>64</v>
      </c>
      <c r="G810" s="33">
        <f>IF(BD!$E809="","",(E810/(H810*I810)))</f>
        <v>114.24</v>
      </c>
      <c r="H810" s="34">
        <v>1</v>
      </c>
      <c r="I810" s="112">
        <v>1</v>
      </c>
    </row>
    <row r="811" spans="1:9">
      <c r="A811" s="27">
        <f t="shared" si="7"/>
        <v>367</v>
      </c>
      <c r="B811" s="113" t="s">
        <v>582</v>
      </c>
      <c r="C811" s="53" t="s">
        <v>31</v>
      </c>
      <c r="D811" s="30" t="s">
        <v>64</v>
      </c>
      <c r="E811" s="109">
        <v>114.24</v>
      </c>
      <c r="F811" s="110" t="s">
        <v>64</v>
      </c>
      <c r="G811" s="33">
        <f>IF(BD!$E810="","",(E811/(H811*I811)))</f>
        <v>114.24</v>
      </c>
      <c r="H811" s="34">
        <v>1</v>
      </c>
      <c r="I811" s="112">
        <v>1</v>
      </c>
    </row>
    <row r="812" spans="1:9">
      <c r="A812" s="27">
        <f t="shared" si="7"/>
        <v>368</v>
      </c>
      <c r="B812" s="113" t="s">
        <v>583</v>
      </c>
      <c r="C812" s="53" t="s">
        <v>31</v>
      </c>
      <c r="D812" s="30" t="s">
        <v>64</v>
      </c>
      <c r="E812" s="109">
        <v>114.24</v>
      </c>
      <c r="F812" s="110" t="s">
        <v>64</v>
      </c>
      <c r="G812" s="33">
        <f>IF(BD!$E811="","",(E812/(H812*I812)))</f>
        <v>114.24</v>
      </c>
      <c r="H812" s="34">
        <v>1</v>
      </c>
      <c r="I812" s="112">
        <v>1</v>
      </c>
    </row>
    <row r="813" spans="1:9">
      <c r="A813" s="27">
        <f t="shared" si="7"/>
        <v>369</v>
      </c>
      <c r="B813" s="113" t="s">
        <v>584</v>
      </c>
      <c r="C813" s="53" t="s">
        <v>31</v>
      </c>
      <c r="D813" s="30" t="s">
        <v>64</v>
      </c>
      <c r="E813" s="109">
        <v>114.24</v>
      </c>
      <c r="F813" s="110" t="s">
        <v>64</v>
      </c>
      <c r="G813" s="33">
        <f>IF(BD!$E812="","",(E813/(H813*I813)))</f>
        <v>114.24</v>
      </c>
      <c r="H813" s="34">
        <v>1</v>
      </c>
      <c r="I813" s="112">
        <v>1</v>
      </c>
    </row>
    <row r="814" spans="1:9">
      <c r="A814" s="27">
        <f t="shared" si="7"/>
        <v>370</v>
      </c>
      <c r="B814" s="113" t="s">
        <v>585</v>
      </c>
      <c r="C814" s="53" t="s">
        <v>31</v>
      </c>
      <c r="D814" s="30" t="s">
        <v>64</v>
      </c>
      <c r="E814" s="109">
        <v>114.24</v>
      </c>
      <c r="F814" s="110" t="s">
        <v>64</v>
      </c>
      <c r="G814" s="33">
        <f>IF(BD!$E813="","",(E814/(H814*I814)))</f>
        <v>114.24</v>
      </c>
      <c r="H814" s="34">
        <v>1</v>
      </c>
      <c r="I814" s="112">
        <v>1</v>
      </c>
    </row>
    <row r="815" spans="1:9">
      <c r="A815" s="27">
        <f t="shared" si="7"/>
        <v>371</v>
      </c>
      <c r="B815" s="113" t="s">
        <v>586</v>
      </c>
      <c r="C815" s="53" t="s">
        <v>31</v>
      </c>
      <c r="D815" s="30" t="s">
        <v>64</v>
      </c>
      <c r="E815" s="109">
        <v>114.24</v>
      </c>
      <c r="F815" s="110" t="s">
        <v>64</v>
      </c>
      <c r="G815" s="33">
        <f>IF(BD!$E814="","",(E815/(H815*I815)))</f>
        <v>114.24</v>
      </c>
      <c r="H815" s="34">
        <v>1</v>
      </c>
      <c r="I815" s="112">
        <v>1</v>
      </c>
    </row>
    <row r="816" spans="1:9">
      <c r="A816" s="27">
        <f t="shared" si="7"/>
        <v>372</v>
      </c>
      <c r="B816" s="113" t="s">
        <v>587</v>
      </c>
      <c r="C816" s="53" t="s">
        <v>31</v>
      </c>
      <c r="D816" s="30" t="s">
        <v>64</v>
      </c>
      <c r="E816" s="109">
        <v>1800</v>
      </c>
      <c r="F816" s="110" t="s">
        <v>64</v>
      </c>
      <c r="G816" s="33">
        <f>IF(BD!$E815="","",(E816/(H816*I816)))</f>
        <v>1800</v>
      </c>
      <c r="H816" s="34">
        <v>1</v>
      </c>
      <c r="I816" s="112">
        <v>1</v>
      </c>
    </row>
    <row r="817" spans="1:9">
      <c r="A817" s="27">
        <f t="shared" si="7"/>
        <v>373</v>
      </c>
      <c r="B817" s="113" t="s">
        <v>588</v>
      </c>
      <c r="C817" s="53" t="s">
        <v>31</v>
      </c>
      <c r="D817" s="30" t="s">
        <v>64</v>
      </c>
      <c r="E817" s="109">
        <v>546</v>
      </c>
      <c r="F817" s="110" t="s">
        <v>64</v>
      </c>
      <c r="G817" s="33">
        <f>IF(BD!$E816="","",(E817/(H817*I817)))</f>
        <v>546</v>
      </c>
      <c r="H817" s="34">
        <v>1</v>
      </c>
      <c r="I817" s="112">
        <v>1</v>
      </c>
    </row>
    <row r="818" spans="1:9">
      <c r="A818" s="27">
        <f t="shared" si="7"/>
        <v>374</v>
      </c>
      <c r="B818" s="113" t="s">
        <v>589</v>
      </c>
      <c r="C818" s="53" t="s">
        <v>31</v>
      </c>
      <c r="D818" s="30" t="s">
        <v>64</v>
      </c>
      <c r="E818" s="109">
        <v>114.24</v>
      </c>
      <c r="F818" s="110" t="s">
        <v>64</v>
      </c>
      <c r="G818" s="33">
        <f>IF(BD!$E817="","",(E818/(H818*I818)))</f>
        <v>114.24</v>
      </c>
      <c r="H818" s="34">
        <v>1</v>
      </c>
      <c r="I818" s="112">
        <v>1</v>
      </c>
    </row>
    <row r="819" spans="1:9">
      <c r="A819" s="27">
        <f t="shared" si="7"/>
        <v>375</v>
      </c>
      <c r="B819" s="113" t="s">
        <v>590</v>
      </c>
      <c r="C819" s="53" t="s">
        <v>31</v>
      </c>
      <c r="D819" s="30" t="s">
        <v>64</v>
      </c>
      <c r="E819" s="109">
        <v>114.24</v>
      </c>
      <c r="F819" s="110" t="s">
        <v>64</v>
      </c>
      <c r="G819" s="33">
        <f>IF(BD!$E818="","",(E819/(H819*I819)))</f>
        <v>114.24</v>
      </c>
      <c r="H819" s="34">
        <v>1</v>
      </c>
      <c r="I819" s="112">
        <v>1</v>
      </c>
    </row>
    <row r="820" spans="1:9">
      <c r="A820" s="27">
        <f t="shared" si="7"/>
        <v>376</v>
      </c>
      <c r="B820" s="113" t="s">
        <v>591</v>
      </c>
      <c r="C820" s="53" t="s">
        <v>31</v>
      </c>
      <c r="D820" s="30" t="s">
        <v>64</v>
      </c>
      <c r="E820" s="109">
        <v>114.24</v>
      </c>
      <c r="F820" s="110" t="s">
        <v>64</v>
      </c>
      <c r="G820" s="33">
        <f>IF(BD!$E819="","",(E820/(H820*I820)))</f>
        <v>114.24</v>
      </c>
      <c r="H820" s="34">
        <v>1</v>
      </c>
      <c r="I820" s="112">
        <v>1</v>
      </c>
    </row>
    <row r="821" spans="1:9">
      <c r="A821" s="27">
        <f t="shared" si="7"/>
        <v>377</v>
      </c>
      <c r="B821" s="113" t="s">
        <v>592</v>
      </c>
      <c r="C821" s="53" t="s">
        <v>31</v>
      </c>
      <c r="D821" s="30" t="s">
        <v>64</v>
      </c>
      <c r="E821" s="109">
        <v>114.24</v>
      </c>
      <c r="F821" s="110" t="s">
        <v>64</v>
      </c>
      <c r="G821" s="33">
        <f>IF(BD!$E820="","",(E821/(H821*I821)))</f>
        <v>114.24</v>
      </c>
      <c r="H821" s="34">
        <v>1</v>
      </c>
      <c r="I821" s="112">
        <v>1</v>
      </c>
    </row>
    <row r="822" spans="1:9">
      <c r="A822" s="27">
        <f t="shared" si="7"/>
        <v>378</v>
      </c>
      <c r="B822" s="113" t="s">
        <v>593</v>
      </c>
      <c r="C822" s="53" t="s">
        <v>31</v>
      </c>
      <c r="D822" s="30" t="s">
        <v>64</v>
      </c>
      <c r="E822" s="109">
        <v>114.24</v>
      </c>
      <c r="F822" s="110" t="s">
        <v>64</v>
      </c>
      <c r="G822" s="33">
        <f>IF(BD!$E821="","",(E822/(H822*I822)))</f>
        <v>114.24</v>
      </c>
      <c r="H822" s="34">
        <v>1</v>
      </c>
      <c r="I822" s="112">
        <v>1</v>
      </c>
    </row>
    <row r="823" spans="1:9">
      <c r="A823" s="27">
        <f t="shared" si="7"/>
        <v>379</v>
      </c>
      <c r="B823" s="113" t="s">
        <v>594</v>
      </c>
      <c r="C823" s="53" t="s">
        <v>31</v>
      </c>
      <c r="D823" s="30" t="s">
        <v>64</v>
      </c>
      <c r="E823" s="109">
        <v>114.24</v>
      </c>
      <c r="F823" s="110" t="s">
        <v>64</v>
      </c>
      <c r="G823" s="33">
        <f>IF(BD!$E822="","",(E823/(H823*I823)))</f>
        <v>114.24</v>
      </c>
      <c r="H823" s="34">
        <v>1</v>
      </c>
      <c r="I823" s="112">
        <v>1</v>
      </c>
    </row>
    <row r="824" spans="1:9">
      <c r="A824" s="27">
        <f t="shared" si="7"/>
        <v>380</v>
      </c>
      <c r="B824" s="113" t="s">
        <v>595</v>
      </c>
      <c r="C824" s="53" t="s">
        <v>31</v>
      </c>
      <c r="D824" s="30" t="s">
        <v>64</v>
      </c>
      <c r="E824" s="109">
        <v>114.24</v>
      </c>
      <c r="F824" s="110" t="s">
        <v>64</v>
      </c>
      <c r="G824" s="33">
        <f>IF(BD!$E823="","",(E824/(H824*I824)))</f>
        <v>114.24</v>
      </c>
      <c r="H824" s="34">
        <v>1</v>
      </c>
      <c r="I824" s="112">
        <v>1</v>
      </c>
    </row>
    <row r="825" spans="1:9">
      <c r="A825" s="27">
        <f t="shared" si="7"/>
        <v>381</v>
      </c>
      <c r="B825" s="113" t="s">
        <v>596</v>
      </c>
      <c r="C825" s="53" t="s">
        <v>31</v>
      </c>
      <c r="D825" s="30" t="s">
        <v>64</v>
      </c>
      <c r="E825" s="109">
        <v>114.24</v>
      </c>
      <c r="F825" s="110" t="s">
        <v>64</v>
      </c>
      <c r="G825" s="33">
        <f>IF(BD!$E824="","",(E825/(H825*I825)))</f>
        <v>114.24</v>
      </c>
      <c r="H825" s="34">
        <v>1</v>
      </c>
      <c r="I825" s="112">
        <v>1</v>
      </c>
    </row>
    <row r="826" spans="1:9">
      <c r="A826" s="27">
        <f t="shared" si="7"/>
        <v>382</v>
      </c>
      <c r="B826" s="113" t="s">
        <v>597</v>
      </c>
      <c r="C826" s="53" t="s">
        <v>31</v>
      </c>
      <c r="D826" s="30" t="s">
        <v>64</v>
      </c>
      <c r="E826" s="109">
        <v>114.24</v>
      </c>
      <c r="F826" s="110" t="s">
        <v>64</v>
      </c>
      <c r="G826" s="33">
        <f>IF(BD!$E825="","",(E826/(H826*I826)))</f>
        <v>114.24</v>
      </c>
      <c r="H826" s="34">
        <v>1</v>
      </c>
      <c r="I826" s="112">
        <v>1</v>
      </c>
    </row>
    <row r="827" spans="1:9">
      <c r="A827" s="27">
        <f t="shared" si="7"/>
        <v>383</v>
      </c>
      <c r="B827" s="113" t="s">
        <v>598</v>
      </c>
      <c r="C827" s="53" t="s">
        <v>31</v>
      </c>
      <c r="D827" s="30" t="s">
        <v>64</v>
      </c>
      <c r="E827" s="109">
        <v>114.24</v>
      </c>
      <c r="F827" s="110" t="s">
        <v>64</v>
      </c>
      <c r="G827" s="33">
        <f>IF(BD!$E826="","",(E827/(H827*I827)))</f>
        <v>114.24</v>
      </c>
      <c r="H827" s="34">
        <v>1</v>
      </c>
      <c r="I827" s="112">
        <v>1</v>
      </c>
    </row>
    <row r="828" spans="1:9">
      <c r="A828" s="27">
        <f t="shared" si="7"/>
        <v>384</v>
      </c>
      <c r="B828" s="113" t="s">
        <v>599</v>
      </c>
      <c r="C828" s="53" t="s">
        <v>31</v>
      </c>
      <c r="D828" s="30" t="s">
        <v>64</v>
      </c>
      <c r="E828" s="109">
        <v>1550</v>
      </c>
      <c r="F828" s="110" t="s">
        <v>64</v>
      </c>
      <c r="G828" s="33">
        <f>IF(BD!$E827="","",(E828/(H828*I828)))</f>
        <v>1550</v>
      </c>
      <c r="H828" s="34">
        <v>1</v>
      </c>
      <c r="I828" s="112">
        <v>1</v>
      </c>
    </row>
    <row r="829" spans="1:9" ht="30">
      <c r="A829" s="27">
        <f t="shared" si="7"/>
        <v>385</v>
      </c>
      <c r="B829" s="113" t="s">
        <v>600</v>
      </c>
      <c r="C829" s="53" t="s">
        <v>31</v>
      </c>
      <c r="D829" s="30" t="s">
        <v>64</v>
      </c>
      <c r="E829" s="109">
        <v>1550</v>
      </c>
      <c r="F829" s="110" t="s">
        <v>64</v>
      </c>
      <c r="G829" s="33">
        <f>IF(BD!$E828="","",(E829/(H829*I829)))</f>
        <v>1550</v>
      </c>
      <c r="H829" s="34">
        <v>1</v>
      </c>
      <c r="I829" s="112">
        <v>1</v>
      </c>
    </row>
    <row r="830" spans="1:9" ht="30">
      <c r="A830" s="27">
        <f t="shared" ref="A830:A865" si="8">A829+1</f>
        <v>386</v>
      </c>
      <c r="B830" s="113" t="s">
        <v>601</v>
      </c>
      <c r="C830" s="53" t="s">
        <v>31</v>
      </c>
      <c r="D830" s="30" t="s">
        <v>64</v>
      </c>
      <c r="E830" s="109">
        <v>1550</v>
      </c>
      <c r="F830" s="110" t="s">
        <v>64</v>
      </c>
      <c r="G830" s="33">
        <f>IF(BD!$E829="","",(E830/(H830*I830)))</f>
        <v>1550</v>
      </c>
      <c r="H830" s="34">
        <v>1</v>
      </c>
      <c r="I830" s="112">
        <v>1</v>
      </c>
    </row>
    <row r="831" spans="1:9">
      <c r="A831" s="27">
        <f t="shared" si="8"/>
        <v>387</v>
      </c>
      <c r="B831" s="113" t="s">
        <v>602</v>
      </c>
      <c r="C831" s="53" t="s">
        <v>31</v>
      </c>
      <c r="D831" s="30" t="s">
        <v>64</v>
      </c>
      <c r="E831" s="109">
        <v>1550</v>
      </c>
      <c r="F831" s="110" t="s">
        <v>64</v>
      </c>
      <c r="G831" s="33">
        <f>IF(BD!$E830="","",(E831/(H831*I831)))</f>
        <v>1550</v>
      </c>
      <c r="H831" s="34">
        <v>1</v>
      </c>
      <c r="I831" s="112">
        <v>1</v>
      </c>
    </row>
    <row r="832" spans="1:9">
      <c r="A832" s="27">
        <f t="shared" si="8"/>
        <v>388</v>
      </c>
      <c r="B832" s="113" t="s">
        <v>603</v>
      </c>
      <c r="C832" s="53" t="s">
        <v>31</v>
      </c>
      <c r="D832" s="30" t="s">
        <v>64</v>
      </c>
      <c r="E832" s="109">
        <v>1550</v>
      </c>
      <c r="F832" s="110" t="s">
        <v>64</v>
      </c>
      <c r="G832" s="33">
        <f>IF(BD!$E831="","",(E832/(H832*I832)))</f>
        <v>1550</v>
      </c>
      <c r="H832" s="34">
        <v>1</v>
      </c>
      <c r="I832" s="112">
        <v>1</v>
      </c>
    </row>
    <row r="833" spans="1:9">
      <c r="A833" s="27">
        <f t="shared" si="8"/>
        <v>389</v>
      </c>
      <c r="B833" s="113" t="s">
        <v>604</v>
      </c>
      <c r="C833" s="53" t="s">
        <v>31</v>
      </c>
      <c r="D833" s="30" t="s">
        <v>64</v>
      </c>
      <c r="E833" s="109">
        <v>1550</v>
      </c>
      <c r="F833" s="110" t="s">
        <v>64</v>
      </c>
      <c r="G833" s="33">
        <f>IF(BD!$E832="","",(E833/(H833*I833)))</f>
        <v>1550</v>
      </c>
      <c r="H833" s="34">
        <v>1</v>
      </c>
      <c r="I833" s="112">
        <v>1</v>
      </c>
    </row>
    <row r="834" spans="1:9">
      <c r="A834" s="27">
        <f t="shared" si="8"/>
        <v>390</v>
      </c>
      <c r="B834" s="113" t="s">
        <v>605</v>
      </c>
      <c r="C834" s="53" t="s">
        <v>31</v>
      </c>
      <c r="D834" s="30" t="s">
        <v>64</v>
      </c>
      <c r="E834" s="109">
        <v>952</v>
      </c>
      <c r="F834" s="110" t="s">
        <v>64</v>
      </c>
      <c r="G834" s="33">
        <f>IF(BD!$E833="","",(E834/(H834*I834)))</f>
        <v>952</v>
      </c>
      <c r="H834" s="34">
        <v>1</v>
      </c>
      <c r="I834" s="112">
        <v>1</v>
      </c>
    </row>
    <row r="835" spans="1:9">
      <c r="A835" s="27">
        <f t="shared" si="8"/>
        <v>391</v>
      </c>
      <c r="B835" s="113" t="s">
        <v>606</v>
      </c>
      <c r="C835" s="53" t="s">
        <v>31</v>
      </c>
      <c r="D835" s="30" t="s">
        <v>64</v>
      </c>
      <c r="E835" s="109">
        <v>925</v>
      </c>
      <c r="F835" s="110" t="s">
        <v>64</v>
      </c>
      <c r="G835" s="33">
        <f>IF(BD!$E834="","",(E835/(H835*I835)))</f>
        <v>925</v>
      </c>
      <c r="H835" s="34">
        <v>1</v>
      </c>
      <c r="I835" s="112">
        <v>1</v>
      </c>
    </row>
    <row r="836" spans="1:9">
      <c r="A836" s="27">
        <f t="shared" si="8"/>
        <v>392</v>
      </c>
      <c r="B836" s="113" t="s">
        <v>607</v>
      </c>
      <c r="C836" s="53" t="s">
        <v>31</v>
      </c>
      <c r="D836" s="30" t="s">
        <v>64</v>
      </c>
      <c r="E836" s="109">
        <v>1100</v>
      </c>
      <c r="F836" s="110" t="s">
        <v>64</v>
      </c>
      <c r="G836" s="33">
        <f>IF(BD!$E835="","",(E836/(H836*I836)))</f>
        <v>1100</v>
      </c>
      <c r="H836" s="34">
        <v>1</v>
      </c>
      <c r="I836" s="112">
        <v>1</v>
      </c>
    </row>
    <row r="837" spans="1:9">
      <c r="A837" s="27">
        <f t="shared" si="8"/>
        <v>393</v>
      </c>
      <c r="B837" s="113" t="s">
        <v>608</v>
      </c>
      <c r="C837" s="53" t="s">
        <v>31</v>
      </c>
      <c r="D837" s="30" t="s">
        <v>64</v>
      </c>
      <c r="E837" s="109">
        <v>1350</v>
      </c>
      <c r="F837" s="110" t="s">
        <v>64</v>
      </c>
      <c r="G837" s="33">
        <f>IF(BD!$E836="","",(E837/(H837*I837)))</f>
        <v>1350</v>
      </c>
      <c r="H837" s="34">
        <v>1</v>
      </c>
      <c r="I837" s="112">
        <v>1</v>
      </c>
    </row>
    <row r="838" spans="1:9">
      <c r="A838" s="27">
        <f t="shared" si="8"/>
        <v>394</v>
      </c>
      <c r="B838" s="113" t="s">
        <v>609</v>
      </c>
      <c r="C838" s="53" t="s">
        <v>31</v>
      </c>
      <c r="D838" s="30" t="s">
        <v>64</v>
      </c>
      <c r="E838" s="109">
        <v>1350</v>
      </c>
      <c r="F838" s="110" t="s">
        <v>64</v>
      </c>
      <c r="G838" s="33">
        <f>IF(BD!$E837="","",(E838/(H838*I838)))</f>
        <v>1350</v>
      </c>
      <c r="H838" s="34">
        <v>1</v>
      </c>
      <c r="I838" s="112">
        <v>1</v>
      </c>
    </row>
    <row r="839" spans="1:9">
      <c r="A839" s="27">
        <f t="shared" si="8"/>
        <v>395</v>
      </c>
      <c r="B839" s="28" t="s">
        <v>610</v>
      </c>
      <c r="C839" s="53" t="s">
        <v>31</v>
      </c>
      <c r="D839" s="30" t="s">
        <v>64</v>
      </c>
      <c r="E839" s="31">
        <v>2727.48</v>
      </c>
      <c r="F839" s="32" t="s">
        <v>64</v>
      </c>
      <c r="G839" s="33">
        <f>IF(BD!$E838="","",(E839/(H839*I839)))</f>
        <v>2727.48</v>
      </c>
      <c r="H839" s="34">
        <v>1</v>
      </c>
      <c r="I839" s="112">
        <v>1</v>
      </c>
    </row>
    <row r="840" spans="1:9">
      <c r="A840" s="27">
        <f t="shared" si="8"/>
        <v>396</v>
      </c>
      <c r="B840" s="28" t="s">
        <v>611</v>
      </c>
      <c r="C840" s="53" t="s">
        <v>31</v>
      </c>
      <c r="D840" s="30" t="s">
        <v>64</v>
      </c>
      <c r="E840" s="31">
        <v>2727.48</v>
      </c>
      <c r="F840" s="32" t="s">
        <v>64</v>
      </c>
      <c r="G840" s="33">
        <f>IF(BD!$E839="","",(E840/(H840*I840)))</f>
        <v>2727.48</v>
      </c>
      <c r="H840" s="34">
        <v>1</v>
      </c>
      <c r="I840" s="112">
        <v>1</v>
      </c>
    </row>
    <row r="841" spans="1:9">
      <c r="A841" s="27">
        <f t="shared" si="8"/>
        <v>397</v>
      </c>
      <c r="B841" s="113" t="s">
        <v>612</v>
      </c>
      <c r="C841" s="53" t="s">
        <v>31</v>
      </c>
      <c r="D841" s="30" t="s">
        <v>64</v>
      </c>
      <c r="E841" s="109">
        <v>2727.48</v>
      </c>
      <c r="F841" s="110" t="s">
        <v>64</v>
      </c>
      <c r="G841" s="33">
        <f>IF(BD!$E840="","",(E841/(H841*I841)))</f>
        <v>2727.48</v>
      </c>
      <c r="H841" s="34">
        <v>1</v>
      </c>
      <c r="I841" s="112">
        <v>1</v>
      </c>
    </row>
    <row r="842" spans="1:9">
      <c r="A842" s="27">
        <f t="shared" si="8"/>
        <v>398</v>
      </c>
      <c r="B842" s="113" t="s">
        <v>613</v>
      </c>
      <c r="C842" s="53" t="s">
        <v>31</v>
      </c>
      <c r="D842" s="30" t="s">
        <v>64</v>
      </c>
      <c r="E842" s="109">
        <v>2727.48</v>
      </c>
      <c r="F842" s="110" t="s">
        <v>64</v>
      </c>
      <c r="G842" s="33">
        <f>IF(BD!$E841="","",(E842/(H842*I842)))</f>
        <v>2727.48</v>
      </c>
      <c r="H842" s="34">
        <v>1</v>
      </c>
      <c r="I842" s="112">
        <v>1</v>
      </c>
    </row>
    <row r="843" spans="1:9">
      <c r="A843" s="27">
        <f t="shared" si="8"/>
        <v>399</v>
      </c>
      <c r="B843" s="113" t="s">
        <v>614</v>
      </c>
      <c r="C843" s="53" t="s">
        <v>31</v>
      </c>
      <c r="D843" s="30" t="s">
        <v>64</v>
      </c>
      <c r="E843" s="109">
        <v>2727.48</v>
      </c>
      <c r="F843" s="110" t="s">
        <v>64</v>
      </c>
      <c r="G843" s="33">
        <f>IF(BD!$E842="","",(E843/(H843*I843)))</f>
        <v>2727.48</v>
      </c>
      <c r="H843" s="34">
        <v>1</v>
      </c>
      <c r="I843" s="112">
        <v>1</v>
      </c>
    </row>
    <row r="844" spans="1:9">
      <c r="A844" s="27">
        <f t="shared" si="8"/>
        <v>400</v>
      </c>
      <c r="B844" s="113" t="s">
        <v>615</v>
      </c>
      <c r="C844" s="53" t="s">
        <v>31</v>
      </c>
      <c r="D844" s="30" t="s">
        <v>64</v>
      </c>
      <c r="E844" s="109">
        <v>3111.85</v>
      </c>
      <c r="F844" s="110" t="s">
        <v>64</v>
      </c>
      <c r="G844" s="33">
        <f>IF(BD!$E843="","",(E844/(H844*I844)))</f>
        <v>3111.85</v>
      </c>
      <c r="H844" s="34">
        <v>1</v>
      </c>
      <c r="I844" s="112">
        <v>1</v>
      </c>
    </row>
    <row r="845" spans="1:9" ht="30">
      <c r="A845" s="27">
        <f t="shared" si="8"/>
        <v>401</v>
      </c>
      <c r="B845" s="113" t="s">
        <v>616</v>
      </c>
      <c r="C845" s="53" t="s">
        <v>31</v>
      </c>
      <c r="D845" s="30" t="s">
        <v>64</v>
      </c>
      <c r="E845" s="31">
        <v>1550</v>
      </c>
      <c r="F845" s="32" t="s">
        <v>64</v>
      </c>
      <c r="G845" s="33">
        <f>IF(BD!$E844="","",(E845/(H845*I845)))</f>
        <v>1550</v>
      </c>
      <c r="H845" s="34">
        <v>1</v>
      </c>
      <c r="I845" s="112">
        <v>1</v>
      </c>
    </row>
    <row r="846" spans="1:9" ht="17.25" customHeight="1">
      <c r="A846" s="27">
        <f t="shared" si="8"/>
        <v>402</v>
      </c>
      <c r="B846" s="113" t="s">
        <v>617</v>
      </c>
      <c r="C846" s="53" t="s">
        <v>31</v>
      </c>
      <c r="D846" s="30" t="s">
        <v>64</v>
      </c>
      <c r="E846" s="109">
        <v>1550</v>
      </c>
      <c r="F846" s="110" t="s">
        <v>64</v>
      </c>
      <c r="G846" s="33">
        <f>IF(BD!$E845="","",(E846/(H846*I846)))</f>
        <v>1550</v>
      </c>
      <c r="H846" s="34">
        <v>1</v>
      </c>
      <c r="I846" s="112">
        <v>1</v>
      </c>
    </row>
    <row r="847" spans="1:9" ht="13.5" customHeight="1">
      <c r="A847" s="27">
        <f t="shared" si="8"/>
        <v>403</v>
      </c>
      <c r="B847" s="113" t="s">
        <v>618</v>
      </c>
      <c r="C847" s="53" t="s">
        <v>31</v>
      </c>
      <c r="D847" s="30" t="s">
        <v>64</v>
      </c>
      <c r="E847" s="109">
        <v>1550</v>
      </c>
      <c r="F847" s="110" t="s">
        <v>64</v>
      </c>
      <c r="G847" s="33">
        <f>IF(BD!$E846="","",(E847/(H847*I847)))</f>
        <v>1550</v>
      </c>
      <c r="H847" s="34">
        <v>1</v>
      </c>
      <c r="I847" s="112">
        <v>1</v>
      </c>
    </row>
    <row r="848" spans="1:9" ht="27" customHeight="1">
      <c r="A848" s="27">
        <f t="shared" si="8"/>
        <v>404</v>
      </c>
      <c r="B848" s="113" t="s">
        <v>619</v>
      </c>
      <c r="C848" s="53" t="s">
        <v>31</v>
      </c>
      <c r="D848" s="30" t="s">
        <v>64</v>
      </c>
      <c r="E848" s="31">
        <v>1550</v>
      </c>
      <c r="F848" s="32" t="s">
        <v>64</v>
      </c>
      <c r="G848" s="33">
        <f>IF(BD!$E847="","",(E848/(H848*I848)))</f>
        <v>1550</v>
      </c>
      <c r="H848" s="34">
        <v>1</v>
      </c>
      <c r="I848" s="112">
        <v>1</v>
      </c>
    </row>
    <row r="849" spans="1:9">
      <c r="A849" s="27">
        <f t="shared" si="8"/>
        <v>405</v>
      </c>
      <c r="B849" s="113" t="s">
        <v>620</v>
      </c>
      <c r="C849" s="53" t="s">
        <v>31</v>
      </c>
      <c r="D849" s="30" t="s">
        <v>64</v>
      </c>
      <c r="E849" s="109">
        <v>1550</v>
      </c>
      <c r="F849" s="110" t="s">
        <v>64</v>
      </c>
      <c r="G849" s="33">
        <f>IF(BD!$E848="","",(E849/(H849*I849)))</f>
        <v>1550</v>
      </c>
      <c r="H849" s="34">
        <v>1</v>
      </c>
      <c r="I849" s="112">
        <v>1</v>
      </c>
    </row>
    <row r="850" spans="1:9">
      <c r="A850" s="27">
        <f t="shared" si="8"/>
        <v>406</v>
      </c>
      <c r="B850" s="113" t="s">
        <v>621</v>
      </c>
      <c r="C850" s="53" t="s">
        <v>31</v>
      </c>
      <c r="D850" s="30" t="s">
        <v>64</v>
      </c>
      <c r="E850" s="109">
        <v>3844</v>
      </c>
      <c r="F850" s="110" t="s">
        <v>64</v>
      </c>
      <c r="G850" s="33">
        <f>IF(BD!$E849="","",(E850/(H850*I850)))</f>
        <v>3844</v>
      </c>
      <c r="H850" s="34">
        <v>1</v>
      </c>
      <c r="I850" s="112">
        <v>1</v>
      </c>
    </row>
    <row r="851" spans="1:9">
      <c r="A851" s="27">
        <f t="shared" si="8"/>
        <v>407</v>
      </c>
      <c r="B851" s="113" t="s">
        <v>622</v>
      </c>
      <c r="C851" s="53" t="s">
        <v>31</v>
      </c>
      <c r="D851" s="30" t="s">
        <v>64</v>
      </c>
      <c r="E851" s="109">
        <v>3844</v>
      </c>
      <c r="F851" s="110" t="s">
        <v>64</v>
      </c>
      <c r="G851" s="33">
        <f>IF(BD!$E850="","",(E851/(H851*I851)))</f>
        <v>3844</v>
      </c>
      <c r="H851" s="34">
        <v>1</v>
      </c>
      <c r="I851" s="112">
        <v>1</v>
      </c>
    </row>
    <row r="852" spans="1:9">
      <c r="A852" s="27">
        <f t="shared" si="8"/>
        <v>408</v>
      </c>
      <c r="B852" s="113" t="s">
        <v>623</v>
      </c>
      <c r="C852" s="53" t="s">
        <v>31</v>
      </c>
      <c r="D852" s="30" t="s">
        <v>64</v>
      </c>
      <c r="E852" s="109">
        <v>998.41</v>
      </c>
      <c r="F852" s="110" t="s">
        <v>64</v>
      </c>
      <c r="G852" s="33">
        <f>IF(BD!$E851="","",(E852/(H852*I852)))</f>
        <v>998.41</v>
      </c>
      <c r="H852" s="34">
        <v>1</v>
      </c>
      <c r="I852" s="112">
        <v>1</v>
      </c>
    </row>
    <row r="853" spans="1:9">
      <c r="A853" s="27">
        <f t="shared" si="8"/>
        <v>409</v>
      </c>
      <c r="B853" s="113" t="s">
        <v>624</v>
      </c>
      <c r="C853" s="53" t="s">
        <v>31</v>
      </c>
      <c r="D853" s="30" t="s">
        <v>64</v>
      </c>
      <c r="E853" s="109">
        <v>998.41</v>
      </c>
      <c r="F853" s="110" t="s">
        <v>64</v>
      </c>
      <c r="G853" s="33">
        <f>IF(BD!$E852="","",(E853/(H853*I853)))</f>
        <v>998.41</v>
      </c>
      <c r="H853" s="34">
        <v>1</v>
      </c>
      <c r="I853" s="112">
        <v>1</v>
      </c>
    </row>
    <row r="854" spans="1:9">
      <c r="A854" s="27">
        <f t="shared" si="8"/>
        <v>410</v>
      </c>
      <c r="B854" s="113" t="s">
        <v>625</v>
      </c>
      <c r="C854" s="53" t="s">
        <v>31</v>
      </c>
      <c r="D854" s="30" t="s">
        <v>64</v>
      </c>
      <c r="E854" s="109">
        <v>998.41</v>
      </c>
      <c r="F854" s="110" t="s">
        <v>64</v>
      </c>
      <c r="G854" s="33">
        <f>IF(BD!$E853="","",(E854/(H854*I854)))</f>
        <v>998.41</v>
      </c>
      <c r="H854" s="34">
        <v>1</v>
      </c>
      <c r="I854" s="112">
        <v>1</v>
      </c>
    </row>
    <row r="855" spans="1:9">
      <c r="A855" s="27">
        <f t="shared" si="8"/>
        <v>411</v>
      </c>
      <c r="B855" s="113" t="s">
        <v>626</v>
      </c>
      <c r="C855" s="53" t="s">
        <v>31</v>
      </c>
      <c r="D855" s="30" t="s">
        <v>64</v>
      </c>
      <c r="E855" s="109">
        <v>998.41</v>
      </c>
      <c r="F855" s="110" t="s">
        <v>64</v>
      </c>
      <c r="G855" s="33">
        <f>IF(BD!$E854="","",(E855/(H855*I855)))</f>
        <v>998.41</v>
      </c>
      <c r="H855" s="34">
        <v>1</v>
      </c>
      <c r="I855" s="112">
        <v>1</v>
      </c>
    </row>
    <row r="856" spans="1:9">
      <c r="A856" s="27">
        <f t="shared" si="8"/>
        <v>412</v>
      </c>
      <c r="B856" s="113" t="s">
        <v>627</v>
      </c>
      <c r="C856" s="53" t="s">
        <v>31</v>
      </c>
      <c r="D856" s="30" t="s">
        <v>64</v>
      </c>
      <c r="E856" s="109">
        <v>998.41</v>
      </c>
      <c r="F856" s="110" t="s">
        <v>64</v>
      </c>
      <c r="G856" s="33">
        <f>IF(BD!$E855="","",(E856/(H856*I856)))</f>
        <v>998.41</v>
      </c>
      <c r="H856" s="34">
        <v>1</v>
      </c>
      <c r="I856" s="112">
        <v>1</v>
      </c>
    </row>
    <row r="857" spans="1:9">
      <c r="A857" s="27">
        <f t="shared" si="8"/>
        <v>413</v>
      </c>
      <c r="B857" s="113" t="s">
        <v>628</v>
      </c>
      <c r="C857" s="53" t="s">
        <v>31</v>
      </c>
      <c r="D857" s="30" t="s">
        <v>64</v>
      </c>
      <c r="E857" s="109">
        <v>998.41</v>
      </c>
      <c r="F857" s="110" t="s">
        <v>64</v>
      </c>
      <c r="G857" s="33">
        <f>IF(BD!$E856="","",(E857/(H857*I857)))</f>
        <v>998.41</v>
      </c>
      <c r="H857" s="34">
        <v>1</v>
      </c>
      <c r="I857" s="112">
        <v>1</v>
      </c>
    </row>
    <row r="858" spans="1:9">
      <c r="A858" s="27">
        <f t="shared" si="8"/>
        <v>414</v>
      </c>
      <c r="B858" s="113" t="s">
        <v>629</v>
      </c>
      <c r="C858" s="53" t="s">
        <v>31</v>
      </c>
      <c r="D858" s="30" t="s">
        <v>64</v>
      </c>
      <c r="E858" s="109">
        <v>3844</v>
      </c>
      <c r="F858" s="110" t="s">
        <v>64</v>
      </c>
      <c r="G858" s="33">
        <f>IF(BD!$E857="","",(E858/(H858*I858)))</f>
        <v>3844</v>
      </c>
      <c r="H858" s="34">
        <v>1</v>
      </c>
      <c r="I858" s="112">
        <v>1</v>
      </c>
    </row>
    <row r="859" spans="1:9">
      <c r="A859" s="27">
        <f t="shared" si="8"/>
        <v>415</v>
      </c>
      <c r="B859" s="113" t="s">
        <v>630</v>
      </c>
      <c r="C859" s="53" t="s">
        <v>31</v>
      </c>
      <c r="D859" s="30" t="s">
        <v>64</v>
      </c>
      <c r="E859" s="109">
        <v>3844</v>
      </c>
      <c r="F859" s="110" t="s">
        <v>64</v>
      </c>
      <c r="G859" s="33">
        <f>IF(BD!$E858="","",(E859/(H859*I859)))</f>
        <v>3844</v>
      </c>
      <c r="H859" s="34">
        <v>1</v>
      </c>
      <c r="I859" s="112">
        <v>1</v>
      </c>
    </row>
    <row r="860" spans="1:9">
      <c r="A860" s="27">
        <f t="shared" si="8"/>
        <v>416</v>
      </c>
      <c r="B860" s="113" t="s">
        <v>631</v>
      </c>
      <c r="C860" s="53" t="s">
        <v>31</v>
      </c>
      <c r="D860" s="30" t="s">
        <v>64</v>
      </c>
      <c r="E860" s="109">
        <v>998.41</v>
      </c>
      <c r="F860" s="110" t="s">
        <v>64</v>
      </c>
      <c r="G860" s="33">
        <f>IF(BD!$E859="","",(E860/(H860*I860)))</f>
        <v>998.41</v>
      </c>
      <c r="H860" s="34">
        <v>1</v>
      </c>
      <c r="I860" s="112">
        <v>1</v>
      </c>
    </row>
    <row r="861" spans="1:9">
      <c r="A861" s="27">
        <f t="shared" si="8"/>
        <v>417</v>
      </c>
      <c r="B861" s="113" t="s">
        <v>632</v>
      </c>
      <c r="C861" s="53" t="s">
        <v>31</v>
      </c>
      <c r="D861" s="30" t="s">
        <v>64</v>
      </c>
      <c r="E861" s="109">
        <v>3844</v>
      </c>
      <c r="F861" s="110" t="s">
        <v>64</v>
      </c>
      <c r="G861" s="33">
        <f>IF(BD!$E860="","",(E861/(H861*I861)))</f>
        <v>3844</v>
      </c>
      <c r="H861" s="34">
        <v>1</v>
      </c>
      <c r="I861" s="112">
        <v>1</v>
      </c>
    </row>
    <row r="862" spans="1:9">
      <c r="A862" s="27">
        <f t="shared" si="8"/>
        <v>418</v>
      </c>
      <c r="B862" s="113" t="s">
        <v>633</v>
      </c>
      <c r="C862" s="53" t="s">
        <v>31</v>
      </c>
      <c r="D862" s="30" t="s">
        <v>64</v>
      </c>
      <c r="E862" s="109">
        <v>3844</v>
      </c>
      <c r="F862" s="110" t="s">
        <v>64</v>
      </c>
      <c r="G862" s="33">
        <f>IF(BD!$E861="","",(E862/(H862*I862)))</f>
        <v>3844</v>
      </c>
      <c r="H862" s="34">
        <v>1</v>
      </c>
      <c r="I862" s="112">
        <v>1</v>
      </c>
    </row>
    <row r="863" spans="1:9">
      <c r="A863" s="27">
        <f t="shared" si="8"/>
        <v>419</v>
      </c>
      <c r="B863" s="113" t="s">
        <v>634</v>
      </c>
      <c r="C863" s="53" t="s">
        <v>31</v>
      </c>
      <c r="D863" s="30" t="s">
        <v>64</v>
      </c>
      <c r="E863" s="109">
        <v>1173.3399999999999</v>
      </c>
      <c r="F863" s="110" t="s">
        <v>64</v>
      </c>
      <c r="G863" s="33">
        <f>IF(BD!$E862="","",(E863/(H863*I863)))</f>
        <v>1173.3399999999999</v>
      </c>
      <c r="H863" s="34">
        <v>1</v>
      </c>
      <c r="I863" s="112">
        <v>1</v>
      </c>
    </row>
    <row r="864" spans="1:9">
      <c r="A864" s="27">
        <f t="shared" si="8"/>
        <v>420</v>
      </c>
      <c r="B864" s="113" t="s">
        <v>635</v>
      </c>
      <c r="C864" s="53" t="s">
        <v>31</v>
      </c>
      <c r="D864" s="30" t="s">
        <v>64</v>
      </c>
      <c r="E864" s="109">
        <v>3844</v>
      </c>
      <c r="F864" s="110" t="s">
        <v>64</v>
      </c>
      <c r="G864" s="33">
        <f>IF(BD!$E863="","",(E864/(H864*I864)))</f>
        <v>3844</v>
      </c>
      <c r="H864" s="34">
        <v>1</v>
      </c>
      <c r="I864" s="112">
        <v>1</v>
      </c>
    </row>
    <row r="865" spans="1:9">
      <c r="A865" s="27">
        <f t="shared" si="8"/>
        <v>421</v>
      </c>
      <c r="B865" s="113" t="s">
        <v>636</v>
      </c>
      <c r="C865" s="53" t="s">
        <v>31</v>
      </c>
      <c r="D865" s="30" t="s">
        <v>64</v>
      </c>
      <c r="E865" s="109">
        <v>1200</v>
      </c>
      <c r="F865" s="110" t="s">
        <v>64</v>
      </c>
      <c r="G865" s="33">
        <f>IF(BD!$E864="","",(E865/(H865*I865)))</f>
        <v>1200</v>
      </c>
      <c r="H865" s="34">
        <v>1</v>
      </c>
      <c r="I865" s="112">
        <v>1</v>
      </c>
    </row>
    <row r="866" spans="1:9">
      <c r="B866"/>
      <c r="C866"/>
      <c r="D866"/>
      <c r="E866"/>
      <c r="F866" s="39"/>
      <c r="H866"/>
      <c r="I866"/>
    </row>
    <row r="867" spans="1:9">
      <c r="B867"/>
      <c r="C867"/>
      <c r="D867"/>
      <c r="E867"/>
      <c r="F867" s="39"/>
      <c r="H867"/>
      <c r="I867"/>
    </row>
    <row r="868" spans="1:9" ht="17.25" customHeight="1">
      <c r="B868"/>
      <c r="C868"/>
      <c r="D868"/>
      <c r="E868"/>
      <c r="F868" s="39"/>
      <c r="H868"/>
      <c r="I868"/>
    </row>
    <row r="869" spans="1:9">
      <c r="B869"/>
      <c r="C869"/>
      <c r="D869"/>
      <c r="E869"/>
      <c r="F869" s="39"/>
      <c r="H869"/>
      <c r="I869"/>
    </row>
    <row r="870" spans="1:9">
      <c r="B870"/>
      <c r="C870"/>
      <c r="D870"/>
      <c r="E870"/>
      <c r="F870" s="39"/>
      <c r="H870"/>
      <c r="I870"/>
    </row>
    <row r="871" spans="1:9">
      <c r="B871"/>
      <c r="C871"/>
      <c r="D871"/>
      <c r="E871"/>
      <c r="F871" s="39"/>
      <c r="H871"/>
      <c r="I871"/>
    </row>
    <row r="872" spans="1:9">
      <c r="B872"/>
      <c r="C872" s="209"/>
    </row>
    <row r="873" spans="1:9">
      <c r="B873"/>
      <c r="C873" s="209"/>
    </row>
    <row r="874" spans="1:9">
      <c r="B874"/>
      <c r="C874" s="209"/>
    </row>
    <row r="875" spans="1:9">
      <c r="B875"/>
      <c r="C875" s="209"/>
    </row>
    <row r="876" spans="1:9">
      <c r="B876"/>
      <c r="C876" s="209"/>
    </row>
    <row r="877" spans="1:9">
      <c r="B877"/>
      <c r="C877" s="209"/>
    </row>
    <row r="878" spans="1:9">
      <c r="B878"/>
      <c r="C878" s="209"/>
    </row>
    <row r="879" spans="1:9">
      <c r="B879"/>
      <c r="C879" s="209"/>
    </row>
    <row r="880" spans="1:9">
      <c r="B880"/>
      <c r="C880" s="209"/>
    </row>
    <row r="881" spans="1:11">
      <c r="B881"/>
      <c r="C881" s="209"/>
    </row>
    <row r="882" spans="1:11">
      <c r="B882"/>
      <c r="C882" s="209"/>
    </row>
    <row r="883" spans="1:11">
      <c r="B883"/>
      <c r="C883" s="209"/>
    </row>
    <row r="884" spans="1:11">
      <c r="B884"/>
      <c r="C884" s="209"/>
    </row>
    <row r="885" spans="1:11">
      <c r="B885"/>
      <c r="C885" s="209"/>
    </row>
    <row r="886" spans="1:11">
      <c r="B886"/>
      <c r="C886" s="209"/>
    </row>
    <row r="887" spans="1:11">
      <c r="B887"/>
      <c r="C887" s="209"/>
    </row>
    <row r="888" spans="1:11">
      <c r="B888"/>
      <c r="C888"/>
      <c r="D888"/>
      <c r="E888"/>
      <c r="F888" s="39"/>
      <c r="H888"/>
      <c r="I888"/>
    </row>
    <row r="889" spans="1:11">
      <c r="B889"/>
      <c r="C889"/>
      <c r="D889"/>
      <c r="E889"/>
      <c r="F889" s="39"/>
      <c r="H889"/>
      <c r="I889"/>
    </row>
    <row r="890" spans="1:11" ht="15.75">
      <c r="A890" s="9"/>
      <c r="B890" s="40" t="s">
        <v>71</v>
      </c>
      <c r="C890" s="9"/>
      <c r="D890" s="9"/>
      <c r="E890" s="9"/>
      <c r="F890" s="42"/>
      <c r="G890" s="9"/>
      <c r="H890" s="9"/>
      <c r="I890" s="9"/>
      <c r="J890" s="9"/>
    </row>
    <row r="891" spans="1:11">
      <c r="B891"/>
      <c r="C891"/>
      <c r="D891"/>
      <c r="E891"/>
      <c r="F891" s="39"/>
      <c r="H891"/>
      <c r="I891"/>
    </row>
    <row r="892" spans="1:11" ht="18.75">
      <c r="A892" s="117" t="s">
        <v>44</v>
      </c>
      <c r="B892" s="118">
        <f>SUBTOTAL(3,(B894:B925))</f>
        <v>32</v>
      </c>
      <c r="C892" s="299"/>
      <c r="D892" s="299"/>
      <c r="E892"/>
      <c r="F892" s="39"/>
      <c r="H892"/>
      <c r="I892"/>
    </row>
    <row r="893" spans="1:11" ht="47.25">
      <c r="A893" s="47" t="s">
        <v>46</v>
      </c>
      <c r="B893" s="119" t="s">
        <v>47</v>
      </c>
      <c r="C893" s="49" t="s">
        <v>48</v>
      </c>
      <c r="D893" s="50" t="s">
        <v>49</v>
      </c>
      <c r="E893" s="51" t="s">
        <v>50</v>
      </c>
      <c r="F893" s="25" t="s">
        <v>51</v>
      </c>
      <c r="G893" s="23" t="s">
        <v>52</v>
      </c>
      <c r="H893" s="26" t="s">
        <v>53</v>
      </c>
      <c r="I893" s="26" t="s">
        <v>54</v>
      </c>
      <c r="J893" t="s">
        <v>55</v>
      </c>
      <c r="K893" t="s">
        <v>56</v>
      </c>
    </row>
    <row r="894" spans="1:11">
      <c r="A894" s="27">
        <v>1</v>
      </c>
      <c r="B894" s="113" t="s">
        <v>637</v>
      </c>
      <c r="C894" s="120" t="s">
        <v>17</v>
      </c>
      <c r="D894" s="30" t="s">
        <v>78</v>
      </c>
      <c r="E894" s="31">
        <v>8770.3333333333303</v>
      </c>
      <c r="F894" s="32" t="s">
        <v>81</v>
      </c>
      <c r="G894" s="78">
        <f>IF(BD!$E894="","",(E894/(Tabla32[[#This Row],[Magnitud
1 en U]]*Tabla32[[#This Row],[Magnitud
2 en U]])))</f>
        <v>0.62645238095238076</v>
      </c>
      <c r="H894" s="34">
        <v>140</v>
      </c>
      <c r="I894" s="34">
        <v>100</v>
      </c>
    </row>
    <row r="895" spans="1:11">
      <c r="A895" s="27">
        <f t="shared" ref="A895:A925" si="9">A894+1</f>
        <v>2</v>
      </c>
      <c r="B895" s="72" t="s">
        <v>18</v>
      </c>
      <c r="C895" s="120" t="s">
        <v>17</v>
      </c>
      <c r="D895" s="30" t="s">
        <v>78</v>
      </c>
      <c r="E895" s="31">
        <v>28016</v>
      </c>
      <c r="F895" s="32" t="s">
        <v>81</v>
      </c>
      <c r="G895" s="78">
        <f>IF(BD!$E895="","",(E895/(Tabla32[[#This Row],[Magnitud
1 en U]]*Tabla32[[#This Row],[Magnitud
2 en U]])))</f>
        <v>2.0011428571428573</v>
      </c>
      <c r="H895" s="34">
        <v>140</v>
      </c>
      <c r="I895" s="34">
        <v>100</v>
      </c>
    </row>
    <row r="896" spans="1:11">
      <c r="A896" s="27">
        <f t="shared" si="9"/>
        <v>3</v>
      </c>
      <c r="B896" s="28" t="s">
        <v>638</v>
      </c>
      <c r="C896" s="120" t="s">
        <v>17</v>
      </c>
      <c r="D896" s="30" t="s">
        <v>77</v>
      </c>
      <c r="E896" s="31">
        <v>28016</v>
      </c>
      <c r="F896" s="32" t="s">
        <v>81</v>
      </c>
      <c r="G896" s="78">
        <f>IF(BD!$E896="","",(E896/(Tabla32[[#This Row],[Magnitud
1 en U]]*Tabla32[[#This Row],[Magnitud
2 en U]])))</f>
        <v>2.0011428571428573</v>
      </c>
      <c r="H896" s="34">
        <v>140</v>
      </c>
      <c r="I896" s="34">
        <v>100</v>
      </c>
    </row>
    <row r="897" spans="1:9">
      <c r="A897" s="27">
        <f t="shared" si="9"/>
        <v>4</v>
      </c>
      <c r="B897" s="28" t="s">
        <v>639</v>
      </c>
      <c r="C897" s="120" t="s">
        <v>17</v>
      </c>
      <c r="D897" s="30" t="s">
        <v>77</v>
      </c>
      <c r="E897" s="31">
        <v>10317</v>
      </c>
      <c r="F897" s="32" t="s">
        <v>81</v>
      </c>
      <c r="G897" s="78">
        <f>IF(BD!$E897="","",(E897/(Tabla32[[#This Row],[Magnitud
1 en U]]*Tabla32[[#This Row],[Magnitud
2 en U]])))</f>
        <v>0.68779999999999997</v>
      </c>
      <c r="H897" s="34">
        <v>150</v>
      </c>
      <c r="I897" s="34">
        <v>100</v>
      </c>
    </row>
    <row r="898" spans="1:9">
      <c r="A898" s="27">
        <f t="shared" si="9"/>
        <v>5</v>
      </c>
      <c r="B898" s="113" t="s">
        <v>640</v>
      </c>
      <c r="C898" s="120" t="s">
        <v>17</v>
      </c>
      <c r="D898" s="30" t="s">
        <v>78</v>
      </c>
      <c r="E898" s="31">
        <v>10200</v>
      </c>
      <c r="F898" s="32" t="s">
        <v>81</v>
      </c>
      <c r="G898" s="78">
        <f>IF(BD!$E898="","",(E898/(Tabla32[[#This Row],[Magnitud
1 en U]]*Tabla32[[#This Row],[Magnitud
2 en U]])))</f>
        <v>0.72857142857142854</v>
      </c>
      <c r="H898" s="34">
        <v>140</v>
      </c>
      <c r="I898" s="34">
        <v>100</v>
      </c>
    </row>
    <row r="899" spans="1:9">
      <c r="A899" s="27">
        <f t="shared" si="9"/>
        <v>6</v>
      </c>
      <c r="B899" s="113" t="s">
        <v>641</v>
      </c>
      <c r="C899" s="120" t="s">
        <v>17</v>
      </c>
      <c r="D899" s="30" t="s">
        <v>78</v>
      </c>
      <c r="E899" s="31">
        <v>39999.47</v>
      </c>
      <c r="F899" s="32" t="s">
        <v>81</v>
      </c>
      <c r="G899" s="78">
        <f>IF(BD!$E899="","",(E899/(Tabla32[[#This Row],[Magnitud
1 en U]]*Tabla32[[#This Row],[Magnitud
2 en U]])))</f>
        <v>2.8571050000000002</v>
      </c>
      <c r="H899" s="34">
        <v>140</v>
      </c>
      <c r="I899" s="34">
        <v>100</v>
      </c>
    </row>
    <row r="900" spans="1:9">
      <c r="A900" s="27">
        <f t="shared" si="9"/>
        <v>7</v>
      </c>
      <c r="B900" s="72" t="s">
        <v>642</v>
      </c>
      <c r="C900" s="120" t="s">
        <v>17</v>
      </c>
      <c r="D900" s="30" t="s">
        <v>77</v>
      </c>
      <c r="E900" s="31">
        <v>10200</v>
      </c>
      <c r="F900" s="32" t="s">
        <v>81</v>
      </c>
      <c r="G900" s="78">
        <f>IF(BD!$E900="","",(E900/(Tabla32[[#This Row],[Magnitud
1 en U]]*Tabla32[[#This Row],[Magnitud
2 en U]])))</f>
        <v>0.72857142857142854</v>
      </c>
      <c r="H900" s="34">
        <v>140</v>
      </c>
      <c r="I900" s="34">
        <v>100</v>
      </c>
    </row>
    <row r="901" spans="1:9">
      <c r="A901" s="27">
        <f t="shared" si="9"/>
        <v>8</v>
      </c>
      <c r="B901" s="28" t="s">
        <v>643</v>
      </c>
      <c r="C901" s="120" t="s">
        <v>17</v>
      </c>
      <c r="D901" s="30" t="s">
        <v>81</v>
      </c>
      <c r="E901" s="31">
        <v>28550</v>
      </c>
      <c r="F901" s="32" t="s">
        <v>81</v>
      </c>
      <c r="G901" s="78">
        <f>IF(BD!$E901="","",(E901/(Tabla32[[#This Row],[Magnitud
1 en U]]*Tabla32[[#This Row],[Magnitud
2 en U]])))</f>
        <v>2.0392857142857141</v>
      </c>
      <c r="H901" s="34">
        <v>140</v>
      </c>
      <c r="I901" s="34">
        <v>100</v>
      </c>
    </row>
    <row r="902" spans="1:9">
      <c r="A902" s="27">
        <f t="shared" si="9"/>
        <v>9</v>
      </c>
      <c r="B902" s="113" t="s">
        <v>644</v>
      </c>
      <c r="C902" s="120" t="s">
        <v>17</v>
      </c>
      <c r="D902" s="30" t="s">
        <v>78</v>
      </c>
      <c r="E902" s="31">
        <v>34999.089999999997</v>
      </c>
      <c r="F902" s="32" t="s">
        <v>81</v>
      </c>
      <c r="G902" s="78">
        <f>IF(BD!$E902="","",(E902/(Tabla32[[#This Row],[Magnitud
1 en U]]*Tabla32[[#This Row],[Magnitud
2 en U]])))</f>
        <v>2.4999349999999998</v>
      </c>
      <c r="H902" s="34">
        <v>140</v>
      </c>
      <c r="I902" s="34">
        <v>100</v>
      </c>
    </row>
    <row r="903" spans="1:9">
      <c r="A903" s="27">
        <f t="shared" si="9"/>
        <v>10</v>
      </c>
      <c r="B903" s="121" t="s">
        <v>645</v>
      </c>
      <c r="C903" s="120" t="s">
        <v>17</v>
      </c>
      <c r="D903" s="56" t="s">
        <v>78</v>
      </c>
      <c r="E903" s="57">
        <v>24999.52</v>
      </c>
      <c r="F903" s="32" t="s">
        <v>81</v>
      </c>
      <c r="G903" s="78">
        <f>IF(BD!$E903="","",(E903/(Tabla32[[#This Row],[Magnitud
1 en U]]*Tabla32[[#This Row],[Magnitud
2 en U]])))</f>
        <v>1.7856799999999999</v>
      </c>
      <c r="H903" s="34">
        <v>140</v>
      </c>
      <c r="I903" s="34">
        <v>100</v>
      </c>
    </row>
    <row r="904" spans="1:9">
      <c r="A904" s="27">
        <f t="shared" si="9"/>
        <v>11</v>
      </c>
      <c r="B904" s="122" t="s">
        <v>646</v>
      </c>
      <c r="C904" s="120" t="s">
        <v>17</v>
      </c>
      <c r="D904" s="56" t="s">
        <v>78</v>
      </c>
      <c r="E904" s="57">
        <v>13269</v>
      </c>
      <c r="F904" s="32" t="s">
        <v>81</v>
      </c>
      <c r="G904" s="78">
        <f>IF(BD!$E904="","",(E904/(Tabla32[[#This Row],[Magnitud
1 en U]]*Tabla32[[#This Row],[Magnitud
2 en U]])))</f>
        <v>0.94778571428571423</v>
      </c>
      <c r="H904" s="34">
        <v>140</v>
      </c>
      <c r="I904" s="34">
        <v>100</v>
      </c>
    </row>
    <row r="905" spans="1:9">
      <c r="A905" s="27">
        <f t="shared" si="9"/>
        <v>12</v>
      </c>
      <c r="B905" s="122" t="s">
        <v>647</v>
      </c>
      <c r="C905" s="120" t="s">
        <v>17</v>
      </c>
      <c r="D905" s="56" t="s">
        <v>78</v>
      </c>
      <c r="E905" s="57">
        <v>20059.830000000002</v>
      </c>
      <c r="F905" s="32" t="s">
        <v>81</v>
      </c>
      <c r="G905" s="78">
        <f>IF(BD!$E905="","",(E905/(Tabla32[[#This Row],[Magnitud
1 en U]]*Tabla32[[#This Row],[Magnitud
2 en U]])))</f>
        <v>1.4328450000000001</v>
      </c>
      <c r="H905" s="34">
        <v>140</v>
      </c>
      <c r="I905" s="34">
        <v>100</v>
      </c>
    </row>
    <row r="906" spans="1:9" ht="30">
      <c r="A906" s="27">
        <f t="shared" si="9"/>
        <v>13</v>
      </c>
      <c r="B906" s="122" t="s">
        <v>648</v>
      </c>
      <c r="C906" s="120" t="s">
        <v>17</v>
      </c>
      <c r="D906" s="56" t="s">
        <v>78</v>
      </c>
      <c r="E906" s="57">
        <v>31945</v>
      </c>
      <c r="F906" s="32" t="s">
        <v>81</v>
      </c>
      <c r="G906" s="78">
        <f>IF(BD!$E906="","",(E906/(Tabla32[[#This Row],[Magnitud
1 en U]]*Tabla32[[#This Row],[Magnitud
2 en U]])))</f>
        <v>2.2817857142857143</v>
      </c>
      <c r="H906" s="34">
        <v>140</v>
      </c>
      <c r="I906" s="34">
        <v>100</v>
      </c>
    </row>
    <row r="907" spans="1:9" ht="30">
      <c r="A907" s="27">
        <f t="shared" si="9"/>
        <v>14</v>
      </c>
      <c r="B907" s="122" t="s">
        <v>649</v>
      </c>
      <c r="C907" s="120" t="s">
        <v>17</v>
      </c>
      <c r="D907" s="56" t="s">
        <v>78</v>
      </c>
      <c r="E907" s="57">
        <v>59308.5</v>
      </c>
      <c r="F907" s="32" t="s">
        <v>81</v>
      </c>
      <c r="G907" s="78">
        <f>IF(BD!$E907="","",(E907/(Tabla32[[#This Row],[Magnitud
1 en U]]*Tabla32[[#This Row],[Magnitud
2 en U]])))</f>
        <v>4.2363214285714283</v>
      </c>
      <c r="H907" s="34">
        <v>140</v>
      </c>
      <c r="I907" s="34">
        <v>100</v>
      </c>
    </row>
    <row r="908" spans="1:9">
      <c r="A908" s="27">
        <f t="shared" si="9"/>
        <v>15</v>
      </c>
      <c r="B908" s="122" t="s">
        <v>650</v>
      </c>
      <c r="C908" s="120" t="s">
        <v>17</v>
      </c>
      <c r="D908" s="56" t="s">
        <v>78</v>
      </c>
      <c r="E908" s="57">
        <v>22911.759999999998</v>
      </c>
      <c r="F908" s="32" t="s">
        <v>81</v>
      </c>
      <c r="G908" s="78">
        <f>IF(BD!$E908="","",(E908/(Tabla32[[#This Row],[Magnitud
1 en U]]*Tabla32[[#This Row],[Magnitud
2 en U]])))</f>
        <v>1.6365542857142856</v>
      </c>
      <c r="H908" s="34">
        <v>140</v>
      </c>
      <c r="I908" s="34">
        <v>100</v>
      </c>
    </row>
    <row r="909" spans="1:9" ht="30">
      <c r="A909" s="27">
        <f t="shared" si="9"/>
        <v>16</v>
      </c>
      <c r="B909" s="121" t="s">
        <v>651</v>
      </c>
      <c r="C909" s="120" t="s">
        <v>17</v>
      </c>
      <c r="D909" s="56" t="s">
        <v>78</v>
      </c>
      <c r="E909" s="57">
        <v>39358.5</v>
      </c>
      <c r="F909" s="32" t="s">
        <v>81</v>
      </c>
      <c r="G909" s="78">
        <f>IF(BD!$E909="","",(E909/(Tabla32[[#This Row],[Magnitud
1 en U]]*Tabla32[[#This Row],[Magnitud
2 en U]])))</f>
        <v>2.8113214285714285</v>
      </c>
      <c r="H909" s="34">
        <v>140</v>
      </c>
      <c r="I909" s="34">
        <v>100</v>
      </c>
    </row>
    <row r="910" spans="1:9">
      <c r="A910" s="27">
        <f t="shared" si="9"/>
        <v>17</v>
      </c>
      <c r="B910" s="122" t="s">
        <v>652</v>
      </c>
      <c r="C910" s="120" t="s">
        <v>17</v>
      </c>
      <c r="D910" s="56" t="s">
        <v>78</v>
      </c>
      <c r="E910" s="57">
        <v>34666.660000000003</v>
      </c>
      <c r="F910" s="32" t="s">
        <v>81</v>
      </c>
      <c r="G910" s="78">
        <f>IF(BD!$E910="","",(E910/(Tabla32[[#This Row],[Magnitud
1 en U]]*Tabla32[[#This Row],[Magnitud
2 en U]])))</f>
        <v>2.4761900000000003</v>
      </c>
      <c r="H910" s="34">
        <v>140</v>
      </c>
      <c r="I910" s="34">
        <v>100</v>
      </c>
    </row>
    <row r="911" spans="1:9">
      <c r="A911" s="27">
        <f t="shared" si="9"/>
        <v>18</v>
      </c>
      <c r="B911" s="122" t="s">
        <v>653</v>
      </c>
      <c r="C911" s="120" t="s">
        <v>17</v>
      </c>
      <c r="D911" s="56" t="s">
        <v>81</v>
      </c>
      <c r="E911" s="57">
        <v>3550</v>
      </c>
      <c r="F911" s="32" t="s">
        <v>81</v>
      </c>
      <c r="G911" s="78">
        <f>IF(BD!$E905="","",(E911/(Tabla32[[#This Row],[Magnitud
1 en U]]*Tabla32[[#This Row],[Magnitud
2 en U]])))</f>
        <v>0.23666666666666666</v>
      </c>
      <c r="H911" s="34">
        <v>150</v>
      </c>
      <c r="I911" s="34">
        <v>100</v>
      </c>
    </row>
    <row r="912" spans="1:9">
      <c r="A912" s="27">
        <f t="shared" si="9"/>
        <v>19</v>
      </c>
      <c r="B912" s="121" t="s">
        <v>654</v>
      </c>
      <c r="C912" s="120" t="s">
        <v>17</v>
      </c>
      <c r="D912" s="56" t="s">
        <v>78</v>
      </c>
      <c r="E912" s="57">
        <v>16591.599999999999</v>
      </c>
      <c r="F912" s="32" t="s">
        <v>81</v>
      </c>
      <c r="G912" s="78">
        <f>IF(BD!$E906="","",(E912/(Tabla32[[#This Row],[Magnitud
1 en U]]*Tabla32[[#This Row],[Magnitud
2 en U]])))</f>
        <v>1.1851142857142856</v>
      </c>
      <c r="H912" s="34">
        <v>140</v>
      </c>
      <c r="I912" s="34">
        <v>100</v>
      </c>
    </row>
    <row r="913" spans="1:9">
      <c r="A913" s="27">
        <f t="shared" si="9"/>
        <v>20</v>
      </c>
      <c r="B913" s="123" t="s">
        <v>655</v>
      </c>
      <c r="C913" s="120" t="s">
        <v>17</v>
      </c>
      <c r="D913" s="56" t="s">
        <v>78</v>
      </c>
      <c r="E913" s="57">
        <v>16813.509999999998</v>
      </c>
      <c r="F913" s="32" t="s">
        <v>81</v>
      </c>
      <c r="G913" s="78">
        <f>IF(BD!$E907="","",(E913/(Tabla32[[#This Row],[Magnitud
1 en U]]*Tabla32[[#This Row],[Magnitud
2 en U]])))</f>
        <v>1.2009649999999998</v>
      </c>
      <c r="H913" s="34">
        <v>140</v>
      </c>
      <c r="I913" s="34">
        <v>100</v>
      </c>
    </row>
    <row r="914" spans="1:9">
      <c r="A914" s="27">
        <f t="shared" si="9"/>
        <v>21</v>
      </c>
      <c r="B914" s="123" t="s">
        <v>656</v>
      </c>
      <c r="C914" s="120" t="s">
        <v>17</v>
      </c>
      <c r="D914" s="56" t="s">
        <v>78</v>
      </c>
      <c r="E914" s="57">
        <v>19744.004000000001</v>
      </c>
      <c r="F914" s="32" t="s">
        <v>81</v>
      </c>
      <c r="G914" s="78">
        <f>IF(BD!$E908="","",(E914/(Tabla32[[#This Row],[Magnitud
1 en U]]*Tabla32[[#This Row],[Magnitud
2 en U]])))</f>
        <v>1.4102860000000002</v>
      </c>
      <c r="H914" s="34">
        <v>140</v>
      </c>
      <c r="I914" s="34">
        <v>100</v>
      </c>
    </row>
    <row r="915" spans="1:9">
      <c r="A915" s="27">
        <f t="shared" si="9"/>
        <v>22</v>
      </c>
      <c r="B915" s="121" t="s">
        <v>657</v>
      </c>
      <c r="C915" s="120" t="s">
        <v>17</v>
      </c>
      <c r="D915" s="56" t="s">
        <v>78</v>
      </c>
      <c r="E915" s="57">
        <v>9500</v>
      </c>
      <c r="F915" s="32" t="s">
        <v>81</v>
      </c>
      <c r="G915" s="78">
        <f>IF(BD!$E909="","",(E915/(Tabla32[[#This Row],[Magnitud
1 en U]]*Tabla32[[#This Row],[Magnitud
2 en U]])))</f>
        <v>0.6785714285714286</v>
      </c>
      <c r="H915" s="34">
        <v>140</v>
      </c>
      <c r="I915" s="34">
        <v>100</v>
      </c>
    </row>
    <row r="916" spans="1:9">
      <c r="A916" s="27">
        <f t="shared" si="9"/>
        <v>23</v>
      </c>
      <c r="B916" s="123" t="s">
        <v>658</v>
      </c>
      <c r="C916" s="120" t="s">
        <v>17</v>
      </c>
      <c r="D916" s="56" t="s">
        <v>78</v>
      </c>
      <c r="E916" s="57">
        <v>7511.9939999999997</v>
      </c>
      <c r="F916" s="32" t="s">
        <v>81</v>
      </c>
      <c r="G916" s="78">
        <f>IF(BD!$E910="","",(E916/(Tabla32[[#This Row],[Magnitud
1 en U]]*Tabla32[[#This Row],[Magnitud
2 en U]])))</f>
        <v>0.53657100000000002</v>
      </c>
      <c r="H916" s="34">
        <v>140</v>
      </c>
      <c r="I916" s="34">
        <v>100</v>
      </c>
    </row>
    <row r="917" spans="1:9" ht="30">
      <c r="A917" s="27">
        <f t="shared" si="9"/>
        <v>24</v>
      </c>
      <c r="B917" s="121" t="s">
        <v>659</v>
      </c>
      <c r="C917" s="120" t="s">
        <v>17</v>
      </c>
      <c r="D917" s="56" t="s">
        <v>78</v>
      </c>
      <c r="E917" s="57">
        <v>28016</v>
      </c>
      <c r="F917" s="32" t="s">
        <v>81</v>
      </c>
      <c r="G917" s="78">
        <f>IF(BD!$E911="","",(E917/(Tabla32[[#This Row],[Magnitud
1 en U]]*Tabla32[[#This Row],[Magnitud
2 en U]])))</f>
        <v>2.0011428571428573</v>
      </c>
      <c r="H917" s="34">
        <v>140</v>
      </c>
      <c r="I917" s="34">
        <v>100</v>
      </c>
    </row>
    <row r="918" spans="1:9">
      <c r="A918" s="27">
        <f t="shared" si="9"/>
        <v>25</v>
      </c>
      <c r="B918" s="123" t="s">
        <v>660</v>
      </c>
      <c r="C918" s="120" t="s">
        <v>17</v>
      </c>
      <c r="D918" s="56" t="s">
        <v>78</v>
      </c>
      <c r="E918" s="57">
        <v>25200</v>
      </c>
      <c r="F918" s="32" t="s">
        <v>81</v>
      </c>
      <c r="G918" s="78">
        <f>IF(BD!$E912="","",(E918/(Tabla32[[#This Row],[Magnitud
1 en U]]*Tabla32[[#This Row],[Magnitud
2 en U]])))</f>
        <v>1.8</v>
      </c>
      <c r="H918" s="34">
        <v>140</v>
      </c>
      <c r="I918" s="34">
        <v>100</v>
      </c>
    </row>
    <row r="919" spans="1:9">
      <c r="A919" s="27">
        <f t="shared" si="9"/>
        <v>26</v>
      </c>
      <c r="B919" s="113" t="s">
        <v>661</v>
      </c>
      <c r="C919" s="120" t="s">
        <v>17</v>
      </c>
      <c r="D919" s="30" t="s">
        <v>78</v>
      </c>
      <c r="E919" s="31">
        <v>6970.59</v>
      </c>
      <c r="F919" s="32" t="s">
        <v>81</v>
      </c>
      <c r="G919" s="78">
        <f>IF(BD!$E913="","",(E919/(Tabla32[[#This Row],[Magnitud
1 en U]]*Tabla32[[#This Row],[Magnitud
2 en U]])))</f>
        <v>0.49789928571428571</v>
      </c>
      <c r="H919" s="34">
        <v>140</v>
      </c>
      <c r="I919" s="34">
        <v>100</v>
      </c>
    </row>
    <row r="920" spans="1:9">
      <c r="A920" s="27">
        <f t="shared" si="9"/>
        <v>27</v>
      </c>
      <c r="B920" s="113" t="s">
        <v>662</v>
      </c>
      <c r="C920" s="120" t="s">
        <v>17</v>
      </c>
      <c r="D920" s="30" t="s">
        <v>78</v>
      </c>
      <c r="E920" s="31">
        <v>44000</v>
      </c>
      <c r="F920" s="32" t="s">
        <v>81</v>
      </c>
      <c r="G920" s="78">
        <f>IF(BD!$E915="","",(E920/(Tabla32[[#This Row],[Magnitud
1 en U]]*Tabla32[[#This Row],[Magnitud
2 en U]])))</f>
        <v>3.1428571428571428</v>
      </c>
      <c r="H920" s="58">
        <v>140</v>
      </c>
      <c r="I920" s="54">
        <v>100</v>
      </c>
    </row>
    <row r="921" spans="1:9">
      <c r="A921" s="27">
        <f t="shared" si="9"/>
        <v>28</v>
      </c>
      <c r="B921" s="28" t="s">
        <v>663</v>
      </c>
      <c r="C921" s="120" t="s">
        <v>17</v>
      </c>
      <c r="D921" s="30" t="s">
        <v>77</v>
      </c>
      <c r="E921" s="31">
        <v>18500</v>
      </c>
      <c r="F921" s="32" t="s">
        <v>81</v>
      </c>
      <c r="G921" s="78">
        <f>IF(BD!$E916="","",(E921/(Tabla32[[#This Row],[Magnitud
1 en U]]*Tabla32[[#This Row],[Magnitud
2 en U]])))</f>
        <v>1.3214285714285714</v>
      </c>
      <c r="H921" s="58">
        <v>140</v>
      </c>
      <c r="I921" s="34">
        <v>100</v>
      </c>
    </row>
    <row r="922" spans="1:9">
      <c r="A922" s="27">
        <f t="shared" si="9"/>
        <v>29</v>
      </c>
      <c r="B922" s="28" t="s">
        <v>664</v>
      </c>
      <c r="C922" s="120" t="s">
        <v>17</v>
      </c>
      <c r="D922" s="30" t="s">
        <v>77</v>
      </c>
      <c r="E922" s="31">
        <v>39100</v>
      </c>
      <c r="F922" s="32" t="s">
        <v>81</v>
      </c>
      <c r="G922" s="78">
        <f>IF(BD!$E917="","",(E922/(Tabla32[[#This Row],[Magnitud
1 en U]]*Tabla32[[#This Row],[Magnitud
2 en U]])))</f>
        <v>2.7928571428571427</v>
      </c>
      <c r="H922" s="58">
        <v>140</v>
      </c>
      <c r="I922" s="34">
        <v>100</v>
      </c>
    </row>
    <row r="923" spans="1:9">
      <c r="A923" s="27">
        <f t="shared" si="9"/>
        <v>30</v>
      </c>
      <c r="B923" s="102" t="s">
        <v>665</v>
      </c>
      <c r="C923" s="120" t="s">
        <v>17</v>
      </c>
      <c r="D923" s="30" t="s">
        <v>77</v>
      </c>
      <c r="E923" s="71">
        <v>11950</v>
      </c>
      <c r="F923" s="32" t="s">
        <v>81</v>
      </c>
      <c r="G923" s="78">
        <f>IF(BD!$E918="","",(E923/(Tabla32[[#This Row],[Magnitud
1 en U]]*Tabla32[[#This Row],[Magnitud
2 en U]])))</f>
        <v>0.85357142857142854</v>
      </c>
      <c r="H923" s="58">
        <v>140</v>
      </c>
      <c r="I923" s="34">
        <v>100</v>
      </c>
    </row>
    <row r="924" spans="1:9" ht="30">
      <c r="A924" s="27">
        <f t="shared" si="9"/>
        <v>31</v>
      </c>
      <c r="B924" s="124" t="s">
        <v>666</v>
      </c>
      <c r="C924" s="120" t="s">
        <v>17</v>
      </c>
      <c r="D924" s="30" t="s">
        <v>78</v>
      </c>
      <c r="E924" s="71">
        <v>5194</v>
      </c>
      <c r="F924" s="32" t="s">
        <v>81</v>
      </c>
      <c r="G924" s="78">
        <f>IF(BD!$E919="","",(E924/(Tabla32[[#This Row],[Magnitud
1 en U]]*Tabla32[[#This Row],[Magnitud
2 en U]])))</f>
        <v>0.371</v>
      </c>
      <c r="H924" s="58">
        <v>140</v>
      </c>
      <c r="I924" s="34">
        <v>100</v>
      </c>
    </row>
    <row r="925" spans="1:9" ht="30">
      <c r="A925" s="27">
        <f t="shared" si="9"/>
        <v>32</v>
      </c>
      <c r="B925" s="124" t="s">
        <v>667</v>
      </c>
      <c r="C925" s="120" t="s">
        <v>17</v>
      </c>
      <c r="D925" s="30" t="s">
        <v>77</v>
      </c>
      <c r="E925" s="71">
        <v>59308.5</v>
      </c>
      <c r="F925" s="32" t="s">
        <v>81</v>
      </c>
      <c r="G925" s="78">
        <f>IF(BD!$E920="","",(E925/(Tabla32[[#This Row],[Magnitud
1 en U]]*Tabla32[[#This Row],[Magnitud
2 en U]])))</f>
        <v>4.2363214285714283</v>
      </c>
      <c r="H925" s="58">
        <v>140</v>
      </c>
      <c r="I925" s="34">
        <v>100</v>
      </c>
    </row>
    <row r="926" spans="1:9">
      <c r="A926" s="125"/>
      <c r="B926" s="64"/>
      <c r="C926" s="126"/>
      <c r="D926" s="127"/>
      <c r="E926" s="128"/>
      <c r="G926" s="129"/>
      <c r="H926" s="130"/>
      <c r="I926" s="130"/>
    </row>
    <row r="927" spans="1:9">
      <c r="A927" s="125"/>
      <c r="B927" s="64"/>
      <c r="C927" s="126"/>
      <c r="D927" s="127"/>
      <c r="E927" s="128"/>
      <c r="G927" s="129"/>
      <c r="H927" s="130"/>
      <c r="I927" s="130"/>
    </row>
    <row r="928" spans="1:9">
      <c r="A928" s="125"/>
      <c r="B928" s="64"/>
      <c r="C928" s="126"/>
      <c r="D928" s="127"/>
      <c r="E928" s="128"/>
      <c r="G928" s="129"/>
      <c r="H928" s="130"/>
      <c r="I928" s="130"/>
    </row>
    <row r="929" spans="1:10">
      <c r="A929" s="125"/>
      <c r="B929" s="64"/>
      <c r="C929" s="126"/>
      <c r="D929" s="127"/>
      <c r="E929" s="128"/>
      <c r="G929" s="129"/>
      <c r="H929" s="130"/>
      <c r="I929" s="130"/>
    </row>
    <row r="930" spans="1:10">
      <c r="A930" s="125"/>
      <c r="B930" s="64"/>
      <c r="C930" s="126"/>
      <c r="D930" s="127"/>
      <c r="E930" s="128"/>
      <c r="G930" s="129"/>
      <c r="H930" s="130"/>
      <c r="I930" s="130"/>
    </row>
    <row r="931" spans="1:10">
      <c r="A931" s="125"/>
      <c r="B931" s="64"/>
      <c r="C931" s="126"/>
      <c r="D931" s="127"/>
      <c r="E931" s="128"/>
      <c r="G931" s="129"/>
      <c r="H931" s="130"/>
      <c r="I931" s="130"/>
    </row>
    <row r="932" spans="1:10">
      <c r="A932" s="125"/>
      <c r="B932" s="64"/>
      <c r="C932" s="126"/>
      <c r="D932" s="127"/>
      <c r="E932" s="128"/>
      <c r="G932" s="129"/>
      <c r="H932" s="130"/>
      <c r="I932" s="130"/>
    </row>
    <row r="933" spans="1:10" ht="18" customHeight="1">
      <c r="A933" s="125"/>
      <c r="B933" s="64"/>
      <c r="C933" s="126"/>
      <c r="D933" s="127"/>
      <c r="E933" s="128"/>
      <c r="G933" s="129"/>
      <c r="H933" s="130"/>
      <c r="I933" s="130"/>
    </row>
    <row r="934" spans="1:10">
      <c r="A934" s="125"/>
      <c r="B934" s="64"/>
      <c r="C934" s="126"/>
      <c r="D934" s="127"/>
      <c r="E934" s="128"/>
      <c r="G934" s="129"/>
      <c r="H934" s="130"/>
      <c r="I934" s="130"/>
    </row>
    <row r="935" spans="1:10">
      <c r="A935" s="125"/>
      <c r="B935" s="64"/>
      <c r="C935" s="126"/>
      <c r="D935" s="127"/>
      <c r="E935" s="128"/>
      <c r="G935" s="129"/>
      <c r="H935" s="130"/>
      <c r="I935" s="130"/>
    </row>
    <row r="936" spans="1:10">
      <c r="A936" s="125"/>
      <c r="B936" s="64"/>
      <c r="C936" s="126"/>
      <c r="D936" s="127"/>
      <c r="E936" s="128"/>
      <c r="G936" s="129"/>
      <c r="H936" s="130"/>
      <c r="I936" s="130"/>
    </row>
    <row r="937" spans="1:10" ht="30" customHeight="1">
      <c r="A937" s="125"/>
      <c r="B937" s="64"/>
      <c r="C937" s="126"/>
      <c r="D937" s="127"/>
      <c r="E937" s="128"/>
      <c r="G937" s="129"/>
      <c r="H937" s="130"/>
      <c r="I937" s="130"/>
    </row>
    <row r="938" spans="1:10">
      <c r="A938" s="125"/>
      <c r="B938" s="64"/>
      <c r="C938" s="126"/>
      <c r="D938" s="127"/>
      <c r="E938" s="128"/>
      <c r="G938" s="129"/>
      <c r="H938" s="130"/>
      <c r="I938" s="130"/>
    </row>
    <row r="939" spans="1:10">
      <c r="B939"/>
      <c r="C939"/>
      <c r="D939"/>
      <c r="E939"/>
      <c r="F939" s="39"/>
      <c r="H939"/>
      <c r="I939"/>
    </row>
    <row r="940" spans="1:10">
      <c r="B940"/>
      <c r="C940"/>
      <c r="D940"/>
      <c r="E940"/>
      <c r="F940" s="39"/>
      <c r="H940"/>
      <c r="I940"/>
    </row>
    <row r="941" spans="1:10">
      <c r="B941"/>
      <c r="C941"/>
      <c r="D941"/>
      <c r="E941"/>
      <c r="F941" s="39"/>
      <c r="H941"/>
      <c r="I941"/>
    </row>
    <row r="942" spans="1:10" ht="15.75">
      <c r="A942" s="9"/>
      <c r="B942" s="40" t="s">
        <v>71</v>
      </c>
      <c r="C942" s="9"/>
      <c r="D942" s="9"/>
      <c r="E942" s="9"/>
      <c r="F942" s="42"/>
      <c r="G942" s="9"/>
      <c r="H942" s="9"/>
      <c r="I942" s="9"/>
      <c r="J942" s="9"/>
    </row>
    <row r="943" spans="1:10">
      <c r="B943"/>
      <c r="C943"/>
      <c r="D943"/>
      <c r="E943"/>
      <c r="F943" s="39"/>
      <c r="H943"/>
      <c r="I943"/>
    </row>
    <row r="944" spans="1:10">
      <c r="C944"/>
      <c r="D944"/>
      <c r="E944"/>
      <c r="F944" s="39"/>
      <c r="H944"/>
      <c r="I944"/>
    </row>
    <row r="945" spans="1:11" ht="28.5" customHeight="1">
      <c r="A945" s="131" t="s">
        <v>44</v>
      </c>
      <c r="B945" s="132">
        <f>SUBTOTAL(3,(B947:B968))</f>
        <v>22</v>
      </c>
      <c r="C945" s="299"/>
      <c r="D945" s="299"/>
      <c r="E945"/>
      <c r="F945" s="39"/>
      <c r="H945"/>
      <c r="I945"/>
    </row>
    <row r="946" spans="1:11" ht="47.25">
      <c r="A946" s="133" t="s">
        <v>46</v>
      </c>
      <c r="B946" s="134" t="s">
        <v>47</v>
      </c>
      <c r="C946" s="135" t="s">
        <v>48</v>
      </c>
      <c r="D946" s="136" t="s">
        <v>49</v>
      </c>
      <c r="E946" s="51" t="s">
        <v>50</v>
      </c>
      <c r="F946" s="25" t="s">
        <v>51</v>
      </c>
      <c r="G946" s="23" t="s">
        <v>52</v>
      </c>
      <c r="H946" s="26" t="s">
        <v>53</v>
      </c>
      <c r="I946" s="26" t="s">
        <v>54</v>
      </c>
      <c r="J946" t="s">
        <v>55</v>
      </c>
      <c r="K946" t="s">
        <v>56</v>
      </c>
    </row>
    <row r="947" spans="1:11" ht="30">
      <c r="A947" s="137">
        <v>1</v>
      </c>
      <c r="B947" s="138" t="s">
        <v>668</v>
      </c>
      <c r="C947" s="139" t="s">
        <v>669</v>
      </c>
      <c r="D947" s="30" t="s">
        <v>64</v>
      </c>
      <c r="E947" s="31">
        <v>88750</v>
      </c>
      <c r="F947" s="32" t="s">
        <v>64</v>
      </c>
      <c r="G947" s="33">
        <f>IF(BD!$E947="","",(E947/(H947*I947)))</f>
        <v>88750</v>
      </c>
      <c r="H947" s="140">
        <v>1</v>
      </c>
      <c r="I947" s="140">
        <v>1</v>
      </c>
    </row>
    <row r="948" spans="1:11" ht="30">
      <c r="A948" s="137">
        <f>A947+1</f>
        <v>2</v>
      </c>
      <c r="B948" s="138" t="s">
        <v>670</v>
      </c>
      <c r="C948" s="139" t="s">
        <v>669</v>
      </c>
      <c r="D948" s="30" t="s">
        <v>64</v>
      </c>
      <c r="E948" s="31">
        <v>18000</v>
      </c>
      <c r="F948" s="32" t="s">
        <v>64</v>
      </c>
      <c r="G948" s="33">
        <f>IF(BD!$E948="","",(E948/(H948*I948)))</f>
        <v>18000</v>
      </c>
      <c r="H948" s="140">
        <v>1</v>
      </c>
      <c r="I948" s="140">
        <v>1</v>
      </c>
    </row>
    <row r="949" spans="1:11" ht="30">
      <c r="A949" s="137">
        <f t="shared" ref="A949:A968" si="10">A948+1</f>
        <v>3</v>
      </c>
      <c r="B949" s="138" t="s">
        <v>671</v>
      </c>
      <c r="C949" s="139" t="s">
        <v>669</v>
      </c>
      <c r="D949" s="30" t="s">
        <v>64</v>
      </c>
      <c r="E949" s="31">
        <v>48900</v>
      </c>
      <c r="F949" s="32" t="s">
        <v>64</v>
      </c>
      <c r="G949" s="33">
        <f>IF(BD!$E949="","",(E949/(H949*I949)))</f>
        <v>48900</v>
      </c>
      <c r="H949" s="140">
        <v>1</v>
      </c>
      <c r="I949" s="140">
        <v>1</v>
      </c>
    </row>
    <row r="950" spans="1:11" ht="30">
      <c r="A950" s="137">
        <f t="shared" si="10"/>
        <v>4</v>
      </c>
      <c r="B950" s="138" t="s">
        <v>672</v>
      </c>
      <c r="C950" s="139" t="s">
        <v>669</v>
      </c>
      <c r="D950" s="30" t="s">
        <v>64</v>
      </c>
      <c r="E950" s="31">
        <v>5150</v>
      </c>
      <c r="F950" s="32" t="s">
        <v>64</v>
      </c>
      <c r="G950" s="33">
        <f>IF(BD!$E950="","",(E950/(H950*I950)))</f>
        <v>5150</v>
      </c>
      <c r="H950" s="140">
        <v>1</v>
      </c>
      <c r="I950" s="140">
        <v>1</v>
      </c>
    </row>
    <row r="951" spans="1:11" ht="30">
      <c r="A951" s="137">
        <f t="shared" si="10"/>
        <v>5</v>
      </c>
      <c r="B951" s="138" t="s">
        <v>673</v>
      </c>
      <c r="C951" s="139" t="s">
        <v>669</v>
      </c>
      <c r="D951" s="30" t="s">
        <v>64</v>
      </c>
      <c r="E951" s="31">
        <v>6400</v>
      </c>
      <c r="F951" s="32" t="s">
        <v>64</v>
      </c>
      <c r="G951" s="33">
        <f>IF(BD!$E951="","",(E951/(H951*I951)))</f>
        <v>6400</v>
      </c>
      <c r="H951" s="140">
        <v>1</v>
      </c>
      <c r="I951" s="140">
        <v>1</v>
      </c>
    </row>
    <row r="952" spans="1:11" ht="30">
      <c r="A952" s="137">
        <f t="shared" si="10"/>
        <v>6</v>
      </c>
      <c r="B952" s="138" t="s">
        <v>674</v>
      </c>
      <c r="C952" s="139" t="s">
        <v>669</v>
      </c>
      <c r="D952" s="30" t="s">
        <v>73</v>
      </c>
      <c r="E952" s="31">
        <v>61500</v>
      </c>
      <c r="F952" s="32" t="s">
        <v>73</v>
      </c>
      <c r="G952" s="33">
        <f>IF(BD!$E952="","",(E952/(H952*I952)))</f>
        <v>61500</v>
      </c>
      <c r="H952" s="140">
        <v>1</v>
      </c>
      <c r="I952" s="140">
        <v>1</v>
      </c>
    </row>
    <row r="953" spans="1:11" ht="45">
      <c r="A953" s="137">
        <f t="shared" si="10"/>
        <v>7</v>
      </c>
      <c r="B953" s="138" t="s">
        <v>675</v>
      </c>
      <c r="C953" s="139" t="s">
        <v>669</v>
      </c>
      <c r="D953" s="30" t="s">
        <v>64</v>
      </c>
      <c r="E953" s="31">
        <v>48683.375</v>
      </c>
      <c r="F953" s="32" t="s">
        <v>64</v>
      </c>
      <c r="G953" s="33">
        <f>IF(BD!$E953="","",(E953/(H953*I953)))</f>
        <v>48683.375</v>
      </c>
      <c r="H953" s="140">
        <v>1</v>
      </c>
      <c r="I953" s="140">
        <v>1</v>
      </c>
    </row>
    <row r="954" spans="1:11" ht="30">
      <c r="A954" s="137">
        <f t="shared" si="10"/>
        <v>8</v>
      </c>
      <c r="B954" s="138" t="s">
        <v>676</v>
      </c>
      <c r="C954" s="139" t="s">
        <v>669</v>
      </c>
      <c r="D954" s="30" t="s">
        <v>64</v>
      </c>
      <c r="E954" s="31">
        <v>44533.333333333299</v>
      </c>
      <c r="F954" s="32" t="s">
        <v>64</v>
      </c>
      <c r="G954" s="33">
        <f>IF(BD!$E954="","",(E954/(H954*I954)))</f>
        <v>44533.333333333299</v>
      </c>
      <c r="H954" s="34">
        <v>1</v>
      </c>
      <c r="I954" s="34">
        <v>1</v>
      </c>
    </row>
    <row r="955" spans="1:11" ht="30">
      <c r="A955" s="137">
        <f t="shared" si="10"/>
        <v>9</v>
      </c>
      <c r="B955" s="138" t="s">
        <v>677</v>
      </c>
      <c r="C955" s="141" t="s">
        <v>669</v>
      </c>
      <c r="D955" s="70" t="s">
        <v>678</v>
      </c>
      <c r="E955" s="71">
        <v>44500</v>
      </c>
      <c r="F955" s="32" t="s">
        <v>64</v>
      </c>
      <c r="G955" s="33">
        <f>IF(BD!$E955="","",(E955/(H955*I955)))</f>
        <v>44500</v>
      </c>
      <c r="H955" s="142">
        <v>1</v>
      </c>
      <c r="I955" s="142">
        <v>1</v>
      </c>
    </row>
    <row r="956" spans="1:11">
      <c r="A956" s="137">
        <f t="shared" si="10"/>
        <v>10</v>
      </c>
      <c r="B956" s="138" t="s">
        <v>679</v>
      </c>
      <c r="C956" s="141" t="s">
        <v>669</v>
      </c>
      <c r="D956" s="70" t="s">
        <v>64</v>
      </c>
      <c r="E956" s="71">
        <v>22370</v>
      </c>
      <c r="F956" s="32" t="s">
        <v>64</v>
      </c>
      <c r="G956" s="33">
        <f>IF(BD!$E956="","",(E956/(H956*I956)))</f>
        <v>22370</v>
      </c>
      <c r="H956" s="142">
        <v>1</v>
      </c>
      <c r="I956" s="142">
        <v>1</v>
      </c>
    </row>
    <row r="957" spans="1:11">
      <c r="A957" s="137">
        <f t="shared" si="10"/>
        <v>11</v>
      </c>
      <c r="B957" s="138" t="s">
        <v>680</v>
      </c>
      <c r="C957" s="141" t="s">
        <v>669</v>
      </c>
      <c r="D957" s="70" t="s">
        <v>64</v>
      </c>
      <c r="E957" s="71">
        <v>184100</v>
      </c>
      <c r="F957" s="32" t="s">
        <v>64</v>
      </c>
      <c r="G957" s="33">
        <f>IF(BD!$E957="","",(E957/(H957*I957)))</f>
        <v>184100</v>
      </c>
      <c r="H957" s="143">
        <v>1</v>
      </c>
      <c r="I957" s="143">
        <v>1</v>
      </c>
    </row>
    <row r="958" spans="1:11" ht="30">
      <c r="A958" s="137">
        <f t="shared" si="10"/>
        <v>12</v>
      </c>
      <c r="B958" s="138" t="s">
        <v>681</v>
      </c>
      <c r="C958" s="141" t="s">
        <v>669</v>
      </c>
      <c r="D958" s="70" t="s">
        <v>64</v>
      </c>
      <c r="E958" s="71">
        <v>6333.3374999999996</v>
      </c>
      <c r="F958" s="32" t="s">
        <v>64</v>
      </c>
      <c r="G958" s="33">
        <f>IF(BD!$E958="","",(E958/(H958*I958)))</f>
        <v>6333.3374999999996</v>
      </c>
      <c r="H958" s="142">
        <v>1</v>
      </c>
      <c r="I958" s="142">
        <v>1</v>
      </c>
    </row>
    <row r="959" spans="1:11" ht="30">
      <c r="A959" s="137">
        <f t="shared" si="10"/>
        <v>13</v>
      </c>
      <c r="B959" s="138" t="s">
        <v>682</v>
      </c>
      <c r="C959" s="141" t="s">
        <v>669</v>
      </c>
      <c r="D959" s="70" t="s">
        <v>64</v>
      </c>
      <c r="E959" s="71">
        <v>17266.599999999999</v>
      </c>
      <c r="F959" s="32" t="s">
        <v>64</v>
      </c>
      <c r="G959" s="33">
        <f>IF(BD!$E959="","",(E959/(H959*I959)))</f>
        <v>17266.599999999999</v>
      </c>
      <c r="H959" s="143">
        <v>1</v>
      </c>
      <c r="I959" s="143">
        <v>1</v>
      </c>
    </row>
    <row r="960" spans="1:11">
      <c r="A960" s="137" t="e">
        <f>#REF!+1</f>
        <v>#REF!</v>
      </c>
      <c r="B960" s="138" t="s">
        <v>683</v>
      </c>
      <c r="C960" s="141" t="s">
        <v>669</v>
      </c>
      <c r="D960" s="70" t="s">
        <v>64</v>
      </c>
      <c r="E960" s="71">
        <v>182666.66666666701</v>
      </c>
      <c r="F960" s="32" t="s">
        <v>64</v>
      </c>
      <c r="G960" s="33">
        <f>IF(BD!$E960="","",(E960/(H960*I960)))</f>
        <v>182666.66666666701</v>
      </c>
      <c r="H960" s="143">
        <v>1</v>
      </c>
      <c r="I960" s="143">
        <v>1</v>
      </c>
    </row>
    <row r="961" spans="1:9" ht="30">
      <c r="A961" s="137" t="e">
        <f t="shared" si="10"/>
        <v>#REF!</v>
      </c>
      <c r="B961" s="144" t="s">
        <v>684</v>
      </c>
      <c r="C961" s="141" t="s">
        <v>669</v>
      </c>
      <c r="D961" s="70" t="s">
        <v>678</v>
      </c>
      <c r="E961" s="71">
        <v>2500</v>
      </c>
      <c r="F961" s="32" t="s">
        <v>64</v>
      </c>
      <c r="G961" s="33">
        <f>IF(BD!$E961="","",(E961/(H961*I961)))</f>
        <v>2500</v>
      </c>
      <c r="H961" s="142">
        <v>1</v>
      </c>
      <c r="I961" s="142">
        <v>1</v>
      </c>
    </row>
    <row r="962" spans="1:9" ht="30">
      <c r="A962" s="137" t="e">
        <f t="shared" si="10"/>
        <v>#REF!</v>
      </c>
      <c r="B962" s="138" t="s">
        <v>685</v>
      </c>
      <c r="C962" s="141" t="s">
        <v>669</v>
      </c>
      <c r="D962" s="70" t="s">
        <v>64</v>
      </c>
      <c r="E962" s="71">
        <v>48330</v>
      </c>
      <c r="F962" s="32" t="s">
        <v>64</v>
      </c>
      <c r="G962" s="33">
        <f>IF(BD!$E962="","",(E962/(H962*I962)))</f>
        <v>48330</v>
      </c>
      <c r="H962" s="142">
        <v>1</v>
      </c>
      <c r="I962" s="142">
        <v>1</v>
      </c>
    </row>
    <row r="963" spans="1:9" ht="30">
      <c r="A963" s="137" t="e">
        <f t="shared" si="10"/>
        <v>#REF!</v>
      </c>
      <c r="B963" s="138" t="s">
        <v>686</v>
      </c>
      <c r="C963" s="141" t="s">
        <v>669</v>
      </c>
      <c r="D963" s="70" t="s">
        <v>687</v>
      </c>
      <c r="E963" s="71">
        <v>10166.700000000001</v>
      </c>
      <c r="F963" s="32" t="s">
        <v>687</v>
      </c>
      <c r="G963" s="33">
        <f>IF(BD!$E963="","",(E963/(H963*I963)))</f>
        <v>10166.700000000001</v>
      </c>
      <c r="H963" s="142">
        <v>1</v>
      </c>
      <c r="I963" s="142">
        <v>1</v>
      </c>
    </row>
    <row r="964" spans="1:9">
      <c r="A964" s="137" t="e">
        <f t="shared" si="10"/>
        <v>#REF!</v>
      </c>
      <c r="B964" s="138" t="s">
        <v>688</v>
      </c>
      <c r="C964" s="141" t="s">
        <v>669</v>
      </c>
      <c r="D964" s="70" t="s">
        <v>64</v>
      </c>
      <c r="E964" s="71">
        <v>104388.75</v>
      </c>
      <c r="F964" s="32" t="s">
        <v>64</v>
      </c>
      <c r="G964" s="33">
        <f>IF(BD!$E964="","",(E964/(H964*I964)))</f>
        <v>104388.75</v>
      </c>
      <c r="H964" s="143">
        <v>1</v>
      </c>
      <c r="I964" s="143">
        <v>1</v>
      </c>
    </row>
    <row r="965" spans="1:9">
      <c r="A965" s="137" t="e">
        <f t="shared" si="10"/>
        <v>#REF!</v>
      </c>
      <c r="B965" s="138" t="s">
        <v>689</v>
      </c>
      <c r="C965" s="141" t="s">
        <v>669</v>
      </c>
      <c r="D965" s="70" t="s">
        <v>64</v>
      </c>
      <c r="E965" s="71">
        <v>79760</v>
      </c>
      <c r="F965" s="32" t="s">
        <v>64</v>
      </c>
      <c r="G965" s="33">
        <f>IF(BD!$E965="","",(E965/(H965*I965)))</f>
        <v>79760</v>
      </c>
      <c r="H965" s="142">
        <v>1</v>
      </c>
      <c r="I965" s="142">
        <v>1</v>
      </c>
    </row>
    <row r="966" spans="1:9" ht="30">
      <c r="A966" s="137" t="e">
        <f t="shared" si="10"/>
        <v>#REF!</v>
      </c>
      <c r="B966" s="138" t="s">
        <v>690</v>
      </c>
      <c r="C966" s="141" t="s">
        <v>669</v>
      </c>
      <c r="D966" s="70" t="s">
        <v>171</v>
      </c>
      <c r="E966" s="71">
        <v>62000</v>
      </c>
      <c r="F966" s="145" t="s">
        <v>171</v>
      </c>
      <c r="G966" s="33">
        <f>IF(BD!$E966="","",(E966/(H966*I966)))</f>
        <v>62000</v>
      </c>
      <c r="H966" s="142">
        <v>1</v>
      </c>
      <c r="I966" s="142">
        <v>1</v>
      </c>
    </row>
    <row r="967" spans="1:9" ht="45">
      <c r="A967" s="137" t="e">
        <f t="shared" si="10"/>
        <v>#REF!</v>
      </c>
      <c r="B967" s="108" t="s">
        <v>691</v>
      </c>
      <c r="C967" s="141" t="s">
        <v>669</v>
      </c>
      <c r="D967" s="70" t="s">
        <v>64</v>
      </c>
      <c r="E967" s="71">
        <v>152500</v>
      </c>
      <c r="F967" s="145" t="s">
        <v>64</v>
      </c>
      <c r="G967" s="33">
        <f>IF(BD!$E967="","",(E967/(H967*I967)))</f>
        <v>152500</v>
      </c>
      <c r="H967" s="142">
        <v>1</v>
      </c>
      <c r="I967" s="142">
        <v>1</v>
      </c>
    </row>
    <row r="968" spans="1:9" ht="30">
      <c r="A968" s="137" t="e">
        <f t="shared" si="10"/>
        <v>#REF!</v>
      </c>
      <c r="B968" s="108" t="s">
        <v>692</v>
      </c>
      <c r="C968" s="141" t="s">
        <v>669</v>
      </c>
      <c r="D968" s="70" t="s">
        <v>64</v>
      </c>
      <c r="E968" s="71">
        <v>432050</v>
      </c>
      <c r="F968" s="145" t="s">
        <v>64</v>
      </c>
      <c r="G968" s="33">
        <f>IF(BD!$E968="","",(E968/(H968*I968)))</f>
        <v>432050</v>
      </c>
      <c r="H968" s="142">
        <v>1</v>
      </c>
      <c r="I968" s="142">
        <v>1</v>
      </c>
    </row>
    <row r="969" spans="1:9">
      <c r="A969" s="69"/>
      <c r="B969"/>
      <c r="C969"/>
      <c r="D969"/>
      <c r="E969"/>
      <c r="F969" s="39"/>
      <c r="H969"/>
      <c r="I969"/>
    </row>
    <row r="970" spans="1:9">
      <c r="A970" s="69"/>
      <c r="B970"/>
      <c r="C970"/>
      <c r="D970"/>
      <c r="E970"/>
      <c r="F970" s="39"/>
      <c r="H970"/>
      <c r="I970"/>
    </row>
    <row r="971" spans="1:9">
      <c r="A971" s="69"/>
      <c r="B971"/>
      <c r="C971"/>
      <c r="D971"/>
      <c r="E971"/>
      <c r="F971" s="39"/>
      <c r="H971"/>
      <c r="I971"/>
    </row>
    <row r="972" spans="1:9">
      <c r="A972" s="69"/>
      <c r="B972"/>
      <c r="C972"/>
      <c r="D972"/>
      <c r="E972"/>
      <c r="F972" s="39"/>
      <c r="H972"/>
      <c r="I972"/>
    </row>
    <row r="973" spans="1:9">
      <c r="A973" s="69"/>
      <c r="B973"/>
      <c r="C973"/>
      <c r="D973"/>
      <c r="E973"/>
      <c r="F973" s="39"/>
      <c r="H973"/>
      <c r="I973"/>
    </row>
    <row r="974" spans="1:9">
      <c r="A974" s="69"/>
      <c r="B974"/>
      <c r="C974"/>
      <c r="D974"/>
      <c r="E974"/>
      <c r="F974" s="39"/>
      <c r="H974"/>
      <c r="I974"/>
    </row>
    <row r="975" spans="1:9">
      <c r="A975" s="69"/>
      <c r="B975"/>
      <c r="C975"/>
      <c r="D975"/>
      <c r="E975"/>
      <c r="F975" s="39"/>
      <c r="H975"/>
      <c r="I975"/>
    </row>
    <row r="976" spans="1:9">
      <c r="A976" s="69"/>
      <c r="B976"/>
      <c r="C976"/>
      <c r="D976"/>
      <c r="E976"/>
      <c r="F976" s="39"/>
      <c r="H976"/>
      <c r="I976"/>
    </row>
    <row r="977" spans="1:11">
      <c r="A977" s="69"/>
      <c r="B977"/>
      <c r="C977"/>
      <c r="D977"/>
      <c r="E977"/>
      <c r="F977" s="39"/>
      <c r="H977"/>
      <c r="I977"/>
    </row>
    <row r="978" spans="1:11">
      <c r="A978" s="69"/>
      <c r="B978"/>
      <c r="C978"/>
      <c r="D978"/>
      <c r="E978"/>
      <c r="F978" s="39"/>
      <c r="H978"/>
      <c r="I978"/>
    </row>
    <row r="979" spans="1:11" ht="15.75">
      <c r="A979" s="146"/>
      <c r="B979" s="40" t="s">
        <v>71</v>
      </c>
      <c r="C979" s="9"/>
      <c r="D979" s="9"/>
      <c r="E979" s="9"/>
      <c r="F979" s="42"/>
      <c r="G979" s="9"/>
      <c r="H979" s="9"/>
      <c r="I979" s="9"/>
      <c r="J979" s="9"/>
    </row>
    <row r="980" spans="1:11">
      <c r="A980" s="69"/>
      <c r="B980"/>
      <c r="C980"/>
      <c r="D980"/>
      <c r="E980"/>
      <c r="F980" s="39"/>
      <c r="H980"/>
      <c r="I980"/>
    </row>
    <row r="981" spans="1:11">
      <c r="A981" s="69"/>
      <c r="B981"/>
      <c r="C981"/>
      <c r="D981"/>
      <c r="E981"/>
      <c r="F981" s="39"/>
      <c r="H981"/>
      <c r="I981"/>
    </row>
    <row r="982" spans="1:11">
      <c r="A982" s="69"/>
      <c r="B982"/>
      <c r="C982"/>
      <c r="D982"/>
      <c r="E982"/>
      <c r="F982" s="39"/>
      <c r="H982"/>
      <c r="I982"/>
    </row>
    <row r="983" spans="1:11" ht="26.25">
      <c r="A983" s="147"/>
      <c r="B983" s="148">
        <f>SUBTOTAL(3,B985:B1021)</f>
        <v>37</v>
      </c>
      <c r="C983" s="299"/>
      <c r="D983" s="299"/>
      <c r="E983"/>
      <c r="F983" s="39"/>
      <c r="H983"/>
      <c r="I983"/>
    </row>
    <row r="984" spans="1:11" ht="47.25">
      <c r="A984" s="137" t="s">
        <v>693</v>
      </c>
      <c r="B984" s="149" t="s">
        <v>47</v>
      </c>
      <c r="C984" s="49" t="s">
        <v>48</v>
      </c>
      <c r="D984" s="50" t="s">
        <v>49</v>
      </c>
      <c r="E984" s="51" t="s">
        <v>50</v>
      </c>
      <c r="F984" s="25" t="s">
        <v>51</v>
      </c>
      <c r="G984" s="23" t="s">
        <v>52</v>
      </c>
      <c r="H984" s="26" t="s">
        <v>53</v>
      </c>
      <c r="I984" s="26" t="s">
        <v>54</v>
      </c>
      <c r="J984" t="s">
        <v>55</v>
      </c>
      <c r="K984" t="s">
        <v>56</v>
      </c>
    </row>
    <row r="985" spans="1:11">
      <c r="A985" s="137">
        <f t="shared" ref="A985:A1031" si="11">A984+1</f>
        <v>220</v>
      </c>
      <c r="B985" s="36" t="s">
        <v>694</v>
      </c>
      <c r="C985" s="139" t="s">
        <v>695</v>
      </c>
      <c r="D985" s="30" t="s">
        <v>64</v>
      </c>
      <c r="E985" s="31">
        <v>343.33</v>
      </c>
      <c r="F985" s="30" t="s">
        <v>64</v>
      </c>
      <c r="G985" s="33">
        <f>IF(BD!$E985="","",(E985/(H985*I985)))</f>
        <v>343.33</v>
      </c>
      <c r="H985" s="140">
        <v>1</v>
      </c>
      <c r="I985" s="140">
        <v>1</v>
      </c>
    </row>
    <row r="986" spans="1:11">
      <c r="A986" s="137">
        <f t="shared" si="11"/>
        <v>221</v>
      </c>
      <c r="B986" s="36" t="s">
        <v>696</v>
      </c>
      <c r="C986" s="139" t="s">
        <v>695</v>
      </c>
      <c r="D986" s="30" t="s">
        <v>64</v>
      </c>
      <c r="E986" s="31">
        <v>343.33</v>
      </c>
      <c r="F986" s="30" t="s">
        <v>64</v>
      </c>
      <c r="G986" s="33">
        <f>IF(BD!$E986="","",(E986/(H986*I986)))</f>
        <v>343.33</v>
      </c>
      <c r="H986" s="140">
        <v>1</v>
      </c>
      <c r="I986" s="140">
        <v>1</v>
      </c>
    </row>
    <row r="987" spans="1:11">
      <c r="A987" s="137">
        <f t="shared" si="11"/>
        <v>222</v>
      </c>
      <c r="B987" s="36" t="s">
        <v>697</v>
      </c>
      <c r="C987" s="139" t="s">
        <v>695</v>
      </c>
      <c r="D987" s="30" t="s">
        <v>64</v>
      </c>
      <c r="E987" s="31">
        <v>343.33</v>
      </c>
      <c r="F987" s="30" t="s">
        <v>64</v>
      </c>
      <c r="G987" s="33">
        <f>IF(BD!$E987="","",(E987/(H987*I987)))</f>
        <v>343.33</v>
      </c>
      <c r="H987" s="140">
        <v>1</v>
      </c>
      <c r="I987" s="140">
        <v>1</v>
      </c>
    </row>
    <row r="988" spans="1:11">
      <c r="A988" s="137">
        <f t="shared" si="11"/>
        <v>223</v>
      </c>
      <c r="B988" s="150" t="s">
        <v>698</v>
      </c>
      <c r="C988" s="139" t="s">
        <v>695</v>
      </c>
      <c r="D988" s="30" t="s">
        <v>64</v>
      </c>
      <c r="E988" s="31">
        <v>343.33</v>
      </c>
      <c r="F988" s="30" t="s">
        <v>64</v>
      </c>
      <c r="G988" s="33">
        <f>IF(BD!$E988="","",(E988/(H988*I988)))</f>
        <v>343.33</v>
      </c>
      <c r="H988" s="140">
        <v>1</v>
      </c>
      <c r="I988" s="140">
        <v>1</v>
      </c>
    </row>
    <row r="989" spans="1:11">
      <c r="A989" s="137">
        <f t="shared" si="11"/>
        <v>224</v>
      </c>
      <c r="B989" s="150" t="s">
        <v>699</v>
      </c>
      <c r="C989" s="139" t="s">
        <v>695</v>
      </c>
      <c r="D989" s="30" t="s">
        <v>64</v>
      </c>
      <c r="E989" s="31">
        <v>343.33</v>
      </c>
      <c r="F989" s="30" t="s">
        <v>64</v>
      </c>
      <c r="G989" s="33">
        <f>IF(BD!$E989="","",(E989/(H989*I989)))</f>
        <v>343.33</v>
      </c>
      <c r="H989" s="140">
        <v>1</v>
      </c>
      <c r="I989" s="140">
        <v>1</v>
      </c>
    </row>
    <row r="990" spans="1:11">
      <c r="A990" s="137">
        <f t="shared" si="11"/>
        <v>225</v>
      </c>
      <c r="B990" s="150" t="s">
        <v>700</v>
      </c>
      <c r="C990" s="139" t="s">
        <v>695</v>
      </c>
      <c r="D990" s="30" t="s">
        <v>64</v>
      </c>
      <c r="E990" s="31">
        <v>343.33</v>
      </c>
      <c r="F990" s="30" t="s">
        <v>64</v>
      </c>
      <c r="G990" s="33">
        <f>IF(BD!$E990="","",(E990/(H990*I990)))</f>
        <v>343.33</v>
      </c>
      <c r="H990" s="140">
        <v>1</v>
      </c>
      <c r="I990" s="140">
        <v>1</v>
      </c>
    </row>
    <row r="991" spans="1:11">
      <c r="A991" s="137">
        <f t="shared" si="11"/>
        <v>226</v>
      </c>
      <c r="B991" s="151" t="s">
        <v>701</v>
      </c>
      <c r="C991" s="139" t="s">
        <v>695</v>
      </c>
      <c r="D991" s="30" t="s">
        <v>64</v>
      </c>
      <c r="E991" s="31">
        <v>343.33</v>
      </c>
      <c r="F991" s="30" t="s">
        <v>64</v>
      </c>
      <c r="G991" s="33">
        <f>IF(BD!$E991="","",(E991/(H991*I991)))</f>
        <v>343.33</v>
      </c>
      <c r="H991" s="140">
        <v>1</v>
      </c>
      <c r="I991" s="140">
        <v>1</v>
      </c>
    </row>
    <row r="992" spans="1:11">
      <c r="A992" s="137">
        <f t="shared" si="11"/>
        <v>227</v>
      </c>
      <c r="B992" s="36" t="s">
        <v>702</v>
      </c>
      <c r="C992" s="139" t="s">
        <v>695</v>
      </c>
      <c r="D992" s="30" t="s">
        <v>64</v>
      </c>
      <c r="E992" s="31">
        <v>343.33</v>
      </c>
      <c r="F992" s="30" t="s">
        <v>64</v>
      </c>
      <c r="G992" s="33">
        <f>IF(BD!$E992="","",(E992/(H992*I992)))</f>
        <v>343.33</v>
      </c>
      <c r="H992" s="140">
        <v>1</v>
      </c>
      <c r="I992" s="140">
        <v>1</v>
      </c>
    </row>
    <row r="993" spans="1:9">
      <c r="A993" s="137">
        <f t="shared" si="11"/>
        <v>228</v>
      </c>
      <c r="B993" s="150" t="s">
        <v>703</v>
      </c>
      <c r="C993" s="139" t="s">
        <v>695</v>
      </c>
      <c r="D993" s="30" t="s">
        <v>64</v>
      </c>
      <c r="E993" s="31">
        <v>343.33</v>
      </c>
      <c r="F993" s="30" t="s">
        <v>64</v>
      </c>
      <c r="G993" s="33">
        <f>IF(BD!$E993="","",(E993/(H993*I993)))</f>
        <v>343.33</v>
      </c>
      <c r="H993" s="140">
        <v>1</v>
      </c>
      <c r="I993" s="140">
        <v>1</v>
      </c>
    </row>
    <row r="994" spans="1:9">
      <c r="A994" s="137">
        <f t="shared" si="11"/>
        <v>229</v>
      </c>
      <c r="B994" s="150" t="s">
        <v>704</v>
      </c>
      <c r="C994" s="139" t="s">
        <v>695</v>
      </c>
      <c r="D994" s="30" t="s">
        <v>64</v>
      </c>
      <c r="E994" s="31">
        <v>343.33</v>
      </c>
      <c r="F994" s="30" t="s">
        <v>64</v>
      </c>
      <c r="G994" s="33">
        <f>IF(BD!$E994="","",(E994/(H994*I994)))</f>
        <v>343.33</v>
      </c>
      <c r="H994" s="140">
        <v>1</v>
      </c>
      <c r="I994" s="140">
        <v>1</v>
      </c>
    </row>
    <row r="995" spans="1:9">
      <c r="A995" s="137">
        <f t="shared" si="11"/>
        <v>230</v>
      </c>
      <c r="B995" s="150" t="s">
        <v>705</v>
      </c>
      <c r="C995" s="139" t="s">
        <v>695</v>
      </c>
      <c r="D995" s="30" t="s">
        <v>64</v>
      </c>
      <c r="E995" s="31">
        <v>343.33</v>
      </c>
      <c r="F995" s="30" t="s">
        <v>64</v>
      </c>
      <c r="G995" s="33">
        <f>IF(BD!$E995="","",(E995/(H995*I995)))</f>
        <v>343.33</v>
      </c>
      <c r="H995" s="140">
        <v>1</v>
      </c>
      <c r="I995" s="140">
        <v>1</v>
      </c>
    </row>
    <row r="996" spans="1:9">
      <c r="A996" s="137">
        <f t="shared" si="11"/>
        <v>231</v>
      </c>
      <c r="B996" s="150" t="s">
        <v>706</v>
      </c>
      <c r="C996" s="139" t="s">
        <v>695</v>
      </c>
      <c r="D996" s="30" t="s">
        <v>64</v>
      </c>
      <c r="E996" s="31">
        <v>343.33</v>
      </c>
      <c r="F996" s="30" t="s">
        <v>64</v>
      </c>
      <c r="G996" s="33">
        <f>IF(BD!$E996="","",(E996/(H996*I996)))</f>
        <v>343.33</v>
      </c>
      <c r="H996" s="140">
        <v>1</v>
      </c>
      <c r="I996" s="140">
        <v>1</v>
      </c>
    </row>
    <row r="997" spans="1:9">
      <c r="A997" s="137">
        <f t="shared" si="11"/>
        <v>232</v>
      </c>
      <c r="B997" s="150" t="s">
        <v>707</v>
      </c>
      <c r="C997" s="139" t="s">
        <v>695</v>
      </c>
      <c r="D997" s="30" t="s">
        <v>64</v>
      </c>
      <c r="E997" s="31">
        <v>343.33</v>
      </c>
      <c r="F997" s="30" t="s">
        <v>64</v>
      </c>
      <c r="G997" s="33">
        <f>IF(BD!$E997="","",(E997/(H997*I997)))</f>
        <v>343.33</v>
      </c>
      <c r="H997" s="140">
        <v>1</v>
      </c>
      <c r="I997" s="140">
        <v>1</v>
      </c>
    </row>
    <row r="998" spans="1:9">
      <c r="A998" s="137">
        <f t="shared" si="11"/>
        <v>233</v>
      </c>
      <c r="B998" s="150" t="s">
        <v>708</v>
      </c>
      <c r="C998" s="139" t="s">
        <v>695</v>
      </c>
      <c r="D998" s="30" t="s">
        <v>64</v>
      </c>
      <c r="E998" s="31">
        <v>343.33</v>
      </c>
      <c r="F998" s="30" t="s">
        <v>64</v>
      </c>
      <c r="G998" s="33">
        <f>IF(BD!$E998="","",(E998/(H998*I998)))</f>
        <v>343.33</v>
      </c>
      <c r="H998" s="140">
        <v>1</v>
      </c>
      <c r="I998" s="140">
        <v>1</v>
      </c>
    </row>
    <row r="999" spans="1:9">
      <c r="A999" s="137">
        <f t="shared" si="11"/>
        <v>234</v>
      </c>
      <c r="B999" s="150" t="s">
        <v>709</v>
      </c>
      <c r="C999" s="139" t="s">
        <v>695</v>
      </c>
      <c r="D999" s="30" t="s">
        <v>64</v>
      </c>
      <c r="E999" s="31">
        <v>343.33</v>
      </c>
      <c r="F999" s="30" t="s">
        <v>64</v>
      </c>
      <c r="G999" s="33">
        <f>IF(BD!$E999="","",(E999/(H999*I999)))</f>
        <v>343.33</v>
      </c>
      <c r="H999" s="140">
        <v>1</v>
      </c>
      <c r="I999" s="140">
        <v>1</v>
      </c>
    </row>
    <row r="1000" spans="1:9">
      <c r="A1000" s="137">
        <f t="shared" si="11"/>
        <v>235</v>
      </c>
      <c r="B1000" s="150" t="s">
        <v>710</v>
      </c>
      <c r="C1000" s="139" t="s">
        <v>695</v>
      </c>
      <c r="D1000" s="30" t="s">
        <v>64</v>
      </c>
      <c r="E1000" s="31">
        <v>343.33</v>
      </c>
      <c r="F1000" s="30" t="s">
        <v>64</v>
      </c>
      <c r="G1000" s="33">
        <f>IF(BD!$E1000="","",(E1000/(H1000*I1000)))</f>
        <v>343.33</v>
      </c>
      <c r="H1000" s="140">
        <v>1</v>
      </c>
      <c r="I1000" s="140">
        <v>1</v>
      </c>
    </row>
    <row r="1001" spans="1:9">
      <c r="A1001" s="137">
        <f t="shared" si="11"/>
        <v>236</v>
      </c>
      <c r="B1001" s="150" t="s">
        <v>711</v>
      </c>
      <c r="C1001" s="139" t="s">
        <v>695</v>
      </c>
      <c r="D1001" s="30" t="s">
        <v>64</v>
      </c>
      <c r="E1001" s="31">
        <v>343.33</v>
      </c>
      <c r="F1001" s="30" t="s">
        <v>64</v>
      </c>
      <c r="G1001" s="33">
        <f>IF(BD!$E1001="","",(E1001/(H1001*I1001)))</f>
        <v>343.33</v>
      </c>
      <c r="H1001" s="140">
        <v>1</v>
      </c>
      <c r="I1001" s="140">
        <v>1</v>
      </c>
    </row>
    <row r="1002" spans="1:9">
      <c r="A1002" s="137">
        <f t="shared" si="11"/>
        <v>237</v>
      </c>
      <c r="B1002" s="36" t="s">
        <v>712</v>
      </c>
      <c r="C1002" s="139" t="s">
        <v>695</v>
      </c>
      <c r="D1002" s="30" t="s">
        <v>64</v>
      </c>
      <c r="E1002" s="31">
        <v>343.33</v>
      </c>
      <c r="F1002" s="30" t="s">
        <v>64</v>
      </c>
      <c r="G1002" s="33">
        <f>IF(BD!$E1002="","",(E1002/(H1002*I1002)))</f>
        <v>343.33</v>
      </c>
      <c r="H1002" s="140">
        <v>1</v>
      </c>
      <c r="I1002" s="140">
        <v>1</v>
      </c>
    </row>
    <row r="1003" spans="1:9">
      <c r="A1003" s="137">
        <f t="shared" si="11"/>
        <v>238</v>
      </c>
      <c r="B1003" s="150" t="s">
        <v>713</v>
      </c>
      <c r="C1003" s="139" t="s">
        <v>695</v>
      </c>
      <c r="D1003" s="30" t="s">
        <v>64</v>
      </c>
      <c r="E1003" s="31">
        <v>343.33</v>
      </c>
      <c r="F1003" s="30" t="s">
        <v>64</v>
      </c>
      <c r="G1003" s="33">
        <f>IF(BD!$E1003="","",(E1003/(H1003*I1003)))</f>
        <v>343.33</v>
      </c>
      <c r="H1003" s="140">
        <v>1</v>
      </c>
      <c r="I1003" s="140">
        <v>1</v>
      </c>
    </row>
    <row r="1004" spans="1:9">
      <c r="A1004" s="137">
        <f t="shared" si="11"/>
        <v>239</v>
      </c>
      <c r="B1004" s="122" t="s">
        <v>714</v>
      </c>
      <c r="C1004" s="139" t="s">
        <v>695</v>
      </c>
      <c r="D1004" s="30" t="s">
        <v>64</v>
      </c>
      <c r="E1004" s="31">
        <v>343.33</v>
      </c>
      <c r="F1004" s="30" t="s">
        <v>64</v>
      </c>
      <c r="G1004" s="33">
        <f>IF(BD!$E1004="","",(E1004/(H1004*I1004)))</f>
        <v>343.33</v>
      </c>
      <c r="H1004" s="140">
        <v>1</v>
      </c>
      <c r="I1004" s="140">
        <v>1</v>
      </c>
    </row>
    <row r="1005" spans="1:9" ht="30">
      <c r="A1005" s="137">
        <f t="shared" si="11"/>
        <v>240</v>
      </c>
      <c r="B1005" s="122" t="s">
        <v>715</v>
      </c>
      <c r="C1005" s="139" t="s">
        <v>695</v>
      </c>
      <c r="D1005" s="30" t="s">
        <v>64</v>
      </c>
      <c r="E1005" s="31">
        <v>308.33</v>
      </c>
      <c r="F1005" s="30" t="s">
        <v>64</v>
      </c>
      <c r="G1005" s="33">
        <f>IF(BD!$E1005="","",(E1005/(H1005*I1005)))</f>
        <v>308.33</v>
      </c>
      <c r="H1005" s="140">
        <v>1</v>
      </c>
      <c r="I1005" s="140">
        <v>1</v>
      </c>
    </row>
    <row r="1006" spans="1:9" ht="30">
      <c r="A1006" s="137">
        <f t="shared" si="11"/>
        <v>241</v>
      </c>
      <c r="B1006" s="122" t="s">
        <v>716</v>
      </c>
      <c r="C1006" s="139" t="s">
        <v>695</v>
      </c>
      <c r="D1006" s="30" t="s">
        <v>717</v>
      </c>
      <c r="E1006" s="31">
        <v>42631</v>
      </c>
      <c r="F1006" s="32" t="s">
        <v>717</v>
      </c>
      <c r="G1006" s="33">
        <f>IF(BD!$E1006="","",(E1006/(H1006*I1006)))</f>
        <v>42631</v>
      </c>
      <c r="H1006" s="34">
        <v>1</v>
      </c>
      <c r="I1006" s="34">
        <v>1</v>
      </c>
    </row>
    <row r="1007" spans="1:9" ht="30">
      <c r="A1007" s="137">
        <f t="shared" si="11"/>
        <v>242</v>
      </c>
      <c r="B1007" s="122" t="s">
        <v>718</v>
      </c>
      <c r="C1007" s="139" t="s">
        <v>695</v>
      </c>
      <c r="D1007" s="30" t="s">
        <v>719</v>
      </c>
      <c r="E1007" s="31">
        <v>6081.3</v>
      </c>
      <c r="F1007" s="32" t="s">
        <v>719</v>
      </c>
      <c r="G1007" s="33">
        <f>IF(BD!$E1007="","",(E1007/(H1007*I1007)))</f>
        <v>6081.3</v>
      </c>
      <c r="H1007" s="34">
        <v>1</v>
      </c>
      <c r="I1007" s="34">
        <v>1</v>
      </c>
    </row>
    <row r="1008" spans="1:9" ht="30">
      <c r="A1008" s="137">
        <f t="shared" si="11"/>
        <v>243</v>
      </c>
      <c r="B1008" s="122" t="s">
        <v>720</v>
      </c>
      <c r="C1008" s="139" t="s">
        <v>695</v>
      </c>
      <c r="D1008" s="30" t="s">
        <v>721</v>
      </c>
      <c r="E1008" s="31">
        <v>19776</v>
      </c>
      <c r="F1008" s="32" t="s">
        <v>721</v>
      </c>
      <c r="G1008" s="33">
        <f>IF(BD!$E1008="","",(E1008/(H1008*I1008)))</f>
        <v>19776</v>
      </c>
      <c r="H1008" s="34">
        <v>1</v>
      </c>
      <c r="I1008" s="34">
        <v>1</v>
      </c>
    </row>
    <row r="1009" spans="1:9" ht="30">
      <c r="A1009" s="137">
        <f t="shared" si="11"/>
        <v>244</v>
      </c>
      <c r="B1009" s="121" t="s">
        <v>722</v>
      </c>
      <c r="C1009" s="139" t="s">
        <v>695</v>
      </c>
      <c r="D1009" s="30" t="s">
        <v>719</v>
      </c>
      <c r="E1009" s="31">
        <v>16133.3</v>
      </c>
      <c r="F1009" s="32" t="s">
        <v>719</v>
      </c>
      <c r="G1009" s="33">
        <f>IF(BD!$E1009="","",(E1009/(H1009*I1009)))</f>
        <v>16133.3</v>
      </c>
      <c r="H1009" s="34">
        <v>1</v>
      </c>
      <c r="I1009" s="34">
        <v>1</v>
      </c>
    </row>
    <row r="1010" spans="1:9" ht="30">
      <c r="A1010" s="137">
        <f t="shared" si="11"/>
        <v>245</v>
      </c>
      <c r="B1010" s="121" t="s">
        <v>723</v>
      </c>
      <c r="C1010" s="139" t="s">
        <v>695</v>
      </c>
      <c r="D1010" s="30" t="s">
        <v>724</v>
      </c>
      <c r="E1010" s="31">
        <v>17300</v>
      </c>
      <c r="F1010" s="32" t="s">
        <v>724</v>
      </c>
      <c r="G1010" s="33">
        <f>IF(BD!$E1010="","",(E1010/(H1010*I1010)))</f>
        <v>17300</v>
      </c>
      <c r="H1010" s="34">
        <v>1</v>
      </c>
      <c r="I1010" s="34">
        <v>1</v>
      </c>
    </row>
    <row r="1011" spans="1:9">
      <c r="A1011" s="137">
        <f t="shared" si="11"/>
        <v>246</v>
      </c>
      <c r="B1011" s="122" t="s">
        <v>725</v>
      </c>
      <c r="C1011" s="139" t="s">
        <v>695</v>
      </c>
      <c r="D1011" s="30" t="s">
        <v>726</v>
      </c>
      <c r="E1011" s="31">
        <v>1583.15333333333</v>
      </c>
      <c r="F1011" s="32" t="s">
        <v>726</v>
      </c>
      <c r="G1011" s="33">
        <f>IF(BD!$E1011="","",(E1011/(H1011*I1011)))</f>
        <v>1583.15333333333</v>
      </c>
      <c r="H1011" s="34">
        <v>1</v>
      </c>
      <c r="I1011" s="34">
        <v>1</v>
      </c>
    </row>
    <row r="1012" spans="1:9">
      <c r="A1012" s="137">
        <f t="shared" si="11"/>
        <v>247</v>
      </c>
      <c r="B1012" s="122" t="s">
        <v>727</v>
      </c>
      <c r="C1012" s="139" t="s">
        <v>695</v>
      </c>
      <c r="D1012" s="30" t="s">
        <v>77</v>
      </c>
      <c r="E1012" s="31">
        <v>4180</v>
      </c>
      <c r="F1012" s="32" t="s">
        <v>77</v>
      </c>
      <c r="G1012" s="33">
        <f>IF(BD!$E1012="","",(E1012/(H1012*I1012)))</f>
        <v>4180</v>
      </c>
      <c r="H1012" s="34">
        <v>1</v>
      </c>
      <c r="I1012" s="34">
        <v>1</v>
      </c>
    </row>
    <row r="1013" spans="1:9">
      <c r="A1013" s="137">
        <f t="shared" si="11"/>
        <v>248</v>
      </c>
      <c r="B1013" s="121" t="s">
        <v>728</v>
      </c>
      <c r="C1013" s="139" t="s">
        <v>695</v>
      </c>
      <c r="D1013" s="30" t="s">
        <v>64</v>
      </c>
      <c r="E1013" s="31">
        <v>9522.5084745762706</v>
      </c>
      <c r="F1013" s="32" t="s">
        <v>64</v>
      </c>
      <c r="G1013" s="33">
        <f>IF(BD!$E1013="","",(E1013/(H1013*I1013)))</f>
        <v>9522.5084745762706</v>
      </c>
      <c r="H1013" s="34">
        <v>1</v>
      </c>
      <c r="I1013" s="34">
        <v>1</v>
      </c>
    </row>
    <row r="1014" spans="1:9">
      <c r="A1014" s="137">
        <f t="shared" si="11"/>
        <v>249</v>
      </c>
      <c r="B1014" s="121" t="s">
        <v>729</v>
      </c>
      <c r="C1014" s="139" t="s">
        <v>695</v>
      </c>
      <c r="D1014" s="30" t="s">
        <v>64</v>
      </c>
      <c r="E1014" s="31">
        <v>4000</v>
      </c>
      <c r="F1014" s="32" t="s">
        <v>64</v>
      </c>
      <c r="G1014" s="33">
        <f>IF(BD!$E1014="","",(E1014/(H1014*I1014)))</f>
        <v>4000</v>
      </c>
      <c r="H1014" s="34">
        <v>1</v>
      </c>
      <c r="I1014" s="34">
        <v>1</v>
      </c>
    </row>
    <row r="1015" spans="1:9" ht="30">
      <c r="A1015" s="137">
        <f t="shared" si="11"/>
        <v>250</v>
      </c>
      <c r="B1015" s="152" t="s">
        <v>730</v>
      </c>
      <c r="C1015" s="139" t="s">
        <v>695</v>
      </c>
      <c r="D1015" s="30" t="s">
        <v>64</v>
      </c>
      <c r="E1015" s="31">
        <v>51000</v>
      </c>
      <c r="F1015" s="32" t="s">
        <v>64</v>
      </c>
      <c r="G1015" s="33">
        <f>IF(BD!$E1015="","",(E1015/(H1015*I1015)))</f>
        <v>51000</v>
      </c>
      <c r="H1015" s="34">
        <v>1</v>
      </c>
      <c r="I1015" s="34">
        <v>1</v>
      </c>
    </row>
    <row r="1016" spans="1:9" ht="30">
      <c r="A1016" s="137">
        <f t="shared" si="11"/>
        <v>251</v>
      </c>
      <c r="B1016" s="152" t="s">
        <v>731</v>
      </c>
      <c r="C1016" s="139" t="s">
        <v>695</v>
      </c>
      <c r="D1016" s="30" t="s">
        <v>64</v>
      </c>
      <c r="E1016" s="31">
        <v>1600</v>
      </c>
      <c r="F1016" s="32" t="s">
        <v>64</v>
      </c>
      <c r="G1016" s="33">
        <f>IF(BD!$E1016="","",(E1016/(H1016*I1016)))</f>
        <v>1600</v>
      </c>
      <c r="H1016" s="34">
        <v>1</v>
      </c>
      <c r="I1016" s="34">
        <v>1</v>
      </c>
    </row>
    <row r="1017" spans="1:9" ht="30">
      <c r="A1017" s="137">
        <f t="shared" si="11"/>
        <v>252</v>
      </c>
      <c r="B1017" s="121" t="s">
        <v>732</v>
      </c>
      <c r="C1017" s="139" t="s">
        <v>695</v>
      </c>
      <c r="D1017" s="30" t="s">
        <v>64</v>
      </c>
      <c r="E1017" s="31">
        <v>1233.6600000000001</v>
      </c>
      <c r="F1017" s="32" t="s">
        <v>64</v>
      </c>
      <c r="G1017" s="33">
        <f>IF(BD!$E1017="","",(E1017/(H1017*I1017)))</f>
        <v>1233.6600000000001</v>
      </c>
      <c r="H1017" s="34">
        <v>1</v>
      </c>
      <c r="I1017" s="34">
        <v>1</v>
      </c>
    </row>
    <row r="1018" spans="1:9" ht="30">
      <c r="A1018" s="137">
        <f t="shared" si="11"/>
        <v>253</v>
      </c>
      <c r="B1018" s="121" t="s">
        <v>733</v>
      </c>
      <c r="C1018" s="139" t="s">
        <v>695</v>
      </c>
      <c r="D1018" s="30" t="s">
        <v>64</v>
      </c>
      <c r="E1018" s="31">
        <v>500</v>
      </c>
      <c r="F1018" s="32" t="s">
        <v>64</v>
      </c>
      <c r="G1018" s="33">
        <f>IF(BD!$E1018="","",(E1018/(H1018*I1018)))</f>
        <v>500</v>
      </c>
      <c r="H1018" s="34">
        <v>1</v>
      </c>
      <c r="I1018" s="34">
        <v>1</v>
      </c>
    </row>
    <row r="1019" spans="1:9">
      <c r="A1019" s="137">
        <f t="shared" si="11"/>
        <v>254</v>
      </c>
      <c r="B1019" s="152" t="s">
        <v>734</v>
      </c>
      <c r="C1019" s="139" t="s">
        <v>695</v>
      </c>
      <c r="D1019" s="30" t="s">
        <v>64</v>
      </c>
      <c r="E1019" s="31">
        <v>5900</v>
      </c>
      <c r="F1019" s="32" t="s">
        <v>64</v>
      </c>
      <c r="G1019" s="33">
        <f>IF(BD!$E1019="","",(E1019/(H1019*I1019)))</f>
        <v>5900</v>
      </c>
      <c r="H1019" s="34">
        <v>1</v>
      </c>
      <c r="I1019" s="34">
        <v>1</v>
      </c>
    </row>
    <row r="1020" spans="1:9">
      <c r="A1020" s="137">
        <f t="shared" si="11"/>
        <v>255</v>
      </c>
      <c r="B1020" s="121" t="s">
        <v>735</v>
      </c>
      <c r="C1020" s="139" t="s">
        <v>695</v>
      </c>
      <c r="D1020" s="30" t="s">
        <v>64</v>
      </c>
      <c r="E1020" s="31">
        <v>5900</v>
      </c>
      <c r="F1020" s="32" t="s">
        <v>64</v>
      </c>
      <c r="G1020" s="33">
        <f>IF(BD!$E1020="","",(E1020/(H1020*I1020)))</f>
        <v>5900</v>
      </c>
      <c r="H1020" s="34">
        <v>1</v>
      </c>
      <c r="I1020" s="34">
        <v>1</v>
      </c>
    </row>
    <row r="1021" spans="1:9" ht="30">
      <c r="A1021" s="137">
        <f t="shared" si="11"/>
        <v>256</v>
      </c>
      <c r="B1021" s="152" t="s">
        <v>736</v>
      </c>
      <c r="C1021" s="139" t="s">
        <v>695</v>
      </c>
      <c r="D1021" s="153" t="s">
        <v>737</v>
      </c>
      <c r="E1021" s="59">
        <v>23233.4</v>
      </c>
      <c r="F1021" s="60" t="s">
        <v>737</v>
      </c>
      <c r="G1021" s="33">
        <f>IF(BD!$E1021="","",(E1021/(H1021*I1021)))</f>
        <v>23233.4</v>
      </c>
      <c r="H1021" s="61">
        <v>1</v>
      </c>
      <c r="I1021" s="61">
        <v>1</v>
      </c>
    </row>
    <row r="1022" spans="1:9" ht="30">
      <c r="A1022" s="137">
        <f t="shared" si="11"/>
        <v>257</v>
      </c>
      <c r="B1022" s="154" t="s">
        <v>738</v>
      </c>
      <c r="C1022" s="155" t="s">
        <v>695</v>
      </c>
      <c r="D1022" s="153" t="s">
        <v>64</v>
      </c>
      <c r="E1022" s="59">
        <v>219.5</v>
      </c>
      <c r="F1022" s="60" t="s">
        <v>64</v>
      </c>
      <c r="G1022" s="33">
        <f>IF(BD!$E1022="","",(E1022/(H1022*I1022)))</f>
        <v>219.5</v>
      </c>
      <c r="H1022" s="61">
        <v>1</v>
      </c>
      <c r="I1022" s="61">
        <v>1</v>
      </c>
    </row>
    <row r="1023" spans="1:9" ht="30">
      <c r="A1023" s="137">
        <f t="shared" si="11"/>
        <v>258</v>
      </c>
      <c r="B1023" s="154" t="s">
        <v>739</v>
      </c>
      <c r="C1023" s="155" t="s">
        <v>695</v>
      </c>
      <c r="D1023" s="153" t="s">
        <v>64</v>
      </c>
      <c r="E1023" s="59">
        <v>907</v>
      </c>
      <c r="F1023" s="60" t="s">
        <v>64</v>
      </c>
      <c r="G1023" s="33">
        <f>IF(BD!$E1023="","",(E1023/(H1023*I1023)))</f>
        <v>907</v>
      </c>
      <c r="H1023" s="61">
        <v>1</v>
      </c>
      <c r="I1023" s="61">
        <v>1</v>
      </c>
    </row>
    <row r="1024" spans="1:9">
      <c r="A1024" s="137">
        <f t="shared" si="11"/>
        <v>259</v>
      </c>
      <c r="B1024" s="156" t="s">
        <v>740</v>
      </c>
      <c r="C1024" s="155" t="s">
        <v>695</v>
      </c>
      <c r="D1024" s="30" t="s">
        <v>64</v>
      </c>
      <c r="E1024" s="59">
        <v>5333.34</v>
      </c>
      <c r="F1024" s="60" t="s">
        <v>64</v>
      </c>
      <c r="G1024" s="33">
        <f>IF(BD!$E1024="","",(E1024/(H1024*I1024)))</f>
        <v>5333.34</v>
      </c>
      <c r="H1024" s="61">
        <v>1</v>
      </c>
      <c r="I1024" s="61">
        <v>1</v>
      </c>
    </row>
    <row r="1025" spans="1:9" ht="30">
      <c r="A1025" s="137">
        <f t="shared" si="11"/>
        <v>260</v>
      </c>
      <c r="B1025" s="157" t="s">
        <v>741</v>
      </c>
      <c r="C1025" s="155" t="s">
        <v>695</v>
      </c>
      <c r="D1025" s="30" t="s">
        <v>75</v>
      </c>
      <c r="E1025" s="59">
        <v>867804</v>
      </c>
      <c r="F1025" s="60" t="s">
        <v>75</v>
      </c>
      <c r="G1025" s="33">
        <f>IF(BD!$E1025="","",(E1025/(H1025*I1025)))</f>
        <v>867804</v>
      </c>
      <c r="H1025" s="61">
        <v>1</v>
      </c>
      <c r="I1025" s="61">
        <v>1</v>
      </c>
    </row>
    <row r="1026" spans="1:9" ht="30">
      <c r="A1026" s="137">
        <f t="shared" si="11"/>
        <v>261</v>
      </c>
      <c r="B1026" s="108" t="s">
        <v>742</v>
      </c>
      <c r="C1026" s="155" t="s">
        <v>695</v>
      </c>
      <c r="D1026" s="30" t="s">
        <v>75</v>
      </c>
      <c r="E1026" s="59">
        <v>1097662</v>
      </c>
      <c r="F1026" s="60" t="s">
        <v>75</v>
      </c>
      <c r="G1026" s="33">
        <f>IF(BD!$E1026="","",(E1026/(H1026*I1026)))</f>
        <v>1097662</v>
      </c>
      <c r="H1026" s="61">
        <v>1</v>
      </c>
      <c r="I1026" s="61">
        <v>1</v>
      </c>
    </row>
    <row r="1027" spans="1:9">
      <c r="A1027" s="137">
        <f t="shared" si="11"/>
        <v>262</v>
      </c>
      <c r="B1027" s="156" t="s">
        <v>743</v>
      </c>
      <c r="C1027" s="155" t="s">
        <v>695</v>
      </c>
      <c r="D1027" s="30" t="s">
        <v>64</v>
      </c>
      <c r="E1027" s="59">
        <v>74866.666666666701</v>
      </c>
      <c r="F1027" s="60" t="s">
        <v>717</v>
      </c>
      <c r="G1027" s="33">
        <f>IF(BD!$E1027="","",(E1027/(H1027*I1027)))</f>
        <v>74866.666666666701</v>
      </c>
      <c r="H1027" s="61">
        <v>1</v>
      </c>
      <c r="I1027" s="61">
        <v>1</v>
      </c>
    </row>
    <row r="1028" spans="1:9">
      <c r="A1028" s="137">
        <f t="shared" si="11"/>
        <v>263</v>
      </c>
      <c r="B1028" s="156" t="s">
        <v>744</v>
      </c>
      <c r="C1028" s="155" t="s">
        <v>695</v>
      </c>
      <c r="D1028" s="30" t="s">
        <v>745</v>
      </c>
      <c r="E1028" s="59">
        <v>74866.666666666701</v>
      </c>
      <c r="F1028" s="60" t="s">
        <v>746</v>
      </c>
      <c r="G1028" s="33">
        <f>IF(BD!$E1028="","",(E1028/(H1028*I1028)))</f>
        <v>74866.666666666701</v>
      </c>
      <c r="H1028" s="61">
        <v>1</v>
      </c>
      <c r="I1028" s="61">
        <v>1</v>
      </c>
    </row>
    <row r="1029" spans="1:9">
      <c r="A1029" s="137">
        <f t="shared" si="11"/>
        <v>264</v>
      </c>
      <c r="B1029" s="108" t="s">
        <v>747</v>
      </c>
      <c r="C1029" s="155" t="s">
        <v>695</v>
      </c>
      <c r="D1029" s="30" t="s">
        <v>64</v>
      </c>
      <c r="E1029" s="59">
        <v>19073</v>
      </c>
      <c r="F1029" s="60" t="s">
        <v>64</v>
      </c>
      <c r="G1029" s="33">
        <f>IF(BD!$E1029="","",(E1029/(H1029*I1029)))</f>
        <v>19073</v>
      </c>
      <c r="H1029" s="61">
        <v>1</v>
      </c>
      <c r="I1029" s="61">
        <v>1</v>
      </c>
    </row>
    <row r="1030" spans="1:9" ht="30">
      <c r="A1030" s="137">
        <f t="shared" si="11"/>
        <v>265</v>
      </c>
      <c r="B1030" s="156" t="s">
        <v>748</v>
      </c>
      <c r="C1030" s="155" t="s">
        <v>695</v>
      </c>
      <c r="D1030" s="30" t="s">
        <v>64</v>
      </c>
      <c r="E1030" s="59">
        <v>866.66499999999996</v>
      </c>
      <c r="F1030" s="60" t="s">
        <v>64</v>
      </c>
      <c r="G1030" s="33">
        <f>IF(BD!$E1030="","",(E1030/(H1030*I1030)))</f>
        <v>866.66499999999996</v>
      </c>
      <c r="H1030" s="158">
        <v>1</v>
      </c>
      <c r="I1030" s="158">
        <v>1</v>
      </c>
    </row>
    <row r="1031" spans="1:9">
      <c r="A1031" s="137">
        <f t="shared" si="11"/>
        <v>266</v>
      </c>
      <c r="B1031" s="156" t="s">
        <v>749</v>
      </c>
      <c r="C1031" s="155" t="s">
        <v>695</v>
      </c>
      <c r="D1031" s="30" t="s">
        <v>726</v>
      </c>
      <c r="E1031" s="59">
        <v>513.33285714285705</v>
      </c>
      <c r="F1031" s="60" t="s">
        <v>726</v>
      </c>
      <c r="G1031" s="33">
        <f>IF(BD!$E1031="","",(E1031/(H1031*I1031)))</f>
        <v>513.33285714285705</v>
      </c>
      <c r="H1031" s="61">
        <v>1</v>
      </c>
      <c r="I1031" s="61">
        <v>1</v>
      </c>
    </row>
    <row r="1032" spans="1:9">
      <c r="B1032" s="159"/>
      <c r="C1032"/>
      <c r="D1032"/>
      <c r="E1032"/>
      <c r="F1032" s="39"/>
      <c r="H1032"/>
      <c r="I1032"/>
    </row>
    <row r="1033" spans="1:9">
      <c r="B1033" s="159"/>
      <c r="C1033"/>
      <c r="D1033"/>
      <c r="E1033"/>
      <c r="F1033" s="39"/>
      <c r="H1033"/>
      <c r="I1033"/>
    </row>
    <row r="1034" spans="1:9">
      <c r="B1034" s="159"/>
      <c r="C1034" s="209"/>
    </row>
    <row r="1035" spans="1:9">
      <c r="B1035" s="159"/>
      <c r="C1035" s="209"/>
    </row>
    <row r="1036" spans="1:9">
      <c r="B1036" s="159"/>
      <c r="C1036" s="209"/>
    </row>
    <row r="1037" spans="1:9">
      <c r="B1037"/>
      <c r="C1037" s="209"/>
    </row>
    <row r="1038" spans="1:9">
      <c r="B1038"/>
      <c r="C1038" s="209"/>
    </row>
    <row r="1039" spans="1:9">
      <c r="B1039"/>
      <c r="C1039" s="209"/>
    </row>
    <row r="1040" spans="1:9">
      <c r="B1040"/>
      <c r="C1040" s="209"/>
    </row>
    <row r="1041" spans="1:11">
      <c r="B1041"/>
      <c r="C1041" s="209"/>
    </row>
    <row r="1042" spans="1:11">
      <c r="B1042"/>
      <c r="C1042" s="209"/>
    </row>
    <row r="1043" spans="1:11">
      <c r="B1043"/>
      <c r="C1043" s="209"/>
    </row>
    <row r="1044" spans="1:11">
      <c r="B1044"/>
      <c r="C1044" s="209"/>
    </row>
    <row r="1045" spans="1:11">
      <c r="B1045"/>
      <c r="C1045" s="209"/>
    </row>
    <row r="1046" spans="1:11">
      <c r="B1046"/>
      <c r="C1046" s="209"/>
    </row>
    <row r="1047" spans="1:11">
      <c r="B1047"/>
      <c r="C1047" s="209"/>
    </row>
    <row r="1048" spans="1:11">
      <c r="B1048"/>
      <c r="C1048" s="209"/>
    </row>
    <row r="1049" spans="1:11">
      <c r="B1049"/>
      <c r="C1049" s="209"/>
    </row>
    <row r="1050" spans="1:11">
      <c r="B1050"/>
      <c r="C1050"/>
      <c r="D1050"/>
      <c r="E1050"/>
      <c r="F1050" s="39"/>
      <c r="H1050"/>
      <c r="I1050"/>
    </row>
    <row r="1051" spans="1:11">
      <c r="B1051"/>
      <c r="C1051"/>
      <c r="D1051"/>
      <c r="E1051"/>
      <c r="F1051" s="39"/>
      <c r="H1051"/>
      <c r="I1051"/>
    </row>
    <row r="1052" spans="1:11" ht="15.75">
      <c r="A1052" s="9"/>
      <c r="B1052" s="40" t="s">
        <v>71</v>
      </c>
      <c r="C1052" s="9"/>
      <c r="D1052" s="9"/>
      <c r="E1052" s="9"/>
      <c r="F1052" s="42"/>
      <c r="G1052" s="9"/>
      <c r="H1052" s="9"/>
      <c r="I1052" s="9"/>
      <c r="J1052" s="9"/>
    </row>
    <row r="1053" spans="1:11">
      <c r="B1053"/>
      <c r="C1053"/>
      <c r="D1053"/>
      <c r="E1053"/>
      <c r="F1053" s="39"/>
      <c r="H1053"/>
      <c r="I1053"/>
    </row>
    <row r="1055" spans="1:11" ht="28.5" customHeight="1">
      <c r="A1055" s="160" t="s">
        <v>44</v>
      </c>
      <c r="B1055" s="161">
        <f>SUBTOTAL(3,(B1057:B1123))</f>
        <v>67</v>
      </c>
      <c r="C1055" s="299"/>
      <c r="D1055" s="299"/>
      <c r="E1055"/>
      <c r="F1055" s="39"/>
      <c r="H1055"/>
      <c r="I1055"/>
    </row>
    <row r="1056" spans="1:11" ht="47.25">
      <c r="A1056" s="162" t="s">
        <v>46</v>
      </c>
      <c r="B1056" s="163" t="s">
        <v>47</v>
      </c>
      <c r="C1056" s="164" t="s">
        <v>48</v>
      </c>
      <c r="D1056" s="50" t="s">
        <v>49</v>
      </c>
      <c r="E1056" s="24" t="s">
        <v>50</v>
      </c>
      <c r="F1056" s="165" t="s">
        <v>51</v>
      </c>
      <c r="G1056" s="166" t="s">
        <v>52</v>
      </c>
      <c r="H1056" s="167" t="s">
        <v>53</v>
      </c>
      <c r="I1056" s="167" t="s">
        <v>54</v>
      </c>
      <c r="J1056" t="s">
        <v>55</v>
      </c>
      <c r="K1056" t="s">
        <v>56</v>
      </c>
    </row>
    <row r="1057" spans="1:9">
      <c r="A1057" s="137">
        <v>1</v>
      </c>
      <c r="B1057" s="168" t="s">
        <v>750</v>
      </c>
      <c r="C1057" s="169" t="s">
        <v>751</v>
      </c>
      <c r="D1057" s="170" t="s">
        <v>752</v>
      </c>
      <c r="E1057" s="171"/>
      <c r="F1057" s="172" t="s">
        <v>752</v>
      </c>
      <c r="G1057" s="33" t="str">
        <f>IF(BD!$E1057="","",(E1057/(H1057*I1057)))</f>
        <v/>
      </c>
      <c r="H1057" s="173">
        <v>1</v>
      </c>
      <c r="I1057" s="173">
        <v>1</v>
      </c>
    </row>
    <row r="1058" spans="1:9">
      <c r="A1058" s="137">
        <f t="shared" ref="A1058:A1121" si="12">A1057+1</f>
        <v>2</v>
      </c>
      <c r="B1058" s="168" t="s">
        <v>753</v>
      </c>
      <c r="C1058" s="169" t="s">
        <v>751</v>
      </c>
      <c r="D1058" s="170" t="s">
        <v>58</v>
      </c>
      <c r="E1058" s="171"/>
      <c r="F1058" s="172" t="s">
        <v>58</v>
      </c>
      <c r="G1058" s="33" t="str">
        <f>IF(BD!$E1058="","",(E1058/(H1058*I1058)))</f>
        <v/>
      </c>
      <c r="H1058" s="173">
        <v>1</v>
      </c>
      <c r="I1058" s="173">
        <v>1</v>
      </c>
    </row>
    <row r="1059" spans="1:9">
      <c r="A1059" s="137">
        <f t="shared" si="12"/>
        <v>3</v>
      </c>
      <c r="B1059" s="168" t="s">
        <v>754</v>
      </c>
      <c r="C1059" s="169" t="s">
        <v>751</v>
      </c>
      <c r="D1059" s="170" t="s">
        <v>752</v>
      </c>
      <c r="E1059" s="171"/>
      <c r="F1059" s="172" t="s">
        <v>752</v>
      </c>
      <c r="G1059" s="33" t="str">
        <f>IF(BD!$E1059="","",(E1059/(H1059*I1059)))</f>
        <v/>
      </c>
      <c r="H1059" s="173">
        <v>1</v>
      </c>
      <c r="I1059" s="173">
        <v>1</v>
      </c>
    </row>
    <row r="1060" spans="1:9">
      <c r="A1060" s="137">
        <f t="shared" si="12"/>
        <v>4</v>
      </c>
      <c r="B1060" s="168" t="s">
        <v>755</v>
      </c>
      <c r="C1060" s="169" t="s">
        <v>751</v>
      </c>
      <c r="D1060" s="170" t="s">
        <v>687</v>
      </c>
      <c r="E1060" s="171"/>
      <c r="F1060" s="172" t="s">
        <v>687</v>
      </c>
      <c r="G1060" s="33" t="str">
        <f>IF(BD!$E1060="","",(E1060/(H1060*I1060)))</f>
        <v/>
      </c>
      <c r="H1060" s="173">
        <v>1</v>
      </c>
      <c r="I1060" s="173">
        <v>1</v>
      </c>
    </row>
    <row r="1061" spans="1:9">
      <c r="A1061" s="137">
        <f t="shared" si="12"/>
        <v>5</v>
      </c>
      <c r="B1061" s="168" t="s">
        <v>756</v>
      </c>
      <c r="C1061" s="169" t="s">
        <v>751</v>
      </c>
      <c r="D1061" s="170" t="s">
        <v>752</v>
      </c>
      <c r="E1061" s="171"/>
      <c r="F1061" s="172" t="s">
        <v>752</v>
      </c>
      <c r="G1061" s="33" t="str">
        <f>IF(BD!$E1061="","",(E1061/(H1061*I1061)))</f>
        <v/>
      </c>
      <c r="H1061" s="173">
        <v>1</v>
      </c>
      <c r="I1061" s="173">
        <v>1</v>
      </c>
    </row>
    <row r="1062" spans="1:9">
      <c r="A1062" s="137">
        <f t="shared" si="12"/>
        <v>6</v>
      </c>
      <c r="B1062" s="168" t="s">
        <v>757</v>
      </c>
      <c r="C1062" s="169" t="s">
        <v>751</v>
      </c>
      <c r="D1062" s="170" t="s">
        <v>59</v>
      </c>
      <c r="E1062" s="171"/>
      <c r="F1062" s="172" t="s">
        <v>59</v>
      </c>
      <c r="G1062" s="33" t="str">
        <f>IF(BD!$E1062="","",(E1062/(H1062*I1062)))</f>
        <v/>
      </c>
      <c r="H1062" s="173">
        <v>1</v>
      </c>
      <c r="I1062" s="173">
        <v>1</v>
      </c>
    </row>
    <row r="1063" spans="1:9">
      <c r="A1063" s="137">
        <f t="shared" si="12"/>
        <v>7</v>
      </c>
      <c r="B1063" s="168" t="s">
        <v>758</v>
      </c>
      <c r="C1063" s="169" t="s">
        <v>751</v>
      </c>
      <c r="D1063" s="170" t="s">
        <v>687</v>
      </c>
      <c r="E1063" s="171"/>
      <c r="F1063" s="172" t="s">
        <v>687</v>
      </c>
      <c r="G1063" s="33" t="str">
        <f>IF(BD!$E1063="","",(E1063/(H1063*I1063)))</f>
        <v/>
      </c>
      <c r="H1063" s="173">
        <v>1</v>
      </c>
      <c r="I1063" s="173">
        <v>1</v>
      </c>
    </row>
    <row r="1064" spans="1:9">
      <c r="A1064" s="137">
        <f t="shared" si="12"/>
        <v>8</v>
      </c>
      <c r="B1064" s="168" t="s">
        <v>759</v>
      </c>
      <c r="C1064" s="169" t="s">
        <v>751</v>
      </c>
      <c r="D1064" s="174" t="s">
        <v>752</v>
      </c>
      <c r="E1064" s="171"/>
      <c r="F1064" s="175" t="s">
        <v>752</v>
      </c>
      <c r="G1064" s="33" t="str">
        <f>IF(BD!$E1064="","",(E1064/(H1064*I1064)))</f>
        <v/>
      </c>
      <c r="H1064" s="173">
        <v>1</v>
      </c>
      <c r="I1064" s="173">
        <v>1</v>
      </c>
    </row>
    <row r="1065" spans="1:9">
      <c r="A1065" s="137">
        <f t="shared" si="12"/>
        <v>9</v>
      </c>
      <c r="B1065" s="168" t="s">
        <v>760</v>
      </c>
      <c r="C1065" s="169" t="s">
        <v>751</v>
      </c>
      <c r="D1065" s="174" t="s">
        <v>752</v>
      </c>
      <c r="E1065" s="171"/>
      <c r="F1065" s="175" t="s">
        <v>752</v>
      </c>
      <c r="G1065" s="33" t="str">
        <f>IF(BD!$E1065="","",(E1065/(H1065*I1065)))</f>
        <v/>
      </c>
      <c r="H1065" s="173">
        <v>1</v>
      </c>
      <c r="I1065" s="173">
        <v>1</v>
      </c>
    </row>
    <row r="1066" spans="1:9">
      <c r="A1066" s="137">
        <f t="shared" si="12"/>
        <v>10</v>
      </c>
      <c r="B1066" s="168" t="s">
        <v>761</v>
      </c>
      <c r="C1066" s="169" t="s">
        <v>751</v>
      </c>
      <c r="D1066" s="170" t="s">
        <v>752</v>
      </c>
      <c r="E1066" s="171"/>
      <c r="F1066" s="172" t="s">
        <v>752</v>
      </c>
      <c r="G1066" s="33" t="str">
        <f>IF(BD!$E1066="","",(E1066/(H1066*I1066)))</f>
        <v/>
      </c>
      <c r="H1066" s="173">
        <v>1</v>
      </c>
      <c r="I1066" s="173">
        <v>1</v>
      </c>
    </row>
    <row r="1067" spans="1:9">
      <c r="A1067" s="137">
        <f t="shared" si="12"/>
        <v>11</v>
      </c>
      <c r="B1067" s="168" t="s">
        <v>762</v>
      </c>
      <c r="C1067" s="169" t="s">
        <v>751</v>
      </c>
      <c r="D1067" s="170" t="s">
        <v>752</v>
      </c>
      <c r="E1067" s="171"/>
      <c r="F1067" s="172" t="s">
        <v>752</v>
      </c>
      <c r="G1067" s="33" t="str">
        <f>IF(BD!$E1067="","",(E1067/(H1067*I1067)))</f>
        <v/>
      </c>
      <c r="H1067" s="173">
        <v>1</v>
      </c>
      <c r="I1067" s="173">
        <v>1</v>
      </c>
    </row>
    <row r="1068" spans="1:9">
      <c r="A1068" s="137">
        <f t="shared" si="12"/>
        <v>12</v>
      </c>
      <c r="B1068" s="168" t="s">
        <v>763</v>
      </c>
      <c r="C1068" s="169" t="s">
        <v>751</v>
      </c>
      <c r="D1068" s="174" t="s">
        <v>752</v>
      </c>
      <c r="E1068" s="171"/>
      <c r="F1068" s="175" t="s">
        <v>752</v>
      </c>
      <c r="G1068" s="33" t="str">
        <f>IF(BD!$E1068="","",(E1068/(H1068*I1068)))</f>
        <v/>
      </c>
      <c r="H1068" s="173">
        <v>1</v>
      </c>
      <c r="I1068" s="173">
        <v>1</v>
      </c>
    </row>
    <row r="1069" spans="1:9">
      <c r="A1069" s="137">
        <f t="shared" si="12"/>
        <v>13</v>
      </c>
      <c r="B1069" s="168" t="s">
        <v>764</v>
      </c>
      <c r="C1069" s="169" t="s">
        <v>751</v>
      </c>
      <c r="D1069" s="170" t="s">
        <v>687</v>
      </c>
      <c r="E1069" s="171"/>
      <c r="F1069" s="172" t="s">
        <v>687</v>
      </c>
      <c r="G1069" s="33" t="str">
        <f>IF(BD!$E1069="","",(E1069/(H1069*I1069)))</f>
        <v/>
      </c>
      <c r="H1069" s="173">
        <v>1</v>
      </c>
      <c r="I1069" s="173">
        <v>1</v>
      </c>
    </row>
    <row r="1070" spans="1:9">
      <c r="A1070" s="137">
        <f t="shared" si="12"/>
        <v>14</v>
      </c>
      <c r="B1070" s="168" t="s">
        <v>765</v>
      </c>
      <c r="C1070" s="169" t="s">
        <v>751</v>
      </c>
      <c r="D1070" s="170" t="s">
        <v>58</v>
      </c>
      <c r="E1070" s="171"/>
      <c r="F1070" s="172" t="s">
        <v>58</v>
      </c>
      <c r="G1070" s="33" t="str">
        <f>IF(BD!$E1070="","",(E1070/(H1070*I1070)))</f>
        <v/>
      </c>
      <c r="H1070" s="173">
        <v>1</v>
      </c>
      <c r="I1070" s="173">
        <v>1</v>
      </c>
    </row>
    <row r="1071" spans="1:9">
      <c r="A1071" s="137">
        <f t="shared" si="12"/>
        <v>15</v>
      </c>
      <c r="B1071" s="168" t="s">
        <v>766</v>
      </c>
      <c r="C1071" s="169" t="s">
        <v>751</v>
      </c>
      <c r="D1071" s="170" t="s">
        <v>58</v>
      </c>
      <c r="E1071" s="171"/>
      <c r="F1071" s="172" t="s">
        <v>58</v>
      </c>
      <c r="G1071" s="33" t="str">
        <f>IF(BD!$E1071="","",(E1071/(H1071*I1071)))</f>
        <v/>
      </c>
      <c r="H1071" s="173">
        <v>1</v>
      </c>
      <c r="I1071" s="173">
        <v>1</v>
      </c>
    </row>
    <row r="1072" spans="1:9">
      <c r="A1072" s="137">
        <f t="shared" si="12"/>
        <v>16</v>
      </c>
      <c r="B1072" s="168" t="s">
        <v>767</v>
      </c>
      <c r="C1072" s="169" t="s">
        <v>751</v>
      </c>
      <c r="D1072" s="170" t="s">
        <v>768</v>
      </c>
      <c r="E1072" s="171"/>
      <c r="F1072" s="172" t="s">
        <v>768</v>
      </c>
      <c r="G1072" s="33" t="str">
        <f>IF(BD!$E1072="","",(E1072/(H1072*I1072)))</f>
        <v/>
      </c>
      <c r="H1072" s="173">
        <v>1</v>
      </c>
      <c r="I1072" s="173">
        <v>1</v>
      </c>
    </row>
    <row r="1073" spans="1:9">
      <c r="A1073" s="137">
        <f t="shared" si="12"/>
        <v>17</v>
      </c>
      <c r="B1073" s="168" t="s">
        <v>769</v>
      </c>
      <c r="C1073" s="169" t="s">
        <v>751</v>
      </c>
      <c r="D1073" s="174" t="s">
        <v>58</v>
      </c>
      <c r="E1073" s="171"/>
      <c r="F1073" s="175" t="s">
        <v>58</v>
      </c>
      <c r="G1073" s="33" t="str">
        <f>IF(BD!$E1073="","",(E1073/(H1073*I1073)))</f>
        <v/>
      </c>
      <c r="H1073" s="173">
        <v>1</v>
      </c>
      <c r="I1073" s="173">
        <v>1</v>
      </c>
    </row>
    <row r="1074" spans="1:9">
      <c r="A1074" s="137">
        <f t="shared" si="12"/>
        <v>18</v>
      </c>
      <c r="B1074" s="168" t="s">
        <v>770</v>
      </c>
      <c r="C1074" s="169" t="s">
        <v>751</v>
      </c>
      <c r="D1074" s="170" t="s">
        <v>59</v>
      </c>
      <c r="E1074" s="171"/>
      <c r="F1074" s="172" t="s">
        <v>59</v>
      </c>
      <c r="G1074" s="33" t="str">
        <f>IF(BD!$E1074="","",(E1074/(H1074*I1074)))</f>
        <v/>
      </c>
      <c r="H1074" s="173">
        <v>1</v>
      </c>
      <c r="I1074" s="173">
        <v>1</v>
      </c>
    </row>
    <row r="1075" spans="1:9">
      <c r="A1075" s="137">
        <f t="shared" si="12"/>
        <v>19</v>
      </c>
      <c r="B1075" s="168" t="s">
        <v>771</v>
      </c>
      <c r="C1075" s="169" t="s">
        <v>751</v>
      </c>
      <c r="D1075" s="174" t="s">
        <v>58</v>
      </c>
      <c r="E1075" s="171"/>
      <c r="F1075" s="175" t="s">
        <v>58</v>
      </c>
      <c r="G1075" s="33" t="str">
        <f>IF(BD!$E1075="","",(E1075/(H1075*I1075)))</f>
        <v/>
      </c>
      <c r="H1075" s="173">
        <v>1</v>
      </c>
      <c r="I1075" s="173">
        <v>1</v>
      </c>
    </row>
    <row r="1076" spans="1:9">
      <c r="A1076" s="137">
        <f t="shared" si="12"/>
        <v>20</v>
      </c>
      <c r="B1076" s="168" t="s">
        <v>772</v>
      </c>
      <c r="C1076" s="169" t="s">
        <v>751</v>
      </c>
      <c r="D1076" s="174" t="s">
        <v>752</v>
      </c>
      <c r="E1076" s="171"/>
      <c r="F1076" s="175" t="s">
        <v>752</v>
      </c>
      <c r="G1076" s="33" t="str">
        <f>IF(BD!$E1076="","",(E1076/(H1076*I1076)))</f>
        <v/>
      </c>
      <c r="H1076" s="173">
        <v>1</v>
      </c>
      <c r="I1076" s="173">
        <v>1</v>
      </c>
    </row>
    <row r="1077" spans="1:9">
      <c r="A1077" s="137">
        <f t="shared" si="12"/>
        <v>21</v>
      </c>
      <c r="B1077" s="168" t="s">
        <v>773</v>
      </c>
      <c r="C1077" s="169" t="s">
        <v>751</v>
      </c>
      <c r="D1077" s="170" t="s">
        <v>58</v>
      </c>
      <c r="E1077" s="171"/>
      <c r="F1077" s="172" t="s">
        <v>58</v>
      </c>
      <c r="G1077" s="33" t="str">
        <f>IF(BD!$E1077="","",(E1077/(H1077*I1077)))</f>
        <v/>
      </c>
      <c r="H1077" s="173">
        <v>1</v>
      </c>
      <c r="I1077" s="173">
        <v>1</v>
      </c>
    </row>
    <row r="1078" spans="1:9">
      <c r="A1078" s="137">
        <f t="shared" si="12"/>
        <v>22</v>
      </c>
      <c r="B1078" s="168" t="s">
        <v>774</v>
      </c>
      <c r="C1078" s="169" t="s">
        <v>751</v>
      </c>
      <c r="D1078" s="170" t="s">
        <v>58</v>
      </c>
      <c r="E1078" s="171"/>
      <c r="F1078" s="172" t="s">
        <v>58</v>
      </c>
      <c r="G1078" s="33" t="str">
        <f>IF(BD!$E1078="","",(E1078/(H1078*I1078)))</f>
        <v/>
      </c>
      <c r="H1078" s="173">
        <v>1</v>
      </c>
      <c r="I1078" s="173">
        <v>1</v>
      </c>
    </row>
    <row r="1079" spans="1:9">
      <c r="A1079" s="137">
        <f t="shared" si="12"/>
        <v>23</v>
      </c>
      <c r="B1079" s="168" t="s">
        <v>775</v>
      </c>
      <c r="C1079" s="169" t="s">
        <v>751</v>
      </c>
      <c r="D1079" s="170" t="s">
        <v>59</v>
      </c>
      <c r="E1079" s="171"/>
      <c r="F1079" s="172" t="s">
        <v>59</v>
      </c>
      <c r="G1079" s="33" t="str">
        <f>IF(BD!$E1079="","",(E1079/(H1079*I1079)))</f>
        <v/>
      </c>
      <c r="H1079" s="173">
        <v>1</v>
      </c>
      <c r="I1079" s="173">
        <v>1</v>
      </c>
    </row>
    <row r="1080" spans="1:9">
      <c r="A1080" s="137">
        <f t="shared" si="12"/>
        <v>24</v>
      </c>
      <c r="B1080" s="168" t="s">
        <v>776</v>
      </c>
      <c r="C1080" s="169" t="s">
        <v>751</v>
      </c>
      <c r="D1080" s="174" t="s">
        <v>752</v>
      </c>
      <c r="E1080" s="171"/>
      <c r="F1080" s="175" t="s">
        <v>752</v>
      </c>
      <c r="G1080" s="33" t="str">
        <f>IF(BD!$E1080="","",(E1080/(H1080*I1080)))</f>
        <v/>
      </c>
      <c r="H1080" s="173">
        <v>1</v>
      </c>
      <c r="I1080" s="173">
        <v>1</v>
      </c>
    </row>
    <row r="1081" spans="1:9">
      <c r="A1081" s="137">
        <f t="shared" si="12"/>
        <v>25</v>
      </c>
      <c r="B1081" s="168" t="s">
        <v>777</v>
      </c>
      <c r="C1081" s="169" t="s">
        <v>751</v>
      </c>
      <c r="D1081" s="174" t="s">
        <v>687</v>
      </c>
      <c r="E1081" s="171"/>
      <c r="F1081" s="175" t="s">
        <v>687</v>
      </c>
      <c r="G1081" s="33" t="str">
        <f>IF(BD!$E1081="","",(E1081/(H1081*I1081)))</f>
        <v/>
      </c>
      <c r="H1081" s="173">
        <v>1</v>
      </c>
      <c r="I1081" s="173">
        <v>1</v>
      </c>
    </row>
    <row r="1082" spans="1:9">
      <c r="A1082" s="137">
        <f t="shared" si="12"/>
        <v>26</v>
      </c>
      <c r="B1082" s="168" t="s">
        <v>778</v>
      </c>
      <c r="C1082" s="169" t="s">
        <v>751</v>
      </c>
      <c r="D1082" s="174" t="s">
        <v>779</v>
      </c>
      <c r="E1082" s="171"/>
      <c r="F1082" s="175" t="s">
        <v>779</v>
      </c>
      <c r="G1082" s="33" t="str">
        <f>IF(BD!$E1082="","",(E1082/(H1082*I1082)))</f>
        <v/>
      </c>
      <c r="H1082" s="173">
        <v>1</v>
      </c>
      <c r="I1082" s="173">
        <v>1</v>
      </c>
    </row>
    <row r="1083" spans="1:9">
      <c r="A1083" s="137">
        <f t="shared" si="12"/>
        <v>27</v>
      </c>
      <c r="B1083" s="168" t="s">
        <v>780</v>
      </c>
      <c r="C1083" s="169" t="s">
        <v>751</v>
      </c>
      <c r="D1083" s="170" t="s">
        <v>58</v>
      </c>
      <c r="E1083" s="171"/>
      <c r="F1083" s="172" t="s">
        <v>58</v>
      </c>
      <c r="G1083" s="33" t="str">
        <f>IF(BD!$E1083="","",(E1083/(H1083*I1083)))</f>
        <v/>
      </c>
      <c r="H1083" s="173">
        <v>1</v>
      </c>
      <c r="I1083" s="173">
        <v>1</v>
      </c>
    </row>
    <row r="1084" spans="1:9">
      <c r="A1084" s="137">
        <f t="shared" si="12"/>
        <v>28</v>
      </c>
      <c r="B1084" s="168" t="s">
        <v>781</v>
      </c>
      <c r="C1084" s="169" t="s">
        <v>751</v>
      </c>
      <c r="D1084" s="174" t="s">
        <v>687</v>
      </c>
      <c r="E1084" s="171"/>
      <c r="F1084" s="175" t="s">
        <v>687</v>
      </c>
      <c r="G1084" s="33" t="str">
        <f>IF(BD!$E1084="","",(E1084/(H1084*I1084)))</f>
        <v/>
      </c>
      <c r="H1084" s="173">
        <v>1</v>
      </c>
      <c r="I1084" s="173">
        <v>1</v>
      </c>
    </row>
    <row r="1085" spans="1:9">
      <c r="A1085" s="137">
        <f t="shared" si="12"/>
        <v>29</v>
      </c>
      <c r="B1085" s="168" t="s">
        <v>782</v>
      </c>
      <c r="C1085" s="169" t="s">
        <v>751</v>
      </c>
      <c r="D1085" s="170" t="s">
        <v>687</v>
      </c>
      <c r="E1085" s="171"/>
      <c r="F1085" s="172" t="s">
        <v>687</v>
      </c>
      <c r="G1085" s="33" t="str">
        <f>IF(BD!$E1085="","",(E1085/(H1085*I1085)))</f>
        <v/>
      </c>
      <c r="H1085" s="173">
        <v>1</v>
      </c>
      <c r="I1085" s="173">
        <v>1</v>
      </c>
    </row>
    <row r="1086" spans="1:9">
      <c r="A1086" s="137">
        <f t="shared" si="12"/>
        <v>30</v>
      </c>
      <c r="B1086" s="168" t="s">
        <v>783</v>
      </c>
      <c r="C1086" s="169" t="s">
        <v>751</v>
      </c>
      <c r="D1086" s="174" t="s">
        <v>59</v>
      </c>
      <c r="E1086" s="171"/>
      <c r="F1086" s="175" t="s">
        <v>59</v>
      </c>
      <c r="G1086" s="33" t="str">
        <f>IF(BD!$E1086="","",(E1086/(H1086*I1086)))</f>
        <v/>
      </c>
      <c r="H1086" s="173">
        <v>1</v>
      </c>
      <c r="I1086" s="173">
        <v>1</v>
      </c>
    </row>
    <row r="1087" spans="1:9">
      <c r="A1087" s="137">
        <f t="shared" si="12"/>
        <v>31</v>
      </c>
      <c r="B1087" s="168" t="s">
        <v>784</v>
      </c>
      <c r="C1087" s="169" t="s">
        <v>751</v>
      </c>
      <c r="D1087" s="170" t="s">
        <v>58</v>
      </c>
      <c r="E1087" s="171"/>
      <c r="F1087" s="172" t="s">
        <v>58</v>
      </c>
      <c r="G1087" s="33" t="str">
        <f>IF(BD!$E1087="","",(E1087/(H1087*I1087)))</f>
        <v/>
      </c>
      <c r="H1087" s="173">
        <v>1</v>
      </c>
      <c r="I1087" s="173">
        <v>1</v>
      </c>
    </row>
    <row r="1088" spans="1:9">
      <c r="A1088" s="137">
        <f t="shared" si="12"/>
        <v>32</v>
      </c>
      <c r="B1088" s="168" t="s">
        <v>785</v>
      </c>
      <c r="C1088" s="169" t="s">
        <v>751</v>
      </c>
      <c r="D1088" s="170" t="s">
        <v>687</v>
      </c>
      <c r="E1088" s="171"/>
      <c r="F1088" s="172" t="s">
        <v>687</v>
      </c>
      <c r="G1088" s="33" t="str">
        <f>IF(BD!$E1088="","",(E1088/(H1088*I1088)))</f>
        <v/>
      </c>
      <c r="H1088" s="176">
        <v>1</v>
      </c>
      <c r="I1088" s="176">
        <v>1</v>
      </c>
    </row>
    <row r="1089" spans="1:9">
      <c r="A1089" s="137">
        <f t="shared" si="12"/>
        <v>33</v>
      </c>
      <c r="B1089" s="168" t="s">
        <v>786</v>
      </c>
      <c r="C1089" s="169" t="s">
        <v>751</v>
      </c>
      <c r="D1089" s="174" t="s">
        <v>58</v>
      </c>
      <c r="E1089" s="171"/>
      <c r="F1089" s="175" t="s">
        <v>58</v>
      </c>
      <c r="G1089" s="33" t="str">
        <f>IF(BD!$E1089="","",(E1089/(H1089*I1089)))</f>
        <v/>
      </c>
      <c r="H1089" s="176">
        <v>1</v>
      </c>
      <c r="I1089" s="176">
        <v>1</v>
      </c>
    </row>
    <row r="1090" spans="1:9">
      <c r="A1090" s="137">
        <f t="shared" si="12"/>
        <v>34</v>
      </c>
      <c r="B1090" s="168" t="s">
        <v>787</v>
      </c>
      <c r="C1090" s="169" t="s">
        <v>751</v>
      </c>
      <c r="D1090" s="170" t="s">
        <v>752</v>
      </c>
      <c r="E1090" s="171"/>
      <c r="F1090" s="172" t="s">
        <v>752</v>
      </c>
      <c r="G1090" s="33" t="str">
        <f>IF(BD!$E1090="","",(E1090/(H1090*I1090)))</f>
        <v/>
      </c>
      <c r="H1090" s="176">
        <v>1</v>
      </c>
      <c r="I1090" s="176">
        <v>1</v>
      </c>
    </row>
    <row r="1091" spans="1:9">
      <c r="A1091" s="137">
        <f t="shared" si="12"/>
        <v>35</v>
      </c>
      <c r="B1091" s="168" t="s">
        <v>788</v>
      </c>
      <c r="C1091" s="169" t="s">
        <v>751</v>
      </c>
      <c r="D1091" s="174" t="s">
        <v>752</v>
      </c>
      <c r="E1091" s="171"/>
      <c r="F1091" s="175" t="s">
        <v>752</v>
      </c>
      <c r="G1091" s="33" t="str">
        <f>IF(BD!$E1091="","",(E1091/(H1091*I1091)))</f>
        <v/>
      </c>
      <c r="H1091" s="176">
        <v>1</v>
      </c>
      <c r="I1091" s="176">
        <v>1</v>
      </c>
    </row>
    <row r="1092" spans="1:9">
      <c r="A1092" s="137">
        <f t="shared" si="12"/>
        <v>36</v>
      </c>
      <c r="B1092" s="168" t="s">
        <v>789</v>
      </c>
      <c r="C1092" s="169" t="s">
        <v>751</v>
      </c>
      <c r="D1092" s="170" t="s">
        <v>752</v>
      </c>
      <c r="E1092" s="171"/>
      <c r="F1092" s="172" t="s">
        <v>752</v>
      </c>
      <c r="G1092" s="33" t="str">
        <f>IF(BD!$E1092="","",(E1092/(H1092*I1092)))</f>
        <v/>
      </c>
      <c r="H1092" s="176">
        <v>1</v>
      </c>
      <c r="I1092" s="176">
        <v>1</v>
      </c>
    </row>
    <row r="1093" spans="1:9">
      <c r="A1093" s="137">
        <f t="shared" si="12"/>
        <v>37</v>
      </c>
      <c r="B1093" s="168" t="s">
        <v>790</v>
      </c>
      <c r="C1093" s="169" t="s">
        <v>751</v>
      </c>
      <c r="D1093" s="170" t="s">
        <v>58</v>
      </c>
      <c r="E1093" s="171"/>
      <c r="F1093" s="172" t="s">
        <v>58</v>
      </c>
      <c r="G1093" s="33" t="str">
        <f>IF(BD!$E1093="","",(E1093/(H1093*I1093)))</f>
        <v/>
      </c>
      <c r="H1093" s="176">
        <v>1</v>
      </c>
      <c r="I1093" s="176">
        <v>1</v>
      </c>
    </row>
    <row r="1094" spans="1:9">
      <c r="A1094" s="137">
        <f t="shared" si="12"/>
        <v>38</v>
      </c>
      <c r="B1094" s="168" t="s">
        <v>791</v>
      </c>
      <c r="C1094" s="169" t="s">
        <v>751</v>
      </c>
      <c r="D1094" s="170" t="s">
        <v>752</v>
      </c>
      <c r="E1094" s="171"/>
      <c r="F1094" s="172" t="s">
        <v>752</v>
      </c>
      <c r="G1094" s="33" t="str">
        <f>IF(BD!$E1094="","",(E1094/(H1094*I1094)))</f>
        <v/>
      </c>
      <c r="H1094" s="176">
        <v>1</v>
      </c>
      <c r="I1094" s="176">
        <v>1</v>
      </c>
    </row>
    <row r="1095" spans="1:9">
      <c r="A1095" s="137">
        <f t="shared" si="12"/>
        <v>39</v>
      </c>
      <c r="B1095" s="168" t="s">
        <v>792</v>
      </c>
      <c r="C1095" s="169" t="s">
        <v>751</v>
      </c>
      <c r="D1095" s="170" t="s">
        <v>58</v>
      </c>
      <c r="E1095" s="171"/>
      <c r="F1095" s="172" t="s">
        <v>58</v>
      </c>
      <c r="G1095" s="33" t="str">
        <f>IF(BD!$E1095="","",(E1095/(H1095*I1095)))</f>
        <v/>
      </c>
      <c r="H1095" s="176">
        <v>1</v>
      </c>
      <c r="I1095" s="176">
        <v>1</v>
      </c>
    </row>
    <row r="1096" spans="1:9">
      <c r="A1096" s="137">
        <f t="shared" si="12"/>
        <v>40</v>
      </c>
      <c r="B1096" s="168" t="s">
        <v>793</v>
      </c>
      <c r="C1096" s="169" t="s">
        <v>751</v>
      </c>
      <c r="D1096" s="174" t="s">
        <v>752</v>
      </c>
      <c r="E1096" s="171"/>
      <c r="F1096" s="175" t="s">
        <v>752</v>
      </c>
      <c r="G1096" s="33" t="str">
        <f>IF(BD!$E1096="","",(E1096/(H1096*I1096)))</f>
        <v/>
      </c>
      <c r="H1096" s="176">
        <v>1</v>
      </c>
      <c r="I1096" s="176">
        <v>1</v>
      </c>
    </row>
    <row r="1097" spans="1:9">
      <c r="A1097" s="137">
        <f t="shared" si="12"/>
        <v>41</v>
      </c>
      <c r="B1097" s="168" t="s">
        <v>794</v>
      </c>
      <c r="C1097" s="169" t="s">
        <v>751</v>
      </c>
      <c r="D1097" s="174" t="s">
        <v>59</v>
      </c>
      <c r="E1097" s="171"/>
      <c r="F1097" s="175" t="s">
        <v>59</v>
      </c>
      <c r="G1097" s="33" t="str">
        <f>IF(BD!$E1097="","",(E1097/(H1097*I1097)))</f>
        <v/>
      </c>
      <c r="H1097" s="176">
        <v>1</v>
      </c>
      <c r="I1097" s="176">
        <v>1</v>
      </c>
    </row>
    <row r="1098" spans="1:9">
      <c r="A1098" s="137">
        <f t="shared" si="12"/>
        <v>42</v>
      </c>
      <c r="B1098" s="168" t="s">
        <v>795</v>
      </c>
      <c r="C1098" s="169" t="s">
        <v>751</v>
      </c>
      <c r="D1098" s="174" t="s">
        <v>58</v>
      </c>
      <c r="E1098" s="171"/>
      <c r="F1098" s="175" t="s">
        <v>58</v>
      </c>
      <c r="G1098" s="33" t="str">
        <f>IF(BD!$E1098="","",(E1098/(H1098*I1098)))</f>
        <v/>
      </c>
      <c r="H1098" s="176">
        <v>1</v>
      </c>
      <c r="I1098" s="176">
        <v>1</v>
      </c>
    </row>
    <row r="1099" spans="1:9">
      <c r="A1099" s="137">
        <f t="shared" si="12"/>
        <v>43</v>
      </c>
      <c r="B1099" s="168" t="s">
        <v>796</v>
      </c>
      <c r="C1099" s="169" t="s">
        <v>751</v>
      </c>
      <c r="D1099" s="174" t="s">
        <v>58</v>
      </c>
      <c r="E1099" s="171"/>
      <c r="F1099" s="175" t="s">
        <v>58</v>
      </c>
      <c r="G1099" s="33" t="str">
        <f>IF(BD!$E1099="","",(E1099/(H1099*I1099)))</f>
        <v/>
      </c>
      <c r="H1099" s="176">
        <v>1</v>
      </c>
      <c r="I1099" s="176">
        <v>1</v>
      </c>
    </row>
    <row r="1100" spans="1:9">
      <c r="A1100" s="137">
        <f t="shared" si="12"/>
        <v>44</v>
      </c>
      <c r="B1100" s="168" t="s">
        <v>797</v>
      </c>
      <c r="C1100" s="169" t="s">
        <v>751</v>
      </c>
      <c r="D1100" s="174" t="s">
        <v>59</v>
      </c>
      <c r="E1100" s="171"/>
      <c r="F1100" s="175" t="s">
        <v>59</v>
      </c>
      <c r="G1100" s="33" t="str">
        <f>IF(BD!$E1100="","",(E1100/(H1100*I1100)))</f>
        <v/>
      </c>
      <c r="H1100" s="176">
        <v>1</v>
      </c>
      <c r="I1100" s="176">
        <v>1</v>
      </c>
    </row>
    <row r="1101" spans="1:9">
      <c r="A1101" s="137">
        <f t="shared" si="12"/>
        <v>45</v>
      </c>
      <c r="B1101" s="168" t="s">
        <v>798</v>
      </c>
      <c r="C1101" s="169" t="s">
        <v>751</v>
      </c>
      <c r="D1101" s="170" t="s">
        <v>58</v>
      </c>
      <c r="E1101" s="171"/>
      <c r="F1101" s="172" t="s">
        <v>58</v>
      </c>
      <c r="G1101" s="33" t="str">
        <f>IF(BD!$E1101="","",(E1101/(H1101*I1101)))</f>
        <v/>
      </c>
      <c r="H1101" s="176">
        <v>1</v>
      </c>
      <c r="I1101" s="176">
        <v>1</v>
      </c>
    </row>
    <row r="1102" spans="1:9">
      <c r="A1102" s="137">
        <f t="shared" si="12"/>
        <v>46</v>
      </c>
      <c r="B1102" s="168" t="s">
        <v>799</v>
      </c>
      <c r="C1102" s="169" t="s">
        <v>751</v>
      </c>
      <c r="D1102" s="170" t="s">
        <v>768</v>
      </c>
      <c r="E1102" s="171"/>
      <c r="F1102" s="172" t="s">
        <v>768</v>
      </c>
      <c r="G1102" s="33" t="str">
        <f>IF(BD!$E1102="","",(E1102/(H1102*I1102)))</f>
        <v/>
      </c>
      <c r="H1102" s="176">
        <v>1</v>
      </c>
      <c r="I1102" s="176">
        <v>1</v>
      </c>
    </row>
    <row r="1103" spans="1:9">
      <c r="A1103" s="137">
        <f t="shared" si="12"/>
        <v>47</v>
      </c>
      <c r="B1103" s="168" t="s">
        <v>800</v>
      </c>
      <c r="C1103" s="169" t="s">
        <v>751</v>
      </c>
      <c r="D1103" s="170" t="s">
        <v>768</v>
      </c>
      <c r="E1103" s="171"/>
      <c r="F1103" s="172" t="s">
        <v>768</v>
      </c>
      <c r="G1103" s="33" t="str">
        <f>IF(BD!$E1103="","",(E1103/(H1103*I1103)))</f>
        <v/>
      </c>
      <c r="H1103" s="176">
        <v>1</v>
      </c>
      <c r="I1103" s="176">
        <v>1</v>
      </c>
    </row>
    <row r="1104" spans="1:9">
      <c r="A1104" s="137">
        <f t="shared" si="12"/>
        <v>48</v>
      </c>
      <c r="B1104" s="168" t="s">
        <v>801</v>
      </c>
      <c r="C1104" s="169" t="s">
        <v>751</v>
      </c>
      <c r="D1104" s="174" t="s">
        <v>752</v>
      </c>
      <c r="E1104" s="171"/>
      <c r="F1104" s="175" t="s">
        <v>752</v>
      </c>
      <c r="G1104" s="33" t="str">
        <f>IF(BD!$E1104="","",(E1104/(H1104*I1104)))</f>
        <v/>
      </c>
      <c r="H1104" s="176">
        <v>1</v>
      </c>
      <c r="I1104" s="176">
        <v>1</v>
      </c>
    </row>
    <row r="1105" spans="1:9">
      <c r="A1105" s="137">
        <f t="shared" si="12"/>
        <v>49</v>
      </c>
      <c r="B1105" s="168" t="s">
        <v>802</v>
      </c>
      <c r="C1105" s="169" t="s">
        <v>751</v>
      </c>
      <c r="D1105" s="174" t="s">
        <v>59</v>
      </c>
      <c r="E1105" s="171"/>
      <c r="F1105" s="175" t="s">
        <v>59</v>
      </c>
      <c r="G1105" s="33" t="str">
        <f>IF(BD!$E1105="","",(E1105/(H1105*I1105)))</f>
        <v/>
      </c>
      <c r="H1105" s="176">
        <v>1</v>
      </c>
      <c r="I1105" s="176">
        <v>1</v>
      </c>
    </row>
    <row r="1106" spans="1:9">
      <c r="A1106" s="137">
        <f t="shared" si="12"/>
        <v>50</v>
      </c>
      <c r="B1106" s="168" t="s">
        <v>803</v>
      </c>
      <c r="C1106" s="169" t="s">
        <v>751</v>
      </c>
      <c r="D1106" s="174" t="s">
        <v>59</v>
      </c>
      <c r="E1106" s="171"/>
      <c r="F1106" s="175" t="s">
        <v>59</v>
      </c>
      <c r="G1106" s="33" t="str">
        <f>IF(BD!$E1106="","",(E1106/(H1106*I1106)))</f>
        <v/>
      </c>
      <c r="H1106" s="176">
        <v>1</v>
      </c>
      <c r="I1106" s="176">
        <v>1</v>
      </c>
    </row>
    <row r="1107" spans="1:9">
      <c r="A1107" s="137">
        <f t="shared" si="12"/>
        <v>51</v>
      </c>
      <c r="B1107" s="168" t="s">
        <v>804</v>
      </c>
      <c r="C1107" s="169" t="s">
        <v>751</v>
      </c>
      <c r="D1107" s="174" t="s">
        <v>59</v>
      </c>
      <c r="E1107" s="171"/>
      <c r="F1107" s="175" t="s">
        <v>59</v>
      </c>
      <c r="G1107" s="33" t="str">
        <f>IF(BD!$E1107="","",(E1107/(H1107*I1107)))</f>
        <v/>
      </c>
      <c r="H1107" s="176">
        <v>1</v>
      </c>
      <c r="I1107" s="176">
        <v>1</v>
      </c>
    </row>
    <row r="1108" spans="1:9">
      <c r="A1108" s="137">
        <f t="shared" si="12"/>
        <v>52</v>
      </c>
      <c r="B1108" s="168" t="s">
        <v>805</v>
      </c>
      <c r="C1108" s="169" t="s">
        <v>751</v>
      </c>
      <c r="D1108" s="170" t="s">
        <v>59</v>
      </c>
      <c r="E1108" s="171"/>
      <c r="F1108" s="172" t="s">
        <v>59</v>
      </c>
      <c r="G1108" s="33" t="str">
        <f>IF(BD!$E1108="","",(E1108/(H1108*I1108)))</f>
        <v/>
      </c>
      <c r="H1108" s="176">
        <v>1</v>
      </c>
      <c r="I1108" s="176">
        <v>1</v>
      </c>
    </row>
    <row r="1109" spans="1:9">
      <c r="A1109" s="137">
        <f t="shared" si="12"/>
        <v>53</v>
      </c>
      <c r="B1109" s="168" t="s">
        <v>806</v>
      </c>
      <c r="C1109" s="169" t="s">
        <v>751</v>
      </c>
      <c r="D1109" s="174" t="s">
        <v>59</v>
      </c>
      <c r="E1109" s="171"/>
      <c r="F1109" s="175" t="s">
        <v>59</v>
      </c>
      <c r="G1109" s="33" t="str">
        <f>IF(BD!$E1109="","",(E1109/(H1109*I1109)))</f>
        <v/>
      </c>
      <c r="H1109" s="176">
        <v>1</v>
      </c>
      <c r="I1109" s="176">
        <v>1</v>
      </c>
    </row>
    <row r="1110" spans="1:9">
      <c r="A1110" s="137">
        <f t="shared" si="12"/>
        <v>54</v>
      </c>
      <c r="B1110" s="168" t="s">
        <v>807</v>
      </c>
      <c r="C1110" s="169" t="s">
        <v>751</v>
      </c>
      <c r="D1110" s="170" t="s">
        <v>59</v>
      </c>
      <c r="E1110" s="171"/>
      <c r="F1110" s="172" t="s">
        <v>59</v>
      </c>
      <c r="G1110" s="33" t="str">
        <f>IF(BD!$E1110="","",(E1110/(H1110*I1110)))</f>
        <v/>
      </c>
      <c r="H1110" s="176">
        <v>1</v>
      </c>
      <c r="I1110" s="176">
        <v>1</v>
      </c>
    </row>
    <row r="1111" spans="1:9">
      <c r="A1111" s="137">
        <f t="shared" si="12"/>
        <v>55</v>
      </c>
      <c r="B1111" s="168" t="s">
        <v>808</v>
      </c>
      <c r="C1111" s="169" t="s">
        <v>751</v>
      </c>
      <c r="D1111" s="170" t="s">
        <v>59</v>
      </c>
      <c r="E1111" s="171"/>
      <c r="F1111" s="172" t="s">
        <v>59</v>
      </c>
      <c r="G1111" s="33" t="str">
        <f>IF(BD!$E1111="","",(E1111/(H1111*I1111)))</f>
        <v/>
      </c>
      <c r="H1111" s="176">
        <v>1</v>
      </c>
      <c r="I1111" s="176">
        <v>1</v>
      </c>
    </row>
    <row r="1112" spans="1:9">
      <c r="A1112" s="137">
        <f t="shared" si="12"/>
        <v>56</v>
      </c>
      <c r="B1112" s="168" t="s">
        <v>809</v>
      </c>
      <c r="C1112" s="169" t="s">
        <v>751</v>
      </c>
      <c r="D1112" s="170" t="s">
        <v>59</v>
      </c>
      <c r="E1112" s="171"/>
      <c r="F1112" s="172" t="s">
        <v>59</v>
      </c>
      <c r="G1112" s="33" t="str">
        <f>IF(BD!$E1112="","",(E1112/(H1112*I1112)))</f>
        <v/>
      </c>
      <c r="H1112" s="176">
        <v>1</v>
      </c>
      <c r="I1112" s="176">
        <v>1</v>
      </c>
    </row>
    <row r="1113" spans="1:9">
      <c r="A1113" s="137">
        <f t="shared" si="12"/>
        <v>57</v>
      </c>
      <c r="B1113" s="168" t="s">
        <v>810</v>
      </c>
      <c r="C1113" s="169" t="s">
        <v>751</v>
      </c>
      <c r="D1113" s="174" t="s">
        <v>59</v>
      </c>
      <c r="E1113" s="171"/>
      <c r="F1113" s="175" t="s">
        <v>59</v>
      </c>
      <c r="G1113" s="33" t="str">
        <f>IF(BD!$E1113="","",(E1113/(H1113*I1113)))</f>
        <v/>
      </c>
      <c r="H1113" s="176">
        <v>1</v>
      </c>
      <c r="I1113" s="176">
        <v>1</v>
      </c>
    </row>
    <row r="1114" spans="1:9">
      <c r="A1114" s="137">
        <f t="shared" si="12"/>
        <v>58</v>
      </c>
      <c r="B1114" s="168" t="s">
        <v>811</v>
      </c>
      <c r="C1114" s="169" t="s">
        <v>751</v>
      </c>
      <c r="D1114" s="174" t="s">
        <v>59</v>
      </c>
      <c r="E1114" s="171"/>
      <c r="F1114" s="175" t="s">
        <v>59</v>
      </c>
      <c r="G1114" s="33" t="str">
        <f>IF(BD!$E1114="","",(E1114/(H1114*I1114)))</f>
        <v/>
      </c>
      <c r="H1114" s="176">
        <v>1</v>
      </c>
      <c r="I1114" s="176">
        <v>1</v>
      </c>
    </row>
    <row r="1115" spans="1:9">
      <c r="A1115" s="137">
        <f t="shared" si="12"/>
        <v>59</v>
      </c>
      <c r="B1115" s="168" t="s">
        <v>812</v>
      </c>
      <c r="C1115" s="169" t="s">
        <v>751</v>
      </c>
      <c r="D1115" s="174" t="s">
        <v>58</v>
      </c>
      <c r="E1115" s="171"/>
      <c r="F1115" s="175" t="s">
        <v>58</v>
      </c>
      <c r="G1115" s="33" t="str">
        <f>IF(BD!$E1115="","",(E1115/(H1115*I1115)))</f>
        <v/>
      </c>
      <c r="H1115" s="176">
        <v>1</v>
      </c>
      <c r="I1115" s="176">
        <v>1</v>
      </c>
    </row>
    <row r="1116" spans="1:9">
      <c r="A1116" s="137">
        <f t="shared" si="12"/>
        <v>60</v>
      </c>
      <c r="B1116" s="168" t="s">
        <v>813</v>
      </c>
      <c r="C1116" s="169" t="s">
        <v>751</v>
      </c>
      <c r="D1116" s="174" t="s">
        <v>59</v>
      </c>
      <c r="E1116" s="171"/>
      <c r="F1116" s="175" t="s">
        <v>59</v>
      </c>
      <c r="G1116" s="33" t="str">
        <f>IF(BD!$E1116="","",(E1116/(H1116*I1116)))</f>
        <v/>
      </c>
      <c r="H1116" s="176">
        <v>1</v>
      </c>
      <c r="I1116" s="176">
        <v>1</v>
      </c>
    </row>
    <row r="1117" spans="1:9">
      <c r="A1117" s="137">
        <f t="shared" si="12"/>
        <v>61</v>
      </c>
      <c r="B1117" s="168" t="s">
        <v>814</v>
      </c>
      <c r="C1117" s="169" t="s">
        <v>751</v>
      </c>
      <c r="D1117" s="174" t="s">
        <v>59</v>
      </c>
      <c r="E1117" s="171"/>
      <c r="F1117" s="175" t="s">
        <v>59</v>
      </c>
      <c r="G1117" s="33" t="str">
        <f>IF(BD!$E1117="","",(E1117/(H1117*I1117)))</f>
        <v/>
      </c>
      <c r="H1117" s="176">
        <v>1</v>
      </c>
      <c r="I1117" s="176">
        <v>1</v>
      </c>
    </row>
    <row r="1118" spans="1:9">
      <c r="A1118" s="137">
        <f t="shared" si="12"/>
        <v>62</v>
      </c>
      <c r="B1118" s="168" t="s">
        <v>815</v>
      </c>
      <c r="C1118" s="169" t="s">
        <v>751</v>
      </c>
      <c r="D1118" s="170" t="s">
        <v>59</v>
      </c>
      <c r="E1118" s="171"/>
      <c r="F1118" s="172" t="s">
        <v>59</v>
      </c>
      <c r="G1118" s="33" t="str">
        <f>IF(BD!$E1118="","",(E1118/(H1118*I1118)))</f>
        <v/>
      </c>
      <c r="H1118" s="176">
        <v>1</v>
      </c>
      <c r="I1118" s="176">
        <v>1</v>
      </c>
    </row>
    <row r="1119" spans="1:9">
      <c r="A1119" s="137">
        <f t="shared" si="12"/>
        <v>63</v>
      </c>
      <c r="B1119" s="168" t="s">
        <v>816</v>
      </c>
      <c r="C1119" s="169" t="s">
        <v>751</v>
      </c>
      <c r="D1119" s="174" t="s">
        <v>752</v>
      </c>
      <c r="E1119" s="171"/>
      <c r="F1119" s="175" t="s">
        <v>752</v>
      </c>
      <c r="G1119" s="33" t="str">
        <f>IF(BD!$E1119="","",(E1119/(H1119*I1119)))</f>
        <v/>
      </c>
      <c r="H1119" s="176">
        <v>1</v>
      </c>
      <c r="I1119" s="176">
        <v>1</v>
      </c>
    </row>
    <row r="1120" spans="1:9">
      <c r="A1120" s="137">
        <f t="shared" si="12"/>
        <v>64</v>
      </c>
      <c r="B1120" s="168" t="s">
        <v>817</v>
      </c>
      <c r="C1120" s="169" t="s">
        <v>751</v>
      </c>
      <c r="D1120" s="174" t="s">
        <v>59</v>
      </c>
      <c r="E1120" s="171"/>
      <c r="F1120" s="175" t="s">
        <v>59</v>
      </c>
      <c r="G1120" s="33" t="str">
        <f>IF(BD!$E1120="","",(E1120/(H1120*I1120)))</f>
        <v/>
      </c>
      <c r="H1120" s="176">
        <v>1</v>
      </c>
      <c r="I1120" s="176">
        <v>1</v>
      </c>
    </row>
    <row r="1121" spans="1:9">
      <c r="A1121" s="137">
        <f t="shared" si="12"/>
        <v>65</v>
      </c>
      <c r="B1121" s="168" t="s">
        <v>818</v>
      </c>
      <c r="C1121" s="169" t="s">
        <v>751</v>
      </c>
      <c r="D1121" s="170" t="s">
        <v>752</v>
      </c>
      <c r="E1121" s="171"/>
      <c r="F1121" s="172" t="s">
        <v>752</v>
      </c>
      <c r="G1121" s="33" t="str">
        <f>IF(BD!$E1121="","",(E1121/(H1121*I1121)))</f>
        <v/>
      </c>
      <c r="H1121" s="176">
        <v>1</v>
      </c>
      <c r="I1121" s="176">
        <v>1</v>
      </c>
    </row>
    <row r="1122" spans="1:9">
      <c r="A1122" s="137">
        <f>A1121+1</f>
        <v>66</v>
      </c>
      <c r="B1122" s="168" t="s">
        <v>819</v>
      </c>
      <c r="C1122" s="169" t="s">
        <v>751</v>
      </c>
      <c r="D1122" s="174" t="s">
        <v>752</v>
      </c>
      <c r="E1122" s="171"/>
      <c r="F1122" s="175" t="s">
        <v>752</v>
      </c>
      <c r="G1122" s="33" t="str">
        <f>IF(BD!$E1122="","",(E1122/(H1122*I1122)))</f>
        <v/>
      </c>
      <c r="H1122" s="176">
        <v>1</v>
      </c>
      <c r="I1122" s="176">
        <v>1</v>
      </c>
    </row>
    <row r="1123" spans="1:9">
      <c r="A1123" s="137">
        <f>A1122+1</f>
        <v>67</v>
      </c>
      <c r="B1123" s="168" t="s">
        <v>820</v>
      </c>
      <c r="C1123" s="169" t="s">
        <v>751</v>
      </c>
      <c r="D1123" s="174" t="s">
        <v>752</v>
      </c>
      <c r="E1123" s="171"/>
      <c r="F1123" s="175" t="s">
        <v>752</v>
      </c>
      <c r="G1123" s="33" t="str">
        <f>IF(BD!$E1123="","",(E1123/(H1123*I1123)))</f>
        <v/>
      </c>
      <c r="H1123" s="176">
        <v>1</v>
      </c>
      <c r="I1123" s="176">
        <v>1</v>
      </c>
    </row>
    <row r="1139" spans="1:11" ht="26.25">
      <c r="A1139" s="160" t="s">
        <v>44</v>
      </c>
      <c r="B1139" s="161">
        <f>SUBTOTAL(3,(B1141:B1204))</f>
        <v>59</v>
      </c>
      <c r="C1139" s="300"/>
      <c r="D1139" s="301"/>
    </row>
    <row r="1140" spans="1:11" ht="47.25">
      <c r="A1140" s="177" t="s">
        <v>46</v>
      </c>
      <c r="B1140" s="178" t="s">
        <v>47</v>
      </c>
      <c r="C1140" s="179" t="s">
        <v>48</v>
      </c>
      <c r="D1140" s="180" t="s">
        <v>49</v>
      </c>
      <c r="E1140" s="181" t="s">
        <v>50</v>
      </c>
      <c r="F1140" s="182" t="s">
        <v>51</v>
      </c>
      <c r="G1140" s="183" t="s">
        <v>52</v>
      </c>
      <c r="H1140" s="184" t="s">
        <v>53</v>
      </c>
      <c r="I1140" s="184" t="s">
        <v>54</v>
      </c>
      <c r="J1140" s="197" t="s">
        <v>55</v>
      </c>
      <c r="K1140" s="198" t="s">
        <v>56</v>
      </c>
    </row>
    <row r="1141" spans="1:11">
      <c r="A1141" s="185">
        <v>1</v>
      </c>
      <c r="B1141" s="186" t="s">
        <v>821</v>
      </c>
      <c r="C1141" s="187" t="s">
        <v>42</v>
      </c>
      <c r="D1141" s="188" t="s">
        <v>75</v>
      </c>
      <c r="E1141" s="189"/>
      <c r="F1141" s="190" t="s">
        <v>81</v>
      </c>
      <c r="G1141" s="33" t="str">
        <f>IF(BD!$E1141="","",(E1141/(H1141*I1141)))</f>
        <v/>
      </c>
      <c r="H1141" s="191">
        <v>1</v>
      </c>
      <c r="I1141" s="191">
        <v>100</v>
      </c>
      <c r="J1141" s="199"/>
      <c r="K1141" s="200"/>
    </row>
    <row r="1142" spans="1:11">
      <c r="A1142" s="185">
        <v>2</v>
      </c>
      <c r="B1142" s="186" t="s">
        <v>822</v>
      </c>
      <c r="C1142" s="187" t="s">
        <v>42</v>
      </c>
      <c r="D1142" s="188" t="s">
        <v>75</v>
      </c>
      <c r="E1142" s="189"/>
      <c r="F1142" s="190" t="s">
        <v>81</v>
      </c>
      <c r="G1142" s="33" t="str">
        <f>IF(BD!$E1142="","",(E1142/(H1142*I1142)))</f>
        <v/>
      </c>
      <c r="H1142" s="191">
        <v>1</v>
      </c>
      <c r="I1142" s="191">
        <v>100</v>
      </c>
      <c r="J1142" s="199"/>
      <c r="K1142" s="200"/>
    </row>
    <row r="1143" spans="1:11">
      <c r="A1143" s="185">
        <v>3</v>
      </c>
      <c r="B1143" s="186" t="s">
        <v>823</v>
      </c>
      <c r="C1143" s="187" t="s">
        <v>42</v>
      </c>
      <c r="D1143" s="188" t="s">
        <v>75</v>
      </c>
      <c r="E1143" s="189"/>
      <c r="F1143" s="190" t="s">
        <v>81</v>
      </c>
      <c r="G1143" s="33" t="str">
        <f>IF(BD!$E1143="","",(E1143/(H1143*I1143)))</f>
        <v/>
      </c>
      <c r="H1143" s="191">
        <v>1</v>
      </c>
      <c r="I1143" s="191">
        <v>100</v>
      </c>
      <c r="J1143" s="199"/>
      <c r="K1143" s="200"/>
    </row>
    <row r="1144" spans="1:11">
      <c r="A1144" s="185">
        <v>4</v>
      </c>
      <c r="B1144" s="186" t="s">
        <v>824</v>
      </c>
      <c r="C1144" s="187" t="s">
        <v>42</v>
      </c>
      <c r="D1144" s="188" t="s">
        <v>75</v>
      </c>
      <c r="E1144" s="189"/>
      <c r="F1144" s="190" t="s">
        <v>81</v>
      </c>
      <c r="G1144" s="33" t="str">
        <f>IF(BD!$E1144="","",(E1144/(H1144*I1144)))</f>
        <v/>
      </c>
      <c r="H1144" s="191">
        <v>1</v>
      </c>
      <c r="I1144" s="191">
        <v>100</v>
      </c>
      <c r="J1144" s="199"/>
      <c r="K1144" s="200"/>
    </row>
    <row r="1145" spans="1:11" ht="23.25" customHeight="1">
      <c r="A1145" s="192">
        <v>8</v>
      </c>
      <c r="B1145" s="193" t="s">
        <v>825</v>
      </c>
      <c r="C1145" s="187" t="s">
        <v>42</v>
      </c>
      <c r="D1145" s="188" t="s">
        <v>75</v>
      </c>
      <c r="E1145" s="189">
        <v>49000</v>
      </c>
      <c r="F1145" s="190" t="s">
        <v>75</v>
      </c>
      <c r="G1145" s="33">
        <f>IF(BD!$E1145="","",(E1145/(H1145*I1145)))</f>
        <v>49000</v>
      </c>
      <c r="H1145" s="194">
        <v>1</v>
      </c>
      <c r="I1145" s="194">
        <v>1</v>
      </c>
      <c r="J1145" s="199"/>
      <c r="K1145" s="200"/>
    </row>
    <row r="1146" spans="1:11">
      <c r="A1146" s="192">
        <v>9</v>
      </c>
      <c r="B1146" s="195" t="s">
        <v>826</v>
      </c>
      <c r="C1146" s="187" t="s">
        <v>42</v>
      </c>
      <c r="D1146" s="188" t="s">
        <v>75</v>
      </c>
      <c r="E1146" s="196"/>
      <c r="F1146" s="190" t="s">
        <v>81</v>
      </c>
      <c r="G1146" s="33" t="str">
        <f>IF(BD!$E1146="","",(E1146/(H1146*I1146)))</f>
        <v/>
      </c>
      <c r="H1146" s="191">
        <v>1</v>
      </c>
      <c r="I1146" s="191">
        <v>100</v>
      </c>
      <c r="J1146" s="199"/>
      <c r="K1146" s="200"/>
    </row>
    <row r="1147" spans="1:11">
      <c r="A1147" s="192">
        <v>10</v>
      </c>
      <c r="B1147" s="195" t="s">
        <v>827</v>
      </c>
      <c r="C1147" s="187" t="s">
        <v>42</v>
      </c>
      <c r="D1147" s="188" t="s">
        <v>75</v>
      </c>
      <c r="E1147" s="196"/>
      <c r="F1147" s="190" t="s">
        <v>81</v>
      </c>
      <c r="G1147" s="33" t="str">
        <f>IF(BD!$E1147="","",(E1147/(H1147*I1147)))</f>
        <v/>
      </c>
      <c r="H1147" s="191">
        <v>1</v>
      </c>
      <c r="I1147" s="191">
        <v>100</v>
      </c>
      <c r="J1147" s="199"/>
      <c r="K1147" s="200"/>
    </row>
    <row r="1148" spans="1:11">
      <c r="A1148" s="192">
        <v>11</v>
      </c>
      <c r="B1148" s="193" t="s">
        <v>828</v>
      </c>
      <c r="C1148" s="187" t="s">
        <v>42</v>
      </c>
      <c r="D1148" s="188" t="s">
        <v>73</v>
      </c>
      <c r="E1148" s="196"/>
      <c r="F1148" s="190" t="s">
        <v>73</v>
      </c>
      <c r="G1148" s="33" t="str">
        <f>IF(BD!$E1148="","",(E1148/(H1148*I1148)))</f>
        <v/>
      </c>
      <c r="H1148" s="191">
        <v>1</v>
      </c>
      <c r="I1148" s="191">
        <v>1</v>
      </c>
      <c r="J1148" s="199"/>
      <c r="K1148" s="200"/>
    </row>
    <row r="1149" spans="1:11">
      <c r="A1149" s="192">
        <v>12</v>
      </c>
      <c r="B1149" s="193" t="s">
        <v>829</v>
      </c>
      <c r="C1149" s="187" t="s">
        <v>42</v>
      </c>
      <c r="D1149" s="188" t="s">
        <v>73</v>
      </c>
      <c r="E1149" s="196"/>
      <c r="F1149" s="190" t="s">
        <v>73</v>
      </c>
      <c r="G1149" s="33" t="str">
        <f>IF(BD!$E1149="","",(E1149/(H1149*I1149)))</f>
        <v/>
      </c>
      <c r="H1149" s="191">
        <v>1</v>
      </c>
      <c r="I1149" s="191">
        <v>1</v>
      </c>
      <c r="J1149" s="199"/>
      <c r="K1149" s="200"/>
    </row>
    <row r="1150" spans="1:11">
      <c r="A1150" s="192">
        <v>13</v>
      </c>
      <c r="B1150" s="193" t="s">
        <v>830</v>
      </c>
      <c r="C1150" s="187" t="s">
        <v>42</v>
      </c>
      <c r="D1150" s="188" t="s">
        <v>73</v>
      </c>
      <c r="E1150" s="196"/>
      <c r="F1150" s="190" t="s">
        <v>73</v>
      </c>
      <c r="G1150" s="33" t="str">
        <f>IF(BD!$E1150="","",(E1150/(H1150*I1150)))</f>
        <v/>
      </c>
      <c r="H1150" s="191">
        <v>1</v>
      </c>
      <c r="I1150" s="191">
        <v>1</v>
      </c>
      <c r="J1150" s="199"/>
      <c r="K1150" s="200"/>
    </row>
    <row r="1151" spans="1:11">
      <c r="A1151" s="192">
        <v>14</v>
      </c>
      <c r="B1151" s="193" t="s">
        <v>831</v>
      </c>
      <c r="C1151" s="187" t="s">
        <v>42</v>
      </c>
      <c r="D1151" s="188" t="s">
        <v>73</v>
      </c>
      <c r="E1151" s="196"/>
      <c r="F1151" s="190" t="s">
        <v>73</v>
      </c>
      <c r="G1151" s="33" t="str">
        <f>IF(BD!$E1151="","",(E1151/(H1151*I1151)))</f>
        <v/>
      </c>
      <c r="H1151" s="191">
        <v>1</v>
      </c>
      <c r="I1151" s="191">
        <v>1</v>
      </c>
      <c r="J1151" s="199"/>
      <c r="K1151" s="200"/>
    </row>
    <row r="1152" spans="1:11">
      <c r="A1152" s="192">
        <v>15</v>
      </c>
      <c r="B1152" s="193" t="s">
        <v>832</v>
      </c>
      <c r="C1152" s="187" t="s">
        <v>42</v>
      </c>
      <c r="D1152" s="188" t="s">
        <v>73</v>
      </c>
      <c r="E1152" s="196"/>
      <c r="F1152" s="190" t="s">
        <v>73</v>
      </c>
      <c r="G1152" s="33" t="str">
        <f>IF(BD!$E1152="","",(E1152/(H1152*I1152)))</f>
        <v/>
      </c>
      <c r="H1152" s="191">
        <v>1</v>
      </c>
      <c r="I1152" s="191">
        <v>1</v>
      </c>
      <c r="J1152" s="199"/>
      <c r="K1152" s="200"/>
    </row>
    <row r="1153" spans="1:11">
      <c r="A1153" s="192">
        <v>16</v>
      </c>
      <c r="B1153" s="193" t="s">
        <v>833</v>
      </c>
      <c r="C1153" s="187" t="s">
        <v>42</v>
      </c>
      <c r="D1153" s="188" t="s">
        <v>73</v>
      </c>
      <c r="E1153" s="196"/>
      <c r="F1153" s="190" t="s">
        <v>73</v>
      </c>
      <c r="G1153" s="33" t="str">
        <f>IF(BD!$E1153="","",(E1153/(H1153*I1153)))</f>
        <v/>
      </c>
      <c r="H1153" s="191">
        <v>1</v>
      </c>
      <c r="I1153" s="191">
        <v>1</v>
      </c>
      <c r="J1153" s="199"/>
      <c r="K1153" s="200"/>
    </row>
    <row r="1154" spans="1:11">
      <c r="A1154" s="192">
        <v>17</v>
      </c>
      <c r="B1154" s="193" t="s">
        <v>834</v>
      </c>
      <c r="C1154" s="187" t="s">
        <v>42</v>
      </c>
      <c r="D1154" s="188" t="s">
        <v>73</v>
      </c>
      <c r="E1154" s="196"/>
      <c r="F1154" s="190" t="s">
        <v>73</v>
      </c>
      <c r="G1154" s="33" t="str">
        <f>IF(BD!$E1154="","",(E1154/(H1154*I1154)))</f>
        <v/>
      </c>
      <c r="H1154" s="191">
        <v>1</v>
      </c>
      <c r="I1154" s="191">
        <v>1</v>
      </c>
      <c r="J1154" s="199"/>
      <c r="K1154" s="200"/>
    </row>
    <row r="1155" spans="1:11">
      <c r="A1155" s="192">
        <v>18</v>
      </c>
      <c r="B1155" s="193" t="s">
        <v>835</v>
      </c>
      <c r="C1155" s="187" t="s">
        <v>42</v>
      </c>
      <c r="D1155" s="188" t="s">
        <v>73</v>
      </c>
      <c r="E1155" s="196"/>
      <c r="F1155" s="190" t="s">
        <v>73</v>
      </c>
      <c r="G1155" s="33" t="str">
        <f>IF(BD!$E1155="","",(E1155/(H1155*I1155)))</f>
        <v/>
      </c>
      <c r="H1155" s="191">
        <v>1</v>
      </c>
      <c r="I1155" s="191">
        <v>1</v>
      </c>
      <c r="J1155" s="199"/>
      <c r="K1155" s="200"/>
    </row>
    <row r="1156" spans="1:11">
      <c r="A1156" s="192">
        <v>19</v>
      </c>
      <c r="B1156" s="193" t="s">
        <v>836</v>
      </c>
      <c r="C1156" s="187" t="s">
        <v>42</v>
      </c>
      <c r="D1156" s="188" t="s">
        <v>73</v>
      </c>
      <c r="E1156" s="196"/>
      <c r="F1156" s="190" t="s">
        <v>73</v>
      </c>
      <c r="G1156" s="33" t="str">
        <f>IF(BD!$E1156="","",(E1156/(H1156*I1156)))</f>
        <v/>
      </c>
      <c r="H1156" s="191">
        <v>1</v>
      </c>
      <c r="I1156" s="191">
        <v>1</v>
      </c>
      <c r="J1156" s="199"/>
      <c r="K1156" s="200"/>
    </row>
    <row r="1157" spans="1:11">
      <c r="A1157" s="192">
        <v>20</v>
      </c>
      <c r="B1157" s="193" t="s">
        <v>837</v>
      </c>
      <c r="C1157" s="187" t="s">
        <v>42</v>
      </c>
      <c r="D1157" s="188" t="s">
        <v>73</v>
      </c>
      <c r="E1157" s="196"/>
      <c r="F1157" s="190" t="s">
        <v>73</v>
      </c>
      <c r="G1157" s="33" t="str">
        <f>IF(BD!$E1157="","",(E1157/(H1157*I1157)))</f>
        <v/>
      </c>
      <c r="H1157" s="191">
        <v>1</v>
      </c>
      <c r="I1157" s="191">
        <v>1</v>
      </c>
      <c r="J1157" s="199"/>
      <c r="K1157" s="200"/>
    </row>
    <row r="1158" spans="1:11">
      <c r="A1158" s="192">
        <v>21</v>
      </c>
      <c r="B1158" s="193" t="s">
        <v>838</v>
      </c>
      <c r="C1158" s="187" t="s">
        <v>42</v>
      </c>
      <c r="D1158" s="188" t="s">
        <v>73</v>
      </c>
      <c r="E1158" s="196"/>
      <c r="F1158" s="190" t="s">
        <v>73</v>
      </c>
      <c r="G1158" s="33" t="str">
        <f>IF(BD!$E1158="","",(E1158/(H1158*I1158)))</f>
        <v/>
      </c>
      <c r="H1158" s="191">
        <v>1</v>
      </c>
      <c r="I1158" s="191">
        <v>1</v>
      </c>
      <c r="J1158" s="199"/>
      <c r="K1158" s="200"/>
    </row>
    <row r="1159" spans="1:11">
      <c r="A1159" s="192">
        <v>22</v>
      </c>
      <c r="B1159" s="193" t="s">
        <v>839</v>
      </c>
      <c r="C1159" s="187" t="s">
        <v>42</v>
      </c>
      <c r="D1159" s="188" t="s">
        <v>73</v>
      </c>
      <c r="E1159" s="196"/>
      <c r="F1159" s="190" t="s">
        <v>73</v>
      </c>
      <c r="G1159" s="33" t="str">
        <f>IF(BD!$E1159="","",(E1159/(H1159*I1159)))</f>
        <v/>
      </c>
      <c r="H1159" s="191">
        <v>1</v>
      </c>
      <c r="I1159" s="191">
        <v>1</v>
      </c>
      <c r="J1159" s="199"/>
      <c r="K1159" s="200"/>
    </row>
    <row r="1160" spans="1:11">
      <c r="A1160" s="192">
        <v>23</v>
      </c>
      <c r="B1160" s="193" t="s">
        <v>840</v>
      </c>
      <c r="C1160" s="187" t="s">
        <v>42</v>
      </c>
      <c r="D1160" s="188" t="s">
        <v>73</v>
      </c>
      <c r="E1160" s="196"/>
      <c r="F1160" s="190" t="s">
        <v>73</v>
      </c>
      <c r="G1160" s="33" t="str">
        <f>IF(BD!$E1160="","",(E1160/(H1160*I1160)))</f>
        <v/>
      </c>
      <c r="H1160" s="191">
        <v>1</v>
      </c>
      <c r="I1160" s="191">
        <v>1</v>
      </c>
      <c r="J1160" s="199"/>
      <c r="K1160" s="200"/>
    </row>
    <row r="1161" spans="1:11">
      <c r="A1161" s="192">
        <v>24</v>
      </c>
      <c r="B1161" s="193" t="s">
        <v>841</v>
      </c>
      <c r="C1161" s="187" t="s">
        <v>42</v>
      </c>
      <c r="D1161" s="188" t="s">
        <v>73</v>
      </c>
      <c r="E1161" s="196"/>
      <c r="F1161" s="190" t="s">
        <v>73</v>
      </c>
      <c r="G1161" s="33" t="str">
        <f>IF(BD!$E1161="","",(E1161/(H1161*I1161)))</f>
        <v/>
      </c>
      <c r="H1161" s="191">
        <v>1</v>
      </c>
      <c r="I1161" s="191">
        <v>1</v>
      </c>
      <c r="J1161" s="199"/>
      <c r="K1161" s="200"/>
    </row>
    <row r="1162" spans="1:11">
      <c r="A1162" s="192">
        <v>25</v>
      </c>
      <c r="B1162" s="193" t="s">
        <v>842</v>
      </c>
      <c r="C1162" s="187" t="s">
        <v>42</v>
      </c>
      <c r="D1162" s="188" t="s">
        <v>73</v>
      </c>
      <c r="E1162" s="196"/>
      <c r="F1162" s="190" t="s">
        <v>73</v>
      </c>
      <c r="G1162" s="33" t="str">
        <f>IF(BD!$E1162="","",(E1162/(H1162*I1162)))</f>
        <v/>
      </c>
      <c r="H1162" s="191">
        <v>1</v>
      </c>
      <c r="I1162" s="191">
        <v>1</v>
      </c>
      <c r="J1162" s="199"/>
      <c r="K1162" s="200"/>
    </row>
    <row r="1163" spans="1:11">
      <c r="A1163" s="192">
        <v>26</v>
      </c>
      <c r="B1163" s="193" t="s">
        <v>843</v>
      </c>
      <c r="C1163" s="187" t="s">
        <v>42</v>
      </c>
      <c r="D1163" s="188" t="s">
        <v>73</v>
      </c>
      <c r="E1163" s="196"/>
      <c r="F1163" s="190" t="s">
        <v>73</v>
      </c>
      <c r="G1163" s="33" t="str">
        <f>IF(BD!$E1163="","",(E1163/(H1163*I1163)))</f>
        <v/>
      </c>
      <c r="H1163" s="191">
        <v>1</v>
      </c>
      <c r="I1163" s="191">
        <v>1</v>
      </c>
      <c r="J1163" s="199"/>
      <c r="K1163" s="200"/>
    </row>
    <row r="1164" spans="1:11">
      <c r="A1164" s="192">
        <v>27</v>
      </c>
      <c r="B1164" s="193" t="s">
        <v>844</v>
      </c>
      <c r="C1164" s="187" t="s">
        <v>42</v>
      </c>
      <c r="D1164" s="188" t="s">
        <v>73</v>
      </c>
      <c r="E1164" s="196"/>
      <c r="F1164" s="190" t="s">
        <v>73</v>
      </c>
      <c r="G1164" s="33" t="str">
        <f>IF(BD!$E1164="","",(E1164/(H1164*I1164)))</f>
        <v/>
      </c>
      <c r="H1164" s="191">
        <v>1</v>
      </c>
      <c r="I1164" s="191">
        <v>1</v>
      </c>
      <c r="J1164" s="199"/>
      <c r="K1164" s="200"/>
    </row>
    <row r="1165" spans="1:11">
      <c r="A1165" s="192">
        <v>28</v>
      </c>
      <c r="B1165" s="193" t="s">
        <v>845</v>
      </c>
      <c r="C1165" s="187" t="s">
        <v>42</v>
      </c>
      <c r="D1165" s="188" t="s">
        <v>73</v>
      </c>
      <c r="E1165" s="196"/>
      <c r="F1165" s="190" t="s">
        <v>73</v>
      </c>
      <c r="G1165" s="33" t="str">
        <f>IF(BD!$E1165="","",(E1165/(H1165*I1165)))</f>
        <v/>
      </c>
      <c r="H1165" s="191">
        <v>1</v>
      </c>
      <c r="I1165" s="191">
        <v>1</v>
      </c>
      <c r="J1165" s="199"/>
      <c r="K1165" s="200"/>
    </row>
    <row r="1166" spans="1:11">
      <c r="A1166" s="192">
        <v>29</v>
      </c>
      <c r="B1166" s="193" t="s">
        <v>846</v>
      </c>
      <c r="C1166" s="187" t="s">
        <v>42</v>
      </c>
      <c r="D1166" s="188" t="s">
        <v>73</v>
      </c>
      <c r="E1166" s="196"/>
      <c r="F1166" s="190" t="s">
        <v>73</v>
      </c>
      <c r="G1166" s="33" t="str">
        <f>IF(BD!$E1166="","",(E1166/(H1166*I1166)))</f>
        <v/>
      </c>
      <c r="H1166" s="191">
        <v>1</v>
      </c>
      <c r="I1166" s="191">
        <v>1</v>
      </c>
      <c r="J1166" s="199"/>
      <c r="K1166" s="200"/>
    </row>
    <row r="1167" spans="1:11">
      <c r="A1167" s="192">
        <v>30</v>
      </c>
      <c r="B1167" s="193" t="s">
        <v>847</v>
      </c>
      <c r="C1167" s="187" t="s">
        <v>42</v>
      </c>
      <c r="D1167" s="188" t="s">
        <v>73</v>
      </c>
      <c r="E1167" s="196"/>
      <c r="F1167" s="190" t="s">
        <v>73</v>
      </c>
      <c r="G1167" s="33" t="str">
        <f>IF(BD!$E1167="","",(E1167/(H1167*I1167)))</f>
        <v/>
      </c>
      <c r="H1167" s="191">
        <v>1</v>
      </c>
      <c r="I1167" s="191">
        <v>1</v>
      </c>
      <c r="J1167" s="199"/>
      <c r="K1167" s="200"/>
    </row>
    <row r="1168" spans="1:11">
      <c r="A1168" s="192">
        <v>31</v>
      </c>
      <c r="B1168" s="193" t="s">
        <v>848</v>
      </c>
      <c r="C1168" s="187" t="s">
        <v>42</v>
      </c>
      <c r="D1168" s="188" t="s">
        <v>73</v>
      </c>
      <c r="E1168" s="196"/>
      <c r="F1168" s="190" t="s">
        <v>73</v>
      </c>
      <c r="G1168" s="33" t="str">
        <f>IF(BD!$E1168="","",(E1168/(H1168*I1168)))</f>
        <v/>
      </c>
      <c r="H1168" s="191">
        <v>1</v>
      </c>
      <c r="I1168" s="191">
        <v>1</v>
      </c>
      <c r="J1168" s="199"/>
      <c r="K1168" s="200"/>
    </row>
    <row r="1169" spans="1:11">
      <c r="A1169" s="192">
        <v>32</v>
      </c>
      <c r="B1169" s="193" t="s">
        <v>849</v>
      </c>
      <c r="C1169" s="187" t="s">
        <v>42</v>
      </c>
      <c r="D1169" s="188" t="s">
        <v>73</v>
      </c>
      <c r="E1169" s="196"/>
      <c r="F1169" s="190" t="s">
        <v>73</v>
      </c>
      <c r="G1169" s="33" t="str">
        <f>IF(BD!$E1169="","",(E1169/(H1169*I1169)))</f>
        <v/>
      </c>
      <c r="H1169" s="191">
        <v>1</v>
      </c>
      <c r="I1169" s="191">
        <v>1</v>
      </c>
      <c r="J1169" s="199"/>
      <c r="K1169" s="200"/>
    </row>
    <row r="1170" spans="1:11">
      <c r="A1170" s="192">
        <v>33</v>
      </c>
      <c r="B1170" s="193" t="s">
        <v>850</v>
      </c>
      <c r="C1170" s="187" t="s">
        <v>42</v>
      </c>
      <c r="D1170" s="188" t="s">
        <v>73</v>
      </c>
      <c r="E1170" s="196"/>
      <c r="F1170" s="190" t="s">
        <v>73</v>
      </c>
      <c r="G1170" s="33" t="str">
        <f>IF(BD!$E1170="","",(E1170/(H1170*I1170)))</f>
        <v/>
      </c>
      <c r="H1170" s="191">
        <v>1</v>
      </c>
      <c r="I1170" s="191">
        <v>1</v>
      </c>
      <c r="J1170" s="199"/>
      <c r="K1170" s="200"/>
    </row>
    <row r="1171" spans="1:11">
      <c r="A1171" s="192">
        <v>34</v>
      </c>
      <c r="B1171" s="193" t="s">
        <v>851</v>
      </c>
      <c r="C1171" s="187" t="s">
        <v>42</v>
      </c>
      <c r="D1171" s="188" t="s">
        <v>73</v>
      </c>
      <c r="E1171" s="196"/>
      <c r="F1171" s="190" t="s">
        <v>73</v>
      </c>
      <c r="G1171" s="33" t="str">
        <f>IF(BD!$E1171="","",(E1171/(H1171*I1171)))</f>
        <v/>
      </c>
      <c r="H1171" s="191">
        <v>1</v>
      </c>
      <c r="I1171" s="191">
        <v>1</v>
      </c>
      <c r="J1171" s="199"/>
      <c r="K1171" s="200"/>
    </row>
    <row r="1172" spans="1:11">
      <c r="A1172" s="192">
        <v>35</v>
      </c>
      <c r="B1172" s="193" t="s">
        <v>852</v>
      </c>
      <c r="C1172" s="187" t="s">
        <v>42</v>
      </c>
      <c r="D1172" s="188" t="s">
        <v>73</v>
      </c>
      <c r="E1172" s="196"/>
      <c r="F1172" s="190" t="s">
        <v>73</v>
      </c>
      <c r="G1172" s="33" t="str">
        <f>IF(BD!$E1172="","",(E1172/(H1172*I1172)))</f>
        <v/>
      </c>
      <c r="H1172" s="191">
        <v>1</v>
      </c>
      <c r="I1172" s="191">
        <v>1</v>
      </c>
      <c r="J1172" s="199"/>
      <c r="K1172" s="200"/>
    </row>
    <row r="1173" spans="1:11">
      <c r="A1173" s="192">
        <v>36</v>
      </c>
      <c r="B1173" s="193" t="s">
        <v>853</v>
      </c>
      <c r="C1173" s="187" t="s">
        <v>42</v>
      </c>
      <c r="D1173" s="188" t="s">
        <v>73</v>
      </c>
      <c r="E1173" s="196"/>
      <c r="F1173" s="190" t="s">
        <v>73</v>
      </c>
      <c r="G1173" s="33" t="str">
        <f>IF(BD!$E1173="","",(E1173/(H1173*I1173)))</f>
        <v/>
      </c>
      <c r="H1173" s="191">
        <v>1</v>
      </c>
      <c r="I1173" s="191">
        <v>1</v>
      </c>
      <c r="J1173" s="199"/>
      <c r="K1173" s="200"/>
    </row>
    <row r="1174" spans="1:11">
      <c r="A1174" s="192">
        <v>37</v>
      </c>
      <c r="B1174" s="193" t="s">
        <v>854</v>
      </c>
      <c r="C1174" s="187" t="s">
        <v>42</v>
      </c>
      <c r="D1174" s="188" t="s">
        <v>73</v>
      </c>
      <c r="E1174" s="196">
        <v>14150</v>
      </c>
      <c r="F1174" s="190" t="s">
        <v>73</v>
      </c>
      <c r="G1174" s="33">
        <f>IF(BD!$E1174="","",(E1174/(H1174*I1174)))</f>
        <v>14150</v>
      </c>
      <c r="H1174" s="191">
        <v>1</v>
      </c>
      <c r="I1174" s="191">
        <v>1</v>
      </c>
      <c r="J1174" s="199"/>
      <c r="K1174" s="200"/>
    </row>
    <row r="1175" spans="1:11">
      <c r="A1175" s="192">
        <v>38</v>
      </c>
      <c r="B1175" s="193" t="s">
        <v>855</v>
      </c>
      <c r="C1175" s="187" t="s">
        <v>42</v>
      </c>
      <c r="D1175" s="188" t="s">
        <v>73</v>
      </c>
      <c r="E1175" s="196">
        <v>16000</v>
      </c>
      <c r="F1175" s="190" t="s">
        <v>73</v>
      </c>
      <c r="G1175" s="33">
        <f>IF(BD!$E1175="","",(E1175/(H1175*I1175)))</f>
        <v>16000</v>
      </c>
      <c r="H1175" s="191">
        <v>1</v>
      </c>
      <c r="I1175" s="191">
        <v>1</v>
      </c>
      <c r="J1175" s="199"/>
      <c r="K1175" s="200"/>
    </row>
    <row r="1176" spans="1:11">
      <c r="A1176" s="192">
        <v>39</v>
      </c>
      <c r="B1176" s="193" t="s">
        <v>856</v>
      </c>
      <c r="C1176" s="187" t="s">
        <v>42</v>
      </c>
      <c r="D1176" s="188" t="s">
        <v>73</v>
      </c>
      <c r="E1176" s="196"/>
      <c r="F1176" s="190" t="s">
        <v>73</v>
      </c>
      <c r="G1176" s="33" t="str">
        <f>IF(BD!$E1176="","",(E1176/(H1176*I1176)))</f>
        <v/>
      </c>
      <c r="H1176" s="191">
        <v>1</v>
      </c>
      <c r="I1176" s="191">
        <v>1</v>
      </c>
      <c r="J1176" s="199"/>
      <c r="K1176" s="200"/>
    </row>
    <row r="1177" spans="1:11">
      <c r="A1177" s="192">
        <v>40</v>
      </c>
      <c r="B1177" s="193" t="s">
        <v>857</v>
      </c>
      <c r="C1177" s="187" t="s">
        <v>42</v>
      </c>
      <c r="D1177" s="188" t="s">
        <v>73</v>
      </c>
      <c r="E1177" s="196"/>
      <c r="F1177" s="190" t="s">
        <v>73</v>
      </c>
      <c r="G1177" s="33" t="str">
        <f>IF(BD!$E1177="","",(E1177/(H1177*I1177)))</f>
        <v/>
      </c>
      <c r="H1177" s="191">
        <v>1</v>
      </c>
      <c r="I1177" s="191">
        <v>1</v>
      </c>
      <c r="J1177" s="199"/>
      <c r="K1177" s="200"/>
    </row>
    <row r="1178" spans="1:11">
      <c r="A1178" s="192">
        <v>41</v>
      </c>
      <c r="B1178" s="193" t="s">
        <v>858</v>
      </c>
      <c r="C1178" s="187" t="s">
        <v>42</v>
      </c>
      <c r="D1178" s="188" t="s">
        <v>73</v>
      </c>
      <c r="E1178" s="196"/>
      <c r="F1178" s="190" t="s">
        <v>73</v>
      </c>
      <c r="G1178" s="33" t="str">
        <f>IF(BD!$E1178="","",(E1178/(H1178*I1178)))</f>
        <v/>
      </c>
      <c r="H1178" s="191">
        <v>1</v>
      </c>
      <c r="I1178" s="191">
        <v>1</v>
      </c>
      <c r="J1178" s="199"/>
      <c r="K1178" s="200"/>
    </row>
    <row r="1179" spans="1:11">
      <c r="A1179" s="192">
        <v>42</v>
      </c>
      <c r="B1179" s="193" t="s">
        <v>859</v>
      </c>
      <c r="C1179" s="187" t="s">
        <v>42</v>
      </c>
      <c r="D1179" s="188" t="s">
        <v>73</v>
      </c>
      <c r="E1179" s="196"/>
      <c r="F1179" s="190" t="s">
        <v>73</v>
      </c>
      <c r="G1179" s="33" t="str">
        <f>IF(BD!$E1179="","",(E1179/(H1179*I1179)))</f>
        <v/>
      </c>
      <c r="H1179" s="191">
        <v>1</v>
      </c>
      <c r="I1179" s="191">
        <v>1</v>
      </c>
      <c r="J1179" s="199"/>
      <c r="K1179" s="200"/>
    </row>
    <row r="1180" spans="1:11">
      <c r="A1180" s="192">
        <v>43</v>
      </c>
      <c r="B1180" s="193" t="s">
        <v>860</v>
      </c>
      <c r="C1180" s="187" t="s">
        <v>42</v>
      </c>
      <c r="D1180" s="188" t="s">
        <v>73</v>
      </c>
      <c r="E1180" s="196"/>
      <c r="F1180" s="190" t="s">
        <v>73</v>
      </c>
      <c r="G1180" s="33" t="str">
        <f>IF(BD!$E1180="","",(E1180/(H1180*I1180)))</f>
        <v/>
      </c>
      <c r="H1180" s="191">
        <v>1</v>
      </c>
      <c r="I1180" s="191">
        <v>1</v>
      </c>
      <c r="J1180" s="199"/>
      <c r="K1180" s="200"/>
    </row>
    <row r="1181" spans="1:11">
      <c r="A1181" s="192">
        <v>44</v>
      </c>
      <c r="B1181" s="193" t="s">
        <v>861</v>
      </c>
      <c r="C1181" s="187" t="s">
        <v>42</v>
      </c>
      <c r="D1181" s="188" t="s">
        <v>73</v>
      </c>
      <c r="E1181" s="196"/>
      <c r="F1181" s="190" t="s">
        <v>73</v>
      </c>
      <c r="G1181" s="33" t="str">
        <f>IF(BD!$E1181="","",(E1181/(H1181*I1181)))</f>
        <v/>
      </c>
      <c r="H1181" s="191">
        <v>1</v>
      </c>
      <c r="I1181" s="191">
        <v>1</v>
      </c>
      <c r="J1181" s="199"/>
      <c r="K1181" s="200"/>
    </row>
    <row r="1182" spans="1:11">
      <c r="A1182" s="192">
        <v>45</v>
      </c>
      <c r="B1182" s="193" t="s">
        <v>862</v>
      </c>
      <c r="C1182" s="187" t="s">
        <v>42</v>
      </c>
      <c r="D1182" s="188" t="s">
        <v>73</v>
      </c>
      <c r="E1182" s="196"/>
      <c r="F1182" s="190" t="s">
        <v>73</v>
      </c>
      <c r="G1182" s="33" t="str">
        <f>IF(BD!$E1182="","",(E1182/(H1182*I1182)))</f>
        <v/>
      </c>
      <c r="H1182" s="191">
        <v>1</v>
      </c>
      <c r="I1182" s="191">
        <v>1</v>
      </c>
      <c r="J1182" s="199"/>
      <c r="K1182" s="200"/>
    </row>
    <row r="1183" spans="1:11">
      <c r="A1183" s="192">
        <v>46</v>
      </c>
      <c r="B1183" s="193" t="s">
        <v>863</v>
      </c>
      <c r="C1183" s="187" t="s">
        <v>42</v>
      </c>
      <c r="D1183" s="188" t="s">
        <v>73</v>
      </c>
      <c r="E1183" s="196"/>
      <c r="F1183" s="190" t="s">
        <v>73</v>
      </c>
      <c r="G1183" s="33" t="str">
        <f>IF(BD!$E1183="","",(E1183/(H1183*I1183)))</f>
        <v/>
      </c>
      <c r="H1183" s="191">
        <v>1</v>
      </c>
      <c r="I1183" s="191">
        <v>1</v>
      </c>
      <c r="J1183" s="199"/>
      <c r="K1183" s="200"/>
    </row>
    <row r="1184" spans="1:11">
      <c r="A1184" s="192">
        <v>47</v>
      </c>
      <c r="B1184" s="193" t="s">
        <v>864</v>
      </c>
      <c r="C1184" s="187" t="s">
        <v>42</v>
      </c>
      <c r="D1184" s="188" t="s">
        <v>73</v>
      </c>
      <c r="E1184" s="196"/>
      <c r="F1184" s="190" t="s">
        <v>73</v>
      </c>
      <c r="G1184" s="33" t="str">
        <f>IF(BD!$E1184="","",(E1184/(H1184*I1184)))</f>
        <v/>
      </c>
      <c r="H1184" s="191">
        <v>1</v>
      </c>
      <c r="I1184" s="191">
        <v>1</v>
      </c>
      <c r="J1184" s="199"/>
      <c r="K1184" s="200"/>
    </row>
    <row r="1185" spans="1:11">
      <c r="A1185" s="192">
        <v>48</v>
      </c>
      <c r="B1185" s="193" t="s">
        <v>865</v>
      </c>
      <c r="C1185" s="187" t="s">
        <v>42</v>
      </c>
      <c r="D1185" s="188" t="s">
        <v>73</v>
      </c>
      <c r="E1185" s="196"/>
      <c r="F1185" s="190" t="s">
        <v>73</v>
      </c>
      <c r="G1185" s="33" t="str">
        <f>IF(BD!$E1185="","",(E1185/(H1185*I1185)))</f>
        <v/>
      </c>
      <c r="H1185" s="191">
        <v>1</v>
      </c>
      <c r="I1185" s="191">
        <v>1</v>
      </c>
      <c r="J1185" s="199"/>
      <c r="K1185" s="200"/>
    </row>
    <row r="1186" spans="1:11" ht="30">
      <c r="A1186" s="192">
        <v>49</v>
      </c>
      <c r="B1186" s="193" t="s">
        <v>866</v>
      </c>
      <c r="C1186" s="187" t="s">
        <v>42</v>
      </c>
      <c r="D1186" s="188" t="s">
        <v>73</v>
      </c>
      <c r="E1186" s="196"/>
      <c r="F1186" s="190" t="s">
        <v>73</v>
      </c>
      <c r="G1186" s="33" t="str">
        <f>IF(BD!$E1186="","",(E1186/(H1186*I1186)))</f>
        <v/>
      </c>
      <c r="H1186" s="191">
        <v>1</v>
      </c>
      <c r="I1186" s="191">
        <v>1</v>
      </c>
      <c r="J1186" s="199"/>
      <c r="K1186" s="200"/>
    </row>
    <row r="1187" spans="1:11">
      <c r="A1187" s="192">
        <v>50</v>
      </c>
      <c r="B1187" s="193" t="s">
        <v>867</v>
      </c>
      <c r="C1187" s="187" t="s">
        <v>42</v>
      </c>
      <c r="D1187" s="188" t="s">
        <v>73</v>
      </c>
      <c r="E1187" s="196"/>
      <c r="F1187" s="190" t="s">
        <v>73</v>
      </c>
      <c r="G1187" s="33" t="str">
        <f>IF(BD!$E1187="","",(E1187/(H1187*I1187)))</f>
        <v/>
      </c>
      <c r="H1187" s="191">
        <v>1</v>
      </c>
      <c r="I1187" s="191">
        <v>1</v>
      </c>
      <c r="J1187" s="199"/>
      <c r="K1187" s="200"/>
    </row>
    <row r="1188" spans="1:11">
      <c r="A1188" s="192">
        <v>51</v>
      </c>
      <c r="B1188" s="193" t="s">
        <v>868</v>
      </c>
      <c r="C1188" s="187" t="s">
        <v>42</v>
      </c>
      <c r="D1188" s="188" t="s">
        <v>73</v>
      </c>
      <c r="E1188" s="196"/>
      <c r="F1188" s="190" t="s">
        <v>73</v>
      </c>
      <c r="G1188" s="33" t="str">
        <f>IF(BD!$E1188="","",(E1188/(H1188*I1188)))</f>
        <v/>
      </c>
      <c r="H1188" s="191">
        <v>1</v>
      </c>
      <c r="I1188" s="191">
        <v>1</v>
      </c>
      <c r="J1188" s="199"/>
      <c r="K1188" s="200"/>
    </row>
    <row r="1189" spans="1:11">
      <c r="A1189" s="192">
        <v>52</v>
      </c>
      <c r="B1189" s="193" t="s">
        <v>869</v>
      </c>
      <c r="C1189" s="187" t="s">
        <v>42</v>
      </c>
      <c r="D1189" s="188" t="s">
        <v>73</v>
      </c>
      <c r="E1189" s="196"/>
      <c r="F1189" s="190" t="s">
        <v>73</v>
      </c>
      <c r="G1189" s="33" t="str">
        <f>IF(BD!$E1189="","",(E1189/(H1189*I1189)))</f>
        <v/>
      </c>
      <c r="H1189" s="191">
        <v>1</v>
      </c>
      <c r="I1189" s="191">
        <v>1</v>
      </c>
      <c r="J1189" s="199"/>
      <c r="K1189" s="200"/>
    </row>
    <row r="1190" spans="1:11">
      <c r="A1190" s="192">
        <v>53</v>
      </c>
      <c r="B1190" s="201" t="s">
        <v>870</v>
      </c>
      <c r="C1190" s="187" t="s">
        <v>42</v>
      </c>
      <c r="D1190" s="188" t="s">
        <v>73</v>
      </c>
      <c r="E1190" s="196"/>
      <c r="F1190" s="190" t="s">
        <v>73</v>
      </c>
      <c r="G1190" s="33" t="str">
        <f>IF(BD!$E1190="","",(E1190/(H1190*I1190)))</f>
        <v/>
      </c>
      <c r="H1190" s="191">
        <v>1</v>
      </c>
      <c r="I1190" s="191">
        <v>1</v>
      </c>
      <c r="J1190" s="199"/>
      <c r="K1190" s="200"/>
    </row>
    <row r="1191" spans="1:11">
      <c r="A1191" s="192">
        <v>54</v>
      </c>
      <c r="B1191" s="201" t="s">
        <v>871</v>
      </c>
      <c r="C1191" s="187" t="s">
        <v>42</v>
      </c>
      <c r="D1191" s="188" t="s">
        <v>73</v>
      </c>
      <c r="E1191" s="189"/>
      <c r="F1191" s="190" t="s">
        <v>73</v>
      </c>
      <c r="G1191" s="33" t="str">
        <f>IF(BD!$E1191="","",(E1191/(H1191*I1191)))</f>
        <v/>
      </c>
      <c r="H1191" s="191">
        <v>1</v>
      </c>
      <c r="I1191" s="191">
        <v>1</v>
      </c>
      <c r="J1191" s="199"/>
      <c r="K1191" s="200"/>
    </row>
    <row r="1192" spans="1:11">
      <c r="A1192" s="192">
        <v>55</v>
      </c>
      <c r="B1192" s="202" t="s">
        <v>872</v>
      </c>
      <c r="C1192" s="187" t="s">
        <v>42</v>
      </c>
      <c r="D1192" s="188" t="s">
        <v>73</v>
      </c>
      <c r="E1192" s="196"/>
      <c r="F1192" s="190" t="s">
        <v>73</v>
      </c>
      <c r="G1192" s="33" t="str">
        <f>IF(BD!$E1192="","",(E1192/(H1192*I1192)))</f>
        <v/>
      </c>
      <c r="H1192" s="191">
        <v>1</v>
      </c>
      <c r="I1192" s="191">
        <v>1</v>
      </c>
      <c r="J1192" s="199"/>
      <c r="K1192" s="200"/>
    </row>
    <row r="1193" spans="1:11" ht="30">
      <c r="A1193" s="192">
        <v>56</v>
      </c>
      <c r="B1193" s="202" t="s">
        <v>873</v>
      </c>
      <c r="C1193" s="187" t="s">
        <v>42</v>
      </c>
      <c r="D1193" s="188" t="s">
        <v>73</v>
      </c>
      <c r="E1193" s="196">
        <v>18633.3</v>
      </c>
      <c r="F1193" s="190" t="s">
        <v>73</v>
      </c>
      <c r="G1193" s="33">
        <f>IF(BD!$E1193="","",(E1193/(H1193*I1193)))</f>
        <v>18633.3</v>
      </c>
      <c r="H1193" s="191">
        <v>1</v>
      </c>
      <c r="I1193" s="191">
        <v>1</v>
      </c>
      <c r="J1193" s="199"/>
      <c r="K1193" s="200"/>
    </row>
    <row r="1194" spans="1:11" ht="30">
      <c r="A1194" s="192">
        <v>57</v>
      </c>
      <c r="B1194" s="202" t="s">
        <v>874</v>
      </c>
      <c r="C1194" s="187" t="s">
        <v>42</v>
      </c>
      <c r="D1194" s="188" t="s">
        <v>73</v>
      </c>
      <c r="E1194" s="196">
        <v>8550</v>
      </c>
      <c r="F1194" s="190" t="s">
        <v>73</v>
      </c>
      <c r="G1194" s="33">
        <f>IF(BD!$E1194="","",(E1194/(H1194*I1194)))</f>
        <v>8550</v>
      </c>
      <c r="H1194" s="191">
        <v>1</v>
      </c>
      <c r="I1194" s="191">
        <v>1</v>
      </c>
      <c r="J1194" s="199"/>
      <c r="K1194" s="200"/>
    </row>
    <row r="1195" spans="1:11" ht="30">
      <c r="A1195" s="192">
        <v>58</v>
      </c>
      <c r="B1195" s="202" t="s">
        <v>875</v>
      </c>
      <c r="C1195" s="187" t="s">
        <v>42</v>
      </c>
      <c r="D1195" s="188" t="s">
        <v>73</v>
      </c>
      <c r="E1195" s="196">
        <v>14000</v>
      </c>
      <c r="F1195" s="190" t="s">
        <v>73</v>
      </c>
      <c r="G1195" s="33">
        <f>IF(BD!$E1195="","",(E1195/(H1195*I1195)))</f>
        <v>14000</v>
      </c>
      <c r="H1195" s="191">
        <v>1</v>
      </c>
      <c r="I1195" s="191">
        <v>1</v>
      </c>
      <c r="J1195" s="199"/>
      <c r="K1195" s="200"/>
    </row>
    <row r="1196" spans="1:11">
      <c r="A1196" s="192">
        <v>59</v>
      </c>
      <c r="B1196" s="202" t="s">
        <v>876</v>
      </c>
      <c r="C1196" s="187" t="s">
        <v>42</v>
      </c>
      <c r="D1196" s="188" t="s">
        <v>73</v>
      </c>
      <c r="E1196" s="196"/>
      <c r="F1196" s="190" t="s">
        <v>73</v>
      </c>
      <c r="G1196" s="33" t="str">
        <f>IF(BD!$E1196="","",(E1196/(H1196*I1196)))</f>
        <v/>
      </c>
      <c r="H1196" s="191">
        <v>1</v>
      </c>
      <c r="I1196" s="191">
        <v>1</v>
      </c>
      <c r="J1196" s="199"/>
      <c r="K1196" s="200"/>
    </row>
    <row r="1197" spans="1:11">
      <c r="A1197" s="192">
        <v>60</v>
      </c>
      <c r="B1197" s="202" t="s">
        <v>877</v>
      </c>
      <c r="C1197" s="187" t="s">
        <v>42</v>
      </c>
      <c r="D1197" s="188" t="s">
        <v>73</v>
      </c>
      <c r="E1197" s="196"/>
      <c r="F1197" s="190" t="s">
        <v>73</v>
      </c>
      <c r="G1197" s="33" t="str">
        <f>IF(BD!$E1197="","",(E1197/(H1197*I1197)))</f>
        <v/>
      </c>
      <c r="H1197" s="191">
        <v>1</v>
      </c>
      <c r="I1197" s="191">
        <v>1</v>
      </c>
      <c r="J1197" s="199"/>
      <c r="K1197" s="200"/>
    </row>
    <row r="1198" spans="1:11">
      <c r="A1198" s="192">
        <v>61</v>
      </c>
      <c r="B1198" s="202" t="s">
        <v>878</v>
      </c>
      <c r="C1198" s="187" t="s">
        <v>42</v>
      </c>
      <c r="D1198" s="188" t="s">
        <v>73</v>
      </c>
      <c r="E1198" s="196"/>
      <c r="F1198" s="190" t="s">
        <v>73</v>
      </c>
      <c r="G1198" s="33" t="str">
        <f>IF(BD!$E1198="","",(E1198/(H1198*I1198)))</f>
        <v/>
      </c>
      <c r="H1198" s="191">
        <v>1</v>
      </c>
      <c r="I1198" s="191">
        <v>1</v>
      </c>
      <c r="J1198" s="199"/>
      <c r="K1198" s="200"/>
    </row>
    <row r="1199" spans="1:11">
      <c r="A1199" s="192">
        <v>62</v>
      </c>
      <c r="B1199" s="202" t="s">
        <v>879</v>
      </c>
      <c r="C1199" s="187" t="s">
        <v>42</v>
      </c>
      <c r="D1199" s="188" t="s">
        <v>73</v>
      </c>
      <c r="E1199" s="196">
        <v>24800</v>
      </c>
      <c r="F1199" s="190" t="s">
        <v>73</v>
      </c>
      <c r="G1199" s="33">
        <f>IF(BD!$E1199="","",(E1199/(H1199*I1199)))</f>
        <v>24800</v>
      </c>
      <c r="H1199" s="191">
        <v>1</v>
      </c>
      <c r="I1199" s="191">
        <v>1</v>
      </c>
      <c r="J1199" s="203"/>
      <c r="K1199" s="204"/>
    </row>
  </sheetData>
  <sheetProtection selectLockedCells="1" selectUnlockedCells="1"/>
  <mergeCells count="12">
    <mergeCell ref="C892:D892"/>
    <mergeCell ref="C945:D945"/>
    <mergeCell ref="C983:D983"/>
    <mergeCell ref="C1055:D1055"/>
    <mergeCell ref="C1139:D1139"/>
    <mergeCell ref="E3:F3"/>
    <mergeCell ref="C6:D6"/>
    <mergeCell ref="H6:I6"/>
    <mergeCell ref="C400:D400"/>
    <mergeCell ref="C443:D443"/>
    <mergeCell ref="A1:D3"/>
    <mergeCell ref="E1:F2"/>
  </mergeCells>
  <conditionalFormatting sqref="B17:I17">
    <cfRule type="containsBlanks" dxfId="101" priority="44">
      <formula>LEN(TRIM(B17))=0</formula>
    </cfRule>
  </conditionalFormatting>
  <conditionalFormatting sqref="E18">
    <cfRule type="containsBlanks" dxfId="100" priority="41">
      <formula>LEN(TRIM(E18))=0</formula>
    </cfRule>
  </conditionalFormatting>
  <conditionalFormatting sqref="E111">
    <cfRule type="containsBlanks" dxfId="99" priority="37">
      <formula>LEN(TRIM(E111))=0</formula>
    </cfRule>
  </conditionalFormatting>
  <conditionalFormatting sqref="B994:B1005">
    <cfRule type="containsBlanks" dxfId="98" priority="25">
      <formula>LEN(TRIM(B994))=0</formula>
    </cfRule>
  </conditionalFormatting>
  <conditionalFormatting sqref="B1140:B1190">
    <cfRule type="duplicateValues" dxfId="97" priority="969"/>
  </conditionalFormatting>
  <conditionalFormatting sqref="E132:E133">
    <cfRule type="expression" dxfId="96" priority="952" stopIfTrue="1">
      <formula>AND(COUNTIF($H$455:$H$469,E132)+COUNTIF($H$19:$H$48,E132)+COUNTIF($H$1:$H$17,E132)+COUNTIF($H$58:$H$116,E132)+COUNTIF($H$118:$H$119,E132)+COUNTIF($H$121:$H$121,E132)+COUNTIF($H$122:$H$138,E132)+COUNTIF($H$140:$H$166,E132)+COUNTIF($H$392:$H$453,E132)+COUNTIF($H$471:$H$480,E132)+COUNTIF(#REF!,E132)+COUNTIF($F:$F,E132)&gt;1,NOT(ISBLANK(E132)))</formula>
    </cfRule>
  </conditionalFormatting>
  <conditionalFormatting sqref="E142:E147">
    <cfRule type="expression" dxfId="95" priority="954" stopIfTrue="1">
      <formula>AND(COUNTIF($H$452:$H$469,E142)+COUNTIF($H$19:$H$48,E142)+COUNTIF($H$1:$H$17,E142)+COUNTIF($H$58:$H$110,E142)+COUNTIF($H$112:$H$113,E142)+COUNTIF($H$115:$H$116,E142)+COUNTIF($H$118:$H$135,E142)+COUNTIF($H$137:$H$164,E142)+COUNTIF($H$166:$H$451,E142)+COUNTIF($H$470:$H$478,E142)+COUNTIF(#REF!,E142)+COUNTIF($F:$F,E142)&gt;1,NOT(ISBLANK(E142)))</formula>
    </cfRule>
  </conditionalFormatting>
  <conditionalFormatting sqref="E905:E911">
    <cfRule type="expression" dxfId="94" priority="196" stopIfTrue="1">
      <formula>AND(COUNTIF($H$482:$H$492,E905)+COUNTIF($H$19:$H$48,E905)+COUNTIF($H$1:$H$17,E905)+COUNTIF($H$58:$H$125,E905)+COUNTIF($H$126:$H$127,E905)+COUNTIF($H$128:$H$129,E905)+COUNTIF($H$105:$H$395,E905)+COUNTIF($H$397:$H$425,E905)+COUNTIF($H$427:$H$481,E905)+COUNTIF($H$493:$H$500,E905)+COUNTIF(#REF!,E905)+COUNTIF($F:$F,E905)&gt;1,NOT(ISBLANK(E905)))</formula>
    </cfRule>
  </conditionalFormatting>
  <conditionalFormatting sqref="G445:G865">
    <cfRule type="containsBlanks" dxfId="93" priority="3">
      <formula>LEN(TRIM(G445))=0</formula>
    </cfRule>
  </conditionalFormatting>
  <conditionalFormatting sqref="G1057:G1123">
    <cfRule type="containsBlanks" dxfId="92" priority="2">
      <formula>LEN(TRIM(G1057))=0</formula>
    </cfRule>
  </conditionalFormatting>
  <conditionalFormatting sqref="G1141:G1199">
    <cfRule type="containsBlanks" dxfId="91" priority="1">
      <formula>LEN(TRIM(G1141))=0</formula>
    </cfRule>
  </conditionalFormatting>
  <conditionalFormatting sqref="D152:F166">
    <cfRule type="containsBlanks" dxfId="90" priority="29">
      <formula>LEN(TRIM(D152))=0</formula>
    </cfRule>
  </conditionalFormatting>
  <dataValidations count="3">
    <dataValidation type="list" allowBlank="1" showInputMessage="1" showErrorMessage="1" sqref="C400 C8:C18 C105:C218 C402:C424 C445:C865 C926:C938 C947:C968 C989:C1031 C1057:C1123 C1145:C1199" xr:uid="{00000000-0002-0000-0100-000000000000}">
      <formula1>CATEGORIAS</formula1>
    </dataValidation>
    <dataValidation type="list" allowBlank="1" showInputMessage="1" sqref="F400 D8:D18 D105:D131 D148:D150 D152:D166 D402:D424 D445:D865 D896:D904 D951:D968 D989:D1031 D1057:D1123 D1145:D1199 F8:F18 F105:F147 F166:F218 F402:F424 F445:F865 F896:F925 F951:F968 F1006:F1021 F1057:F1123 F1145:F1199" xr:uid="{00000000-0002-0000-0100-000001000000}">
      <formula1>Unidades</formula1>
    </dataValidation>
    <dataValidation type="list" allowBlank="1" showInputMessage="1" showErrorMessage="1" sqref="D132:D147 D167:D218 D905:D938" xr:uid="{00000000-0002-0000-0100-000002000000}">
      <formula1>Unidades</formula1>
    </dataValidation>
  </dataValidations>
  <pageMargins left="0.7" right="0.7" top="0.75" bottom="0.75" header="0.3" footer="0.3"/>
  <pageSetup paperSize="9" orientation="portrait" horizontalDpi="1200" verticalDpi="1200"/>
  <drawing r:id="rId1"/>
  <legacy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FFFF00"/>
  </sheetPr>
  <dimension ref="A1:V37"/>
  <sheetViews>
    <sheetView zoomScale="145" zoomScaleNormal="145" workbookViewId="0">
      <pane ySplit="2" topLeftCell="A6" activePane="bottomLeft" state="frozen"/>
      <selection pane="bottomLeft" activeCell="L2" sqref="L2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6" width="1" style="1" customWidth="1"/>
    <col min="7" max="7" width="15.140625" customWidth="1"/>
    <col min="8" max="8" width="1" style="1" customWidth="1"/>
    <col min="9" max="9" width="22.42578125" customWidth="1"/>
    <col min="10" max="10" width="1" style="1" customWidth="1"/>
  </cols>
  <sheetData>
    <row r="1" spans="1:22">
      <c r="G1" s="2" t="s">
        <v>11</v>
      </c>
      <c r="I1" s="2" t="s">
        <v>880</v>
      </c>
      <c r="V1" s="12" t="s">
        <v>881</v>
      </c>
    </row>
    <row r="2" spans="1:22" ht="44.25" customHeight="1" outlineLevel="1">
      <c r="A2" s="3" t="s">
        <v>882</v>
      </c>
      <c r="B2" s="3" t="s">
        <v>883</v>
      </c>
      <c r="G2" t="s">
        <v>884</v>
      </c>
      <c r="I2" s="9" t="s">
        <v>24</v>
      </c>
    </row>
    <row r="3" spans="1:22" outlineLevel="1">
      <c r="A3" s="4" t="s">
        <v>885</v>
      </c>
      <c r="B3" s="5" t="s">
        <v>886</v>
      </c>
      <c r="G3" t="s">
        <v>887</v>
      </c>
      <c r="I3" s="9" t="s">
        <v>13</v>
      </c>
    </row>
    <row r="4" spans="1:22" outlineLevel="1">
      <c r="A4" s="6" t="s">
        <v>888</v>
      </c>
      <c r="B4" s="5" t="s">
        <v>141</v>
      </c>
      <c r="G4" t="s">
        <v>889</v>
      </c>
      <c r="I4" s="9" t="s">
        <v>31</v>
      </c>
    </row>
    <row r="5" spans="1:22" outlineLevel="1">
      <c r="A5" s="4" t="s">
        <v>890</v>
      </c>
      <c r="B5" s="5" t="s">
        <v>891</v>
      </c>
      <c r="G5" t="s">
        <v>892</v>
      </c>
      <c r="I5" s="9" t="s">
        <v>669</v>
      </c>
    </row>
    <row r="6" spans="1:22" outlineLevel="1">
      <c r="A6" s="6" t="s">
        <v>159</v>
      </c>
      <c r="B6" s="5" t="s">
        <v>159</v>
      </c>
      <c r="G6" t="s">
        <v>15</v>
      </c>
      <c r="I6" s="10" t="s">
        <v>695</v>
      </c>
    </row>
    <row r="7" spans="1:22" outlineLevel="1">
      <c r="A7" s="6" t="s">
        <v>893</v>
      </c>
      <c r="B7" s="5" t="s">
        <v>894</v>
      </c>
      <c r="G7" t="s">
        <v>895</v>
      </c>
      <c r="I7" s="9" t="s">
        <v>19</v>
      </c>
    </row>
    <row r="8" spans="1:22" outlineLevel="1">
      <c r="A8" s="4" t="s">
        <v>896</v>
      </c>
      <c r="B8" s="5" t="s">
        <v>897</v>
      </c>
      <c r="G8" t="s">
        <v>898</v>
      </c>
      <c r="I8" s="9" t="s">
        <v>17</v>
      </c>
    </row>
    <row r="9" spans="1:22" outlineLevel="1">
      <c r="A9" s="6" t="s">
        <v>899</v>
      </c>
      <c r="B9" s="5" t="s">
        <v>900</v>
      </c>
      <c r="G9" t="s">
        <v>16</v>
      </c>
      <c r="I9" s="9" t="s">
        <v>42</v>
      </c>
    </row>
    <row r="10" spans="1:22" outlineLevel="1">
      <c r="A10" s="6" t="s">
        <v>901</v>
      </c>
      <c r="B10" s="5" t="s">
        <v>58</v>
      </c>
      <c r="G10" t="s">
        <v>902</v>
      </c>
      <c r="I10" s="11" t="s">
        <v>751</v>
      </c>
    </row>
    <row r="11" spans="1:22" outlineLevel="1">
      <c r="A11" s="6" t="s">
        <v>903</v>
      </c>
      <c r="B11" s="5" t="s">
        <v>904</v>
      </c>
      <c r="G11" t="s">
        <v>905</v>
      </c>
      <c r="I11" s="11"/>
    </row>
    <row r="12" spans="1:22" outlineLevel="1">
      <c r="A12" s="4" t="s">
        <v>906</v>
      </c>
      <c r="B12" s="5" t="s">
        <v>687</v>
      </c>
      <c r="I12" s="11"/>
    </row>
    <row r="13" spans="1:22" outlineLevel="1">
      <c r="A13" s="4" t="s">
        <v>745</v>
      </c>
      <c r="B13" s="5" t="s">
        <v>745</v>
      </c>
    </row>
    <row r="14" spans="1:22" outlineLevel="1">
      <c r="A14" s="4" t="s">
        <v>907</v>
      </c>
      <c r="B14" s="5" t="s">
        <v>752</v>
      </c>
    </row>
    <row r="15" spans="1:22" outlineLevel="1">
      <c r="A15" s="6" t="s">
        <v>171</v>
      </c>
      <c r="B15" s="5" t="s">
        <v>171</v>
      </c>
    </row>
    <row r="16" spans="1:22" outlineLevel="1">
      <c r="A16" s="6" t="s">
        <v>908</v>
      </c>
      <c r="B16" s="5" t="s">
        <v>75</v>
      </c>
    </row>
    <row r="17" spans="1:2" outlineLevel="1">
      <c r="A17" s="6" t="s">
        <v>909</v>
      </c>
      <c r="B17" s="5" t="s">
        <v>910</v>
      </c>
    </row>
    <row r="18" spans="1:2" outlineLevel="1">
      <c r="A18" s="6" t="s">
        <v>911</v>
      </c>
      <c r="B18" s="5" t="s">
        <v>768</v>
      </c>
    </row>
    <row r="19" spans="1:2" outlineLevel="1">
      <c r="A19" s="4" t="s">
        <v>912</v>
      </c>
      <c r="B19" s="5" t="s">
        <v>78</v>
      </c>
    </row>
    <row r="20" spans="1:2" outlineLevel="1">
      <c r="A20" t="s">
        <v>913</v>
      </c>
      <c r="B20" s="5" t="s">
        <v>914</v>
      </c>
    </row>
    <row r="21" spans="1:2" outlineLevel="1">
      <c r="A21" t="s">
        <v>915</v>
      </c>
      <c r="B21" s="7" t="s">
        <v>59</v>
      </c>
    </row>
    <row r="22" spans="1:2" outlineLevel="1">
      <c r="A22" t="s">
        <v>916</v>
      </c>
      <c r="B22" s="5" t="s">
        <v>916</v>
      </c>
    </row>
    <row r="23" spans="1:2" outlineLevel="1">
      <c r="A23" s="8" t="s">
        <v>917</v>
      </c>
      <c r="B23" s="5" t="s">
        <v>918</v>
      </c>
    </row>
    <row r="24" spans="1:2" outlineLevel="1">
      <c r="A24" t="s">
        <v>919</v>
      </c>
      <c r="B24" s="5" t="s">
        <v>73</v>
      </c>
    </row>
    <row r="25" spans="1:2" outlineLevel="1">
      <c r="A25" s="8" t="s">
        <v>726</v>
      </c>
      <c r="B25" s="5" t="s">
        <v>726</v>
      </c>
    </row>
    <row r="26" spans="1:2" outlineLevel="1">
      <c r="A26" t="s">
        <v>920</v>
      </c>
      <c r="B26" s="5" t="s">
        <v>920</v>
      </c>
    </row>
    <row r="27" spans="1:2" outlineLevel="1">
      <c r="A27" t="s">
        <v>77</v>
      </c>
      <c r="B27" s="5" t="s">
        <v>77</v>
      </c>
    </row>
    <row r="28" spans="1:2" outlineLevel="1">
      <c r="A28" s="8" t="s">
        <v>921</v>
      </c>
      <c r="B28" s="5" t="s">
        <v>64</v>
      </c>
    </row>
    <row r="29" spans="1:2" outlineLevel="1"/>
    <row r="30" spans="1:2" outlineLevel="1"/>
    <row r="31" spans="1:2" outlineLevel="1"/>
    <row r="32" spans="1:2" outlineLevel="1"/>
    <row r="33" outlineLevel="1"/>
    <row r="34" outlineLevel="1"/>
    <row r="35" outlineLevel="1"/>
    <row r="36" outlineLevel="1"/>
    <row r="37" outlineLevel="1"/>
  </sheetData>
  <sheetProtection selectLockedCells="1" selectUnlockedCells="1"/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3" master="" otherUserPermission="visible"/>
  <rangeList sheetStid="38" master="" otherUserPermission="visible"/>
  <rangeList sheetStid="1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29</vt:i4>
      </vt:variant>
    </vt:vector>
  </HeadingPairs>
  <TitlesOfParts>
    <vt:vector size="32" baseType="lpstr">
      <vt:lpstr>Solicitar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Herraj_</vt:lpstr>
      <vt:lpstr>HERRAJES</vt:lpstr>
      <vt:lpstr>Herram_</vt:lpstr>
      <vt:lpstr>HERRAMIENTAS_</vt:lpstr>
      <vt:lpstr>INSUMOS_COMPL_</vt:lpstr>
      <vt:lpstr>Materiales</vt:lpstr>
      <vt:lpstr>Observaciones</vt:lpstr>
      <vt:lpstr>quimic_</vt:lpstr>
      <vt:lpstr>QUÍMICOS</vt:lpstr>
      <vt:lpstr>SECUNDARIO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2012-12-07T12:25:00Z</dcterms:created>
  <dcterms:modified xsi:type="dcterms:W3CDTF">2025-10-09T18:38:27Z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2024-12-10T23:01:46Z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325b2355-283d-4b0e-8778-f09c8d93cedc</vt:lpwstr>
  </property>
  <property fmtid="{D5CDD505-2E9C-101B-9397-08002B2CF9AE}" pid="8" name="MSIP_Label_fc111285-cafa-4fc9-8a9a-bd902089b24f_ContentBits">
    <vt:lpwstr>0</vt:lpwstr>
  </property>
  <property fmtid="{D5CDD505-2E9C-101B-9397-08002B2CF9AE}" pid="9" name="ICV">
    <vt:lpwstr>8A80570312B640488F502A62BA90EB0C_13</vt:lpwstr>
  </property>
  <property fmtid="{D5CDD505-2E9C-101B-9397-08002B2CF9AE}" pid="10" name="KSOProductBuildVer">
    <vt:lpwstr>2058-12.2.0.21931</vt:lpwstr>
  </property>
</Properties>
</file>