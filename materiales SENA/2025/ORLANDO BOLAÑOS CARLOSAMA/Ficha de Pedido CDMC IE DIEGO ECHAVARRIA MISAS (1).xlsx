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ORLANDO\"/>
    </mc:Choice>
  </mc:AlternateContent>
  <xr:revisionPtr revIDLastSave="0" documentId="13_ncr:1_{11CB16E0-6D42-4A8C-A79C-FAE7D20A9AED}" xr6:coauthVersionLast="36" xr6:coauthVersionMax="36" xr10:uidLastSave="{00000000-0000-0000-0000-000000000000}"/>
  <bookViews>
    <workbookView xWindow="0" yWindow="0" windowWidth="20490" windowHeight="71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/>
  <c r="P17" i="61" a="1"/>
  <c r="P17" i="61"/>
  <c r="P18" i="61" a="1"/>
  <c r="P18" i="61" s="1"/>
  <c r="P19" i="61" a="1"/>
  <c r="P19" i="61" s="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a="1"/>
  <c r="H13" i="61"/>
  <c r="O13" i="61" s="1"/>
  <c r="S12" i="43"/>
  <c r="H14" i="61" s="1" a="1"/>
  <c r="H14" i="61" s="1"/>
  <c r="S13" i="43"/>
  <c r="H15" i="61" s="1" a="1"/>
  <c r="H15" i="61" s="1"/>
  <c r="S14" i="43"/>
  <c r="H16" i="6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a="1"/>
  <c r="H21" i="61" s="1"/>
  <c r="S20" i="43"/>
  <c r="H22" i="61" s="1" a="1"/>
  <c r="H22" i="61" s="1"/>
  <c r="S21" i="43"/>
  <c r="H23" i="61" s="1" a="1"/>
  <c r="H23" i="61" s="1"/>
  <c r="S22" i="43"/>
  <c r="H24" i="61" a="1"/>
  <c r="H24" i="61" s="1"/>
  <c r="S23" i="43"/>
  <c r="H25" i="61" a="1"/>
  <c r="H25" i="61"/>
  <c r="O25" i="61" s="1"/>
  <c r="S24" i="43"/>
  <c r="H26" i="61" a="1"/>
  <c r="H26" i="61"/>
  <c r="B26" i="61" s="1"/>
  <c r="S25" i="43"/>
  <c r="H27" i="61" s="1" a="1"/>
  <c r="H27" i="61" s="1"/>
  <c r="S26" i="43"/>
  <c r="H28" i="61" a="1"/>
  <c r="H28" i="61" s="1"/>
  <c r="S27" i="43"/>
  <c r="H29" i="61" a="1"/>
  <c r="H29" i="61"/>
  <c r="O29" i="61" s="1"/>
  <c r="S28" i="43"/>
  <c r="H30" i="61" a="1"/>
  <c r="H30" i="61"/>
  <c r="O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/>
  <c r="W19" i="43"/>
  <c r="K26" i="61" a="1"/>
  <c r="K26" i="61" s="1"/>
  <c r="O26" i="61"/>
  <c r="K25" i="61" a="1"/>
  <c r="K25" i="61" s="1"/>
  <c r="K30" i="61" a="1"/>
  <c r="K30" i="61" s="1"/>
  <c r="B30" i="61"/>
  <c r="K29" i="61" a="1"/>
  <c r="K29" i="61" s="1"/>
  <c r="K13" i="61" a="1"/>
  <c r="K13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B8" i="61" s="1"/>
  <c r="A1177" i="38"/>
  <c r="O5" i="43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O21" i="61" l="1"/>
  <c r="K21" i="61" a="1"/>
  <c r="K21" i="61" s="1"/>
  <c r="O17" i="61"/>
  <c r="K17" i="61" a="1"/>
  <c r="K17" i="61" s="1"/>
  <c r="K23" i="61" a="1"/>
  <c r="K23" i="61" s="1"/>
  <c r="B23" i="61"/>
  <c r="O23" i="61"/>
  <c r="B16" i="61"/>
  <c r="K16" i="61" a="1"/>
  <c r="K16" i="61" s="1"/>
  <c r="O16" i="61"/>
  <c r="B28" i="61"/>
  <c r="O28" i="61"/>
  <c r="K28" i="61" a="1"/>
  <c r="K28" i="61" s="1"/>
  <c r="B31" i="61"/>
  <c r="O31" i="61"/>
  <c r="K31" i="61" a="1"/>
  <c r="K31" i="61" s="1"/>
  <c r="B24" i="61"/>
  <c r="K24" i="61" a="1"/>
  <c r="K24" i="61" s="1"/>
  <c r="O24" i="61"/>
  <c r="B15" i="61"/>
  <c r="K15" i="61" a="1"/>
  <c r="K15" i="61" s="1"/>
  <c r="O15" i="61"/>
  <c r="K32" i="61" a="1"/>
  <c r="K32" i="61" s="1"/>
  <c r="B32" i="61"/>
  <c r="O32" i="61"/>
  <c r="B18" i="61"/>
  <c r="O18" i="61"/>
  <c r="K18" i="61" a="1"/>
  <c r="K18" i="61" s="1"/>
  <c r="K22" i="61" a="1"/>
  <c r="K22" i="61" s="1"/>
  <c r="B22" i="61"/>
  <c r="O22" i="61"/>
  <c r="B20" i="61"/>
  <c r="O20" i="61"/>
  <c r="K20" i="61" a="1"/>
  <c r="K20" i="61" s="1"/>
  <c r="K27" i="61" a="1"/>
  <c r="K27" i="61" s="1"/>
  <c r="B27" i="61"/>
  <c r="O27" i="61"/>
  <c r="O19" i="61"/>
  <c r="K19" i="61" a="1"/>
  <c r="K19" i="61" s="1"/>
  <c r="B19" i="61"/>
  <c r="B14" i="61"/>
  <c r="K14" i="61" a="1"/>
  <c r="K14" i="61" s="1"/>
  <c r="O14" i="61"/>
  <c r="B12" i="61"/>
  <c r="O12" i="61"/>
  <c r="K12" i="61" a="1"/>
  <c r="K12" i="61" s="1"/>
  <c r="B13" i="61"/>
  <c r="B21" i="61"/>
  <c r="B29" i="61"/>
  <c r="B17" i="61"/>
  <c r="B25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<sst xmlns="http://schemas.openxmlformats.org/spreadsheetml/2006/main" count="5028" uniqueCount="1390">
  <si>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</si>
  <si>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</si>
  <si>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</si>
  <si>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</si>
  <si>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</si>
  <si>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</si>
  <si>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</si>
  <si>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</si>
  <si>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</si>
  <si>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</si>
  <si>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</si>
  <si>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</si>
  <si>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</si>
  <si>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</si>
  <si>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</si>
  <si>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</si>
  <si>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</si>
  <si>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</si>
  <si>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</si>
  <si>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</si>
  <si>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</si>
  <si>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</si>
  <si>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</si>
  <si>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</si>
  <si>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</si>
  <si>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</si>
  <si>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</si>
  <si>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</si>
  <si>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</si>
  <si>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</si>
  <si>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</si>
  <si>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</si>
  <si>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</si>
  <si>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</si>
  <si>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</si>
  <si>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</si>
  <si>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</si>
  <si>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</si>
  <si>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</si>
  <si>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</si>
  <si>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</si>
  <si>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</si>
  <si>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</si>
  <si>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</si>
  <si>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</si>
  <si>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</si>
  <si>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</si>
  <si>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</si>
  <si>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</si>
  <si>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</si>
  <si>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</si>
  <si>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</si>
  <si>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</si>
  <si>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</si>
  <si>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</si>
  <si>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</si>
  <si>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</si>
  <si>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</si>
  <si>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</si>
  <si>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</si>
  <si>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</si>
  <si>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</si>
  <si>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</si>
  <si>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</si>
  <si>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</si>
  <si>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</si>
  <si>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</si>
  <si>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</si>
  <si>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</si>
  <si>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</si>
  <si>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</si>
  <si>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</si>
  <si>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</si>
  <si>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</si>
  <si>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</si>
  <si>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</si>
  <si>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</si>
  <si>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</si>
  <si>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</si>
  <si>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</si>
  <si>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</si>
  <si>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</si>
  <si>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</si>
  <si>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</si>
  <si>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</si>
  <si>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</si>
  <si>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</si>
  <si>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</si>
  <si>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</si>
  <si>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</si>
  <si>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</si>
  <si>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</si>
  <si>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</si>
  <si>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</si>
  <si>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</si>
  <si>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</si>
  <si>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</si>
  <si>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</si>
  <si>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</si>
  <si>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</si>
  <si>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</si>
  <si>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</si>
  <si>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</si>
  <si>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</si>
  <si>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</si>
  <si>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</si>
  <si>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</si>
  <si>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</si>
  <si>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</si>
  <si>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</si>
  <si>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</si>
  <si>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</si>
  <si>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</si>
  <si>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</si>
  <si>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</si>
  <si>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</si>
  <si>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</si>
  <si>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</si>
  <si>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</si>
  <si>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</si>
  <si>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</si>
  <si>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</si>
  <si>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</si>
  <si>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</si>
  <si>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</si>
  <si>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</si>
  <si>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</si>
  <si>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</si>
  <si>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</si>
  <si>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</si>
  <si>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</si>
  <si>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</si>
  <si>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</si>
  <si>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</si>
  <si>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</si>
  <si>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</si>
  <si>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</si>
  <si>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</si>
  <si>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</si>
  <si>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</si>
  <si>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</si>
  <si>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</si>
  <si>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</si>
  <si>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</si>
  <si>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</si>
  <si>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</si>
  <si>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</si>
  <si>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</si>
  <si>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</si>
  <si>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</si>
  <si>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</si>
  <si>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</si>
  <si>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</si>
  <si>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</si>
  <si>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</si>
  <si>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</si>
  <si>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</si>
  <si>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</si>
  <si>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</si>
  <si>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</si>
  <si>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</si>
  <si>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</si>
  <si>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</si>
  <si>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</si>
  <si>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</si>
  <si>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</si>
  <si>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</si>
  <si>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</si>
  <si>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</si>
  <si>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</si>
  <si>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</si>
  <si>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</si>
  <si>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</si>
  <si>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</si>
  <si>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</si>
  <si>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</si>
  <si>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</si>
  <si>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</si>
  <si>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</si>
  <si>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</si>
  <si>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</si>
  <si>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</si>
  <si>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</si>
  <si>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</si>
  <si>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</si>
  <si>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</si>
  <si>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</si>
  <si>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</si>
  <si>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</si>
  <si>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</si>
  <si>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</si>
  <si>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</si>
  <si>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</si>
  <si>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</si>
  <si>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</si>
  <si>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</si>
  <si>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</si>
  <si>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</si>
  <si>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</si>
  <si>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</si>
  <si>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</si>
  <si>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</si>
  <si>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</si>
  <si>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</si>
  <si>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</si>
  <si>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</si>
  <si>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</si>
  <si>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</si>
  <si>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</si>
  <si>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</si>
  <si>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</si>
  <si>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</si>
  <si>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</si>
  <si>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</si>
  <si>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</si>
  <si>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</si>
  <si>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</si>
  <si>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</si>
  <si>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</si>
  <si>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</si>
  <si>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</si>
  <si>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</si>
  <si>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</si>
  <si>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</si>
  <si>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</si>
  <si>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</si>
  <si>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</si>
  <si>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</si>
  <si>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</si>
  <si>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</si>
  <si>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</si>
  <si>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</si>
  <si>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</si>
  <si>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</si>
  <si>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</si>
  <si>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</si>
  <si>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</si>
  <si>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</si>
  <si>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</si>
  <si>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</si>
  <si>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</si>
  <si>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</si>
  <si>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</si>
  <si>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</si>
  <si>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</si>
  <si>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</si>
  <si>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</si>
  <si>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</si>
  <si>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</si>
  <si>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</si>
  <si>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</si>
  <si>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</si>
  <si>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</si>
  <si>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</si>
  <si>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</si>
  <si>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</si>
  <si>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</si>
  <si>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</si>
  <si>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</si>
  <si>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</si>
  <si>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</si>
  <si>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</si>
  <si>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</si>
  <si>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</si>
  <si>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</si>
  <si>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</si>
  <si>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</si>
  <si>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</si>
  <si>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</si>
  <si>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</si>
  <si>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</si>
  <si>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</si>
  <si>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</si>
  <si>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</si>
  <si>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</si>
  <si>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</si>
  <si>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</si>
  <si>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</si>
  <si>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</si>
  <si>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</si>
  <si>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</si>
  <si>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</si>
  <si>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</si>
  <si>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</si>
  <si>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</si>
  <si>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</si>
  <si>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</si>
  <si>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</si>
  <si>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</si>
  <si>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</si>
  <si>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</si>
  <si>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</si>
  <si>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</si>
  <si>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</si>
  <si>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</si>
  <si>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</si>
  <si>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</si>
  <si>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</si>
  <si>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</si>
  <si>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</si>
  <si>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</si>
  <si>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</si>
  <si>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</si>
  <si>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</si>
  <si>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</si>
  <si>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</si>
  <si>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</si>
  <si>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</si>
  <si>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</si>
  <si>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</si>
  <si>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</si>
  <si>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</si>
  <si>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</si>
  <si>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</si>
  <si>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</si>
  <si>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</si>
  <si>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</si>
  <si>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</si>
  <si>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</si>
  <si>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</si>
  <si>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</si>
  <si>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</si>
  <si>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</si>
  <si>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</si>
  <si>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</si>
  <si>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</si>
  <si>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</si>
  <si>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</si>
  <si>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</si>
  <si>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</si>
  <si>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</si>
  <si>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</si>
  <si>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</si>
  <si>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</si>
  <si>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</si>
  <si>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</si>
  <si>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</si>
  <si>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</si>
  <si>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</si>
  <si>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</si>
  <si>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</si>
  <si>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</si>
  <si>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</si>
  <si>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</si>
  <si>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</si>
  <si>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</si>
  <si>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</si>
  <si>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</si>
  <si>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</si>
  <si>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</si>
  <si>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</si>
  <si>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</si>
  <si>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</si>
  <si>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</si>
  <si>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</si>
  <si>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</si>
  <si>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</si>
  <si>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</si>
  <si>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</si>
  <si>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</si>
  <si>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</si>
  <si>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</si>
  <si>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</si>
  <si>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</si>
  <si>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</si>
  <si>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</si>
  <si>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</si>
  <si>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</si>
  <si>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</si>
  <si>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</si>
  <si>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</si>
  <si>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</si>
  <si>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</si>
  <si>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</si>
  <si>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</si>
  <si>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</si>
  <si>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</si>
  <si>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</si>
  <si>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</si>
  <si>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</si>
  <si>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</si>
  <si>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</si>
  <si>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</si>
  <si>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</si>
  <si>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</si>
  <si>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</si>
  <si>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</si>
  <si>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</si>
  <si>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</si>
  <si>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</si>
  <si>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</si>
  <si>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</si>
  <si>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</si>
  <si>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</si>
  <si>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</si>
  <si>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</si>
  <si>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</si>
  <si>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</si>
  <si>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</si>
  <si>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</si>
  <si>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</si>
  <si>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</si>
  <si>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</si>
  <si>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</si>
  <si>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</si>
  <si>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</si>
  <si>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</si>
  <si>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</si>
  <si>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</si>
  <si>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</si>
  <si>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</si>
  <si>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</si>
  <si>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</si>
  <si>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</si>
  <si>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</si>
  <si>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</si>
  <si>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</si>
  <si>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</si>
  <si>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</si>
  <si>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</si>
  <si>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</si>
  <si>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</si>
  <si>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</si>
  <si>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</si>
  <si>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</si>
  <si>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</si>
  <si>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</si>
  <si>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</si>
  <si>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</si>
  <si>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</si>
  <si>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</si>
  <si>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</si>
  <si>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</si>
  <si>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</si>
  <si>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</si>
  <si>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</si>
  <si>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</si>
  <si>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</si>
  <si>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</si>
  <si>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</si>
  <si>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</si>
  <si>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</si>
  <si>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</si>
  <si>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</si>
  <si>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</si>
  <si>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</si>
  <si>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</si>
  <si>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</si>
  <si>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</si>
  <si>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</si>
  <si>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</si>
  <si>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</si>
  <si>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</si>
  <si>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</si>
  <si>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</si>
  <si>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</si>
  <si>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</si>
  <si>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</si>
  <si>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</si>
  <si>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</si>
  <si>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</si>
  <si>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</si>
  <si>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</si>
  <si>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</si>
  <si>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</si>
  <si>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</si>
  <si>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</si>
  <si>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</si>
  <si>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</si>
  <si>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</si>
  <si>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</si>
  <si>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</si>
  <si>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</si>
  <si>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</si>
  <si>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</si>
  <si>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</si>
  <si>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</si>
  <si>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</si>
  <si>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</si>
  <si>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</si>
  <si>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</si>
  <si>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</si>
  <si>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</si>
  <si>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</si>
  <si>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</si>
  <si>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</si>
  <si>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</si>
  <si>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</si>
  <si>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</si>
  <si>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</si>
  <si>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</si>
  <si>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</si>
  <si>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</si>
  <si>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</si>
  <si>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</si>
  <si>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</si>
  <si>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</si>
  <si>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</si>
  <si>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</si>
  <si>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</si>
  <si>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</si>
  <si>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</si>
  <si>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</si>
  <si>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</si>
  <si>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</si>
  <si>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</si>
  <si>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</si>
  <si>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</si>
  <si>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</si>
  <si>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</si>
  <si>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</si>
  <si>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</si>
  <si>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</si>
  <si>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</si>
  <si>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</si>
  <si>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</si>
  <si>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</si>
  <si>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</si>
  <si>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</si>
  <si>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</si>
  <si>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</si>
  <si>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</si>
  <si>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</si>
  <si>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</si>
  <si>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</si>
  <si>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</si>
  <si>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</si>
  <si>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</si>
  <si>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</si>
  <si>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</si>
  <si>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</si>
  <si>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</si>
  <si>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</si>
  <si>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</si>
  <si>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</si>
  <si>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</si>
  <si>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</si>
  <si>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</si>
  <si>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</si>
  <si>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</si>
  <si>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</si>
  <si>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</si>
  <si>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</si>
  <si>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</si>
  <si>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</si>
  <si>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</si>
  <si>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</si>
  <si>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</si>
  <si>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</si>
  <si>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</si>
  <si>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</si>
  <si>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</si>
  <si>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</si>
  <si>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</si>
  <si>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</si>
  <si>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</si>
  <si>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</si>
  <si>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</si>
  <si>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</si>
  <si>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</si>
  <si>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</si>
  <si>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</si>
  <si>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</si>
  <si>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</si>
  <si>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</si>
  <si>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</si>
  <si>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</si>
  <si>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</si>
  <si>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</si>
  <si>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</si>
  <si>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</si>
  <si>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</si>
  <si>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</si>
  <si>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</si>
  <si>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</si>
  <si>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</si>
  <si>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</si>
  <si>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</si>
  <si>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</si>
  <si>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</si>
  <si>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</si>
  <si>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</si>
  <si>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</si>
  <si>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</si>
  <si>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</si>
  <si>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</si>
  <si>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</si>
  <si>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</si>
  <si>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</si>
  <si>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</si>
  <si>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</si>
  <si>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</si>
  <si>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</si>
  <si>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</si>
  <si>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</si>
  <si>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</si>
  <si>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</si>
  <si>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</si>
  <si>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</si>
  <si>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</si>
  <si>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</si>
  <si>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</si>
  <si>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</si>
  <si>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</si>
  <si>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</si>
  <si>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</si>
  <si>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</si>
  <si>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</si>
  <si>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</si>
  <si>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</si>
  <si>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</si>
  <si>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</si>
  <si>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</si>
  <si>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</si>
  <si>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</si>
  <si>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</si>
  <si>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</si>
  <si>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</si>
  <si>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</si>
  <si>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</si>
  <si>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</si>
  <si>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</si>
  <si>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</si>
  <si>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</si>
  <si>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</si>
  <si>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</si>
  <si>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</si>
  <si>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</si>
  <si>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</si>
  <si>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</si>
  <si>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</si>
  <si>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</si>
  <si>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</si>
  <si>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</si>
  <si>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</si>
  <si>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</si>
  <si>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</si>
  <si>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</si>
  <si>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</si>
  <si>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</si>
  <si>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</si>
  <si>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</si>
  <si>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</si>
  <si>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</si>
  <si>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</si>
  <si>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</si>
  <si>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</si>
  <si>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</si>
  <si>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</si>
  <si>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</si>
  <si>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</si>
  <si>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</si>
  <si>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</si>
  <si>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</si>
  <si>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</si>
  <si>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</si>
  <si>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</si>
  <si>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</si>
  <si>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</si>
  <si>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</si>
  <si>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</si>
  <si>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</si>
  <si>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</si>
  <si>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</si>
  <si>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</si>
  <si>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</si>
  <si>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</si>
  <si>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</si>
  <si>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</si>
  <si>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</si>
  <si>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</si>
  <si>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</si>
  <si>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</si>
  <si>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</si>
  <si>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</si>
  <si>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</si>
  <si>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</si>
  <si>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</si>
  <si>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</si>
  <si>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</si>
  <si>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</si>
  <si>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</si>
  <si>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</si>
  <si>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</si>
  <si>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</si>
  <si>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</si>
  <si>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</si>
  <si>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</si>
  <si>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</si>
  <si>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</si>
  <si>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</si>
  <si>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</si>
  <si>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</si>
  <si>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</si>
  <si>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</si>
  <si>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</si>
  <si>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</si>
  <si>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</si>
  <si>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</si>
  <si>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</si>
  <si>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</si>
  <si>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</si>
  <si>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</si>
  <si>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</si>
  <si>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</si>
  <si>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</si>
  <si>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</si>
  <si>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</si>
  <si>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</si>
  <si>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</si>
  <si>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</si>
  <si>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</si>
  <si>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</si>
  <si>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</si>
  <si>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</si>
  <si>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</si>
  <si>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</si>
  <si>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</si>
  <si>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</si>
  <si>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</si>
  <si>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</si>
  <si>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</si>
  <si>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</si>
  <si>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</si>
  <si>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</si>
  <si>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</si>
  <si>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</si>
  <si>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</si>
  <si>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</si>
  <si>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</si>
  <si>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</si>
  <si>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</si>
  <si>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</si>
  <si>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</si>
  <si>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</si>
  <si>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</si>
  <si>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</si>
  <si>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</si>
  <si>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</si>
  <si>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</si>
  <si>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</si>
  <si>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</si>
  <si>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</si>
  <si>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</si>
  <si>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</si>
  <si>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</si>
  <si>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</si>
  <si>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</si>
  <si>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</si>
  <si>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</si>
  <si>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</si>
  <si>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</si>
  <si>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</si>
  <si>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</si>
  <si>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</si>
  <si>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</si>
  <si>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</si>
  <si>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</si>
  <si>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</si>
  <si>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</si>
  <si>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</si>
  <si>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</si>
  <si>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</si>
  <si>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</si>
  <si>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</si>
  <si>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</si>
  <si>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</si>
  <si>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</si>
  <si>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</si>
  <si>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</si>
  <si>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</si>
  <si>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</si>
  <si>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</si>
  <si>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</si>
  <si>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</si>
  <si>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</si>
  <si>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</si>
  <si>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</si>
  <si>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</si>
  <si>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</si>
  <si>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</si>
  <si>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</si>
  <si>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</si>
  <si>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</si>
  <si>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</si>
  <si>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</si>
  <si>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</si>
  <si>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</si>
  <si>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</si>
  <si>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</si>
  <si>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</si>
  <si>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</si>
  <si>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</si>
  <si>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</si>
  <si>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</si>
  <si>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</si>
  <si>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</si>
  <si>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</si>
  <si>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</si>
  <si>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</si>
  <si>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</si>
  <si>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</si>
  <si>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</si>
  <si>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</si>
  <si>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</si>
  <si>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</si>
  <si>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</si>
  <si>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</si>
  <si>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</si>
  <si>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</si>
  <si>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</si>
  <si>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</si>
  <si>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</si>
  <si>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</si>
  <si>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</si>
  <si>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</si>
  <si>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</si>
  <si>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</si>
  <si>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</si>
  <si>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</si>
  <si>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</si>
  <si>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</si>
  <si>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</si>
  <si>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</si>
  <si>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</si>
  <si>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</si>
  <si>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</si>
  <si>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</si>
  <si>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</si>
  <si>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</si>
  <si>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</si>
  <si>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</si>
  <si>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</si>
  <si>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</si>
  <si>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</si>
  <si>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</si>
  <si>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</si>
  <si>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</si>
  <si>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</si>
  <si>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</si>
  <si>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</si>
  <si>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</si>
  <si>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</si>
  <si>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</si>
  <si>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</si>
  <si>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</si>
  <si>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</si>
  <si>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</si>
  <si>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</si>
  <si>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</si>
  <si>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</si>
  <si>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</si>
  <si>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</si>
  <si>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</si>
  <si>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</si>
  <si>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</si>
  <si>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</si>
  <si>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</si>
  <si>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</si>
  <si>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</si>
  <si>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</si>
  <si>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</si>
  <si>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</si>
  <si>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</si>
  <si>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</si>
  <si>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</si>
  <si>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</si>
  <si>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</si>
  <si>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</si>
  <si>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</si>
  <si>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</si>
  <si>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</si>
  <si>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</si>
  <si>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</si>
  <si>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</si>
  <si>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</si>
  <si>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</si>
  <si>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</si>
  <si>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</si>
  <si>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</si>
  <si>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</si>
  <si>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</si>
  <si>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</si>
  <si>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</si>
  <si>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</si>
  <si>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</si>
  <si>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</si>
  <si>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</si>
  <si>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</si>
  <si>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</si>
  <si>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</si>
  <si>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</si>
  <si>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</si>
  <si>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</si>
  <si>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</si>
  <si>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</si>
  <si>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</si>
  <si>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</si>
  <si>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</si>
  <si>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</si>
  <si>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</si>
  <si>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</si>
  <si>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</si>
  <si>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</si>
  <si>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</si>
  <si>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</si>
  <si>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</si>
  <si>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</si>
  <si>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</si>
  <si>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</si>
  <si>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</si>
  <si>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</si>
  <si>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</si>
  <si>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</si>
  <si>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</si>
  <si>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</si>
  <si>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</si>
  <si>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</si>
  <si>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</si>
  <si>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</si>
  <si>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</si>
  <si>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</si>
  <si>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</si>
  <si>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</si>
  <si>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</si>
  <si>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</si>
  <si>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</si>
  <si>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</si>
  <si>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</si>
  <si>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</si>
  <si>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</si>
  <si>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</si>
  <si>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</si>
  <si>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</si>
  <si>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</si>
  <si>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</si>
  <si>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</si>
  <si>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</si>
  <si>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</si>
  <si>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</si>
  <si>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</si>
  <si>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</si>
  <si>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</si>
  <si>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</si>
  <si>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</si>
  <si>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</si>
  <si>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</si>
  <si>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</si>
  <si>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</si>
  <si>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</si>
  <si>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</si>
  <si>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</si>
  <si>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</si>
  <si>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</si>
  <si>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</si>
  <si>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</si>
  <si>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</si>
  <si>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</si>
  <si>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</si>
  <si>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</si>
  <si>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</si>
  <si>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</si>
  <si>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</si>
  <si>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</si>
  <si>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</si>
  <si>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</si>
  <si>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</si>
  <si>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</si>
  <si>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</si>
  <si>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</si>
  <si>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</si>
  <si>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</si>
  <si>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</si>
  <si>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</si>
  <si>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</si>
  <si>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</si>
  <si>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</si>
  <si>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</si>
  <si>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</si>
  <si>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</si>
  <si>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</si>
  <si>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</si>
  <si>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</si>
  <si>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</si>
  <si>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</si>
  <si>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</si>
  <si>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</si>
  <si>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</si>
  <si>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</si>
  <si>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</si>
  <si>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</si>
  <si>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</si>
  <si>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</si>
  <si>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</si>
  <si>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</si>
  <si>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</si>
  <si>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</si>
  <si>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</si>
  <si>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</si>
  <si>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</si>
  <si>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</si>
  <si>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</si>
  <si>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</si>
  <si>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</si>
  <si>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</si>
  <si>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</si>
  <si>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</si>
  <si>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</si>
  <si>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</si>
  <si>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</si>
  <si>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</si>
  <si>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</si>
  <si>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</si>
  <si>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</si>
  <si>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</si>
  <si>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</si>
  <si>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</si>
  <si>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</si>
  <si>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</si>
  <si>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</si>
  <si>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</si>
  <si>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</si>
  <si>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</si>
  <si>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</si>
  <si>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</si>
  <si>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</si>
  <si>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</si>
  <si>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</si>
  <si>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</si>
  <si>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</si>
  <si>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</si>
  <si>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</si>
  <si>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</si>
  <si>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</si>
  <si>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</si>
  <si>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</si>
  <si>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</si>
  <si>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</si>
  <si>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</si>
  <si>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</si>
  <si>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</si>
  <si>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</si>
  <si>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</si>
  <si>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</si>
  <si>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</si>
  <si>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</si>
  <si>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</si>
  <si>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</si>
  <si>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</si>
  <si>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</si>
  <si>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</si>
  <si>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</si>
  <si>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</si>
  <si>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</si>
  <si>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</si>
  <si>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</si>
  <si>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</si>
  <si>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</si>
  <si>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</si>
  <si>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</si>
  <si>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</si>
  <si>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</si>
  <si>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</si>
  <si>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</si>
  <si>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</si>
  <si>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</si>
  <si>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</si>
  <si>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</si>
  <si>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</si>
  <si>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</si>
  <si>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</si>
  <si>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</si>
  <si>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</si>
  <si>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</si>
  <si>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</si>
  <si>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</si>
  <si>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</si>
  <si>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</si>
  <si>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</si>
  <si>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</si>
  <si>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</si>
  <si>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</si>
  <si>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</si>
  <si>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</si>
  <si>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</si>
  <si>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</si>
  <si>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</si>
  <si>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</si>
  <si>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</si>
  <si>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</si>
  <si>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</si>
  <si>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</si>
  <si>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</si>
  <si>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</si>
  <si>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</si>
  <si>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</si>
  <si>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</si>
  <si>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</si>
  <si>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</si>
  <si>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</si>
  <si>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</si>
  <si>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</si>
  <si>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</si>
  <si>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</si>
  <si>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</si>
  <si>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</si>
  <si>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</si>
  <si>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</si>
  <si>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</si>
  <si>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</si>
  <si>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</si>
  <si>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</si>
  <si>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</si>
  <si>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</si>
  <si>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</si>
  <si>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</si>
  <si>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</si>
  <si>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</si>
  <si>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</si>
  <si>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</si>
  <si>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</si>
  <si>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</si>
  <si>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</si>
  <si>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</si>
  <si>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</si>
  <si>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</si>
  <si>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</si>
  <si>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</si>
  <si>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</si>
  <si>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</si>
  <si>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</si>
  <si>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</si>
  <si>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</si>
  <si>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</si>
  <si>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</si>
  <si>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</si>
  <si>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</si>
  <si>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</si>
  <si>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</si>
  <si>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</si>
  <si>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</si>
  <si>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</si>
  <si>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</si>
  <si>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</si>
  <si>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</si>
  <si>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</si>
  <si>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</si>
  <si>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</si>
  <si>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</si>
  <si>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</si>
  <si>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</si>
  <si>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</si>
  <si>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</si>
  <si>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</si>
  <si>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</si>
  <si>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</si>
  <si>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</si>
  <si>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</si>
  <si>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</si>
  <si>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</si>
  <si>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</si>
  <si>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</si>
  <si>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</si>
  <si>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</si>
  <si>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</si>
  <si>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</si>
  <si>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</si>
  <si>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</si>
  <si>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</si>
  <si>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</si>
  <si>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</si>
  <si>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</si>
  <si>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</si>
  <si>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</si>
  <si>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</si>
  <si>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</si>
  <si>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</si>
  <si>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</si>
  <si>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</si>
  <si>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</si>
  <si>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</si>
  <si>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</si>
  <si>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</si>
  <si>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</si>
  <si>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</si>
  <si>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</si>
  <si>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</si>
  <si>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</si>
  <si>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</si>
  <si>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</si>
  <si>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</si>
  <si>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</si>
  <si>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</si>
  <si>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</si>
  <si>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</si>
  <si>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</si>
  <si>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</si>
  <si>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</si>
  <si>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</si>
  <si>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</si>
  <si>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</si>
  <si>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</si>
  <si>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</si>
  <si>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</si>
  <si>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</si>
  <si>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</si>
  <si>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</si>
  <si>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</si>
  <si>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</si>
  <si>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</si>
  <si>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</si>
  <si>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</si>
  <si>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</si>
  <si>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</si>
  <si>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</si>
  <si>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</si>
  <si>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</si>
  <si>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</si>
  <si>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</si>
  <si>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</si>
  <si>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</si>
  <si>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</si>
  <si>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</si>
  <si>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</si>
  <si>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</si>
  <si>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</si>
  <si>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</si>
  <si>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</si>
  <si>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</si>
  <si>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</si>
  <si>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</si>
  <si>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</si>
  <si>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</si>
  <si>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</si>
  <si>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</si>
  <si>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</si>
  <si>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</si>
  <si>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</si>
  <si>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</si>
  <si>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</si>
  <si>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</si>
  <si>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</si>
  <si>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</si>
  <si>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</si>
  <si>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</si>
  <si>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</si>
  <si>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</si>
  <si>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</si>
  <si>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</si>
  <si>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</si>
  <si>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</si>
  <si>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</si>
  <si>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</si>
  <si>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</si>
  <si>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</si>
  <si>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</si>
  <si>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</si>
  <si>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</si>
  <si>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</si>
  <si>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</si>
  <si>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</si>
  <si>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</si>
  <si>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</si>
  <si>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</si>
  <si>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</si>
  <si>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</si>
  <si>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</si>
  <si>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</si>
  <si>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</si>
  <si>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</si>
  <si>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</si>
  <si>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</si>
  <si>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</si>
  <si>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</si>
  <si>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</si>
  <si>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</si>
  <si>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</si>
  <si>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</si>
  <si>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</si>
  <si>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</si>
  <si>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</si>
  <si>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</si>
  <si>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</si>
  <si>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</si>
  <si>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</si>
  <si>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</si>
  <si>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</si>
  <si>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</si>
  <si>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</si>
  <si>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</si>
  <si>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</si>
  <si>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</si>
  <si>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</si>
  <si>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</si>
  <si>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</si>
  <si>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</si>
  <si>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</si>
  <si>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</si>
  <si>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</si>
  <si>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</si>
  <si>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</si>
  <si>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</si>
  <si>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</si>
  <si>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</si>
  <si>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</si>
  <si>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</si>
  <si>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</si>
  <si>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</si>
  <si>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</si>
  <si>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</si>
  <si>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</si>
  <si>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</si>
  <si>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</si>
  <si>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</si>
  <si>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</si>
  <si>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</si>
  <si>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</si>
  <si>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</si>
  <si>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</si>
  <si>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</si>
  <si>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</si>
  <si>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</si>
  <si>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</si>
  <si>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</si>
  <si>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</si>
  <si>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</si>
  <si>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</si>
  <si>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</si>
  <si>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</si>
  <si>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</si>
  <si>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</si>
  <si>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</si>
  <si>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</si>
  <si>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</si>
  <si>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</si>
  <si>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</si>
  <si>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</si>
  <si>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</si>
  <si>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</si>
  <si>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</si>
  <si>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</si>
  <si>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</si>
  <si>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</si>
  <si>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</si>
  <si>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</si>
  <si>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</si>
  <si>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</si>
  <si>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</si>
  <si>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</si>
  <si>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</si>
  <si>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</si>
  <si>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</si>
  <si>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</si>
  <si>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</si>
  <si>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</si>
  <si>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</si>
  <si>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</si>
  <si>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</si>
  <si>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</si>
  <si>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</si>
  <si>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</si>
  <si>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</si>
  <si>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</si>
  <si>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</si>
  <si>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</si>
  <si>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</si>
  <si>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</si>
  <si>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</si>
  <si>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</si>
  <si>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</si>
  <si>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</si>
  <si>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</si>
  <si>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</si>
  <si>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</si>
  <si>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</si>
  <si>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</si>
  <si>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</si>
  <si>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</si>
  <si>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</si>
  <si>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</si>
  <si>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</si>
  <si>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</si>
  <si>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</si>
  <si>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</si>
  <si>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</si>
  <si>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</si>
  <si>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</si>
  <si>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</si>
  <si>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</si>
  <si>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NO LLEVÓ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</si>
</sst>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O1" sqref="O1:R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/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/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/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str">
        <f>IF(E2="","",INDEX(Listas!H2:I30,MATCH('Soli_citud '!E2,Intructores,0),2))</f>
        <v/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2916300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/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 t="str">
        <f>IF(K5="","",(SUM(W10:Y28)-(SUMIF(U10:V28,"Restar_Pedido",W10:Y28)))/$K$5)</f>
        <v/>
      </c>
      <c r="E5" s="387"/>
      <c r="F5" s="388"/>
      <c r="G5" s="364" t="s">
        <v>16</v>
      </c>
      <c r="H5" s="389"/>
      <c r="I5" s="389"/>
      <c r="J5" s="365"/>
      <c r="K5" s="328"/>
      <c r="L5" s="328"/>
      <c r="M5" s="329" t="s">
        <v>17</v>
      </c>
      <c r="N5" s="329"/>
      <c r="O5" s="325" t="str">
        <f>IFERROR(IF(K5=0,"",D5*K5),"")</f>
        <v/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 t="str">
        <f>IF(K5="","",1/K5)</f>
        <v/>
      </c>
      <c r="W8" s="318"/>
      <c r="X8" s="103"/>
      <c r="Y8" s="104" t="str">
        <f>IFERROR((V8*X8)," ")</f>
        <v xml:space="preserve"> 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474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200</v>
      </c>
      <c r="R10" s="307"/>
      <c r="S10" s="308">
        <f>IFERROR(IF(Q10="Unidad","1",(Q10*$K$5)),"")</f>
        <v>0</v>
      </c>
      <c r="T10" s="309"/>
      <c r="U10" s="310"/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1058</v>
      </c>
      <c r="B11" s="299"/>
      <c r="C11" s="300"/>
      <c r="D11" s="390" t="s">
        <v>1064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U</v>
      </c>
      <c r="P11" s="305"/>
      <c r="Q11" s="306">
        <v>1</v>
      </c>
      <c r="R11" s="307"/>
      <c r="S11" s="308">
        <f t="shared" ref="S11:S31" si="1">IFERROR(IF(Q11="Unidad","1",(Q11*$K$5)),"")</f>
        <v>0</v>
      </c>
      <c r="T11" s="309"/>
      <c r="U11" s="310"/>
      <c r="V11" s="310"/>
      <c r="W11" s="311">
        <f>IFERROR(IF(D11="","",INDEX(Tabla_Completa,MATCH('Soli_citud '!D11,Materiales,0),7)*S11),"")</f>
        <v>0</v>
      </c>
      <c r="X11" s="311"/>
      <c r="Y11" s="311"/>
    </row>
    <row r="12" spans="1:31" ht="15.75" customHeight="1">
      <c r="A12" s="298" t="s">
        <v>1058</v>
      </c>
      <c r="B12" s="299"/>
      <c r="C12" s="300"/>
      <c r="D12" s="394" t="s">
        <v>1073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U</v>
      </c>
      <c r="P12" s="305"/>
      <c r="Q12" s="306">
        <v>1</v>
      </c>
      <c r="R12" s="307"/>
      <c r="S12" s="308">
        <f t="shared" si="1"/>
        <v>0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1058</v>
      </c>
      <c r="B13" s="299"/>
      <c r="C13" s="300"/>
      <c r="D13" s="390" t="s">
        <v>1089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Pliego</v>
      </c>
      <c r="P13" s="305"/>
      <c r="Q13" s="306">
        <v>50</v>
      </c>
      <c r="R13" s="307"/>
      <c r="S13" s="308">
        <f t="shared" si="1"/>
        <v>0</v>
      </c>
      <c r="T13" s="309"/>
      <c r="U13" s="310"/>
      <c r="V13" s="310"/>
      <c r="W13" s="311" t="str">
        <f>IFERROR(IF(D13="","",INDEX(Tabla_Completa,MATCH('Soli_citud '!D13,Materiales,0),7)*S13),"")</f>
        <v/>
      </c>
      <c r="X13" s="311"/>
      <c r="Y13" s="311"/>
    </row>
    <row r="14" spans="1:31" ht="17.25" customHeight="1">
      <c r="A14" s="298" t="s">
        <v>1058</v>
      </c>
      <c r="B14" s="299"/>
      <c r="C14" s="300"/>
      <c r="D14" s="390" t="s">
        <v>1092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U</v>
      </c>
      <c r="P14" s="305"/>
      <c r="Q14" s="306">
        <v>5</v>
      </c>
      <c r="R14" s="307"/>
      <c r="S14" s="308">
        <f t="shared" si="1"/>
        <v>0</v>
      </c>
      <c r="T14" s="309"/>
      <c r="U14" s="310"/>
      <c r="V14" s="310"/>
      <c r="W14" s="311" t="str">
        <f>IFERROR(IF(D14="","",INDEX(Tabla_Completa,MATCH('Soli_citud '!D14,Materiales,0),7)*S14),"")</f>
        <v/>
      </c>
      <c r="X14" s="311"/>
      <c r="Y14" s="311"/>
    </row>
    <row r="15" spans="1:31" ht="15.75" customHeight="1">
      <c r="A15" s="298" t="s">
        <v>31</v>
      </c>
      <c r="B15" s="299"/>
      <c r="C15" s="300"/>
      <c r="D15" s="390" t="s">
        <v>107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ml</v>
      </c>
      <c r="P15" s="305"/>
      <c r="Q15" s="306">
        <v>7200</v>
      </c>
      <c r="R15" s="307"/>
      <c r="S15" s="308">
        <f t="shared" si="1"/>
        <v>0</v>
      </c>
      <c r="T15" s="309"/>
      <c r="U15" s="310"/>
      <c r="V15" s="310"/>
      <c r="W15" s="311">
        <f>IFERROR(IF(D15="","",INDEX(Tabla_Completa,MATCH('Soli_citud '!D15,Materiales,0),7)*S15),"")</f>
        <v>0</v>
      </c>
      <c r="X15" s="311"/>
      <c r="Y15" s="311"/>
    </row>
    <row r="16" spans="1:31" ht="15.75" customHeight="1">
      <c r="A16" s="298" t="s">
        <v>40</v>
      </c>
      <c r="B16" s="299"/>
      <c r="C16" s="300"/>
      <c r="D16" s="390" t="s">
        <v>711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U</v>
      </c>
      <c r="P16" s="305"/>
      <c r="Q16" s="306">
        <v>30</v>
      </c>
      <c r="R16" s="307"/>
      <c r="S16" s="308">
        <f t="shared" si="1"/>
        <v>0</v>
      </c>
      <c r="T16" s="309"/>
      <c r="U16" s="310"/>
      <c r="V16" s="310"/>
      <c r="W16" s="311">
        <f>IFERROR(IF(D16="","",INDEX(Tabla_Completa,MATCH('Soli_citud '!D16,Materiales,0),7)*S16),"")</f>
        <v>0</v>
      </c>
      <c r="X16" s="311"/>
      <c r="Y16" s="311"/>
    </row>
    <row r="17" spans="1:25" ht="15.75" customHeight="1">
      <c r="A17" s="298" t="s">
        <v>232</v>
      </c>
      <c r="B17" s="299"/>
      <c r="C17" s="300"/>
      <c r="D17" s="390" t="s">
        <v>318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cm</v>
      </c>
      <c r="P17" s="305"/>
      <c r="Q17" s="306">
        <v>1000</v>
      </c>
      <c r="R17" s="307"/>
      <c r="S17" s="308">
        <f t="shared" si="1"/>
        <v>0</v>
      </c>
      <c r="T17" s="309"/>
      <c r="U17" s="310" t="s">
        <v>1339</v>
      </c>
      <c r="V17" s="310"/>
      <c r="W17" s="311">
        <f>IFERROR(IF(D17="","",INDEX(Tabla_Completa,MATCH('Soli_citud '!D17,Materiales,0),7)*S17),"")</f>
        <v>0</v>
      </c>
      <c r="X17" s="311"/>
      <c r="Y17" s="311"/>
    </row>
    <row r="18" spans="1:25" ht="15.75" customHeight="1">
      <c r="A18" s="298" t="s">
        <v>232</v>
      </c>
      <c r="B18" s="299"/>
      <c r="C18" s="300"/>
      <c r="D18" s="390" t="s">
        <v>347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Cono</v>
      </c>
      <c r="P18" s="305"/>
      <c r="Q18" s="306">
        <v>10</v>
      </c>
      <c r="R18" s="307"/>
      <c r="S18" s="308">
        <f t="shared" si="1"/>
        <v>0</v>
      </c>
      <c r="T18" s="309"/>
      <c r="U18" s="310" t="s">
        <v>1339</v>
      </c>
      <c r="V18" s="310"/>
      <c r="W18" s="311">
        <f>IFERROR(IF(D18="","",INDEX(Tabla_Completa,MATCH('Soli_citud '!D18,Materiales,0),7)*S18),"")</f>
        <v>0</v>
      </c>
      <c r="X18" s="311"/>
      <c r="Y18" s="311"/>
    </row>
    <row r="19" spans="1:25" ht="15.75">
      <c r="A19" s="298" t="s">
        <v>232</v>
      </c>
      <c r="B19" s="299"/>
      <c r="C19" s="300"/>
      <c r="D19" s="301" t="s">
        <v>382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cm2</v>
      </c>
      <c r="P19" s="305"/>
      <c r="Q19" s="306">
        <v>100</v>
      </c>
      <c r="R19" s="307"/>
      <c r="S19" s="308">
        <f t="shared" si="1"/>
        <v>0</v>
      </c>
      <c r="T19" s="309"/>
      <c r="U19" s="310"/>
      <c r="V19" s="310"/>
      <c r="W19" s="311">
        <f>IFERROR(IF(D19="","",INDEX(Tabla_Completa,MATCH('Soli_citud '!D19,Materiales,0),7)*S19),"")</f>
        <v>0</v>
      </c>
      <c r="X19" s="311"/>
      <c r="Y19" s="311"/>
    </row>
    <row r="20" spans="1:25" ht="15.75">
      <c r="A20" s="298" t="s">
        <v>232</v>
      </c>
      <c r="B20" s="299"/>
      <c r="C20" s="300"/>
      <c r="D20" s="301" t="s">
        <v>433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>cm2</v>
      </c>
      <c r="P20" s="305"/>
      <c r="Q20" s="306">
        <v>280</v>
      </c>
      <c r="R20" s="307"/>
      <c r="S20" s="308">
        <f t="shared" si="1"/>
        <v>0</v>
      </c>
      <c r="T20" s="309"/>
      <c r="U20" s="310"/>
      <c r="V20" s="310"/>
      <c r="W20" s="311">
        <f>IFERROR(IF(D20="","",INDEX(Tabla_Completa,MATCH('Soli_citud '!D20,Materiales,0),7)*S20),"")</f>
        <v>0</v>
      </c>
      <c r="X20" s="311"/>
      <c r="Y20" s="311"/>
    </row>
    <row r="21" spans="1:25" ht="15.75">
      <c r="A21" s="298" t="s">
        <v>232</v>
      </c>
      <c r="B21" s="299"/>
      <c r="C21" s="300"/>
      <c r="D21" s="301" t="s">
        <v>451</v>
      </c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>cm2</v>
      </c>
      <c r="P21" s="305"/>
      <c r="Q21" s="306">
        <v>200</v>
      </c>
      <c r="R21" s="307"/>
      <c r="S21" s="308">
        <f t="shared" si="1"/>
        <v>0</v>
      </c>
      <c r="T21" s="309"/>
      <c r="U21" s="310"/>
      <c r="V21" s="310"/>
      <c r="W21" s="311">
        <f>IFERROR(IF(D21="","",INDEX(Tabla_Completa,MATCH('Soli_citud '!D21,Materiales,0),7)*S21),"")</f>
        <v>0</v>
      </c>
      <c r="X21" s="311"/>
      <c r="Y21" s="311"/>
    </row>
    <row r="22" spans="1:25" ht="15.75">
      <c r="A22" s="298" t="s">
        <v>50</v>
      </c>
      <c r="B22" s="299"/>
      <c r="C22" s="300"/>
      <c r="D22" s="301" t="s">
        <v>904</v>
      </c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>cm2</v>
      </c>
      <c r="P22" s="305"/>
      <c r="Q22" s="306">
        <v>500</v>
      </c>
      <c r="R22" s="307"/>
      <c r="S22" s="308">
        <f t="shared" si="1"/>
        <v>0</v>
      </c>
      <c r="T22" s="309"/>
      <c r="U22" s="310"/>
      <c r="V22" s="310"/>
      <c r="W22" s="311">
        <f>IFERROR(IF(D22="","",INDEX(Tabla_Completa,MATCH('Soli_citud '!D22,Materiales,0),7)*S22),"")</f>
        <v>0</v>
      </c>
      <c r="X22" s="311"/>
      <c r="Y22" s="311"/>
    </row>
    <row r="23" spans="1:25" ht="15.75">
      <c r="A23" s="298" t="s">
        <v>50</v>
      </c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L24" sqref="L24:M2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 t="str">
        <f>IF('Soli_citud '!O1="","",'Soli_citud '!O1)</f>
        <v/>
      </c>
      <c r="O1" s="489"/>
      <c r="P1" s="427" t="s">
        <v>55</v>
      </c>
      <c r="Q1" s="428"/>
      <c r="R1" s="433" t="str">
        <f>IF('Soli_citud '!D4="","",'Soli_citud '!D4)</f>
        <v/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/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2916300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 t="str">
        <f>IF('Soli_citud '!D5&lt;= 0,"",'Soli_citud '!D5)</f>
        <v/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/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07" t="str">
        <f>IFERROR(IF('Soli_citud '!D10="","",'Soli_citud '!D10),"")</f>
        <v>NAPPA</v>
      </c>
      <c r="D12" s="407"/>
      <c r="E12" s="407"/>
      <c r="F12" s="407"/>
      <c r="G12" s="213" t="str">
        <f>IF('Soli_citud '!O10="","",'Soli_citud '!O10)</f>
        <v>dm2</v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07" t="str">
        <f>IFERROR(IF('Soli_citud '!D11="","",'Soli_citud '!D11),"")</f>
        <v>AGUJA CORTA CABO GRUESO 110</v>
      </c>
      <c r="D13" s="407"/>
      <c r="E13" s="407"/>
      <c r="F13" s="407"/>
      <c r="G13" s="213" t="str">
        <f>IF('Soli_citud '!O11="","",'Soli_citud '!O11)</f>
        <v>U</v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7" t="str">
        <f>IFERROR(IF('Soli_citud '!D12="","",'Soli_citud '!D12),"")</f>
        <v>AGUJA LARGA CABO GRUESO 120</v>
      </c>
      <c r="D14" s="407"/>
      <c r="E14" s="407"/>
      <c r="F14" s="407"/>
      <c r="G14" s="213" t="str">
        <f>IF('Soli_citud '!O12="","",'Soli_citud '!O12)</f>
        <v>U</v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7" t="str">
        <f>IFERROR(IF('Soli_citud '!D13="","",'Soli_citud '!D13),"")</f>
        <v xml:space="preserve">CARTULINA PLANA </v>
      </c>
      <c r="D15" s="407"/>
      <c r="E15" s="407"/>
      <c r="F15" s="407"/>
      <c r="G15" s="213" t="str">
        <f>IF('Soli_citud '!O13="","",'Soli_citud '!O13)</f>
        <v>Pliego</v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IFERROR(IF('Soli_citud '!D14="","",'Soli_citud '!D14),"")</f>
        <v>CINTA DE ENMASCARAR  2 "</v>
      </c>
      <c r="D16" s="407"/>
      <c r="E16" s="407"/>
      <c r="F16" s="407"/>
      <c r="G16" s="213" t="str">
        <f>IF('Soli_citud '!O14="","",'Soli_citud '!O14)</f>
        <v>U</v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 xml:space="preserve">PEGANTE CEMENTO DE CONTACTO BASE CLOROPRENO
</v>
      </c>
      <c r="D17" s="407"/>
      <c r="E17" s="407"/>
      <c r="F17" s="407"/>
      <c r="G17" s="213" t="str">
        <f>IF('Soli_citud '!O15="","",'Soli_citud '!O15)</f>
        <v>ml</v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 xml:space="preserve">LLAVE METÁLICA DE LUJO DESLIZADOR   #6 PARA CREMALLERA - NÍQUEL </v>
      </c>
      <c r="D18" s="407"/>
      <c r="E18" s="407"/>
      <c r="F18" s="407"/>
      <c r="G18" s="213" t="str">
        <f>IF('Soli_citud '!O16="","",'Soli_citud '!O16)</f>
        <v>U</v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 t="s">
        <v>1389</v>
      </c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>CREMALLERA POLIÉSTER #6</v>
      </c>
      <c r="D19" s="407"/>
      <c r="E19" s="407"/>
      <c r="F19" s="407"/>
      <c r="G19" s="213" t="str">
        <f>IF('Soli_citud '!O17="","",'Soli_citud '!O17)</f>
        <v>cm</v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 xml:space="preserve">HILO NYLON #20
</v>
      </c>
      <c r="D20" s="407"/>
      <c r="E20" s="407"/>
      <c r="F20" s="407"/>
      <c r="G20" s="213" t="str">
        <f>IF('Soli_citud '!O18="","",'Soli_citud '!O18)</f>
        <v>Cono</v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>ODENA 1,5 mm</v>
      </c>
      <c r="D21" s="407"/>
      <c r="E21" s="407"/>
      <c r="F21" s="407"/>
      <c r="G21" s="213" t="str">
        <f>IF('Soli_citud '!O19="","",'Soli_citud '!O19)</f>
        <v>cm2</v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>SALPA 0.8mm</v>
      </c>
      <c r="D22" s="407"/>
      <c r="E22" s="407"/>
      <c r="F22" s="407"/>
      <c r="G22" s="213" t="str">
        <f>IF('Soli_citud '!O20="","",'Soli_citud '!O20)</f>
        <v>cm2</v>
      </c>
      <c r="H22" s="213" t="str" cm="1">
        <f t="array" ref="H22">_xlfn.IFS('Soli_citud '!S20="","",'Soli_citud '!S20&lt;=0,"",'Soli_citud '!S20&gt;0,'Soli_citud '!S20)</f>
        <v/>
      </c>
      <c r="I22" s="214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>YUMBOLON 4mm (CM²)</v>
      </c>
      <c r="D23" s="407"/>
      <c r="E23" s="407"/>
      <c r="F23" s="407"/>
      <c r="G23" s="213" t="str">
        <f>IF('Soli_citud '!O21="","",'Soli_citud '!O21)</f>
        <v>cm2</v>
      </c>
      <c r="H23" s="213" t="str" cm="1">
        <f t="array" ref="H23">_xlfn.IFS('Soli_citud '!S21="","",'Soli_citud '!S21&lt;=0,"",'Soli_citud '!S21&gt;0,'Soli_citud '!S21)</f>
        <v/>
      </c>
      <c r="I23" s="214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>INTERLON</v>
      </c>
      <c r="D24" s="407"/>
      <c r="E24" s="407"/>
      <c r="F24" s="407"/>
      <c r="G24" s="213" t="str">
        <f>IF('Soli_citud '!O22="","",'Soli_citud '!O22)</f>
        <v>cm2</v>
      </c>
      <c r="H24" s="213" t="str" cm="1">
        <f t="array" ref="H24">_xlfn.IFS('Soli_citud '!S22="","",'Soli_citud '!S22&lt;=0,"",'Soli_citud '!S22&gt;0,'Soli_citud '!S22)</f>
        <v/>
      </c>
      <c r="I24" s="214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2025-06-05T20:58:22Z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2025-05-20T02:33:24Z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e5390bca-bfbb-49d9-97a1-ab6802c6a052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