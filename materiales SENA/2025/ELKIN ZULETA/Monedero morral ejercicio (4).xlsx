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LKIN ZULETA\"/>
    </mc:Choice>
  </mc:AlternateContent>
  <xr:revisionPtr revIDLastSave="0" documentId="13_ncr:1_{3A29AB20-8890-4B10-8AA1-932AF6DAF695}" xr6:coauthVersionLast="36" xr6:coauthVersionMax="47" xr10:uidLastSave="{00000000-0000-0000-0000-000000000000}"/>
  <bookViews>
    <workbookView xWindow="0" yWindow="0" windowWidth="15360" windowHeight="7125" tabRatio="682" xr2:uid="{00000000-000D-0000-FFFF-FFFF00000000}"/>
  </bookViews>
  <sheets>
    <sheet name="Soli_citud " sheetId="43" r:id="rId1"/>
    <sheet name="Entrega de Pedido" sheetId="61" r:id="rId2"/>
    <sheet name="BD" sheetId="38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58" i="38" l="1"/>
  <c r="G731" i="38"/>
  <c r="O10" i="43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 s="1"/>
  <c r="P16" i="61" a="1"/>
  <c r="P16" i="61" s="1"/>
  <c r="P17" i="61" a="1"/>
  <c r="P17" i="61" s="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J662" i="38" s="1"/>
  <c r="A663" i="38"/>
  <c r="A664" i="38" s="1"/>
  <c r="A665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5" i="38"/>
  <c r="G985" i="38"/>
  <c r="G710" i="38"/>
  <c r="G986" i="38"/>
  <c r="G709" i="38"/>
  <c r="G707" i="38"/>
  <c r="G711" i="38"/>
  <c r="G1059" i="38"/>
  <c r="G1060" i="38"/>
  <c r="G1009" i="38"/>
  <c r="G1057" i="38"/>
  <c r="G1058" i="38"/>
  <c r="G727" i="38"/>
  <c r="G728" i="38"/>
  <c r="G914" i="38"/>
  <c r="G913" i="38"/>
  <c r="G741" i="38"/>
  <c r="G740" i="38"/>
  <c r="G744" i="38"/>
  <c r="G745" i="38"/>
  <c r="G735" i="38"/>
  <c r="G736" i="38"/>
  <c r="G737" i="38"/>
  <c r="G733" i="38"/>
  <c r="G732" i="38"/>
  <c r="G743" i="38"/>
  <c r="G739" i="38"/>
  <c r="G988" i="38"/>
  <c r="G738" i="38"/>
  <c r="G742" i="38"/>
  <c r="G734" i="38"/>
  <c r="G994" i="38"/>
  <c r="G973" i="38"/>
  <c r="G972" i="38"/>
  <c r="G976" i="38"/>
  <c r="G960" i="38"/>
  <c r="G962" i="38"/>
  <c r="G961" i="38"/>
  <c r="G959" i="38"/>
  <c r="G790" i="38"/>
  <c r="G793" i="38"/>
  <c r="G791" i="38"/>
  <c r="G794" i="38"/>
  <c r="G792" i="38"/>
  <c r="G755" i="38"/>
  <c r="G754" i="38"/>
  <c r="G753" i="38"/>
  <c r="G749" i="38"/>
  <c r="G748" i="38"/>
  <c r="G1010" i="38"/>
  <c r="G751" i="38"/>
  <c r="G750" i="38"/>
  <c r="G752" i="38"/>
  <c r="G1011" i="38"/>
  <c r="G1012" i="38"/>
  <c r="G1013" i="38"/>
  <c r="G977" i="38"/>
  <c r="G989" i="38"/>
  <c r="G1015" i="38"/>
  <c r="G1017" i="38"/>
  <c r="G1016" i="38"/>
  <c r="G1014" i="38"/>
  <c r="G993" i="38"/>
  <c r="G990" i="38"/>
  <c r="G1081" i="38"/>
  <c r="G964" i="38"/>
  <c r="G965" i="38"/>
  <c r="G992" i="38"/>
  <c r="G969" i="38"/>
  <c r="G963" i="38"/>
  <c r="G981" i="38"/>
  <c r="G991" i="38"/>
  <c r="G983" i="38"/>
  <c r="G967" i="38"/>
  <c r="G982" i="38"/>
  <c r="G966" i="38"/>
  <c r="G978" i="38"/>
  <c r="G968" i="38"/>
  <c r="G980" i="38"/>
  <c r="G971" i="38"/>
  <c r="G979" i="38"/>
  <c r="G970" i="38"/>
  <c r="G716" i="38"/>
  <c r="G987" i="38"/>
  <c r="G984" i="38"/>
  <c r="G975" i="38"/>
  <c r="G718" i="38"/>
  <c r="G719" i="38"/>
  <c r="G717" i="38"/>
  <c r="G1004" i="38"/>
  <c r="G1003" i="38"/>
  <c r="G1006" i="38"/>
  <c r="G1005" i="38"/>
  <c r="G1002" i="38"/>
  <c r="G1001" i="38"/>
  <c r="G1000" i="38"/>
  <c r="G999" i="38"/>
  <c r="G1008" i="38"/>
  <c r="G1007" i="38"/>
  <c r="G995" i="38"/>
  <c r="G998" i="38"/>
  <c r="G997" i="38"/>
  <c r="G996" i="38"/>
  <c r="G1025" i="38"/>
  <c r="G1031" i="38"/>
  <c r="G1029" i="38"/>
  <c r="G1027" i="38"/>
  <c r="G1024" i="38"/>
  <c r="G1022" i="38"/>
  <c r="G1020" i="38"/>
  <c r="G974" i="38"/>
  <c r="G726" i="38"/>
  <c r="G720" i="38"/>
  <c r="G724" i="38"/>
  <c r="G723" i="38"/>
  <c r="G722" i="38"/>
  <c r="G721" i="38"/>
  <c r="G725" i="38"/>
  <c r="G1018" i="38"/>
  <c r="G1030" i="38"/>
  <c r="G1028" i="38"/>
  <c r="G1026" i="38"/>
  <c r="G1023" i="38"/>
  <c r="G1021" i="38"/>
  <c r="G1019" i="38"/>
  <c r="G1043" i="38"/>
  <c r="G880" i="38"/>
  <c r="G878" i="38"/>
  <c r="G1040" i="38"/>
  <c r="G1037" i="38"/>
  <c r="G1041" i="38"/>
  <c r="G1038" i="38"/>
  <c r="G1034" i="38"/>
  <c r="G1042" i="38"/>
  <c r="G1039" i="38"/>
  <c r="G1035" i="38"/>
  <c r="G1036" i="38"/>
  <c r="G1033" i="38"/>
  <c r="G1032" i="38"/>
  <c r="G1046" i="38"/>
  <c r="G1047" i="38"/>
  <c r="G1049" i="38"/>
  <c r="G1048" i="38"/>
  <c r="G1044" i="38"/>
  <c r="G879" i="38"/>
  <c r="G944" i="38"/>
  <c r="G942" i="38"/>
  <c r="G943" i="38"/>
  <c r="G941" i="38"/>
  <c r="G955" i="38"/>
  <c r="G956" i="38"/>
  <c r="G948" i="38"/>
  <c r="G953" i="38"/>
  <c r="G952" i="38"/>
  <c r="G949" i="38"/>
  <c r="G945" i="38"/>
  <c r="G947" i="38"/>
  <c r="G957" i="38"/>
  <c r="G950" i="38"/>
  <c r="G951" i="38"/>
  <c r="G670" i="38"/>
  <c r="G675" i="38"/>
  <c r="G672" i="38"/>
  <c r="G673" i="38"/>
  <c r="G674" i="38"/>
  <c r="G671" i="38"/>
  <c r="G954" i="38"/>
  <c r="G958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5" i="38"/>
  <c r="G712" i="38"/>
  <c r="G714" i="38"/>
  <c r="G713" i="38"/>
  <c r="G715" i="38"/>
  <c r="G906" i="38"/>
  <c r="G903" i="38"/>
  <c r="G905" i="38"/>
  <c r="G904" i="38"/>
  <c r="G892" i="38"/>
  <c r="G894" i="38"/>
  <c r="G893" i="38"/>
  <c r="G896" i="38"/>
  <c r="G908" i="38"/>
  <c r="G911" i="38"/>
  <c r="G907" i="38"/>
  <c r="G902" i="38"/>
  <c r="G901" i="38"/>
  <c r="G891" i="38"/>
  <c r="G884" i="38"/>
  <c r="G898" i="38"/>
  <c r="G900" i="38"/>
  <c r="G899" i="38"/>
  <c r="G910" i="38"/>
  <c r="G887" i="38"/>
  <c r="G890" i="38"/>
  <c r="G888" i="38"/>
  <c r="G897" i="38"/>
  <c r="G895" i="38"/>
  <c r="G909" i="38"/>
  <c r="G885" i="38"/>
  <c r="G889" i="38"/>
  <c r="G886" i="38"/>
  <c r="G881" i="38"/>
  <c r="G882" i="38"/>
  <c r="G883" i="38"/>
  <c r="G1065" i="38"/>
  <c r="G1062" i="38"/>
  <c r="G1063" i="38"/>
  <c r="G1064" i="38"/>
  <c r="G1061" i="38"/>
  <c r="G801" i="38"/>
  <c r="G800" i="38"/>
  <c r="G803" i="38"/>
  <c r="G802" i="38"/>
  <c r="G804" i="38"/>
  <c r="G806" i="38"/>
  <c r="G805" i="38"/>
  <c r="G807" i="38"/>
  <c r="G813" i="38"/>
  <c r="G818" i="38"/>
  <c r="G817" i="38"/>
  <c r="G816" i="38"/>
  <c r="G820" i="38"/>
  <c r="G814" i="38"/>
  <c r="G815" i="38"/>
  <c r="G819" i="38"/>
  <c r="G809" i="38"/>
  <c r="G810" i="38"/>
  <c r="G811" i="38"/>
  <c r="G812" i="38"/>
  <c r="G808" i="38"/>
  <c r="G825" i="38"/>
  <c r="G822" i="38"/>
  <c r="G824" i="38"/>
  <c r="G823" i="38"/>
  <c r="G821" i="38"/>
  <c r="G872" i="38"/>
  <c r="G873" i="38"/>
  <c r="G874" i="38"/>
  <c r="G875" i="38"/>
  <c r="G876" i="38"/>
  <c r="G863" i="38"/>
  <c r="G857" i="38"/>
  <c r="G858" i="38"/>
  <c r="G860" i="38"/>
  <c r="G862" i="38"/>
  <c r="G861" i="38"/>
  <c r="G855" i="38"/>
  <c r="G854" i="38"/>
  <c r="G859" i="38"/>
  <c r="G851" i="38"/>
  <c r="G853" i="38"/>
  <c r="G852" i="38"/>
  <c r="G856" i="38"/>
  <c r="G868" i="38"/>
  <c r="G869" i="38"/>
  <c r="G864" i="38"/>
  <c r="G865" i="38"/>
  <c r="G866" i="38"/>
  <c r="G867" i="38"/>
  <c r="G870" i="38"/>
  <c r="G871" i="38"/>
  <c r="G828" i="38"/>
  <c r="G837" i="38"/>
  <c r="G831" i="38"/>
  <c r="G842" i="38"/>
  <c r="G834" i="38"/>
  <c r="G840" i="38"/>
  <c r="G841" i="38"/>
  <c r="G830" i="38"/>
  <c r="G839" i="38"/>
  <c r="G833" i="38"/>
  <c r="G844" i="38"/>
  <c r="G849" i="38"/>
  <c r="G829" i="38"/>
  <c r="G838" i="38"/>
  <c r="G832" i="38"/>
  <c r="G843" i="38"/>
  <c r="G848" i="38"/>
  <c r="G836" i="38"/>
  <c r="G835" i="38"/>
  <c r="G845" i="38"/>
  <c r="G847" i="38"/>
  <c r="G846" i="38"/>
  <c r="G827" i="38"/>
  <c r="G826" i="38"/>
  <c r="G850" i="38"/>
  <c r="G877" i="38"/>
  <c r="G730" i="38"/>
  <c r="G729" i="38"/>
  <c r="G775" i="38"/>
  <c r="G776" i="38"/>
  <c r="G779" i="38"/>
  <c r="G781" i="38"/>
  <c r="G778" i="38"/>
  <c r="G774" i="38"/>
  <c r="G773" i="38"/>
  <c r="G777" i="38"/>
  <c r="G780" i="38"/>
  <c r="G763" i="38"/>
  <c r="G759" i="38"/>
  <c r="G766" i="38"/>
  <c r="G762" i="38"/>
  <c r="G758" i="38"/>
  <c r="G765" i="38"/>
  <c r="G769" i="38"/>
  <c r="G768" i="38"/>
  <c r="G764" i="38"/>
  <c r="G761" i="38"/>
  <c r="G757" i="38"/>
  <c r="G760" i="38"/>
  <c r="G756" i="38"/>
  <c r="G676" i="38"/>
  <c r="G1072" i="38"/>
  <c r="G1069" i="38"/>
  <c r="G1079" i="38"/>
  <c r="G1078" i="38"/>
  <c r="G1080" i="38"/>
  <c r="G1077" i="38"/>
  <c r="G1073" i="38"/>
  <c r="G1070" i="38"/>
  <c r="G1071" i="38"/>
  <c r="G1068" i="38"/>
  <c r="G1076" i="38"/>
  <c r="G1074" i="38"/>
  <c r="G1075" i="38"/>
  <c r="G1067" i="38"/>
  <c r="G1066" i="38"/>
  <c r="G939" i="38"/>
  <c r="G938" i="38"/>
  <c r="G940" i="38"/>
  <c r="G946" i="38"/>
  <c r="G1050" i="38"/>
  <c r="G679" i="38"/>
  <c r="G682" i="38"/>
  <c r="G692" i="38"/>
  <c r="G918" i="38"/>
  <c r="G917" i="38"/>
  <c r="G683" i="38"/>
  <c r="G772" i="38"/>
  <c r="G771" i="38"/>
  <c r="G770" i="38"/>
  <c r="G767" i="38"/>
  <c r="G701" i="38"/>
  <c r="G1053" i="38"/>
  <c r="G1054" i="38"/>
  <c r="G684" i="38"/>
  <c r="G702" i="38"/>
  <c r="G1052" i="38"/>
  <c r="G693" i="38"/>
  <c r="G1051" i="38"/>
  <c r="G795" i="38"/>
  <c r="G796" i="38"/>
  <c r="G699" i="38"/>
  <c r="G797" i="38"/>
  <c r="G663" i="38"/>
  <c r="G798" i="38"/>
  <c r="G799" i="38"/>
  <c r="G667" i="38"/>
  <c r="G668" i="38"/>
  <c r="G665" i="38"/>
  <c r="G666" i="38"/>
  <c r="G669" i="38"/>
  <c r="G664" i="38"/>
  <c r="G662" i="38"/>
  <c r="G661" i="38"/>
  <c r="G912" i="38"/>
  <c r="G695" i="38"/>
  <c r="G696" i="38"/>
  <c r="G697" i="38"/>
  <c r="G698" i="38"/>
  <c r="G694" i="38"/>
  <c r="G700" i="38"/>
  <c r="G932" i="38"/>
  <c r="G935" i="38"/>
  <c r="G936" i="38"/>
  <c r="G927" i="38"/>
  <c r="G933" i="38"/>
  <c r="G934" i="38"/>
  <c r="G929" i="38"/>
  <c r="G937" i="38"/>
  <c r="G928" i="38"/>
  <c r="G930" i="38"/>
  <c r="G931" i="38"/>
  <c r="G923" i="38"/>
  <c r="G922" i="38"/>
  <c r="G920" i="38"/>
  <c r="G921" i="38"/>
  <c r="G919" i="38"/>
  <c r="G924" i="38"/>
  <c r="G925" i="38"/>
  <c r="G926" i="38"/>
  <c r="G782" i="38"/>
  <c r="G786" i="38"/>
  <c r="G787" i="38"/>
  <c r="G785" i="38"/>
  <c r="G783" i="38"/>
  <c r="G784" i="38"/>
  <c r="G789" i="38"/>
  <c r="G788" i="38"/>
  <c r="G746" i="38"/>
  <c r="G747" i="38"/>
  <c r="G1056" i="38"/>
  <c r="G1055" i="38"/>
  <c r="G706" i="38"/>
  <c r="G705" i="38"/>
  <c r="G703" i="38"/>
  <c r="G704" i="38"/>
  <c r="G916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663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245" i="38"/>
  <c r="A1430" i="38"/>
  <c r="J1429" i="38"/>
  <c r="A74" i="38"/>
  <c r="J73" i="38"/>
  <c r="A1198" i="38"/>
  <c r="J1197" i="38"/>
  <c r="A1340" i="38"/>
  <c r="J133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247" i="38"/>
  <c r="J75" i="38"/>
  <c r="A76" i="38"/>
  <c r="A1432" i="38"/>
  <c r="J1431" i="38"/>
  <c r="J1297" i="38"/>
  <c r="A1203" i="38"/>
  <c r="J1202" i="38"/>
  <c r="A1342" i="38"/>
  <c r="J1341" i="38"/>
  <c r="J248" i="38"/>
  <c r="A1433" i="38"/>
  <c r="J1432" i="38"/>
  <c r="A77" i="38"/>
  <c r="J76" i="38"/>
  <c r="A1204" i="38"/>
  <c r="J1203" i="38"/>
  <c r="J1298" i="38"/>
  <c r="A1343" i="38"/>
  <c r="J134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259" i="38"/>
  <c r="A1436" i="38"/>
  <c r="J1435" i="38"/>
  <c r="A80" i="38"/>
  <c r="J79" i="38"/>
  <c r="J1305" i="38"/>
  <c r="A1207" i="38"/>
  <c r="J1206" i="38"/>
  <c r="A1346" i="38"/>
  <c r="J1345" i="38"/>
  <c r="J261" i="38"/>
  <c r="J260" i="38"/>
  <c r="A81" i="38"/>
  <c r="J80" i="38"/>
  <c r="A1437" i="38"/>
  <c r="J1436" i="38"/>
  <c r="J1306" i="38"/>
  <c r="A1208" i="38"/>
  <c r="A1209" i="38"/>
  <c r="J1207" i="38"/>
  <c r="A1347" i="38"/>
  <c r="J134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A1446" i="38"/>
  <c r="J1445" i="38"/>
  <c r="A90" i="38"/>
  <c r="J89" i="38"/>
  <c r="A621" i="38"/>
  <c r="J620" i="38"/>
  <c r="J1285" i="38"/>
  <c r="J1186" i="38"/>
  <c r="A1356" i="38"/>
  <c r="J1355" i="38"/>
  <c r="J270" i="38"/>
  <c r="J90" i="38"/>
  <c r="A91" i="38"/>
  <c r="J1446" i="38"/>
  <c r="A1447" i="38"/>
  <c r="A622" i="38"/>
  <c r="J621" i="38"/>
  <c r="J1288" i="38"/>
  <c r="J1199" i="38"/>
  <c r="A1357" i="38"/>
  <c r="J1356" i="38"/>
  <c r="J271" i="38"/>
  <c r="A1448" i="38"/>
  <c r="J1447" i="38"/>
  <c r="A92" i="38"/>
  <c r="J91" i="38"/>
  <c r="A623" i="38"/>
  <c r="J622" i="38"/>
  <c r="J1286" i="38"/>
  <c r="J1217" i="38"/>
  <c r="A1358" i="38"/>
  <c r="J1357" i="38"/>
  <c r="J272" i="38"/>
  <c r="A1449" i="38"/>
  <c r="J1448" i="38"/>
  <c r="A93" i="38"/>
  <c r="J92" i="38"/>
  <c r="A624" i="38"/>
  <c r="J623" i="38"/>
  <c r="J1293" i="38"/>
  <c r="J1182" i="38"/>
  <c r="J1358" i="38"/>
  <c r="J273" i="38"/>
  <c r="A1450" i="38"/>
  <c r="J1449" i="38"/>
  <c r="A94" i="38"/>
  <c r="J93" i="38"/>
  <c r="A625" i="38"/>
  <c r="J624" i="38"/>
  <c r="J1229" i="38"/>
  <c r="J274" i="38"/>
  <c r="A95" i="38"/>
  <c r="J94" i="38"/>
  <c r="A1451" i="38"/>
  <c r="J1450" i="38"/>
  <c r="A626" i="38"/>
  <c r="J625" i="38"/>
  <c r="J1296" i="38"/>
  <c r="J1228" i="38"/>
  <c r="J275" i="38"/>
  <c r="A96" i="38"/>
  <c r="J95" i="38"/>
  <c r="A1452" i="38"/>
  <c r="J1451" i="38"/>
  <c r="A627" i="38"/>
  <c r="J626" i="38"/>
  <c r="J1295" i="38"/>
  <c r="J1294" i="38"/>
  <c r="J1227" i="38"/>
  <c r="J276" i="38"/>
  <c r="A97" i="38"/>
  <c r="J96" i="38"/>
  <c r="A1453" i="38"/>
  <c r="J1452" i="38"/>
  <c r="A628" i="38"/>
  <c r="J627" i="38"/>
  <c r="A1120" i="38"/>
  <c r="J1299" i="38"/>
  <c r="J1212" i="38"/>
  <c r="J277" i="38"/>
  <c r="A1454" i="38"/>
  <c r="J1453" i="38"/>
  <c r="A98" i="38"/>
  <c r="J97" i="38"/>
  <c r="A629" i="38"/>
  <c r="J628" i="38"/>
  <c r="A1121" i="38"/>
  <c r="J1120" i="38"/>
  <c r="J1300" i="38"/>
  <c r="J1211" i="38"/>
  <c r="J278" i="38"/>
  <c r="J98" i="38"/>
  <c r="A99" i="38"/>
  <c r="A1455" i="38"/>
  <c r="J1454" i="38"/>
  <c r="J629" i="38"/>
  <c r="A630" i="38"/>
  <c r="A1122" i="38"/>
  <c r="J1121" i="38"/>
  <c r="J1303" i="38"/>
  <c r="J1201" i="38"/>
  <c r="J279" i="38"/>
  <c r="J99" i="38"/>
  <c r="A100" i="38"/>
  <c r="A1456" i="38"/>
  <c r="J1455" i="38"/>
  <c r="A631" i="38"/>
  <c r="J630" i="38"/>
  <c r="A1123" i="38"/>
  <c r="J1122" i="38"/>
  <c r="J1200" i="38"/>
  <c r="J280" i="38"/>
  <c r="A101" i="38"/>
  <c r="J100" i="38"/>
  <c r="A1457" i="38"/>
  <c r="J1456" i="38"/>
  <c r="A632" i="38"/>
  <c r="J631" i="38"/>
  <c r="A1124" i="38"/>
  <c r="J1123" i="38"/>
  <c r="J1185" i="38"/>
  <c r="J232" i="38"/>
  <c r="A1458" i="38"/>
  <c r="J1457" i="38"/>
  <c r="A102" i="38"/>
  <c r="J101" i="38"/>
  <c r="A633" i="38"/>
  <c r="J632" i="38"/>
  <c r="A1125" i="38"/>
  <c r="A1126" i="38"/>
  <c r="J1124" i="38"/>
  <c r="J1190" i="38"/>
  <c r="J233" i="38"/>
  <c r="A103" i="38"/>
  <c r="J102" i="38"/>
  <c r="A1459" i="38"/>
  <c r="J1458" i="38"/>
  <c r="A1127" i="38"/>
  <c r="J1126" i="38"/>
  <c r="A634" i="38"/>
  <c r="J633" i="38"/>
  <c r="J1125" i="38"/>
  <c r="J1188" i="38"/>
  <c r="J234" i="38"/>
  <c r="A104" i="38"/>
  <c r="J103" i="38"/>
  <c r="A1460" i="38"/>
  <c r="J1459" i="38"/>
  <c r="J1127" i="38"/>
  <c r="A1128" i="38"/>
  <c r="A635" i="38"/>
  <c r="J634" i="38"/>
  <c r="J1214" i="38"/>
  <c r="J235" i="38"/>
  <c r="A105" i="38"/>
  <c r="J104" i="38"/>
  <c r="A1461" i="38"/>
  <c r="J1460" i="38"/>
  <c r="A1129" i="38"/>
  <c r="J1128" i="38"/>
  <c r="J635" i="38"/>
  <c r="A636" i="38"/>
  <c r="J1184" i="38"/>
  <c r="J236" i="38"/>
  <c r="A106" i="38"/>
  <c r="J105" i="38"/>
  <c r="A1462" i="38"/>
  <c r="J1461" i="38"/>
  <c r="A1130" i="38"/>
  <c r="J1129" i="38"/>
  <c r="J636" i="38"/>
  <c r="A637" i="38"/>
  <c r="J1183" i="38"/>
  <c r="J237" i="38"/>
  <c r="A1463" i="38"/>
  <c r="J1462" i="38"/>
  <c r="J106" i="38"/>
  <c r="A107" i="38"/>
  <c r="J1130" i="38"/>
  <c r="A1131" i="38"/>
  <c r="A638" i="38"/>
  <c r="J638" i="38"/>
  <c r="J637" i="38"/>
  <c r="J1192" i="38"/>
  <c r="J238" i="38"/>
  <c r="J107" i="38"/>
  <c r="A108" i="38"/>
  <c r="A1464" i="38"/>
  <c r="J1463" i="38"/>
  <c r="A1132" i="38"/>
  <c r="J1131" i="38"/>
  <c r="J1223" i="38"/>
  <c r="J239" i="38"/>
  <c r="A1465" i="38"/>
  <c r="J1464" i="38"/>
  <c r="A109" i="38"/>
  <c r="J108" i="38"/>
  <c r="J1132" i="38"/>
  <c r="A1133" i="38"/>
  <c r="J1191" i="38"/>
  <c r="J249" i="38"/>
  <c r="A110" i="38"/>
  <c r="J109" i="38"/>
  <c r="A1466" i="38"/>
  <c r="J1465" i="38"/>
  <c r="A1134" i="38"/>
  <c r="J1133" i="38"/>
  <c r="J1193" i="38"/>
  <c r="J250" i="38"/>
  <c r="A1467" i="38"/>
  <c r="J1466" i="38"/>
  <c r="J110" i="38"/>
  <c r="A111" i="38"/>
  <c r="J1134" i="38"/>
  <c r="A1135" i="38"/>
  <c r="J1221" i="38"/>
  <c r="J251" i="38"/>
  <c r="A112" i="38"/>
  <c r="J111" i="38"/>
  <c r="A1468" i="38"/>
  <c r="J1467" i="38"/>
  <c r="A1136" i="38"/>
  <c r="J1135" i="38"/>
  <c r="J1222" i="38"/>
  <c r="J252" i="38"/>
  <c r="A113" i="38"/>
  <c r="J112" i="38"/>
  <c r="J1468" i="38"/>
  <c r="A1469" i="38"/>
  <c r="A1137" i="38"/>
  <c r="J1136" i="38"/>
  <c r="J1169" i="38"/>
  <c r="J253" i="38"/>
  <c r="A1470" i="38"/>
  <c r="J1469" i="38"/>
  <c r="A114" i="38"/>
  <c r="J113" i="38"/>
  <c r="J1137" i="38"/>
  <c r="A1138" i="38"/>
  <c r="J1170" i="38"/>
  <c r="J254" i="38"/>
  <c r="A1471" i="38"/>
  <c r="J1470" i="38"/>
  <c r="J114" i="38"/>
  <c r="A115" i="38"/>
  <c r="A1139" i="38"/>
  <c r="J1138" i="38"/>
  <c r="J1171" i="38"/>
  <c r="J255" i="38"/>
  <c r="A1472" i="38"/>
  <c r="J1471" i="38"/>
  <c r="J115" i="38"/>
  <c r="A116" i="38"/>
  <c r="J1139" i="38"/>
  <c r="A1140" i="38"/>
  <c r="J1172" i="38"/>
  <c r="J256" i="38"/>
  <c r="A117" i="38"/>
  <c r="J116" i="38"/>
  <c r="A1473" i="38"/>
  <c r="J1472" i="38"/>
  <c r="J1140" i="38"/>
  <c r="A1141" i="38"/>
  <c r="J1173" i="38"/>
  <c r="J281" i="38"/>
  <c r="A1474" i="38"/>
  <c r="J1473" i="38"/>
  <c r="A118" i="38"/>
  <c r="J117" i="38"/>
  <c r="J1141" i="38"/>
  <c r="A1142" i="38"/>
  <c r="J1174" i="38"/>
  <c r="J282" i="38"/>
  <c r="A119" i="38"/>
  <c r="J118" i="38"/>
  <c r="J1474" i="38"/>
  <c r="A1475" i="38"/>
  <c r="J1142" i="38"/>
  <c r="A1143" i="38"/>
  <c r="J1175" i="38"/>
  <c r="J283" i="38"/>
  <c r="J119" i="38"/>
  <c r="A120" i="38"/>
  <c r="A1476" i="38"/>
  <c r="J1475" i="38"/>
  <c r="A1144" i="38"/>
  <c r="J1143" i="38"/>
  <c r="J1177" i="38"/>
  <c r="J1178" i="38"/>
  <c r="J284" i="38"/>
  <c r="A1477" i="38"/>
  <c r="J1476" i="38"/>
  <c r="A121" i="38"/>
  <c r="J120" i="38"/>
  <c r="A1145" i="38"/>
  <c r="J1144" i="38"/>
  <c r="J285" i="38"/>
  <c r="A122" i="38"/>
  <c r="J121" i="38"/>
  <c r="A1478" i="38"/>
  <c r="J1477" i="38"/>
  <c r="A1146" i="38"/>
  <c r="J1145" i="38"/>
  <c r="J286" i="38"/>
  <c r="A1479" i="38"/>
  <c r="J1478" i="38"/>
  <c r="J122" i="38"/>
  <c r="A123" i="38"/>
  <c r="A1147" i="38"/>
  <c r="J1146" i="38"/>
  <c r="J287" i="38"/>
  <c r="A1480" i="38"/>
  <c r="J1479" i="38"/>
  <c r="A124" i="38"/>
  <c r="J123" i="38"/>
  <c r="J1147" i="38"/>
  <c r="A1148" i="38"/>
  <c r="J288" i="38"/>
  <c r="A1481" i="38"/>
  <c r="J1480" i="38"/>
  <c r="A125" i="38"/>
  <c r="J124" i="38"/>
  <c r="A1149" i="38"/>
  <c r="J1148" i="38"/>
  <c r="J294" i="38"/>
  <c r="A126" i="38"/>
  <c r="J125" i="38"/>
  <c r="A1482" i="38"/>
  <c r="J1481" i="38"/>
  <c r="A1150" i="38"/>
  <c r="J1149" i="38"/>
  <c r="J295" i="38"/>
  <c r="A1483" i="38"/>
  <c r="J1482" i="38"/>
  <c r="A127" i="38"/>
  <c r="J126" i="38"/>
  <c r="J1150" i="38"/>
  <c r="A1151" i="38"/>
  <c r="J1151" i="38"/>
  <c r="J296" i="38"/>
  <c r="A128" i="38"/>
  <c r="J127" i="38"/>
  <c r="A1484" i="38"/>
  <c r="J1483" i="38"/>
  <c r="J297" i="38"/>
  <c r="A129" i="38"/>
  <c r="J128" i="38"/>
  <c r="J1484" i="38"/>
  <c r="A1485" i="38"/>
  <c r="J298" i="38"/>
  <c r="A1486" i="38"/>
  <c r="J1485" i="38"/>
  <c r="A130" i="38"/>
  <c r="J129" i="38"/>
  <c r="J299" i="38"/>
  <c r="A1487" i="38"/>
  <c r="J1486" i="38"/>
  <c r="J130" i="38"/>
  <c r="A131" i="38"/>
  <c r="J300" i="38"/>
  <c r="J131" i="38"/>
  <c r="A132" i="38"/>
  <c r="A1488" i="38"/>
  <c r="J1487" i="38"/>
  <c r="J301" i="38"/>
  <c r="A1489" i="38"/>
  <c r="J1488" i="38"/>
  <c r="A133" i="38"/>
  <c r="J132" i="38"/>
  <c r="J302" i="38"/>
  <c r="A134" i="38"/>
  <c r="J133" i="38"/>
  <c r="A1490" i="38"/>
  <c r="J1489" i="38"/>
  <c r="J303" i="38"/>
  <c r="A135" i="38"/>
  <c r="J134" i="38"/>
  <c r="A1491" i="38"/>
  <c r="J1490" i="38"/>
  <c r="J304" i="38"/>
  <c r="J1491" i="38"/>
  <c r="A136" i="38"/>
  <c r="J135" i="38"/>
  <c r="J305" i="38"/>
  <c r="A137" i="38"/>
  <c r="J136" i="38"/>
  <c r="J306" i="38"/>
  <c r="A138" i="38"/>
  <c r="J137" i="38"/>
  <c r="J307" i="38"/>
  <c r="J138" i="38"/>
  <c r="A139" i="38"/>
  <c r="J308" i="38"/>
  <c r="J139" i="38"/>
  <c r="A140" i="38"/>
  <c r="J309" i="38"/>
  <c r="J140" i="38"/>
  <c r="A141" i="38"/>
  <c r="J310" i="38"/>
  <c r="A142" i="38"/>
  <c r="J141" i="38"/>
  <c r="J312" i="38"/>
  <c r="J311" i="38"/>
  <c r="A1492" i="38"/>
  <c r="J142" i="38"/>
  <c r="A143" i="38"/>
  <c r="J1492" i="38"/>
  <c r="A1493" i="38"/>
  <c r="A144" i="38"/>
  <c r="J143" i="38"/>
  <c r="A1494" i="38"/>
  <c r="J1493" i="38"/>
  <c r="A145" i="38"/>
  <c r="J144" i="38"/>
  <c r="J1494" i="38"/>
  <c r="A1495" i="38"/>
  <c r="A146" i="38"/>
  <c r="J145" i="38"/>
  <c r="A1496" i="38"/>
  <c r="J1495" i="38"/>
  <c r="J146" i="38"/>
  <c r="A147" i="38"/>
  <c r="J1496" i="38"/>
  <c r="A1497" i="38"/>
  <c r="J147" i="38"/>
  <c r="A148" i="38"/>
  <c r="A1498" i="38"/>
  <c r="J1497" i="38"/>
  <c r="A149" i="38"/>
  <c r="J148" i="38"/>
  <c r="A1499" i="38"/>
  <c r="J1499" i="38"/>
  <c r="J1498" i="38"/>
  <c r="A150" i="38"/>
  <c r="J149" i="38"/>
  <c r="A151" i="38"/>
  <c r="J150" i="38"/>
  <c r="J151" i="38"/>
  <c r="A152" i="38"/>
  <c r="A153" i="38"/>
  <c r="J152" i="38"/>
  <c r="A154" i="38"/>
  <c r="J153" i="38"/>
  <c r="J154" i="38"/>
  <c r="A155" i="38"/>
  <c r="A156" i="38"/>
  <c r="J155" i="38"/>
  <c r="A157" i="38"/>
  <c r="J156" i="38"/>
  <c r="A158" i="38"/>
  <c r="J157" i="38"/>
  <c r="A159" i="38"/>
  <c r="J158" i="38"/>
  <c r="A160" i="38"/>
  <c r="J159" i="38"/>
  <c r="A161" i="38"/>
  <c r="J160" i="38"/>
  <c r="A162" i="38"/>
  <c r="J161" i="38"/>
  <c r="J162" i="38"/>
  <c r="A163" i="38"/>
  <c r="J163" i="38"/>
  <c r="A164" i="38"/>
  <c r="A165" i="38"/>
  <c r="J164" i="38"/>
  <c r="A166" i="38"/>
  <c r="J165" i="38"/>
  <c r="A167" i="38"/>
  <c r="J166" i="38"/>
  <c r="A168" i="38"/>
  <c r="J167" i="38"/>
  <c r="A169" i="38"/>
  <c r="J169" i="38"/>
  <c r="J168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J665" i="38" l="1"/>
  <c r="A666" i="38"/>
  <c r="D5" i="43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A667" i="38" l="1"/>
  <c r="J666" i="38"/>
  <c r="O5" i="43"/>
  <c r="A668" i="38" l="1"/>
  <c r="J667" i="38"/>
  <c r="A669" i="38" l="1"/>
  <c r="J668" i="38"/>
  <c r="A670" i="38" l="1"/>
  <c r="J669" i="38"/>
  <c r="J670" i="38" l="1"/>
  <c r="A671" i="38"/>
  <c r="A672" i="38" l="1"/>
  <c r="J671" i="38"/>
  <c r="A673" i="38" l="1"/>
  <c r="J672" i="38"/>
  <c r="J673" i="38" l="1"/>
  <c r="A674" i="38"/>
  <c r="A675" i="38" l="1"/>
  <c r="J674" i="38"/>
  <c r="A676" i="38" l="1"/>
  <c r="J675" i="38"/>
  <c r="A677" i="38" l="1"/>
  <c r="J676" i="38"/>
  <c r="A678" i="38" l="1"/>
  <c r="J677" i="38"/>
  <c r="J678" i="38" l="1"/>
  <c r="A679" i="38"/>
  <c r="A680" i="38" l="1"/>
  <c r="J679" i="38"/>
  <c r="A681" i="38" l="1"/>
  <c r="J680" i="38"/>
  <c r="J681" i="38" l="1"/>
  <c r="A682" i="38"/>
  <c r="A683" i="38" l="1"/>
  <c r="J682" i="38"/>
  <c r="A684" i="38" l="1"/>
  <c r="J683" i="38"/>
  <c r="A685" i="38" l="1"/>
  <c r="J684" i="38"/>
  <c r="A686" i="38" l="1"/>
  <c r="J685" i="38"/>
  <c r="A687" i="38" l="1"/>
  <c r="J686" i="38"/>
  <c r="A688" i="38" l="1"/>
  <c r="J687" i="38"/>
  <c r="A689" i="38" l="1"/>
  <c r="J688" i="38"/>
  <c r="A690" i="38" l="1"/>
  <c r="J689" i="38"/>
  <c r="A691" i="38" l="1"/>
  <c r="J690" i="38"/>
  <c r="A692" i="38" l="1"/>
  <c r="J691" i="38"/>
  <c r="A693" i="38" l="1"/>
  <c r="J692" i="38"/>
  <c r="A694" i="38" l="1"/>
  <c r="J693" i="38"/>
  <c r="A695" i="38" l="1"/>
  <c r="J694" i="38"/>
  <c r="A696" i="38" l="1"/>
  <c r="J695" i="38"/>
  <c r="J696" i="38" l="1"/>
  <c r="A697" i="38"/>
  <c r="A698" i="38" l="1"/>
  <c r="J697" i="38"/>
  <c r="A699" i="38" l="1"/>
  <c r="J698" i="38"/>
  <c r="A700" i="38" l="1"/>
  <c r="J699" i="38"/>
  <c r="A701" i="38" l="1"/>
  <c r="J700" i="38"/>
  <c r="J701" i="38" l="1"/>
  <c r="A702" i="38"/>
  <c r="A703" i="38" l="1"/>
  <c r="J702" i="38"/>
  <c r="A704" i="38" l="1"/>
  <c r="J703" i="38"/>
  <c r="A705" i="38" l="1"/>
  <c r="J704" i="38"/>
  <c r="J705" i="38" l="1"/>
  <c r="A706" i="38"/>
  <c r="A707" i="38" l="1"/>
  <c r="J706" i="38"/>
  <c r="A708" i="38" l="1"/>
  <c r="J707" i="38"/>
  <c r="A709" i="38" l="1"/>
  <c r="J708" i="38"/>
  <c r="A710" i="38" l="1"/>
  <c r="J709" i="38"/>
  <c r="J710" i="38" l="1"/>
  <c r="A711" i="38"/>
  <c r="A712" i="38" l="1"/>
  <c r="J711" i="38"/>
  <c r="A713" i="38" l="1"/>
  <c r="J712" i="38"/>
  <c r="A714" i="38" l="1"/>
  <c r="J713" i="38"/>
  <c r="A715" i="38" l="1"/>
  <c r="J714" i="38"/>
  <c r="A716" i="38" l="1"/>
  <c r="J715" i="38"/>
  <c r="A717" i="38" l="1"/>
  <c r="J716" i="38"/>
  <c r="A718" i="38" l="1"/>
  <c r="J717" i="38"/>
  <c r="A719" i="38" l="1"/>
  <c r="J718" i="38"/>
  <c r="A720" i="38" l="1"/>
  <c r="J719" i="38"/>
  <c r="A721" i="38" l="1"/>
  <c r="J720" i="38"/>
  <c r="A722" i="38" l="1"/>
  <c r="J721" i="38"/>
  <c r="A723" i="38" l="1"/>
  <c r="J722" i="38"/>
  <c r="A724" i="38" l="1"/>
  <c r="J723" i="38"/>
  <c r="A725" i="38" l="1"/>
  <c r="J724" i="38"/>
  <c r="A726" i="38" l="1"/>
  <c r="J725" i="38"/>
  <c r="J726" i="38" l="1"/>
  <c r="A727" i="38"/>
  <c r="J727" i="38" l="1"/>
  <c r="A728" i="38"/>
  <c r="A729" i="38" l="1"/>
  <c r="J728" i="38"/>
  <c r="A730" i="38" l="1"/>
  <c r="J729" i="38"/>
  <c r="J730" i="38" l="1"/>
  <c r="A731" i="38"/>
  <c r="A732" i="38" s="1"/>
  <c r="A733" i="38" l="1"/>
  <c r="J732" i="38"/>
  <c r="A734" i="38" l="1"/>
  <c r="J733" i="38"/>
  <c r="A735" i="38" l="1"/>
  <c r="J734" i="38"/>
  <c r="A736" i="38" l="1"/>
  <c r="J735" i="38"/>
  <c r="A737" i="38" l="1"/>
  <c r="J736" i="38"/>
  <c r="A738" i="38" l="1"/>
  <c r="J737" i="38"/>
  <c r="J738" i="38" l="1"/>
  <c r="A739" i="38"/>
  <c r="A740" i="38" l="1"/>
  <c r="J739" i="38"/>
  <c r="A741" i="38" l="1"/>
  <c r="J740" i="38"/>
  <c r="A742" i="38" l="1"/>
  <c r="J741" i="38"/>
  <c r="J742" i="38" l="1"/>
  <c r="A743" i="38"/>
  <c r="A744" i="38" l="1"/>
  <c r="J743" i="38"/>
  <c r="A745" i="38" l="1"/>
  <c r="J744" i="38"/>
  <c r="A746" i="38" l="1"/>
  <c r="J745" i="38"/>
  <c r="A747" i="38" l="1"/>
  <c r="J746" i="38"/>
  <c r="A748" i="38" l="1"/>
  <c r="J747" i="38"/>
  <c r="A749" i="38" l="1"/>
  <c r="J748" i="38"/>
  <c r="A750" i="38" l="1"/>
  <c r="J749" i="38"/>
  <c r="A751" i="38" l="1"/>
  <c r="J750" i="38"/>
  <c r="A752" i="38" l="1"/>
  <c r="J751" i="38"/>
  <c r="J752" i="38" l="1"/>
  <c r="A753" i="38"/>
  <c r="A754" i="38" l="1"/>
  <c r="J753" i="38"/>
  <c r="J754" i="38" l="1"/>
  <c r="A755" i="38"/>
  <c r="A756" i="38" l="1"/>
  <c r="J755" i="38"/>
  <c r="J756" i="38" l="1"/>
  <c r="A757" i="38"/>
  <c r="A758" i="38" l="1"/>
  <c r="J757" i="38"/>
  <c r="J758" i="38" l="1"/>
  <c r="A759" i="38"/>
  <c r="A760" i="38" l="1"/>
  <c r="J759" i="38"/>
  <c r="A761" i="38" l="1"/>
  <c r="J760" i="38"/>
  <c r="A762" i="38" l="1"/>
  <c r="J761" i="38"/>
  <c r="A763" i="38" l="1"/>
  <c r="J762" i="38"/>
  <c r="A764" i="38" l="1"/>
  <c r="J763" i="38"/>
  <c r="A765" i="38" l="1"/>
  <c r="J764" i="38"/>
  <c r="A766" i="38" l="1"/>
  <c r="J765" i="38"/>
  <c r="J766" i="38" l="1"/>
  <c r="A767" i="38"/>
  <c r="J767" i="38" l="1"/>
  <c r="A768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J774" i="38" l="1"/>
  <c r="A775" i="38"/>
  <c r="J775" i="38" l="1"/>
  <c r="A776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J986" i="38" l="1"/>
  <c r="A987" i="38"/>
  <c r="A988" i="38" l="1"/>
  <c r="J987" i="38"/>
  <c r="A989" i="38" l="1"/>
  <c r="J988" i="38"/>
  <c r="A990" i="38" l="1"/>
  <c r="J989" i="38"/>
  <c r="J990" i="38" l="1"/>
  <c r="A991" i="38"/>
  <c r="J991" i="38" l="1"/>
  <c r="A992" i="38"/>
  <c r="A993" i="38" l="1"/>
  <c r="J992" i="38"/>
  <c r="J993" i="38" l="1"/>
  <c r="A994" i="38"/>
  <c r="J994" i="38" l="1"/>
  <c r="A995" i="38"/>
  <c r="A996" i="38" l="1"/>
  <c r="J995" i="38"/>
  <c r="J996" i="38" l="1"/>
  <c r="A997" i="38"/>
  <c r="A998" i="38" l="1"/>
  <c r="J997" i="38"/>
  <c r="J998" i="38" l="1"/>
  <c r="A999" i="38"/>
  <c r="J999" i="38" l="1"/>
  <c r="A1000" i="38"/>
  <c r="A1001" i="38" l="1"/>
  <c r="J1000" i="38"/>
  <c r="A1002" i="38" l="1"/>
  <c r="J1001" i="38"/>
  <c r="A1003" i="38" l="1"/>
  <c r="J1002" i="38"/>
  <c r="A1004" i="38" l="1"/>
  <c r="J1003" i="38"/>
  <c r="J1004" i="38" l="1"/>
  <c r="A1005" i="38"/>
  <c r="A1006" i="38" l="1"/>
  <c r="J1005" i="38"/>
  <c r="J1006" i="38" l="1"/>
  <c r="A1007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J1014" i="38" l="1"/>
  <c r="A1015" i="38"/>
  <c r="A1016" i="38" l="1"/>
  <c r="J1015" i="38"/>
  <c r="J1016" i="38" l="1"/>
  <c r="A1017" i="38"/>
  <c r="A1018" i="38" l="1"/>
  <c r="J1017" i="38"/>
  <c r="J1018" i="38" l="1"/>
  <c r="A1019" i="38"/>
  <c r="A1020" i="38" l="1"/>
  <c r="J1019" i="38"/>
  <c r="J1020" i="38" l="1"/>
  <c r="A1021" i="38"/>
  <c r="A1022" i="38" l="1"/>
  <c r="J1021" i="38"/>
  <c r="A1023" i="38" l="1"/>
  <c r="J1022" i="38"/>
  <c r="J1023" i="38" l="1"/>
  <c r="A1024" i="38"/>
  <c r="J1024" i="38" l="1"/>
  <c r="A1025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J1033" i="38" l="1"/>
  <c r="A1034" i="38"/>
  <c r="A1035" i="38" l="1"/>
  <c r="J1034" i="38"/>
  <c r="A1036" i="38" l="1"/>
  <c r="J1035" i="38"/>
  <c r="A1037" i="38" l="1"/>
  <c r="J1036" i="38"/>
  <c r="J1037" i="38" l="1"/>
  <c r="A1038" i="38"/>
  <c r="A1039" i="38" l="1"/>
  <c r="J1038" i="38"/>
  <c r="A1040" i="38" l="1"/>
  <c r="J1039" i="38"/>
  <c r="A1041" i="38" l="1"/>
  <c r="J1040" i="38"/>
  <c r="J1041" i="38" l="1"/>
  <c r="A1042" i="38"/>
  <c r="A1043" i="38" l="1"/>
  <c r="J1042" i="38"/>
  <c r="A1044" i="38" l="1"/>
  <c r="J1043" i="38"/>
  <c r="A1045" i="38" l="1"/>
  <c r="J1044" i="38"/>
  <c r="J1045" i="38" l="1"/>
  <c r="A1046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J1055" i="38" l="1"/>
  <c r="A1056" i="38"/>
  <c r="J1056" i="38" l="1"/>
  <c r="A1057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J1065" i="38" l="1"/>
  <c r="A1066" i="38"/>
  <c r="A1067" i="38" l="1"/>
  <c r="J1066" i="38"/>
  <c r="A1068" i="38" l="1"/>
  <c r="J1067" i="38"/>
  <c r="A1069" i="38" l="1"/>
  <c r="J1068" i="38"/>
  <c r="J1069" i="38" l="1"/>
  <c r="A1070" i="38"/>
  <c r="A1071" i="38" l="1"/>
  <c r="J1070" i="38"/>
  <c r="A1072" i="38" l="1"/>
  <c r="J1071" i="38"/>
  <c r="A1073" i="38" l="1"/>
  <c r="J1072" i="38"/>
  <c r="J1073" i="38" l="1"/>
  <c r="A1074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79" i="38"/>
  <c r="A1081" i="38" l="1"/>
  <c r="J1081" i="38" s="1"/>
  <c r="J108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<sst xmlns="http://schemas.openxmlformats.org/spreadsheetml/2006/main" count="5016" uniqueCount="1391">
  <si>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</si>
  <si>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</si>
  <si>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</si>
  <si>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</si>
  <si>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</si>
  <si>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</si>
  <si>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</si>
  <si>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</si>
  <si>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</si>
  <si>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</si>
  <si>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</si>
  <si>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</si>
  <si>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</si>
  <si>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</si>
  <si>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</si>
  <si>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</si>
  <si>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</si>
  <si>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</si>
  <si>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</si>
  <si>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</si>
  <si>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</si>
  <si>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</si>
  <si>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</si>
  <si>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</si>
  <si>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</si>
  <si>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</si>
  <si>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</si>
  <si>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</si>
  <si>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</si>
  <si>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</si>
  <si>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</si>
  <si>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</si>
  <si>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</si>
  <si>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</si>
  <si>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</si>
  <si>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</si>
  <si>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</si>
  <si>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</si>
  <si>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</si>
  <si>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</si>
  <si>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</si>
  <si>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</si>
  <si>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</si>
  <si>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</si>
  <si>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</si>
  <si>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</si>
  <si>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</si>
  <si>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</si>
  <si>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</si>
  <si>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</si>
  <si>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</si>
  <si>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</si>
  <si>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</si>
  <si>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</si>
  <si>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</si>
  <si>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</si>
  <si>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</si>
  <si>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</si>
  <si>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</si>
  <si>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</si>
  <si>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</si>
  <si>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</si>
  <si>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</si>
  <si>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</si>
  <si>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</si>
  <si>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</si>
  <si>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</si>
  <si>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</si>
  <si>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</si>
  <si>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</si>
  <si>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</si>
  <si>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</si>
  <si>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</si>
  <si>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</si>
  <si>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</si>
  <si>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</si>
  <si>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</si>
  <si>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</si>
  <si>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</si>
  <si>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</si>
  <si>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</si>
  <si>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</si>
  <si>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</si>
  <si>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</si>
  <si>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</si>
  <si>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</si>
  <si>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</si>
  <si>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</si>
  <si>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</si>
  <si>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</si>
  <si>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</si>
  <si>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</si>
  <si>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</si>
  <si>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</si>
  <si>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</si>
  <si>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</si>
  <si>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</si>
  <si>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</si>
  <si>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</si>
  <si>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</si>
  <si>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</si>
  <si>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</si>
  <si>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</si>
  <si>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</si>
  <si>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</si>
  <si>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</si>
  <si>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</si>
  <si>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</si>
  <si>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</si>
  <si>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</si>
  <si>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</si>
  <si>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</si>
  <si>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</si>
  <si>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</si>
  <si>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</si>
  <si>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</si>
  <si>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</si>
  <si>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</si>
  <si>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</si>
  <si>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</si>
  <si>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</si>
  <si>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</si>
  <si>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</si>
  <si>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</si>
  <si>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</si>
  <si>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</si>
  <si>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</si>
  <si>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</si>
  <si>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</si>
  <si>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</si>
  <si>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</si>
  <si>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</si>
  <si>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</si>
  <si>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</si>
  <si>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</si>
  <si>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</si>
  <si>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</si>
  <si>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</si>
  <si>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</si>
  <si>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</si>
  <si>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</si>
  <si>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</si>
  <si>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</si>
  <si>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</si>
  <si>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</si>
  <si>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</si>
  <si>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</si>
  <si>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</si>
  <si>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</si>
  <si>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</si>
  <si>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</si>
  <si>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</si>
  <si>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</si>
  <si>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</si>
  <si>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</si>
  <si>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</si>
  <si>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</si>
  <si>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</si>
  <si>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</si>
  <si>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</si>
  <si>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</si>
  <si>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</si>
  <si>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</si>
  <si>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</si>
  <si>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</si>
  <si>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</si>
  <si>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</si>
  <si>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</si>
  <si>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</si>
  <si>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</si>
  <si>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</si>
  <si>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</si>
  <si>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</si>
  <si>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</si>
  <si>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</si>
  <si>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</si>
  <si>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</si>
  <si>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</si>
  <si>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</si>
  <si>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</si>
  <si>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</si>
  <si>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</si>
  <si>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</si>
  <si>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</si>
  <si>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</si>
  <si>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</si>
  <si>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</si>
  <si>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</si>
  <si>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</si>
  <si>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</si>
  <si>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</si>
  <si>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</si>
  <si>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</si>
  <si>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</si>
  <si>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</si>
  <si>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</si>
  <si>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</si>
  <si>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</si>
  <si>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</si>
  <si>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</si>
  <si>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</si>
  <si>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</si>
  <si>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</si>
  <si>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</si>
  <si>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</si>
  <si>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</si>
  <si>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</si>
  <si>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</si>
  <si>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</si>
  <si>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</si>
  <si>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</si>
  <si>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</si>
  <si>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</si>
  <si>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</si>
  <si>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</si>
  <si>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</si>
  <si>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</si>
  <si>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</si>
  <si>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</si>
  <si>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</si>
  <si>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</si>
  <si>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</si>
  <si>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</si>
  <si>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</si>
  <si>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</si>
  <si>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</si>
  <si>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</si>
  <si>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</si>
  <si>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</si>
  <si>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</si>
  <si>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</si>
  <si>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</si>
  <si>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</si>
  <si>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</si>
  <si>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</si>
  <si>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</si>
  <si>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</si>
  <si>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</si>
  <si>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</si>
  <si>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</si>
  <si>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</si>
  <si>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</si>
  <si>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</si>
  <si>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</si>
  <si>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</si>
  <si>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</si>
  <si>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</si>
  <si>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</si>
  <si>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</si>
  <si>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</si>
  <si>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</si>
  <si>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</si>
  <si>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</si>
  <si>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</si>
  <si>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</si>
  <si>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</si>
  <si>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</si>
  <si>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</si>
  <si>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</si>
  <si>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</si>
  <si>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</si>
  <si>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</si>
  <si>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</si>
  <si>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</si>
  <si>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</si>
  <si>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</si>
  <si>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</si>
  <si>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</si>
  <si>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</si>
  <si>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</si>
  <si>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</si>
  <si>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</si>
  <si>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</si>
  <si>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</si>
  <si>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</si>
  <si>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</si>
  <si>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</si>
  <si>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</si>
  <si>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</si>
  <si>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</si>
  <si>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</si>
  <si>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</si>
  <si>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</si>
  <si>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</si>
  <si>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</si>
  <si>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</si>
  <si>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</si>
  <si>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</si>
  <si>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</si>
  <si>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</si>
  <si>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</si>
  <si>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</si>
  <si>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</si>
  <si>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</si>
  <si>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</si>
  <si>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</si>
  <si>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</si>
  <si>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</si>
  <si>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</si>
  <si>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</si>
  <si>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</si>
  <si>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</si>
  <si>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</si>
  <si>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</si>
  <si>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</si>
  <si>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</si>
  <si>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</si>
  <si>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</si>
  <si>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</si>
  <si>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</si>
  <si>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</si>
  <si>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</si>
  <si>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</si>
  <si>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</si>
  <si>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</si>
  <si>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</si>
  <si>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</si>
  <si>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</si>
  <si>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</si>
  <si>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</si>
  <si>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</si>
  <si>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</si>
  <si>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</si>
  <si>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</si>
  <si>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</si>
  <si>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</si>
  <si>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</si>
  <si>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</si>
  <si>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</si>
  <si>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</si>
  <si>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</si>
  <si>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</si>
  <si>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</si>
  <si>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</si>
  <si>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</si>
  <si>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</si>
  <si>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</si>
  <si>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</si>
  <si>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</si>
  <si>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</si>
  <si>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</si>
  <si>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</si>
  <si>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</si>
  <si>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</si>
  <si>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</si>
  <si>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</si>
  <si>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</si>
  <si>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</si>
  <si>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</si>
  <si>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</si>
  <si>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</si>
  <si>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</si>
  <si>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</si>
  <si>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</si>
  <si>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</si>
  <si>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</si>
  <si>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</si>
  <si>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</si>
  <si>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</si>
  <si>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</si>
  <si>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</si>
  <si>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</si>
  <si>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</si>
  <si>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</si>
  <si>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</si>
  <si>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</si>
  <si>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</si>
  <si>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</si>
  <si>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</si>
  <si>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</si>
  <si>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</si>
  <si>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</si>
  <si>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</si>
  <si>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</si>
  <si>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</si>
  <si>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</si>
  <si>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</si>
  <si>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</si>
  <si>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</si>
  <si>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</si>
  <si>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</si>
  <si>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</si>
  <si>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</si>
  <si>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</si>
  <si>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</si>
  <si>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</si>
  <si>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</si>
  <si>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</si>
  <si>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</si>
  <si>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</si>
  <si>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</si>
  <si>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</si>
  <si>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</si>
  <si>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</si>
  <si>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</si>
  <si>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</si>
  <si>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</si>
  <si>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</si>
  <si>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</si>
  <si>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</si>
  <si>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</si>
  <si>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</si>
  <si>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</si>
  <si>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</si>
  <si>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</si>
  <si>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</si>
  <si>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</si>
  <si>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</si>
  <si>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</si>
  <si>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</si>
  <si>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</si>
  <si>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</si>
  <si>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</si>
  <si>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</si>
  <si>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</si>
  <si>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</si>
  <si>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</si>
  <si>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</si>
  <si>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</si>
  <si>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</si>
  <si>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</si>
  <si>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</si>
  <si>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</si>
  <si>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</si>
  <si>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</si>
  <si>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</si>
  <si>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</si>
  <si>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</si>
  <si>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</si>
  <si>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</si>
  <si>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</si>
  <si>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</si>
  <si>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</si>
  <si>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</si>
  <si>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</si>
  <si>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</si>
  <si>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</si>
  <si>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</si>
  <si>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</si>
  <si>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</si>
  <si>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</si>
  <si>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</si>
  <si>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</si>
  <si>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</si>
  <si>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</si>
  <si>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</si>
  <si>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</si>
  <si>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</si>
  <si>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</si>
  <si>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</si>
  <si>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</si>
  <si>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</si>
  <si>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</si>
  <si>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</si>
  <si>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</si>
  <si>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</si>
  <si>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</si>
  <si>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</si>
  <si>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</si>
  <si>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</si>
  <si>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</si>
  <si>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</si>
  <si>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</si>
  <si>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</si>
  <si>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</si>
  <si>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</si>
  <si>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</si>
  <si>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</si>
  <si>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</si>
  <si>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</si>
  <si>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</si>
  <si>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</si>
  <si>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</si>
  <si>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</si>
  <si>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</si>
  <si>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</si>
  <si>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</si>
  <si>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</si>
  <si>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</si>
  <si>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</si>
  <si>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</si>
  <si>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</si>
  <si>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</si>
  <si>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</si>
  <si>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</si>
  <si>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</si>
  <si>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</si>
  <si>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</si>
  <si>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</si>
  <si>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</si>
  <si>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</si>
  <si>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</si>
  <si>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</si>
  <si>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</si>
  <si>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</si>
  <si>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</si>
  <si>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</si>
  <si>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</si>
  <si>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</si>
  <si>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</si>
  <si>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</si>
  <si>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</si>
  <si>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</si>
  <si>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</si>
  <si>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</si>
  <si>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</si>
  <si>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</si>
  <si>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</si>
  <si>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</si>
  <si>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</si>
  <si>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</si>
  <si>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</si>
  <si>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</si>
  <si>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</si>
  <si>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</si>
  <si>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</si>
  <si>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</si>
  <si>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</si>
  <si>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</si>
  <si>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</si>
  <si>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</si>
  <si>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</si>
  <si>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</si>
  <si>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</si>
  <si>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</si>
  <si>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</si>
  <si>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</si>
  <si>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</si>
  <si>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</si>
  <si>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</si>
  <si>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</si>
  <si>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</si>
  <si>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</si>
  <si>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</si>
  <si>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</si>
  <si>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</si>
  <si>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</si>
  <si>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</si>
  <si>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</si>
  <si>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</si>
  <si>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</si>
  <si>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</si>
  <si>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</si>
  <si>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</si>
  <si>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</si>
  <si>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</si>
  <si>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</si>
  <si>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</si>
  <si>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</si>
  <si>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</si>
  <si>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</si>
  <si>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</si>
  <si>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</si>
  <si>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</si>
  <si>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</si>
  <si>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</si>
  <si>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</si>
  <si>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</si>
  <si>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</si>
  <si>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</si>
  <si>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</si>
  <si>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</si>
  <si>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</si>
  <si>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</si>
  <si>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</si>
  <si>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</si>
  <si>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</si>
  <si>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</si>
  <si>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</si>
  <si>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</si>
  <si>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</si>
  <si>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</si>
  <si>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</si>
  <si>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</si>
  <si>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</si>
  <si>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</si>
  <si>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</si>
  <si>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</si>
  <si>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</si>
  <si>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</si>
  <si>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</si>
  <si>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</si>
  <si>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</si>
  <si>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</si>
  <si>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</si>
  <si>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</si>
  <si>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</si>
  <si>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</si>
  <si>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</si>
  <si>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</si>
  <si>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</si>
  <si>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</si>
  <si>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</si>
  <si>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</si>
  <si>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</si>
  <si>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</si>
  <si>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</si>
  <si>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</si>
  <si>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</si>
  <si>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</si>
  <si>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</si>
  <si>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</si>
  <si>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</si>
  <si>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</si>
  <si>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</si>
  <si>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</si>
  <si>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</si>
  <si>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</si>
  <si>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</si>
  <si>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</si>
  <si>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</si>
  <si>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</si>
  <si>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</si>
  <si>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</si>
  <si>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</si>
  <si>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</si>
  <si>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</si>
  <si>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</si>
  <si>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</si>
  <si>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</si>
  <si>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</si>
  <si>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</si>
  <si>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</si>
  <si>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</si>
  <si>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</si>
  <si>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</si>
  <si>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</si>
  <si>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</si>
  <si>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</si>
  <si>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</si>
  <si>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</si>
  <si>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</si>
  <si>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</si>
  <si>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</si>
  <si>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</si>
  <si>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</si>
  <si>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</si>
  <si>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</si>
  <si>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</si>
  <si>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</si>
  <si>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</si>
  <si>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</si>
  <si>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</si>
  <si>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</si>
  <si>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</si>
  <si>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</si>
  <si>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</si>
  <si>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</si>
  <si>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</si>
  <si>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</si>
  <si>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</si>
  <si>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</si>
  <si>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</si>
  <si>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</si>
  <si>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</si>
  <si>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</si>
  <si>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</si>
  <si>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</si>
  <si>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</si>
  <si>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</si>
  <si>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</si>
  <si>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</si>
  <si>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</si>
  <si>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</si>
  <si>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</si>
  <si>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</si>
  <si>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</si>
  <si>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</si>
  <si>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</si>
  <si>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</si>
  <si>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</si>
  <si>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</si>
  <si>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</si>
  <si>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</si>
  <si>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</si>
  <si>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</si>
  <si>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</si>
  <si>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</si>
  <si>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</si>
  <si>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</si>
  <si>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</si>
  <si>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</si>
  <si>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</si>
  <si>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</si>
  <si>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</si>
  <si>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</si>
  <si>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</si>
  <si>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</si>
  <si>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</si>
  <si>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</si>
  <si>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</si>
  <si>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</si>
  <si>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</si>
  <si>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</si>
  <si>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</si>
  <si>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</si>
  <si>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</si>
  <si>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</si>
  <si>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</si>
  <si>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</si>
  <si>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</si>
  <si>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</si>
  <si>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</si>
  <si>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</si>
  <si>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</si>
  <si>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</si>
  <si>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</si>
  <si>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</si>
  <si>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</si>
  <si>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</si>
  <si>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</si>
  <si>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</si>
  <si>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</si>
  <si>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</si>
  <si>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</si>
  <si>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</si>
  <si>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</si>
  <si>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</si>
  <si>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</si>
  <si>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</si>
  <si>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</si>
  <si>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</si>
  <si>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</si>
  <si>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</si>
  <si>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</si>
  <si>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</si>
  <si>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</si>
  <si>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</si>
  <si>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</si>
  <si>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</si>
  <si>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</si>
  <si>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</si>
  <si>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</si>
  <si>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</si>
  <si>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</si>
  <si>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</si>
  <si>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</si>
  <si>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</si>
  <si>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</si>
  <si>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</si>
  <si>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</si>
  <si>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</si>
  <si>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</si>
  <si>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</si>
  <si>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</si>
  <si>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</si>
  <si>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</si>
  <si>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</si>
  <si>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</si>
  <si>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</si>
  <si>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</si>
  <si>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</si>
  <si>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</si>
  <si>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</si>
  <si>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</si>
  <si>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</si>
  <si>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</si>
  <si>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</si>
  <si>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</si>
  <si>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</si>
  <si>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</si>
  <si>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</si>
  <si>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</si>
  <si>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</si>
  <si>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</si>
  <si>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</si>
  <si>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</si>
  <si>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</si>
  <si>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</si>
  <si>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</si>
  <si>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</si>
  <si>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</si>
  <si>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</si>
  <si>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</si>
  <si>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</si>
  <si>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</si>
  <si>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</si>
  <si>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</si>
  <si>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</si>
  <si>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</si>
  <si>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</si>
  <si>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</si>
  <si>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</si>
  <si>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</si>
  <si>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</si>
  <si>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</si>
  <si>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</si>
  <si>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</si>
  <si>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</si>
  <si>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</si>
  <si>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</si>
  <si>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</si>
  <si>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</si>
  <si>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</si>
  <si>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</si>
  <si>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</si>
  <si>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</si>
  <si>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</si>
  <si>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</si>
  <si>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</si>
  <si>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</si>
  <si>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</si>
  <si>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</si>
  <si>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</si>
  <si>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</si>
  <si>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</si>
  <si>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</si>
  <si>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</si>
  <si>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</si>
  <si>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</si>
  <si>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</si>
  <si>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</si>
  <si>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</si>
  <si>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</si>
  <si>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</si>
  <si>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</si>
  <si>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</si>
  <si>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</si>
  <si>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</si>
  <si>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</si>
  <si>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</si>
  <si>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</si>
  <si>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</si>
  <si>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</si>
  <si>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</si>
  <si>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</si>
  <si>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</si>
  <si>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</si>
  <si>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</si>
  <si>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</si>
  <si>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</si>
  <si>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</si>
  <si>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</si>
  <si>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</si>
  <si>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</si>
  <si>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</si>
  <si>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</si>
  <si>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</si>
  <si>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</si>
  <si>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</si>
  <si>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</si>
  <si>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</si>
  <si>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</si>
  <si>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</si>
  <si>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</si>
  <si>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</si>
  <si>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</si>
  <si>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</si>
  <si>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</si>
  <si>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</si>
  <si>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</si>
  <si>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</si>
  <si>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</si>
  <si>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</si>
  <si>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</si>
  <si>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</si>
  <si>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</si>
  <si>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</si>
  <si>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</si>
  <si>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</si>
  <si>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</si>
  <si>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</si>
  <si>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</si>
  <si>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</si>
  <si>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</si>
  <si>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</si>
  <si>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</si>
  <si>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</si>
  <si>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</si>
  <si>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</si>
  <si>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</si>
  <si>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</si>
  <si>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</si>
  <si>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</si>
  <si>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</si>
  <si>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</si>
  <si>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</si>
  <si>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</si>
  <si>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</si>
  <si>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</si>
  <si>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</si>
  <si>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</si>
  <si>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</si>
  <si>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</si>
  <si>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</si>
  <si>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</si>
  <si>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</si>
  <si>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</si>
  <si>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</si>
  <si>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</si>
  <si>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</si>
  <si>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</si>
  <si>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</si>
  <si>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</si>
  <si>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</si>
  <si>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</si>
  <si>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</si>
  <si>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</si>
  <si>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</si>
  <si>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</si>
  <si>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</si>
  <si>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</si>
  <si>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</si>
  <si>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</si>
  <si>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</si>
  <si>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</si>
  <si>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</si>
  <si>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</si>
  <si>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</si>
  <si>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</si>
  <si>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</si>
  <si>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</si>
  <si>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</si>
  <si>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</si>
  <si>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</si>
  <si>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</si>
  <si>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</si>
  <si>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</si>
  <si>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</si>
  <si>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</si>
  <si>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</si>
  <si>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</si>
  <si>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</si>
  <si>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</si>
  <si>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</si>
  <si>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</si>
  <si>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</si>
  <si>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</si>
  <si>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</si>
  <si>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</si>
  <si>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</si>
  <si>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</si>
  <si>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</si>
  <si>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</si>
  <si>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</si>
  <si>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</si>
  <si>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</si>
  <si>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</si>
  <si>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</si>
  <si>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</si>
  <si>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</si>
  <si>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</si>
  <si>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</si>
  <si>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</si>
  <si>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</si>
  <si>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</si>
  <si>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</si>
  <si>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</si>
  <si>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</si>
  <si>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</si>
  <si>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</si>
  <si>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</si>
  <si>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</si>
  <si>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</si>
  <si>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</si>
  <si>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</si>
  <si>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</si>
  <si>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</si>
  <si>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</si>
  <si>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</si>
  <si>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</si>
  <si>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</si>
  <si>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</si>
  <si>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</si>
  <si>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</si>
  <si>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</si>
  <si>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</si>
  <si>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</si>
  <si>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</si>
  <si>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</si>
  <si>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</si>
  <si>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</si>
  <si>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</si>
  <si>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</si>
  <si>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</si>
  <si>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</si>
  <si>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</si>
  <si>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</si>
  <si>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</si>
  <si>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</si>
  <si>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</si>
  <si>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</si>
  <si>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</si>
  <si>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</si>
  <si>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</si>
  <si>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</si>
  <si>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</si>
  <si>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</si>
  <si>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</si>
  <si>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</si>
  <si>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</si>
  <si>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</si>
  <si>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</si>
  <si>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</si>
  <si>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</si>
  <si>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</si>
  <si>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</si>
  <si>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</si>
  <si>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</si>
  <si>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</si>
  <si>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</si>
  <si>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</si>
  <si>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</si>
  <si>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</si>
  <si>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</si>
  <si>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</si>
  <si>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</si>
  <si>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</si>
  <si>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</si>
  <si>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</si>
  <si>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</si>
  <si>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</si>
  <si>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</si>
  <si>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</si>
  <si>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</si>
  <si>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</si>
  <si>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</si>
  <si>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</si>
  <si>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</si>
  <si>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</si>
  <si>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</si>
  <si>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</si>
  <si>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</si>
  <si>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</si>
  <si>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</si>
  <si>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</si>
  <si>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</si>
  <si>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</si>
  <si>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</si>
  <si>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</si>
  <si>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</si>
  <si>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</si>
  <si>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</si>
  <si>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</si>
  <si>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</si>
  <si>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</si>
  <si>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</si>
  <si>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</si>
  <si>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</si>
  <si>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</si>
  <si>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</si>
  <si>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</si>
  <si>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</si>
  <si>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</si>
  <si>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</si>
  <si>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</si>
  <si>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</si>
  <si>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</si>
  <si>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</si>
  <si>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</si>
  <si>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</si>
  <si>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</si>
  <si>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</si>
  <si>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</si>
  <si>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</si>
  <si>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</si>
  <si>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</si>
  <si>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</si>
  <si>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</si>
  <si>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</si>
  <si>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</si>
  <si>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</si>
  <si>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</si>
  <si>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</si>
  <si>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</si>
  <si>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</si>
  <si>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</si>
  <si>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</si>
  <si>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</si>
  <si>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</si>
  <si>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</si>
  <si>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</si>
  <si>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</si>
  <si>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</si>
  <si>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</si>
  <si>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</si>
  <si>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</si>
  <si>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</si>
  <si>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</si>
  <si>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</si>
  <si>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</si>
  <si>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</si>
  <si>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</si>
  <si>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</si>
  <si>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</si>
  <si>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</si>
  <si>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</si>
  <si>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</si>
  <si>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</si>
  <si>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</si>
  <si>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</si>
  <si>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</si>
  <si>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</si>
  <si>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</si>
  <si>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</si>
  <si>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</si>
  <si>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</si>
  <si>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</si>
  <si>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</si>
  <si>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</si>
  <si>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</si>
  <si>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</si>
  <si>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</si>
  <si>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</si>
  <si>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</si>
  <si>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</si>
  <si>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</si>
  <si>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</si>
  <si>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</si>
  <si>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</si>
  <si>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</si>
  <si>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</si>
  <si>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</si>
  <si>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</si>
  <si>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</si>
  <si>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</si>
  <si>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</si>
  <si>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</si>
  <si>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</si>
  <si>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</si>
  <si>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</si>
  <si>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</si>
  <si>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</si>
  <si>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</si>
  <si>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</si>
  <si>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</si>
  <si>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</si>
  <si>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</si>
  <si>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</si>
  <si>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</si>
  <si>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</si>
  <si>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</si>
  <si>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</si>
  <si>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</si>
  <si>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</si>
  <si>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</si>
  <si>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</si>
  <si>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</si>
  <si>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</si>
  <si>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</si>
  <si>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</si>
  <si>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</si>
  <si>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</si>
  <si>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</si>
  <si>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</si>
  <si>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</si>
  <si>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</si>
  <si>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</si>
  <si>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</si>
  <si>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</si>
  <si>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</si>
  <si>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</si>
  <si>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</si>
  <si>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</si>
  <si>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</si>
  <si>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</si>
  <si>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</si>
  <si>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</si>
  <si>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</si>
  <si>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</si>
  <si>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</si>
  <si>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</si>
  <si>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</si>
  <si>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</si>
  <si>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</si>
  <si>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</si>
  <si>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</si>
  <si>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</si>
  <si>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</si>
  <si>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</si>
  <si>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</si>
  <si>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</si>
  <si>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</si>
  <si>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</si>
  <si>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</si>
  <si>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</si>
  <si>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</si>
  <si>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</si>
  <si>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</si>
  <si>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</si>
  <si>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</si>
  <si>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</si>
  <si>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</si>
  <si>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</si>
  <si>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</si>
  <si>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</si>
  <si>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</si>
  <si>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</si>
  <si>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</si>
  <si>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</si>
  <si>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</si>
  <si>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</si>
  <si>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</si>
  <si>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</si>
  <si>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</si>
  <si>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</si>
  <si>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</si>
  <si>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</si>
  <si>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</si>
  <si>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</si>
  <si>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</si>
  <si>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</si>
  <si>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</si>
  <si>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</si>
  <si>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</si>
  <si>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</si>
  <si>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</si>
  <si>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</si>
  <si>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</si>
  <si>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</si>
  <si>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</si>
  <si>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</si>
  <si>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</si>
  <si>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</si>
  <si>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</si>
  <si>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</si>
  <si>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</si>
  <si>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</si>
  <si>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</si>
  <si>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</si>
  <si>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</si>
  <si>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</si>
  <si>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</si>
  <si>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</si>
  <si>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</si>
  <si>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</si>
  <si>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</si>
  <si>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</si>
  <si>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</si>
  <si>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</si>
  <si>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</si>
  <si>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</si>
  <si>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</si>
  <si>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</si>
  <si>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</si>
  <si>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</si>
  <si>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</si>
  <si>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</si>
  <si>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</si>
  <si>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</si>
  <si>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</si>
  <si>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</si>
  <si>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</si>
  <si>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</si>
  <si>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</si>
  <si>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</si>
  <si>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</si>
  <si>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</si>
  <si>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</si>
  <si>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</si>
  <si>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</si>
  <si>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</si>
  <si>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</si>
  <si>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</si>
  <si>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</si>
  <si>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</si>
  <si>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</si>
  <si>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</si>
  <si>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</si>
  <si>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</si>
  <si>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</si>
  <si>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</si>
  <si>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</si>
  <si>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</si>
  <si>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</si>
  <si>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</si>
  <si>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</si>
  <si>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</si>
  <si>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</si>
  <si>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</si>
  <si>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</si>
  <si>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</si>
  <si>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</si>
  <si>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</si>
  <si>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</si>
  <si>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</si>
  <si>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</si>
  <si>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</si>
  <si>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</si>
  <si>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</si>
  <si>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</si>
  <si>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</si>
  <si>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</si>
  <si>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</si>
  <si>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</si>
  <si>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</si>
  <si>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</si>
  <si>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</si>
  <si>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</si>
  <si>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</si>
  <si>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</si>
  <si>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</si>
  <si>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</si>
  <si>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</si>
  <si>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</si>
  <si>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</si>
  <si>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</si>
  <si>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</si>
  <si>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</si>
  <si>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</si>
  <si>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</si>
  <si>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</si>
  <si>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</si>
  <si>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</si>
  <si>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</si>
  <si>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</si>
  <si>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</si>
  <si>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</si>
  <si>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</si>
  <si>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</si>
  <si>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</si>
  <si>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</si>
  <si>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</si>
  <si>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</si>
  <si>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</si>
  <si>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</si>
  <si>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</si>
  <si>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</si>
  <si>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</si>
  <si>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</si>
  <si>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</si>
  <si>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</si>
  <si>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</si>
  <si>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</si>
  <si>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</si>
  <si>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</si>
  <si>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</si>
  <si>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</si>
  <si>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</si>
  <si>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</si>
  <si>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</si>
  <si>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</si>
  <si>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</si>
  <si>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</si>
  <si>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</si>
  <si>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</si>
  <si>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</si>
  <si>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</si>
  <si>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</si>
  <si>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</si>
  <si>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</si>
  <si>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</si>
  <si>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</si>
  <si>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</si>
  <si>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</si>
  <si>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</si>
  <si>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</si>
  <si>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</si>
  <si>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</si>
  <si>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</si>
  <si>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</si>
  <si>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</si>
  <si>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</si>
  <si>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</si>
  <si>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</si>
  <si>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</si>
  <si>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</si>
  <si>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</si>
  <si>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</si>
  <si>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</si>
  <si>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</si>
  <si>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</si>
  <si>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</si>
  <si>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</si>
  <si>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</si>
  <si>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</si>
  <si>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</si>
  <si>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</si>
  <si>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</si>
  <si>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</si>
  <si>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</si>
  <si>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</si>
  <si>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</si>
  <si>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</si>
  <si>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</si>
  <si>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</si>
  <si>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</si>
  <si>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</si>
  <si>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</si>
  <si>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</si>
  <si>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</si>
  <si>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</si>
  <si>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</si>
  <si>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</si>
  <si>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</si>
  <si>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</si>
  <si>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</si>
  <si>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</si>
  <si>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</si>
  <si>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CIERRE SINTÉTICO</t>
  </si>
  <si>
    <t>Monedero Morral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</si>
</sst>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1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30" borderId="11" xfId="0" applyFont="1" applyFill="1" applyBorder="1" applyAlignment="1">
      <alignment vertical="top" wrapText="1"/>
    </xf>
    <xf numFmtId="0" fontId="0" fillId="25" borderId="11" xfId="0" applyFont="1" applyFill="1" applyBorder="1" applyAlignment="1">
      <alignment horizontal="center" vertical="top" wrapText="1"/>
    </xf>
    <xf numFmtId="166" fontId="28" fillId="28" borderId="41" xfId="0" applyNumberFormat="1" applyFont="1" applyFill="1" applyBorder="1" applyAlignment="1">
      <alignment horizontal="center" vertical="center"/>
    </xf>
    <xf numFmtId="0" fontId="30" fillId="27" borderId="11" xfId="36" applyNumberFormat="1" applyFont="1" applyFill="1" applyBorder="1" applyAlignment="1">
      <alignment horizontal="center" vertical="center" wrapText="1"/>
    </xf>
    <xf numFmtId="0" fontId="30" fillId="27" borderId="14" xfId="36" applyNumberFormat="1" applyFont="1" applyFill="1" applyBorder="1" applyAlignment="1">
      <alignment horizontal="center" vertical="center" wrapText="1"/>
    </xf>
    <xf numFmtId="0" fontId="0" fillId="52" borderId="51" xfId="0" applyFont="1" applyFill="1" applyBorder="1" applyAlignment="1">
      <alignment horizontal="center" vertical="center"/>
    </xf>
    <xf numFmtId="166" fontId="0" fillId="25" borderId="10" xfId="0" applyNumberFormat="1" applyFont="1" applyFill="1" applyBorder="1" applyAlignment="1">
      <alignment vertical="top"/>
    </xf>
    <xf numFmtId="0" fontId="0" fillId="25" borderId="56" xfId="0" applyFill="1" applyBorder="1" applyAlignment="1">
      <alignment vertical="top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1" totalsRowShown="0" tableBorderDxfId="72">
  <autoFilter ref="A659:K1081" xr:uid="{D26CD889-A135-4176-BF1A-F1F72B236576}"/>
  <sortState ref="A660:K1081">
    <sortCondition ref="B659:B1081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2" sqref="D12:N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5"/>
      <c r="B1" s="366"/>
      <c r="C1" s="337" t="s">
        <v>0</v>
      </c>
      <c r="D1" s="338"/>
      <c r="E1" s="338"/>
      <c r="F1" s="339" t="str">
        <f>IF(E2="","",CONCATENATE(LEFT(E2,1),MID(E2,SEARCH(" ",E2)+1,1),TEXT(O1,"DD"),TEXT(O1,"MM"),"-",IF(K1="",1,K1)))</f>
        <v>EZ2603-1</v>
      </c>
      <c r="G1" s="340"/>
      <c r="H1" s="341"/>
      <c r="I1" s="354" t="s">
        <v>1</v>
      </c>
      <c r="J1" s="355"/>
      <c r="K1" s="232"/>
      <c r="L1" s="328" t="s">
        <v>2</v>
      </c>
      <c r="M1" s="356"/>
      <c r="N1" s="356"/>
      <c r="O1" s="357">
        <v>45742</v>
      </c>
      <c r="P1" s="357"/>
      <c r="Q1" s="357"/>
      <c r="R1" s="358"/>
      <c r="S1" s="402" t="s">
        <v>3</v>
      </c>
      <c r="T1" s="403"/>
      <c r="U1" s="408" t="s">
        <v>4</v>
      </c>
      <c r="V1" s="409"/>
      <c r="W1" s="409"/>
      <c r="X1" s="409"/>
      <c r="Y1" s="410"/>
      <c r="Z1" s="303" t="s">
        <v>5</v>
      </c>
      <c r="AA1" s="304"/>
      <c r="AB1" s="304"/>
      <c r="AC1" s="304"/>
      <c r="AD1" s="304"/>
      <c r="AE1" s="304"/>
    </row>
    <row r="2" spans="1:31" ht="23.25" customHeight="1">
      <c r="A2" s="367"/>
      <c r="B2" s="368"/>
      <c r="C2" s="371" t="s">
        <v>6</v>
      </c>
      <c r="D2" s="372"/>
      <c r="E2" s="373" t="s">
        <v>1347</v>
      </c>
      <c r="F2" s="374"/>
      <c r="G2" s="374"/>
      <c r="H2" s="374"/>
      <c r="I2" s="374"/>
      <c r="J2" s="374"/>
      <c r="K2" s="375"/>
      <c r="L2" s="326" t="s">
        <v>7</v>
      </c>
      <c r="M2" s="327"/>
      <c r="N2" s="328"/>
      <c r="O2" s="329">
        <f>IF(E2="","",INDEX(Listas!H2:I30,MATCH('Soli_citud '!E2,Intructores,0),2))</f>
        <v>70323724</v>
      </c>
      <c r="P2" s="329"/>
      <c r="Q2" s="329"/>
      <c r="R2" s="330"/>
      <c r="S2" s="404"/>
      <c r="T2" s="405"/>
      <c r="U2" s="408"/>
      <c r="V2" s="409"/>
      <c r="W2" s="409"/>
      <c r="X2" s="409"/>
      <c r="Y2" s="410"/>
      <c r="Z2" s="303"/>
      <c r="AA2" s="304"/>
      <c r="AB2" s="304"/>
      <c r="AC2" s="304"/>
      <c r="AD2" s="304"/>
      <c r="AE2" s="304"/>
    </row>
    <row r="3" spans="1:31" ht="24.75" customHeight="1">
      <c r="A3" s="369"/>
      <c r="B3" s="370"/>
      <c r="C3" s="387" t="s">
        <v>8</v>
      </c>
      <c r="D3" s="388"/>
      <c r="E3" s="389" t="s">
        <v>9</v>
      </c>
      <c r="F3" s="390"/>
      <c r="G3" s="390"/>
      <c r="H3" s="390"/>
      <c r="I3" s="390"/>
      <c r="J3" s="390"/>
      <c r="K3" s="391"/>
      <c r="L3" s="326" t="s">
        <v>10</v>
      </c>
      <c r="M3" s="327"/>
      <c r="N3" s="328"/>
      <c r="O3" s="313">
        <v>3051558</v>
      </c>
      <c r="P3" s="331"/>
      <c r="Q3" s="331"/>
      <c r="R3" s="331"/>
      <c r="S3" s="404" t="s">
        <v>11</v>
      </c>
      <c r="T3" s="405"/>
      <c r="U3" s="408"/>
      <c r="V3" s="409"/>
      <c r="W3" s="409"/>
      <c r="X3" s="409"/>
      <c r="Y3" s="410"/>
      <c r="Z3" s="303"/>
      <c r="AA3" s="304"/>
      <c r="AB3" s="304"/>
      <c r="AC3" s="304"/>
      <c r="AD3" s="304"/>
      <c r="AE3" s="304"/>
    </row>
    <row r="4" spans="1:31" ht="30.75" customHeight="1">
      <c r="A4" s="364" t="s">
        <v>12</v>
      </c>
      <c r="B4" s="364"/>
      <c r="C4" s="364"/>
      <c r="D4" s="359" t="s">
        <v>1390</v>
      </c>
      <c r="E4" s="360"/>
      <c r="F4" s="360"/>
      <c r="G4" s="360"/>
      <c r="H4" s="360"/>
      <c r="I4" s="360"/>
      <c r="J4" s="360"/>
      <c r="K4" s="360"/>
      <c r="L4" s="361" t="s">
        <v>13</v>
      </c>
      <c r="M4" s="361"/>
      <c r="N4" s="361"/>
      <c r="O4" s="362" t="s">
        <v>14</v>
      </c>
      <c r="P4" s="363"/>
      <c r="Q4" s="363"/>
      <c r="R4" s="363"/>
      <c r="S4" s="404"/>
      <c r="T4" s="405"/>
      <c r="U4" s="408"/>
      <c r="V4" s="409"/>
      <c r="W4" s="409"/>
      <c r="X4" s="409"/>
      <c r="Y4" s="410"/>
      <c r="Z4" s="303"/>
      <c r="AA4" s="304"/>
      <c r="AB4" s="304"/>
      <c r="AC4" s="304"/>
      <c r="AD4" s="304"/>
      <c r="AE4" s="304"/>
    </row>
    <row r="5" spans="1:31" ht="29.25" customHeight="1">
      <c r="A5" s="392" t="s">
        <v>15</v>
      </c>
      <c r="B5" s="392"/>
      <c r="C5" s="392"/>
      <c r="D5" s="393">
        <f>IF(K5="","",(SUM(W10:Y28)-(SUMIF(U10:V28,"Restar_Pedido",W10:Y28)))/$K$5)</f>
        <v>3092.6412882933892</v>
      </c>
      <c r="E5" s="394"/>
      <c r="F5" s="395"/>
      <c r="G5" s="371" t="s">
        <v>16</v>
      </c>
      <c r="H5" s="396"/>
      <c r="I5" s="396"/>
      <c r="J5" s="372"/>
      <c r="K5" s="335">
        <v>10</v>
      </c>
      <c r="L5" s="335"/>
      <c r="M5" s="336" t="s">
        <v>17</v>
      </c>
      <c r="N5" s="336"/>
      <c r="O5" s="332">
        <f>IFERROR(IF(K5=0,"",D5*K5),"")</f>
        <v>30926.412882933892</v>
      </c>
      <c r="P5" s="333"/>
      <c r="Q5" s="333"/>
      <c r="R5" s="333"/>
      <c r="S5" s="406" t="s">
        <v>18</v>
      </c>
      <c r="T5" s="407"/>
      <c r="U5" s="408"/>
      <c r="V5" s="409"/>
      <c r="W5" s="409"/>
      <c r="X5" s="409"/>
      <c r="Y5" s="410"/>
      <c r="Z5" s="303"/>
      <c r="AA5" s="304"/>
      <c r="AB5" s="304"/>
      <c r="AC5" s="304"/>
      <c r="AD5" s="304"/>
      <c r="AE5" s="304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8"/>
      <c r="V6" s="409"/>
      <c r="W6" s="409"/>
      <c r="X6" s="409"/>
      <c r="Y6" s="410"/>
      <c r="Z6" s="303"/>
      <c r="AA6" s="304"/>
      <c r="AB6" s="304"/>
      <c r="AC6" s="304"/>
      <c r="AD6" s="304"/>
      <c r="AE6" s="304"/>
    </row>
    <row r="7" spans="1:31" ht="24" customHeight="1" thickBot="1">
      <c r="A7" s="376" t="s">
        <v>19</v>
      </c>
      <c r="B7" s="376"/>
      <c r="C7" s="377"/>
      <c r="D7" s="378" t="s">
        <v>20</v>
      </c>
      <c r="E7" s="379"/>
      <c r="F7" s="379"/>
      <c r="G7" s="379"/>
      <c r="H7" s="379"/>
      <c r="I7" s="379"/>
      <c r="J7" s="379"/>
      <c r="K7" s="379"/>
      <c r="L7" s="379"/>
      <c r="M7" s="379"/>
      <c r="N7" s="380"/>
      <c r="O7" s="384" t="s">
        <v>21</v>
      </c>
      <c r="P7" s="320"/>
      <c r="Q7" s="385" t="s">
        <v>22</v>
      </c>
      <c r="R7" s="386"/>
      <c r="S7" s="404"/>
      <c r="T7" s="405"/>
      <c r="U7" s="411"/>
      <c r="V7" s="412"/>
      <c r="W7" s="412"/>
      <c r="X7" s="412"/>
      <c r="Y7" s="413"/>
      <c r="Z7" s="303"/>
      <c r="AA7" s="304"/>
      <c r="AB7" s="304"/>
      <c r="AC7" s="304"/>
      <c r="AD7" s="304"/>
      <c r="AE7" s="304"/>
    </row>
    <row r="8" spans="1:31" ht="18.75" customHeight="1" thickBot="1">
      <c r="A8" s="376"/>
      <c r="B8" s="376"/>
      <c r="C8" s="377"/>
      <c r="D8" s="381"/>
      <c r="E8" s="382"/>
      <c r="F8" s="382"/>
      <c r="G8" s="382"/>
      <c r="H8" s="382"/>
      <c r="I8" s="382"/>
      <c r="J8" s="382"/>
      <c r="K8" s="382"/>
      <c r="L8" s="382"/>
      <c r="M8" s="382"/>
      <c r="N8" s="383"/>
      <c r="O8" s="384"/>
      <c r="P8" s="320"/>
      <c r="Q8" s="385"/>
      <c r="R8" s="385"/>
      <c r="S8" s="322" t="s">
        <v>23</v>
      </c>
      <c r="T8" s="322"/>
      <c r="U8" s="323"/>
      <c r="V8" s="324">
        <f>IF(K5="","",1/K5)</f>
        <v>0.1</v>
      </c>
      <c r="W8" s="325"/>
      <c r="X8" s="103"/>
      <c r="Y8" s="104">
        <f>IFERROR((V8*X8)," ")</f>
        <v>0</v>
      </c>
      <c r="Z8" s="303"/>
      <c r="AA8" s="304"/>
      <c r="AB8" s="304"/>
      <c r="AC8" s="304"/>
      <c r="AD8" s="304"/>
      <c r="AE8" s="304"/>
    </row>
    <row r="9" spans="1:31" ht="12" customHeight="1">
      <c r="A9" s="334"/>
      <c r="B9" s="334"/>
      <c r="C9" s="334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21" t="s">
        <v>24</v>
      </c>
      <c r="T9" s="321"/>
      <c r="U9" s="320" t="s">
        <v>25</v>
      </c>
      <c r="V9" s="320"/>
      <c r="W9" s="320" t="s">
        <v>26</v>
      </c>
      <c r="X9" s="320"/>
      <c r="Y9" s="320"/>
    </row>
    <row r="10" spans="1:31" ht="17.25" customHeight="1">
      <c r="A10" s="306" t="s">
        <v>40</v>
      </c>
      <c r="B10" s="306"/>
      <c r="C10" s="307"/>
      <c r="D10" s="397" t="s">
        <v>709</v>
      </c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O10" s="311" t="str">
        <f t="shared" ref="O10:O31" si="0">IFERROR(IF(D10="","",INDEX(Tabla_Completa,MATCH(D10,Materiales,0),6)),"")</f>
        <v>U</v>
      </c>
      <c r="P10" s="312"/>
      <c r="Q10" s="313">
        <v>1</v>
      </c>
      <c r="R10" s="314"/>
      <c r="S10" s="315">
        <f>IFERROR(IF(Q10="Unidad","1",(Q10*$K$5)),"")</f>
        <v>10</v>
      </c>
      <c r="T10" s="316"/>
      <c r="U10" s="317"/>
      <c r="V10" s="400"/>
      <c r="W10" s="318">
        <f>IFERROR(IF(D10="","",INDEX(Tabla_Completa,MATCH('Soli_citud '!D10,Materiales,0),7)*S10),"")</f>
        <v>12666.666666666668</v>
      </c>
      <c r="X10" s="318"/>
      <c r="Y10" s="318"/>
      <c r="Z10" s="34"/>
      <c r="AA10" s="34"/>
      <c r="AB10" s="34"/>
      <c r="AC10" s="34"/>
      <c r="AD10" s="34"/>
      <c r="AE10" s="34"/>
    </row>
    <row r="11" spans="1:31" ht="17.25" customHeight="1">
      <c r="A11" s="305" t="s">
        <v>31</v>
      </c>
      <c r="B11" s="306"/>
      <c r="C11" s="307"/>
      <c r="D11" s="397" t="s">
        <v>110</v>
      </c>
      <c r="E11" s="398"/>
      <c r="F11" s="398"/>
      <c r="G11" s="398"/>
      <c r="H11" s="398"/>
      <c r="I11" s="398"/>
      <c r="J11" s="398"/>
      <c r="K11" s="398"/>
      <c r="L11" s="398"/>
      <c r="M11" s="398"/>
      <c r="N11" s="399"/>
      <c r="O11" s="311" t="str">
        <f t="shared" si="0"/>
        <v>ml</v>
      </c>
      <c r="P11" s="312"/>
      <c r="Q11" s="313">
        <v>20</v>
      </c>
      <c r="R11" s="314"/>
      <c r="S11" s="315">
        <f t="shared" ref="S11:S31" si="1">IFERROR(IF(Q11="Unidad","1",(Q11*$K$5)),"")</f>
        <v>200</v>
      </c>
      <c r="T11" s="316"/>
      <c r="U11" s="317"/>
      <c r="V11" s="317"/>
      <c r="W11" s="318">
        <f>IFERROR(IF(D11="","",INDEX(Tabla_Completa,MATCH('Soli_citud '!D11,Materiales,0),7)*S11),"")</f>
        <v>1500.6605019815061</v>
      </c>
      <c r="X11" s="318"/>
      <c r="Y11" s="318"/>
    </row>
    <row r="12" spans="1:31" ht="15.75" customHeight="1">
      <c r="A12" s="305" t="s">
        <v>37</v>
      </c>
      <c r="B12" s="306"/>
      <c r="C12" s="307"/>
      <c r="D12" s="401" t="s">
        <v>477</v>
      </c>
      <c r="E12" s="398"/>
      <c r="F12" s="398"/>
      <c r="G12" s="398"/>
      <c r="H12" s="398"/>
      <c r="I12" s="398"/>
      <c r="J12" s="398"/>
      <c r="K12" s="398"/>
      <c r="L12" s="398"/>
      <c r="M12" s="398"/>
      <c r="N12" s="399"/>
      <c r="O12" s="311" t="str">
        <f t="shared" ref="O12" si="2">IFERROR(IF(D12="","",INDEX(Tabla_Completa,MATCH(D12,Materiales,0),6)),"")</f>
        <v>kg</v>
      </c>
      <c r="P12" s="312"/>
      <c r="Q12" s="313">
        <v>0.4</v>
      </c>
      <c r="R12" s="314"/>
      <c r="S12" s="315">
        <f t="shared" si="1"/>
        <v>4</v>
      </c>
      <c r="T12" s="316"/>
      <c r="U12" s="317"/>
      <c r="V12" s="317"/>
      <c r="W12" s="318">
        <f>IFERROR(IF(D12="","",INDEX(Tabla_Completa,MATCH('Soli_citud '!D12,Materiales,0),7)*S12),"")</f>
        <v>0</v>
      </c>
      <c r="X12" s="318"/>
      <c r="Y12" s="318"/>
    </row>
    <row r="13" spans="1:31" ht="15.75" customHeight="1">
      <c r="A13" s="305" t="s">
        <v>40</v>
      </c>
      <c r="B13" s="306"/>
      <c r="C13" s="307"/>
      <c r="D13" s="397" t="s">
        <v>774</v>
      </c>
      <c r="E13" s="398"/>
      <c r="F13" s="398"/>
      <c r="G13" s="398"/>
      <c r="H13" s="398"/>
      <c r="I13" s="398"/>
      <c r="J13" s="398"/>
      <c r="K13" s="398"/>
      <c r="L13" s="398"/>
      <c r="M13" s="398"/>
      <c r="N13" s="399"/>
      <c r="O13" s="311" t="str">
        <f t="shared" si="0"/>
        <v>U</v>
      </c>
      <c r="P13" s="312"/>
      <c r="Q13" s="313">
        <v>1</v>
      </c>
      <c r="R13" s="314"/>
      <c r="S13" s="315">
        <f t="shared" si="1"/>
        <v>10</v>
      </c>
      <c r="T13" s="316"/>
      <c r="U13" s="317"/>
      <c r="V13" s="317"/>
      <c r="W13" s="318">
        <f>IFERROR(IF(D13="","",INDEX(Tabla_Completa,MATCH('Soli_citud '!D13,Materiales,0),7)*S13),"")</f>
        <v>12756.800000000001</v>
      </c>
      <c r="X13" s="318"/>
      <c r="Y13" s="318"/>
    </row>
    <row r="14" spans="1:31" ht="17.25" customHeight="1">
      <c r="A14" s="305" t="s">
        <v>40</v>
      </c>
      <c r="B14" s="306"/>
      <c r="C14" s="307"/>
      <c r="D14" s="397" t="s">
        <v>1389</v>
      </c>
      <c r="E14" s="398"/>
      <c r="F14" s="398"/>
      <c r="G14" s="398"/>
      <c r="H14" s="398"/>
      <c r="I14" s="398"/>
      <c r="J14" s="398"/>
      <c r="K14" s="398"/>
      <c r="L14" s="398"/>
      <c r="M14" s="398"/>
      <c r="N14" s="399"/>
      <c r="O14" s="311" t="str">
        <f t="shared" si="0"/>
        <v>m</v>
      </c>
      <c r="P14" s="312"/>
      <c r="Q14" s="313">
        <v>0.2</v>
      </c>
      <c r="R14" s="314"/>
      <c r="S14" s="315">
        <f t="shared" si="1"/>
        <v>2</v>
      </c>
      <c r="T14" s="316"/>
      <c r="U14" s="317"/>
      <c r="V14" s="317"/>
      <c r="W14" s="318" t="str">
        <f>IFERROR(IF(D14="","",INDEX(Tabla_Completa,MATCH('Soli_citud '!D14,Materiales,0),7)*S14),"")</f>
        <v/>
      </c>
      <c r="X14" s="318"/>
      <c r="Y14" s="318"/>
    </row>
    <row r="15" spans="1:31" ht="15.75" customHeight="1">
      <c r="A15" s="305" t="s">
        <v>50</v>
      </c>
      <c r="B15" s="306"/>
      <c r="C15" s="307"/>
      <c r="D15" s="397" t="s">
        <v>902</v>
      </c>
      <c r="E15" s="398"/>
      <c r="F15" s="398"/>
      <c r="G15" s="398"/>
      <c r="H15" s="398"/>
      <c r="I15" s="398"/>
      <c r="J15" s="398"/>
      <c r="K15" s="398"/>
      <c r="L15" s="398"/>
      <c r="M15" s="398"/>
      <c r="N15" s="399"/>
      <c r="O15" s="311" t="str">
        <f t="shared" si="0"/>
        <v>cm2</v>
      </c>
      <c r="P15" s="312"/>
      <c r="Q15" s="313">
        <v>200</v>
      </c>
      <c r="R15" s="314"/>
      <c r="S15" s="315">
        <f t="shared" si="1"/>
        <v>2000</v>
      </c>
      <c r="T15" s="316"/>
      <c r="U15" s="317"/>
      <c r="V15" s="317"/>
      <c r="W15" s="318">
        <f>IFERROR(IF(D15="","",INDEX(Tabla_Completa,MATCH('Soli_citud '!D15,Materiales,0),7)*S15),"")</f>
        <v>4002.2857142857147</v>
      </c>
      <c r="X15" s="318"/>
      <c r="Y15" s="318"/>
    </row>
    <row r="16" spans="1:31" ht="15.75" customHeight="1">
      <c r="A16" s="305"/>
      <c r="B16" s="306"/>
      <c r="C16" s="307"/>
      <c r="D16" s="397"/>
      <c r="E16" s="398"/>
      <c r="F16" s="398"/>
      <c r="G16" s="398"/>
      <c r="H16" s="398"/>
      <c r="I16" s="398"/>
      <c r="J16" s="398"/>
      <c r="K16" s="398"/>
      <c r="L16" s="398"/>
      <c r="M16" s="398"/>
      <c r="N16" s="399"/>
      <c r="O16" s="311" t="str">
        <f t="shared" si="0"/>
        <v/>
      </c>
      <c r="P16" s="312"/>
      <c r="Q16" s="313"/>
      <c r="R16" s="314"/>
      <c r="S16" s="315">
        <f t="shared" si="1"/>
        <v>0</v>
      </c>
      <c r="T16" s="316"/>
      <c r="U16" s="317"/>
      <c r="V16" s="317"/>
      <c r="W16" s="318" t="str">
        <f>IFERROR(IF(D16="","",INDEX(Tabla_Completa,MATCH('Soli_citud '!D16,Materiales,0),7)*S16),"")</f>
        <v/>
      </c>
      <c r="X16" s="318"/>
      <c r="Y16" s="318"/>
    </row>
    <row r="17" spans="1:25" ht="15.75" customHeight="1">
      <c r="A17" s="305"/>
      <c r="B17" s="306"/>
      <c r="C17" s="307"/>
      <c r="D17" s="397"/>
      <c r="E17" s="398"/>
      <c r="F17" s="398"/>
      <c r="G17" s="398"/>
      <c r="H17" s="398"/>
      <c r="I17" s="398"/>
      <c r="J17" s="398"/>
      <c r="K17" s="398"/>
      <c r="L17" s="398"/>
      <c r="M17" s="398"/>
      <c r="N17" s="399"/>
      <c r="O17" s="311" t="str">
        <f t="shared" si="0"/>
        <v/>
      </c>
      <c r="P17" s="312"/>
      <c r="Q17" s="313"/>
      <c r="R17" s="314"/>
      <c r="S17" s="315">
        <f t="shared" si="1"/>
        <v>0</v>
      </c>
      <c r="T17" s="316"/>
      <c r="U17" s="317"/>
      <c r="V17" s="317"/>
      <c r="W17" s="318" t="str">
        <f>IFERROR(IF(D17="","",INDEX(Tabla_Completa,MATCH('Soli_citud '!D17,Materiales,0),7)*S17),"")</f>
        <v/>
      </c>
      <c r="X17" s="318"/>
      <c r="Y17" s="318"/>
    </row>
    <row r="18" spans="1:25" ht="15.75" customHeight="1">
      <c r="A18" s="305"/>
      <c r="B18" s="306"/>
      <c r="C18" s="307"/>
      <c r="D18" s="397"/>
      <c r="E18" s="398"/>
      <c r="F18" s="398"/>
      <c r="G18" s="398"/>
      <c r="H18" s="398"/>
      <c r="I18" s="398"/>
      <c r="J18" s="398"/>
      <c r="K18" s="398"/>
      <c r="L18" s="398"/>
      <c r="M18" s="398"/>
      <c r="N18" s="399"/>
      <c r="O18" s="311" t="str">
        <f t="shared" si="0"/>
        <v/>
      </c>
      <c r="P18" s="312"/>
      <c r="Q18" s="313"/>
      <c r="R18" s="314"/>
      <c r="S18" s="315">
        <f t="shared" si="1"/>
        <v>0</v>
      </c>
      <c r="T18" s="316"/>
      <c r="U18" s="317"/>
      <c r="V18" s="317"/>
      <c r="W18" s="318" t="str">
        <f>IFERROR(IF(D18="","",INDEX(Tabla_Completa,MATCH('Soli_citud '!D18,Materiales,0),7)*S18),"")</f>
        <v/>
      </c>
      <c r="X18" s="318"/>
      <c r="Y18" s="318"/>
    </row>
    <row r="19" spans="1:25" ht="15.75">
      <c r="A19" s="305"/>
      <c r="B19" s="306"/>
      <c r="C19" s="307"/>
      <c r="D19" s="308"/>
      <c r="E19" s="309"/>
      <c r="F19" s="309"/>
      <c r="G19" s="309"/>
      <c r="H19" s="309"/>
      <c r="I19" s="309"/>
      <c r="J19" s="309"/>
      <c r="K19" s="309"/>
      <c r="L19" s="309"/>
      <c r="M19" s="309"/>
      <c r="N19" s="310"/>
      <c r="O19" s="311" t="str">
        <f t="shared" si="0"/>
        <v/>
      </c>
      <c r="P19" s="312"/>
      <c r="Q19" s="313"/>
      <c r="R19" s="314"/>
      <c r="S19" s="315">
        <f t="shared" si="1"/>
        <v>0</v>
      </c>
      <c r="T19" s="316"/>
      <c r="U19" s="317"/>
      <c r="V19" s="317"/>
      <c r="W19" s="318" t="str">
        <f>IFERROR(IF(D19="","",INDEX(Tabla_Completa,MATCH('Soli_citud '!D19,Materiales,0),7)*S19),"")</f>
        <v/>
      </c>
      <c r="X19" s="318"/>
      <c r="Y19" s="318"/>
    </row>
    <row r="20" spans="1:25" ht="15.75">
      <c r="A20" s="305"/>
      <c r="B20" s="306"/>
      <c r="C20" s="307"/>
      <c r="D20" s="308"/>
      <c r="E20" s="309"/>
      <c r="F20" s="309"/>
      <c r="G20" s="309"/>
      <c r="H20" s="309"/>
      <c r="I20" s="309"/>
      <c r="J20" s="309"/>
      <c r="K20" s="309"/>
      <c r="L20" s="309"/>
      <c r="M20" s="309"/>
      <c r="N20" s="310"/>
      <c r="O20" s="311" t="str">
        <f>IFERROR(IF(D20="","",INDEX(Tabla_Completa,MATCH(D20,Materiales,0),6)),"")</f>
        <v/>
      </c>
      <c r="P20" s="312"/>
      <c r="Q20" s="313"/>
      <c r="R20" s="314"/>
      <c r="S20" s="315">
        <f t="shared" si="1"/>
        <v>0</v>
      </c>
      <c r="T20" s="316"/>
      <c r="U20" s="317"/>
      <c r="V20" s="317"/>
      <c r="W20" s="318" t="str">
        <f>IFERROR(IF(D20="","",INDEX(Tabla_Completa,MATCH('Soli_citud '!D20,Materiales,0),7)*S20),"")</f>
        <v/>
      </c>
      <c r="X20" s="318"/>
      <c r="Y20" s="318"/>
    </row>
    <row r="21" spans="1:25" ht="15.75">
      <c r="A21" s="305"/>
      <c r="B21" s="306"/>
      <c r="C21" s="307"/>
      <c r="D21" s="308"/>
      <c r="E21" s="309"/>
      <c r="F21" s="309"/>
      <c r="G21" s="309"/>
      <c r="H21" s="309"/>
      <c r="I21" s="309"/>
      <c r="J21" s="309"/>
      <c r="K21" s="309"/>
      <c r="L21" s="309"/>
      <c r="M21" s="309"/>
      <c r="N21" s="310"/>
      <c r="O21" s="311" t="str">
        <f>IFERROR(IF(D21="","",INDEX(Tabla_Completa,MATCH(D21,Materiales,0),6)),"")</f>
        <v/>
      </c>
      <c r="P21" s="312"/>
      <c r="Q21" s="313"/>
      <c r="R21" s="314"/>
      <c r="S21" s="315">
        <f t="shared" si="1"/>
        <v>0</v>
      </c>
      <c r="T21" s="316"/>
      <c r="U21" s="317"/>
      <c r="V21" s="317"/>
      <c r="W21" s="318" t="str">
        <f>IFERROR(IF(D21="","",INDEX(Tabla_Completa,MATCH('Soli_citud '!D21,Materiales,0),7)*S21),"")</f>
        <v/>
      </c>
      <c r="X21" s="318"/>
      <c r="Y21" s="318"/>
    </row>
    <row r="22" spans="1:25" ht="15.75">
      <c r="A22" s="305"/>
      <c r="B22" s="306"/>
      <c r="C22" s="307"/>
      <c r="D22" s="308"/>
      <c r="E22" s="309"/>
      <c r="F22" s="309"/>
      <c r="G22" s="309"/>
      <c r="H22" s="309"/>
      <c r="I22" s="309"/>
      <c r="J22" s="309"/>
      <c r="K22" s="309"/>
      <c r="L22" s="309"/>
      <c r="M22" s="309"/>
      <c r="N22" s="310"/>
      <c r="O22" s="311" t="str">
        <f t="shared" si="0"/>
        <v/>
      </c>
      <c r="P22" s="312"/>
      <c r="Q22" s="313"/>
      <c r="R22" s="314"/>
      <c r="S22" s="315">
        <f t="shared" si="1"/>
        <v>0</v>
      </c>
      <c r="T22" s="316"/>
      <c r="U22" s="317"/>
      <c r="V22" s="317"/>
      <c r="W22" s="318" t="str">
        <f>IFERROR(IF(D22="","",INDEX(Tabla_Completa,MATCH('Soli_citud '!D22,Materiales,0),7)*S22),"")</f>
        <v/>
      </c>
      <c r="X22" s="318"/>
      <c r="Y22" s="318"/>
    </row>
    <row r="23" spans="1:25" ht="15.75">
      <c r="A23" s="305"/>
      <c r="B23" s="306"/>
      <c r="C23" s="307"/>
      <c r="D23" s="308"/>
      <c r="E23" s="309"/>
      <c r="F23" s="309"/>
      <c r="G23" s="309"/>
      <c r="H23" s="309"/>
      <c r="I23" s="309"/>
      <c r="J23" s="309"/>
      <c r="K23" s="309"/>
      <c r="L23" s="309"/>
      <c r="M23" s="309"/>
      <c r="N23" s="310"/>
      <c r="O23" s="311" t="str">
        <f t="shared" si="0"/>
        <v/>
      </c>
      <c r="P23" s="312"/>
      <c r="Q23" s="313"/>
      <c r="R23" s="314"/>
      <c r="S23" s="315">
        <f t="shared" si="1"/>
        <v>0</v>
      </c>
      <c r="T23" s="316"/>
      <c r="U23" s="317"/>
      <c r="V23" s="317"/>
      <c r="W23" s="318" t="str">
        <f>IFERROR(IF(D23="","",INDEX(Tabla_Completa,MATCH('Soli_citud '!D23,Materiales,0),7)*S23),"")</f>
        <v/>
      </c>
      <c r="X23" s="318"/>
      <c r="Y23" s="318"/>
    </row>
    <row r="24" spans="1:25" ht="15.75">
      <c r="A24" s="305"/>
      <c r="B24" s="306"/>
      <c r="C24" s="307"/>
      <c r="D24" s="308"/>
      <c r="E24" s="309"/>
      <c r="F24" s="309"/>
      <c r="G24" s="309"/>
      <c r="H24" s="309"/>
      <c r="I24" s="309"/>
      <c r="J24" s="309"/>
      <c r="K24" s="309"/>
      <c r="L24" s="309"/>
      <c r="M24" s="309"/>
      <c r="N24" s="310"/>
      <c r="O24" s="311" t="str">
        <f t="shared" si="0"/>
        <v/>
      </c>
      <c r="P24" s="312"/>
      <c r="Q24" s="313"/>
      <c r="R24" s="314"/>
      <c r="S24" s="315">
        <f t="shared" si="1"/>
        <v>0</v>
      </c>
      <c r="T24" s="316"/>
      <c r="U24" s="317"/>
      <c r="V24" s="317"/>
      <c r="W24" s="318" t="str">
        <f>IFERROR(IF(D24="","",INDEX(Tabla_Completa,MATCH('Soli_citud '!D24,Materiales,0),7)*S24),"")</f>
        <v/>
      </c>
      <c r="X24" s="318"/>
      <c r="Y24" s="318"/>
    </row>
    <row r="25" spans="1:25" ht="15.75">
      <c r="A25" s="305"/>
      <c r="B25" s="306"/>
      <c r="C25" s="307"/>
      <c r="D25" s="308"/>
      <c r="E25" s="309"/>
      <c r="F25" s="309"/>
      <c r="G25" s="309"/>
      <c r="H25" s="309"/>
      <c r="I25" s="309"/>
      <c r="J25" s="309"/>
      <c r="K25" s="309"/>
      <c r="L25" s="309"/>
      <c r="M25" s="309"/>
      <c r="N25" s="310"/>
      <c r="O25" s="311" t="str">
        <f t="shared" si="0"/>
        <v/>
      </c>
      <c r="P25" s="312"/>
      <c r="Q25" s="313"/>
      <c r="R25" s="314"/>
      <c r="S25" s="315">
        <f t="shared" si="1"/>
        <v>0</v>
      </c>
      <c r="T25" s="316"/>
      <c r="U25" s="317"/>
      <c r="V25" s="317"/>
      <c r="W25" s="318" t="str">
        <f>IFERROR(IF(D25="","",INDEX(Tabla_Completa,MATCH('Soli_citud '!D25,Materiales,0),7)*S25),"")</f>
        <v/>
      </c>
      <c r="X25" s="318"/>
      <c r="Y25" s="318"/>
    </row>
    <row r="26" spans="1:25" ht="15.75">
      <c r="A26" s="305"/>
      <c r="B26" s="306"/>
      <c r="C26" s="307"/>
      <c r="D26" s="308"/>
      <c r="E26" s="309"/>
      <c r="F26" s="309"/>
      <c r="G26" s="309"/>
      <c r="H26" s="309"/>
      <c r="I26" s="309"/>
      <c r="J26" s="309"/>
      <c r="K26" s="309"/>
      <c r="L26" s="309"/>
      <c r="M26" s="309"/>
      <c r="N26" s="310"/>
      <c r="O26" s="311" t="str">
        <f t="shared" si="0"/>
        <v/>
      </c>
      <c r="P26" s="312"/>
      <c r="Q26" s="313"/>
      <c r="R26" s="314"/>
      <c r="S26" s="315">
        <f t="shared" si="1"/>
        <v>0</v>
      </c>
      <c r="T26" s="316"/>
      <c r="U26" s="317"/>
      <c r="V26" s="317"/>
      <c r="W26" s="318" t="str">
        <f>IFERROR(IF(D26="","",INDEX(Tabla_Completa,MATCH('Soli_citud '!D26,Materiales,0),7)*S26),"")</f>
        <v/>
      </c>
      <c r="X26" s="318"/>
      <c r="Y26" s="318"/>
    </row>
    <row r="27" spans="1:25" ht="15.75">
      <c r="A27" s="305"/>
      <c r="B27" s="306"/>
      <c r="C27" s="307"/>
      <c r="D27" s="308"/>
      <c r="E27" s="309"/>
      <c r="F27" s="309"/>
      <c r="G27" s="309"/>
      <c r="H27" s="309"/>
      <c r="I27" s="309"/>
      <c r="J27" s="309"/>
      <c r="K27" s="309"/>
      <c r="L27" s="309"/>
      <c r="M27" s="309"/>
      <c r="N27" s="310"/>
      <c r="O27" s="311" t="str">
        <f t="shared" si="0"/>
        <v/>
      </c>
      <c r="P27" s="312"/>
      <c r="Q27" s="313"/>
      <c r="R27" s="314"/>
      <c r="S27" s="315">
        <f t="shared" si="1"/>
        <v>0</v>
      </c>
      <c r="T27" s="316"/>
      <c r="U27" s="317"/>
      <c r="V27" s="317"/>
      <c r="W27" s="318" t="str">
        <f>IFERROR(IF(D27="","",INDEX(Tabla_Completa,MATCH('Soli_citud '!D27,Materiales,0),7)*S27),"")</f>
        <v/>
      </c>
      <c r="X27" s="318"/>
      <c r="Y27" s="318"/>
    </row>
    <row r="28" spans="1:25" ht="15.75">
      <c r="A28" s="305"/>
      <c r="B28" s="306"/>
      <c r="C28" s="307"/>
      <c r="D28" s="308"/>
      <c r="E28" s="309"/>
      <c r="F28" s="309"/>
      <c r="G28" s="309"/>
      <c r="H28" s="309"/>
      <c r="I28" s="309"/>
      <c r="J28" s="309"/>
      <c r="K28" s="309"/>
      <c r="L28" s="309"/>
      <c r="M28" s="309"/>
      <c r="N28" s="310"/>
      <c r="O28" s="311" t="str">
        <f t="shared" si="0"/>
        <v/>
      </c>
      <c r="P28" s="312"/>
      <c r="Q28" s="313"/>
      <c r="R28" s="314"/>
      <c r="S28" s="315">
        <f t="shared" si="1"/>
        <v>0</v>
      </c>
      <c r="T28" s="316"/>
      <c r="U28" s="317"/>
      <c r="V28" s="317"/>
      <c r="W28" s="318" t="str">
        <f>IFERROR(IF(D28="","",INDEX(Tabla_Completa,MATCH('Soli_citud '!D28,Materiales,0),7)*S28),"")</f>
        <v/>
      </c>
      <c r="X28" s="318"/>
      <c r="Y28" s="318"/>
    </row>
    <row r="29" spans="1:25" ht="15.75">
      <c r="A29" s="305"/>
      <c r="B29" s="306"/>
      <c r="C29" s="307"/>
      <c r="D29" s="308"/>
      <c r="E29" s="309"/>
      <c r="F29" s="309"/>
      <c r="G29" s="309"/>
      <c r="H29" s="309"/>
      <c r="I29" s="309"/>
      <c r="J29" s="309"/>
      <c r="K29" s="309"/>
      <c r="L29" s="309"/>
      <c r="M29" s="309"/>
      <c r="N29" s="310"/>
      <c r="O29" s="311" t="str">
        <f t="shared" si="0"/>
        <v/>
      </c>
      <c r="P29" s="312"/>
      <c r="Q29" s="313"/>
      <c r="R29" s="314"/>
      <c r="S29" s="315">
        <f t="shared" si="1"/>
        <v>0</v>
      </c>
      <c r="T29" s="316"/>
      <c r="U29" s="317"/>
      <c r="V29" s="317"/>
      <c r="W29" s="318" t="str">
        <f>IFERROR(IF(D29="","",INDEX(Tabla_Completa,MATCH('Soli_citud '!D29,Materiales,0),7)*S29),"")</f>
        <v/>
      </c>
      <c r="X29" s="318"/>
      <c r="Y29" s="318"/>
    </row>
    <row r="30" spans="1:25" ht="15.75">
      <c r="A30" s="305"/>
      <c r="B30" s="306"/>
      <c r="C30" s="307"/>
      <c r="D30" s="308"/>
      <c r="E30" s="309"/>
      <c r="F30" s="309"/>
      <c r="G30" s="309"/>
      <c r="H30" s="309"/>
      <c r="I30" s="309"/>
      <c r="J30" s="309"/>
      <c r="K30" s="309"/>
      <c r="L30" s="309"/>
      <c r="M30" s="309"/>
      <c r="N30" s="310"/>
      <c r="O30" s="311" t="str">
        <f t="shared" si="0"/>
        <v/>
      </c>
      <c r="P30" s="312"/>
      <c r="Q30" s="313"/>
      <c r="R30" s="314"/>
      <c r="S30" s="315">
        <f t="shared" si="1"/>
        <v>0</v>
      </c>
      <c r="T30" s="316"/>
      <c r="U30" s="317"/>
      <c r="V30" s="317"/>
      <c r="W30" s="318" t="str">
        <f>IFERROR(IF(D30="","",INDEX(Tabla_Completa,MATCH('Soli_citud '!D30,Materiales,0),7)*S30),"")</f>
        <v/>
      </c>
      <c r="X30" s="318"/>
      <c r="Y30" s="318"/>
    </row>
    <row r="31" spans="1:25" ht="15.75">
      <c r="A31" s="305"/>
      <c r="B31" s="306"/>
      <c r="C31" s="307"/>
      <c r="D31" s="308"/>
      <c r="E31" s="309"/>
      <c r="F31" s="309"/>
      <c r="G31" s="309"/>
      <c r="H31" s="309"/>
      <c r="I31" s="309"/>
      <c r="J31" s="309"/>
      <c r="K31" s="309"/>
      <c r="L31" s="309"/>
      <c r="M31" s="309"/>
      <c r="N31" s="310"/>
      <c r="O31" s="311" t="str">
        <f t="shared" si="0"/>
        <v/>
      </c>
      <c r="P31" s="312"/>
      <c r="Q31" s="313"/>
      <c r="R31" s="314"/>
      <c r="S31" s="315">
        <f t="shared" si="1"/>
        <v>0</v>
      </c>
      <c r="T31" s="316"/>
      <c r="U31" s="317"/>
      <c r="V31" s="317"/>
      <c r="W31" s="318" t="str">
        <f>IFERROR(IF(D31="","",INDEX(Tabla_Completa,MATCH('Soli_citud '!D31,Materiales,0),7)*S31),"")</f>
        <v/>
      </c>
      <c r="X31" s="318"/>
      <c r="Y31" s="318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43" t="s">
        <v>27</v>
      </c>
      <c r="B39" s="343"/>
      <c r="C39" s="343"/>
      <c r="D39" s="344" t="s">
        <v>28</v>
      </c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9" t="s">
        <v>30</v>
      </c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N44" s="352" t="s">
        <v>31</v>
      </c>
      <c r="O44" s="352"/>
      <c r="P44" s="352"/>
      <c r="Q44" s="352"/>
      <c r="R44" s="349" t="s">
        <v>32</v>
      </c>
      <c r="S44" s="349"/>
      <c r="T44" s="349"/>
      <c r="U44" s="349"/>
      <c r="V44" s="349"/>
      <c r="W44" s="349"/>
      <c r="X44" s="349"/>
    </row>
    <row r="45" spans="1:24" ht="29.25" customHeight="1">
      <c r="A45" s="342" t="s">
        <v>33</v>
      </c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N45" s="352" t="s">
        <v>34</v>
      </c>
      <c r="O45" s="352"/>
      <c r="P45" s="352"/>
      <c r="Q45" s="352"/>
      <c r="R45" s="350" t="s">
        <v>35</v>
      </c>
      <c r="S45" s="350"/>
      <c r="T45" s="350"/>
      <c r="U45" s="350"/>
      <c r="V45" s="350"/>
      <c r="W45" s="350"/>
      <c r="X45" s="350"/>
    </row>
    <row r="46" spans="1:24" ht="31.5" customHeight="1">
      <c r="A46" s="345" t="s">
        <v>36</v>
      </c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  <c r="N46" s="352" t="s">
        <v>37</v>
      </c>
      <c r="O46" s="352"/>
      <c r="P46" s="352"/>
      <c r="Q46" s="352"/>
      <c r="R46" s="351" t="s">
        <v>38</v>
      </c>
      <c r="S46" s="351"/>
      <c r="T46" s="351"/>
      <c r="U46" s="351"/>
      <c r="V46" s="351"/>
      <c r="W46" s="351"/>
      <c r="X46" s="351"/>
    </row>
    <row r="47" spans="1:24" ht="28.5" customHeight="1">
      <c r="A47" s="346" t="s">
        <v>39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N47" s="352" t="s">
        <v>40</v>
      </c>
      <c r="O47" s="352"/>
      <c r="P47" s="352"/>
      <c r="Q47" s="352"/>
      <c r="R47" s="351" t="s">
        <v>41</v>
      </c>
      <c r="S47" s="351"/>
      <c r="T47" s="351"/>
      <c r="U47" s="351"/>
      <c r="V47" s="351"/>
      <c r="W47" s="351"/>
      <c r="X47" s="351"/>
    </row>
    <row r="48" spans="1:24" ht="42.75" customHeight="1">
      <c r="A48" s="347" t="s">
        <v>42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N48" s="352" t="s">
        <v>43</v>
      </c>
      <c r="O48" s="352"/>
      <c r="P48" s="352"/>
      <c r="Q48" s="352"/>
      <c r="R48" s="351" t="s">
        <v>44</v>
      </c>
      <c r="S48" s="351"/>
      <c r="T48" s="351"/>
      <c r="U48" s="351"/>
      <c r="V48" s="351"/>
      <c r="W48" s="351"/>
      <c r="X48" s="351"/>
    </row>
    <row r="49" spans="1:24" ht="36" customHeight="1">
      <c r="A49" s="347" t="s">
        <v>45</v>
      </c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N49" s="353" t="s">
        <v>46</v>
      </c>
      <c r="O49" s="353"/>
      <c r="P49" s="353"/>
      <c r="Q49" s="353"/>
      <c r="R49" s="350" t="s">
        <v>47</v>
      </c>
      <c r="S49" s="350"/>
      <c r="T49" s="350"/>
      <c r="U49" s="350"/>
      <c r="V49" s="350"/>
      <c r="W49" s="350"/>
      <c r="X49" s="350"/>
    </row>
    <row r="50" spans="1:24" ht="15.75">
      <c r="A50" s="348"/>
      <c r="B50" s="348"/>
      <c r="C50" s="348"/>
      <c r="D50" s="348"/>
      <c r="N50" s="352" t="s">
        <v>48</v>
      </c>
      <c r="O50" s="352"/>
      <c r="P50" s="352"/>
      <c r="Q50" s="352"/>
      <c r="R50" s="351" t="s">
        <v>49</v>
      </c>
      <c r="S50" s="351"/>
      <c r="T50" s="351"/>
      <c r="U50" s="351"/>
      <c r="V50" s="351"/>
      <c r="W50" s="351"/>
      <c r="X50" s="351"/>
    </row>
    <row r="51" spans="1:24" ht="15.75">
      <c r="N51" s="352" t="s">
        <v>50</v>
      </c>
      <c r="O51" s="352"/>
      <c r="P51" s="352"/>
      <c r="Q51" s="352"/>
      <c r="R51" s="351" t="s">
        <v>51</v>
      </c>
      <c r="S51" s="351"/>
      <c r="T51" s="351"/>
      <c r="U51" s="351"/>
      <c r="V51" s="351"/>
      <c r="W51" s="351"/>
      <c r="X51" s="351"/>
    </row>
    <row r="52" spans="1:24" ht="15.75">
      <c r="N52" s="352" t="s">
        <v>52</v>
      </c>
      <c r="O52" s="352"/>
      <c r="P52" s="352"/>
      <c r="Q52" s="352"/>
      <c r="R52" s="351" t="s">
        <v>41</v>
      </c>
      <c r="S52" s="351"/>
      <c r="T52" s="351"/>
      <c r="U52" s="351"/>
      <c r="V52" s="351"/>
      <c r="W52" s="351"/>
      <c r="X52" s="35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X28zZbFLUVk3ao5JF2I3qPFdHbOObqA2i8bh7nwTkKxGAMHqq4gALLF+46Pd7mz7WPqcZzYL9sAAzIXRxxoghA==" saltValue="J5p+WVASLFJMGlaA456wPQ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opLeftCell="F1" zoomScale="95" zoomScaleNormal="95" workbookViewId="0">
      <pane ySplit="11" topLeftCell="A18" activePane="bottomLeft" state="frozen"/>
      <selection activeCell="C1" sqref="C1"/>
      <selection pane="bottomLeft" activeCell="J18" sqref="J18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6"/>
      <c r="C1" s="487"/>
      <c r="D1" s="463" t="s">
        <v>53</v>
      </c>
      <c r="E1" s="464"/>
      <c r="F1" s="464"/>
      <c r="G1" s="464"/>
      <c r="H1" s="464"/>
      <c r="I1" s="465"/>
      <c r="J1" s="492" t="s">
        <v>54</v>
      </c>
      <c r="K1" s="493"/>
      <c r="L1" s="493"/>
      <c r="M1" s="494"/>
      <c r="N1" s="495">
        <f>IF('Soli_citud '!O1="","",'Soli_citud '!O1)</f>
        <v>45742</v>
      </c>
      <c r="O1" s="496"/>
      <c r="P1" s="434" t="s">
        <v>55</v>
      </c>
      <c r="Q1" s="435"/>
      <c r="R1" s="440" t="str">
        <f>IF('Soli_citud '!D4="","",'Soli_citud '!D4)</f>
        <v>Monedero Morral</v>
      </c>
      <c r="S1" s="441"/>
      <c r="Z1" t="s">
        <v>56</v>
      </c>
      <c r="AA1" s="241" t="s">
        <v>56</v>
      </c>
    </row>
    <row r="2" spans="1:27" ht="15.75" customHeight="1" thickBot="1">
      <c r="A2" s="240"/>
      <c r="B2" s="488"/>
      <c r="C2" s="489"/>
      <c r="D2" s="466"/>
      <c r="E2" s="467"/>
      <c r="F2" s="467"/>
      <c r="G2" s="467"/>
      <c r="H2" s="467"/>
      <c r="I2" s="468"/>
      <c r="J2" s="497" t="s">
        <v>57</v>
      </c>
      <c r="K2" s="498"/>
      <c r="L2" s="498"/>
      <c r="M2" s="499"/>
      <c r="N2" s="500" t="str">
        <f>'Soli_citud '!F1</f>
        <v>EZ2603-1</v>
      </c>
      <c r="O2" s="420"/>
      <c r="P2" s="436"/>
      <c r="Q2" s="437"/>
      <c r="R2" s="442"/>
      <c r="S2" s="443"/>
    </row>
    <row r="3" spans="1:27" ht="15.75" customHeight="1">
      <c r="A3" s="240"/>
      <c r="B3" s="488"/>
      <c r="C3" s="489"/>
      <c r="D3" s="466"/>
      <c r="E3" s="467"/>
      <c r="F3" s="467"/>
      <c r="G3" s="467"/>
      <c r="H3" s="467"/>
      <c r="I3" s="468"/>
      <c r="J3" s="501" t="s">
        <v>58</v>
      </c>
      <c r="K3" s="501"/>
      <c r="L3" s="501"/>
      <c r="M3" s="501"/>
      <c r="N3" s="502">
        <f>IF('Soli_citud '!O3="","",'Soli_citud '!O3)</f>
        <v>3051558</v>
      </c>
      <c r="O3" s="503"/>
      <c r="P3" s="436"/>
      <c r="Q3" s="437"/>
      <c r="R3" s="444" t="str" cm="1">
        <f t="array" ref="R3">IFERROR(_xlfn.IFS(L4="Calzado Producción","Entrega de Producto",L4="Marroquinería  Producción","Entrega Producto"),"")</f>
        <v/>
      </c>
      <c r="S3" s="445"/>
    </row>
    <row r="4" spans="1:27" ht="15.75" customHeight="1">
      <c r="A4" s="240"/>
      <c r="B4" s="490"/>
      <c r="C4" s="491"/>
      <c r="D4" s="469"/>
      <c r="E4" s="470"/>
      <c r="F4" s="470"/>
      <c r="G4" s="470"/>
      <c r="H4" s="470"/>
      <c r="I4" s="471"/>
      <c r="J4" s="449" t="s">
        <v>59</v>
      </c>
      <c r="K4" s="449"/>
      <c r="L4" s="449"/>
      <c r="M4" s="450" t="str">
        <f>IF('Soli_citud '!O4="","",'Soli_citud '!O4)</f>
        <v>Marroquinería Formación</v>
      </c>
      <c r="N4" s="450"/>
      <c r="O4" s="451"/>
      <c r="P4" s="436"/>
      <c r="Q4" s="437"/>
      <c r="R4" s="312"/>
      <c r="S4" s="446"/>
    </row>
    <row r="5" spans="1:27" ht="2.25" customHeight="1">
      <c r="A5" s="240"/>
      <c r="P5" s="436"/>
      <c r="Q5" s="437"/>
    </row>
    <row r="6" spans="1:27" ht="27" customHeight="1">
      <c r="A6" s="240"/>
      <c r="B6" s="452" t="s">
        <v>60</v>
      </c>
      <c r="C6" s="453"/>
      <c r="D6" s="454"/>
      <c r="E6" s="458" t="s">
        <v>61</v>
      </c>
      <c r="F6" s="458"/>
      <c r="G6" s="458"/>
      <c r="H6" s="458"/>
      <c r="I6" s="459"/>
      <c r="J6" s="460"/>
      <c r="K6" s="461"/>
      <c r="L6" s="461"/>
      <c r="M6" s="461"/>
      <c r="N6" s="462"/>
      <c r="O6" s="462"/>
      <c r="P6" s="436"/>
      <c r="Q6" s="437"/>
      <c r="R6" s="422" t="str">
        <f>IF(R3="","","Valor de Producción ($)")</f>
        <v/>
      </c>
      <c r="S6" s="423"/>
    </row>
    <row r="7" spans="1:27" ht="3.75" customHeight="1">
      <c r="A7" s="240"/>
      <c r="B7" s="455"/>
      <c r="C7" s="456"/>
      <c r="D7" s="457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6"/>
      <c r="Q7" s="437"/>
      <c r="R7" s="424" t="str">
        <f>IFERROR(IF(R3="","",G9*M10),"")</f>
        <v/>
      </c>
      <c r="S7" s="425"/>
    </row>
    <row r="8" spans="1:27" ht="20.25" customHeight="1">
      <c r="A8" s="240"/>
      <c r="B8" s="426">
        <f>IF('Soli_citud '!D5&lt;= 0,"",'Soli_citud '!D5)</f>
        <v>3092.6412882933892</v>
      </c>
      <c r="C8" s="427"/>
      <c r="D8" s="428"/>
      <c r="E8" s="429" t="s">
        <v>62</v>
      </c>
      <c r="F8" s="430"/>
      <c r="G8" s="430"/>
      <c r="H8" s="430"/>
      <c r="I8" s="431"/>
      <c r="J8" s="432" t="str">
        <f>IF('Soli_citud '!E2="","",'Soli_citud '!E2)</f>
        <v>Elkin Zuelta Montoya</v>
      </c>
      <c r="K8" s="433"/>
      <c r="L8" s="433"/>
      <c r="M8" s="433"/>
      <c r="N8" s="433"/>
      <c r="O8" s="433"/>
      <c r="P8" s="436"/>
      <c r="Q8" s="437"/>
      <c r="R8" s="424"/>
      <c r="S8" s="425"/>
    </row>
    <row r="9" spans="1:27" ht="3.75" customHeight="1">
      <c r="A9" s="240"/>
      <c r="B9" s="472" t="s">
        <v>63</v>
      </c>
      <c r="C9" s="473"/>
      <c r="D9" s="476"/>
      <c r="E9" s="477" t="s">
        <v>64</v>
      </c>
      <c r="F9" s="477"/>
      <c r="G9" s="478" t="str">
        <f>IFERROR(IF(D9="","",ROUNDUP(B8*(1+D9),-2)),"")</f>
        <v/>
      </c>
      <c r="H9" s="479"/>
      <c r="I9" s="480"/>
      <c r="J9" s="105"/>
      <c r="K9" s="105"/>
      <c r="L9" s="105"/>
      <c r="M9" s="105"/>
      <c r="N9" s="105"/>
      <c r="O9" s="105"/>
      <c r="P9" s="436"/>
      <c r="Q9" s="437"/>
    </row>
    <row r="10" spans="1:27" ht="27.75" customHeight="1" thickBot="1">
      <c r="A10" s="240"/>
      <c r="B10" s="474"/>
      <c r="C10" s="475"/>
      <c r="D10" s="476"/>
      <c r="E10" s="477"/>
      <c r="F10" s="477"/>
      <c r="G10" s="481"/>
      <c r="H10" s="482"/>
      <c r="I10" s="483"/>
      <c r="J10" s="484" t="s">
        <v>65</v>
      </c>
      <c r="K10" s="484"/>
      <c r="L10" s="485"/>
      <c r="M10" s="249">
        <f>'[1]Soli_citud '!K5</f>
        <v>1</v>
      </c>
      <c r="N10" s="447" t="s">
        <v>66</v>
      </c>
      <c r="O10" s="448"/>
      <c r="P10" s="438"/>
      <c r="Q10" s="439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7" t="s">
        <v>70</v>
      </c>
      <c r="D11" s="418"/>
      <c r="E11" s="418"/>
      <c r="F11" s="419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0" t="s">
        <v>25</v>
      </c>
      <c r="M11" s="421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EZ2603-1</v>
      </c>
      <c r="C12" s="414" t="str">
        <f>IFERROR(IF('Soli_citud '!D10="","",'Soli_citud '!D10),"")</f>
        <v>LLAVE METÁLICA DE LUJO DESLIZADOR   #3 PARA CREMALLERA - PAVÓN</v>
      </c>
      <c r="D12" s="414"/>
      <c r="E12" s="414"/>
      <c r="F12" s="414"/>
      <c r="G12" s="213" t="str">
        <f>IF('Soli_citud '!O10="","",'Soli_citud '!O10)</f>
        <v>U</v>
      </c>
      <c r="H12" s="213" cm="1">
        <f t="array" ref="H12">_xlfn.IFS('Soli_citud '!S10="","",'Soli_citud '!S10&lt;=0,"",'Soli_citud '!S10&gt;0,'Soli_citud '!S10)</f>
        <v>10</v>
      </c>
      <c r="I12" s="214">
        <v>45744</v>
      </c>
      <c r="J12" s="215">
        <v>10</v>
      </c>
      <c r="K12" s="197" t="str" cm="1">
        <f t="array" ref="K12">IFERROR(_xlfn.IFS(H12="","",J12=H12,"Cumplido",J12&lt;H12,H12-J12,J12&gt;H12,"Revisar"),"")</f>
        <v>Cumplido</v>
      </c>
      <c r="L12" s="415"/>
      <c r="M12" s="41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EZ2603-1</v>
      </c>
      <c r="C13" s="414" t="str">
        <f>IFERROR(IF('Soli_citud '!D11="","",'Soli_citud '!D11),"")</f>
        <v>SOLUCIÓN DE CAUCHO</v>
      </c>
      <c r="D13" s="414"/>
      <c r="E13" s="414"/>
      <c r="F13" s="414"/>
      <c r="G13" s="213" t="str">
        <f>IF('Soli_citud '!O11="","",'Soli_citud '!O11)</f>
        <v>ml</v>
      </c>
      <c r="H13" s="213" cm="1">
        <f t="array" ref="H13">_xlfn.IFS('Soli_citud '!S11="","",'Soli_citud '!S11&lt;=0,"",'Soli_citud '!S11&gt;0,'Soli_citud '!S11)</f>
        <v>200</v>
      </c>
      <c r="I13" s="214">
        <v>45744</v>
      </c>
      <c r="J13" s="216">
        <v>200</v>
      </c>
      <c r="K13" s="197" t="str" cm="1">
        <f t="array" ref="K13">IFERROR(_xlfn.IFS(H13="","",J13=H13,"Cumplido",J13&lt;H13,H13-J13,J13&gt;H13,"Revisar"),"")</f>
        <v>Cumplido</v>
      </c>
      <c r="L13" s="415"/>
      <c r="M13" s="41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EZ2603-1</v>
      </c>
      <c r="C14" s="414" t="str">
        <f>IFERROR(IF('Soli_citud '!D12="","",'Soli_citud '!D12),"")</f>
        <v>Retal</v>
      </c>
      <c r="D14" s="414"/>
      <c r="E14" s="414"/>
      <c r="F14" s="414"/>
      <c r="G14" s="213" t="str">
        <f>IF('Soli_citud '!O12="","",'Soli_citud '!O12)</f>
        <v>kg</v>
      </c>
      <c r="H14" s="213" cm="1">
        <f t="array" ref="H14">_xlfn.IFS('Soli_citud '!S12="","",'Soli_citud '!S12&lt;=0,"",'Soli_citud '!S12&gt;0,'Soli_citud '!S12)</f>
        <v>4</v>
      </c>
      <c r="I14" s="214">
        <v>45744</v>
      </c>
      <c r="J14" s="216">
        <v>4</v>
      </c>
      <c r="K14" s="197" t="str" cm="1">
        <f t="array" ref="K14">IFERROR(_xlfn.IFS(H14="","",J14=H14,"Cumplido",J14&lt;H14,H14-J14,J14&gt;H14,"Revisar"),"")</f>
        <v>Cumplido</v>
      </c>
      <c r="L14" s="415"/>
      <c r="M14" s="41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EZ2603-1</v>
      </c>
      <c r="C15" s="414" t="str">
        <f>IFERROR(IF('Soli_citud '!D13="","",'Soli_citud '!D13),"")</f>
        <v>MOSQUETÓN PAVONADO 1"</v>
      </c>
      <c r="D15" s="414"/>
      <c r="E15" s="414"/>
      <c r="F15" s="41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10</v>
      </c>
      <c r="I15" s="214">
        <v>45744</v>
      </c>
      <c r="J15" s="216">
        <v>10</v>
      </c>
      <c r="K15" s="197" t="str" cm="1">
        <f t="array" ref="K15">IFERROR(_xlfn.IFS(H15="","",J15=H15,"Cumplido",J15&lt;H15,H15-J15,J15&gt;H15,"Revisar"),"")</f>
        <v>Cumplido</v>
      </c>
      <c r="L15" s="415"/>
      <c r="M15" s="41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EZ2603-1</v>
      </c>
      <c r="C16" s="414" t="str">
        <f>IFERROR(IF('Soli_citud '!D14="","",'Soli_citud '!D14),"")</f>
        <v>CIERRE SINTÉTICO</v>
      </c>
      <c r="D16" s="414"/>
      <c r="E16" s="414"/>
      <c r="F16" s="414"/>
      <c r="G16" s="213" t="str">
        <f>IF('Soli_citud '!O14="","",'Soli_citud '!O14)</f>
        <v>m</v>
      </c>
      <c r="H16" s="213" cm="1">
        <f t="array" ref="H16">_xlfn.IFS('Soli_citud '!S14="","",'Soli_citud '!S14&lt;=0,"",'Soli_citud '!S14&gt;0,'Soli_citud '!S14)</f>
        <v>2</v>
      </c>
      <c r="I16" s="214">
        <v>45744</v>
      </c>
      <c r="J16" s="216">
        <v>2</v>
      </c>
      <c r="K16" s="197" t="str" cm="1">
        <f t="array" ref="K16">IFERROR(_xlfn.IFS(H16="","",J16=H16,"Cumplido",J16&lt;H16,H16-J16,J16&gt;H16,"Revisar"),"")</f>
        <v>Cumplido</v>
      </c>
      <c r="L16" s="415"/>
      <c r="M16" s="41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EZ2603-1</v>
      </c>
      <c r="C17" s="414" t="str">
        <f>IFERROR(IF('Soli_citud '!D15="","",'Soli_citud '!D15),"")</f>
        <v>FORRO  PIQUET</v>
      </c>
      <c r="D17" s="414"/>
      <c r="E17" s="414"/>
      <c r="F17" s="414"/>
      <c r="G17" s="213" t="str">
        <f>IF('Soli_citud '!O15="","",'Soli_citud '!O15)</f>
        <v>cm2</v>
      </c>
      <c r="H17" s="213" cm="1">
        <f t="array" ref="H17">_xlfn.IFS('Soli_citud '!S15="","",'Soli_citud '!S15&lt;=0,"",'Soli_citud '!S15&gt;0,'Soli_citud '!S15)</f>
        <v>2000</v>
      </c>
      <c r="I17" s="214">
        <v>45744</v>
      </c>
      <c r="J17" s="216">
        <v>2000</v>
      </c>
      <c r="K17" s="197" t="str" cm="1">
        <f t="array" ref="K17">IFERROR(_xlfn.IFS(H17="","",J17=H17,"Cumplido",J17&lt;H17,H17-J17,J17&gt;H17,"Revisar"),"")</f>
        <v>Cumplido</v>
      </c>
      <c r="L17" s="415"/>
      <c r="M17" s="416"/>
      <c r="N17" s="215">
        <v>140</v>
      </c>
      <c r="O17" s="198">
        <f t="shared" ref="O17:O32" si="3">IFERROR(H17/N17,"")</f>
        <v>14.285714285714286</v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14" t="str">
        <f>IFERROR(IF('Soli_citud '!D16="","",'Soli_citud '!D16),"")</f>
        <v/>
      </c>
      <c r="D18" s="414"/>
      <c r="E18" s="414"/>
      <c r="F18" s="41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15"/>
      <c r="M18" s="41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14" t="str">
        <f>IFERROR(IF('Soli_citud '!D17="","",'Soli_citud '!D17),"")</f>
        <v/>
      </c>
      <c r="D19" s="414"/>
      <c r="E19" s="414"/>
      <c r="F19" s="41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15"/>
      <c r="M19" s="41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14" t="str">
        <f>IFERROR(IF('Soli_citud '!D18="","",'Soli_citud '!D18),"")</f>
        <v/>
      </c>
      <c r="D20" s="414"/>
      <c r="E20" s="414"/>
      <c r="F20" s="41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15"/>
      <c r="M20" s="41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14" t="str">
        <f>IFERROR(IF('Soli_citud '!D19="","",'Soli_citud '!D19),"")</f>
        <v/>
      </c>
      <c r="D21" s="414"/>
      <c r="E21" s="414"/>
      <c r="F21" s="41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15"/>
      <c r="M21" s="41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14" t="str">
        <f>IFERROR(IF('Soli_citud '!D20="","",'Soli_citud '!D20),"")</f>
        <v/>
      </c>
      <c r="D22" s="414"/>
      <c r="E22" s="414"/>
      <c r="F22" s="41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15"/>
      <c r="M22" s="41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14" t="str">
        <f>IFERROR(IF('Soli_citud '!D21="","",'Soli_citud '!D21),"")</f>
        <v/>
      </c>
      <c r="D23" s="414"/>
      <c r="E23" s="414"/>
      <c r="F23" s="41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15"/>
      <c r="M23" s="41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14" t="str">
        <f>IFERROR(IF('Soli_citud '!D22="","",'Soli_citud '!D22),"")</f>
        <v/>
      </c>
      <c r="D24" s="414"/>
      <c r="E24" s="414"/>
      <c r="F24" s="41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15"/>
      <c r="M24" s="41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14" t="str">
        <f>IFERROR(IF('Soli_citud '!D23="","",'Soli_citud '!D23),"")</f>
        <v/>
      </c>
      <c r="D25" s="414"/>
      <c r="E25" s="414"/>
      <c r="F25" s="41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15"/>
      <c r="M25" s="41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14" t="str">
        <f>IFERROR(IF('Soli_citud '!D24="","",'Soli_citud '!D24),"")</f>
        <v/>
      </c>
      <c r="D26" s="414"/>
      <c r="E26" s="414"/>
      <c r="F26" s="41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15"/>
      <c r="M26" s="41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14" t="str">
        <f>IFERROR(IF('Soli_citud '!D25="","",'Soli_citud '!D25),"")</f>
        <v/>
      </c>
      <c r="D27" s="414"/>
      <c r="E27" s="414"/>
      <c r="F27" s="41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15"/>
      <c r="M27" s="41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14" t="str">
        <f>IFERROR(IF('Soli_citud '!D26="","",'Soli_citud '!D26),"")</f>
        <v/>
      </c>
      <c r="D28" s="414"/>
      <c r="E28" s="414"/>
      <c r="F28" s="41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15"/>
      <c r="M28" s="41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14" t="str">
        <f>IFERROR(IF('Soli_citud '!D27="","",'Soli_citud '!D27),"")</f>
        <v/>
      </c>
      <c r="D29" s="414"/>
      <c r="E29" s="414"/>
      <c r="F29" s="41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15"/>
      <c r="M29" s="41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14" t="str">
        <f>IFERROR(IF('Soli_citud '!D28="","",'Soli_citud '!D28),"")</f>
        <v/>
      </c>
      <c r="D30" s="414"/>
      <c r="E30" s="414"/>
      <c r="F30" s="41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15"/>
      <c r="M30" s="41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14" t="str">
        <f>IFERROR(IF('Soli_citud '!D29="","",'Soli_citud '!D29),"")</f>
        <v/>
      </c>
      <c r="D31" s="414"/>
      <c r="E31" s="414"/>
      <c r="F31" s="41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15"/>
      <c r="M31" s="41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14" t="str">
        <f>IFERROR(IF('Soli_citud '!D30="","",'Soli_citud '!D30),"")</f>
        <v/>
      </c>
      <c r="D32" s="414"/>
      <c r="E32" s="414"/>
      <c r="F32" s="41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15"/>
      <c r="M32" s="41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728" activePane="bottomRight" state="frozen"/>
      <selection pane="topRight" activeCell="D13" sqref="D13:N13"/>
      <selection pane="bottomLeft" activeCell="D13" sqref="D13:N13"/>
      <selection pane="bottomRight" activeCell="F731" sqref="F731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9"/>
      <c r="B1" s="509"/>
      <c r="C1" s="509"/>
      <c r="D1" s="509"/>
      <c r="E1" s="512" t="s">
        <v>82</v>
      </c>
      <c r="F1" s="512"/>
      <c r="H1" s="277" t="s">
        <v>83</v>
      </c>
      <c r="Z1" s="241" t="s">
        <v>84</v>
      </c>
    </row>
    <row r="2" spans="1:26" ht="18.75" customHeight="1">
      <c r="A2" s="509"/>
      <c r="B2" s="509"/>
      <c r="C2" s="509"/>
      <c r="D2" s="509"/>
      <c r="E2" s="512"/>
      <c r="F2" s="512"/>
    </row>
    <row r="3" spans="1:26" ht="24" customHeight="1">
      <c r="A3" s="509"/>
      <c r="B3" s="509"/>
      <c r="C3" s="509"/>
      <c r="D3" s="509"/>
      <c r="E3" s="513">
        <f>SUM(Total_AdhySol,Total_SECUNDARIO_MEDULAR,Total_Cuero,Total_Herrajes,Total_Sint_y_Tex,Total_Suelas,Total_Herramientas,Total_Ins_Compl)</f>
        <v>861</v>
      </c>
      <c r="F3" s="51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10"/>
      <c r="D6" s="511"/>
      <c r="H6" s="508" t="s">
        <v>86</v>
      </c>
      <c r="I6" s="508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6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8" t="s">
        <v>95</v>
      </c>
      <c r="K61" s="279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0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8" t="s">
        <v>95</v>
      </c>
      <c r="K216" s="279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0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0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0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0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0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0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0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0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0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0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2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2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2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2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2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2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0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1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1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1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1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1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1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1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1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1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1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1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1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1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1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1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1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1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1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1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1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1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1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1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1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1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1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1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1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1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1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1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1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1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1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1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1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1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1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1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1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1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1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1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1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1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1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1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1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1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1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1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1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1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1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1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1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1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1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1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1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1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1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1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1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1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1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1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1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1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1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1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1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1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1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1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1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1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1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3">
        <f>SUBTOTAL(3,(B614:B638))</f>
        <v>25</v>
      </c>
      <c r="C612" s="504"/>
      <c r="D612" s="504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8" t="s">
        <v>95</v>
      </c>
      <c r="K613" s="279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1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300">
        <f>SUBTOTAL(3,(B660:B1081))</f>
        <v>422</v>
      </c>
      <c r="C658" s="505"/>
      <c r="D658" s="506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8" t="s">
        <v>95</v>
      </c>
      <c r="K659" s="279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691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ref="J692:J723" si="18">IFERROR(CONCATENATE(LEFT(C692,1),"_",TEXT(A692,"000")),"")</f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8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8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8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8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8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8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8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8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8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8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8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8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8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8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8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8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8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8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8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8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8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8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8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8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8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8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8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8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8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8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8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30" si="19">IFERROR(CONCATENATE(LEFT(C724,1),"_",TEXT(A724,"000")),"")</f>
        <v>H_065</v>
      </c>
      <c r="K724" s="116"/>
    </row>
    <row r="725" spans="1:11" ht="15" customHeight="1">
      <c r="A725" s="41">
        <f t="shared" ref="A725:A788" si="20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9"/>
        <v>H_066</v>
      </c>
      <c r="K725" s="116"/>
    </row>
    <row r="726" spans="1:11" ht="15" customHeight="1">
      <c r="A726" s="41">
        <f t="shared" si="20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9"/>
        <v>H_067</v>
      </c>
      <c r="K726" s="116"/>
    </row>
    <row r="727" spans="1:11" ht="15" customHeight="1">
      <c r="A727" s="41">
        <f t="shared" si="20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9"/>
        <v>H_068</v>
      </c>
      <c r="K727" s="116"/>
    </row>
    <row r="728" spans="1:11" ht="15" customHeight="1">
      <c r="A728" s="41">
        <f t="shared" si="20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9"/>
        <v>H_069</v>
      </c>
      <c r="K728" s="116"/>
    </row>
    <row r="729" spans="1:11" ht="15" customHeight="1">
      <c r="A729" s="41">
        <f t="shared" si="20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9"/>
        <v>H_070</v>
      </c>
      <c r="K729" s="116"/>
    </row>
    <row r="730" spans="1:11" ht="15" customHeight="1">
      <c r="A730" s="41">
        <f t="shared" si="20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9"/>
        <v>H_071</v>
      </c>
      <c r="K730" s="116"/>
    </row>
    <row r="731" spans="1:11" ht="15" customHeight="1">
      <c r="A731" s="301">
        <f t="shared" si="20"/>
        <v>72</v>
      </c>
      <c r="B731" s="295" t="s">
        <v>1389</v>
      </c>
      <c r="C731" s="205" t="s">
        <v>40</v>
      </c>
      <c r="D731" s="296" t="s">
        <v>234</v>
      </c>
      <c r="E731" s="55"/>
      <c r="F731" s="182" t="s">
        <v>234</v>
      </c>
      <c r="G731" s="9" t="str">
        <f>IF(Tabla9[[#This Row],[Precio
Unidad de Compra ( $)]]="","",(E731/(H731*I731)))</f>
        <v/>
      </c>
      <c r="H731" s="298">
        <v>1</v>
      </c>
      <c r="I731" s="299">
        <v>1</v>
      </c>
      <c r="J731" s="116"/>
      <c r="K731" s="116"/>
    </row>
    <row r="732" spans="1:11" ht="15" customHeight="1">
      <c r="A732" s="41">
        <f t="shared" si="20"/>
        <v>73</v>
      </c>
      <c r="B732" s="158" t="s">
        <v>551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ref="J732:J795" si="21">IFERROR(CONCATENATE(LEFT(C732,1),"_",TEXT(A732,"000")),"")</f>
        <v>H_073</v>
      </c>
      <c r="K732" s="116"/>
    </row>
    <row r="733" spans="1:11" ht="15" customHeight="1">
      <c r="A733" s="41">
        <f t="shared" si="20"/>
        <v>74</v>
      </c>
      <c r="B733" s="158" t="s">
        <v>552</v>
      </c>
      <c r="C733" s="205" t="s">
        <v>40</v>
      </c>
      <c r="D733" s="48" t="s">
        <v>104</v>
      </c>
      <c r="E733" s="55">
        <v>1000</v>
      </c>
      <c r="F733" s="182" t="s">
        <v>104</v>
      </c>
      <c r="G733" s="9">
        <f>IF(Tabla9[[#This Row],[Precio
Unidad de Compra ( $)]]="","",(E733/(H733*I733)))</f>
        <v>1000</v>
      </c>
      <c r="H733" s="8">
        <v>1</v>
      </c>
      <c r="I733" s="169">
        <v>1</v>
      </c>
      <c r="J733" s="206" t="str">
        <f t="shared" si="21"/>
        <v>H_074</v>
      </c>
      <c r="K733" s="116"/>
    </row>
    <row r="734" spans="1:11" ht="15" customHeight="1">
      <c r="A734" s="41">
        <f t="shared" si="20"/>
        <v>75</v>
      </c>
      <c r="B734" s="158" t="s">
        <v>553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21"/>
        <v>H_075</v>
      </c>
      <c r="K734" s="116"/>
    </row>
    <row r="735" spans="1:11" ht="15" customHeight="1">
      <c r="A735" s="41">
        <f t="shared" si="20"/>
        <v>76</v>
      </c>
      <c r="B735" s="158" t="s">
        <v>554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21"/>
        <v>H_076</v>
      </c>
      <c r="K735" s="116"/>
    </row>
    <row r="736" spans="1:11" ht="15" customHeight="1">
      <c r="A736" s="41">
        <f t="shared" si="20"/>
        <v>77</v>
      </c>
      <c r="B736" s="158" t="s">
        <v>555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21"/>
        <v>H_077</v>
      </c>
      <c r="K736" s="116"/>
    </row>
    <row r="737" spans="1:11" ht="15" customHeight="1">
      <c r="A737" s="41">
        <f t="shared" si="20"/>
        <v>78</v>
      </c>
      <c r="B737" s="158" t="s">
        <v>556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21"/>
        <v>H_078</v>
      </c>
      <c r="K737" s="116"/>
    </row>
    <row r="738" spans="1:11" ht="15" customHeight="1">
      <c r="A738" s="41">
        <f t="shared" si="20"/>
        <v>79</v>
      </c>
      <c r="B738" s="158" t="s">
        <v>557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21"/>
        <v>H_079</v>
      </c>
      <c r="K738" s="116"/>
    </row>
    <row r="739" spans="1:11" ht="15" customHeight="1">
      <c r="A739" s="41">
        <f t="shared" si="20"/>
        <v>80</v>
      </c>
      <c r="B739" s="158" t="s">
        <v>558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21"/>
        <v>H_080</v>
      </c>
      <c r="K739" s="116"/>
    </row>
    <row r="740" spans="1:11" ht="15" customHeight="1">
      <c r="A740" s="41">
        <f t="shared" si="20"/>
        <v>81</v>
      </c>
      <c r="B740" s="158" t="s">
        <v>559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21"/>
        <v>H_081</v>
      </c>
      <c r="K740" s="116"/>
    </row>
    <row r="741" spans="1:11" ht="15" customHeight="1">
      <c r="A741" s="41">
        <f t="shared" si="20"/>
        <v>82</v>
      </c>
      <c r="B741" s="158" t="s">
        <v>560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21"/>
        <v>H_082</v>
      </c>
      <c r="K741" s="116"/>
    </row>
    <row r="742" spans="1:11" ht="15" customHeight="1">
      <c r="A742" s="41">
        <f t="shared" si="20"/>
        <v>83</v>
      </c>
      <c r="B742" s="158" t="s">
        <v>561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21"/>
        <v>H_083</v>
      </c>
      <c r="K742" s="116"/>
    </row>
    <row r="743" spans="1:11" ht="15" customHeight="1">
      <c r="A743" s="41">
        <f t="shared" si="20"/>
        <v>84</v>
      </c>
      <c r="B743" s="158" t="s">
        <v>562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21"/>
        <v>H_084</v>
      </c>
      <c r="K743" s="116"/>
    </row>
    <row r="744" spans="1:11" ht="15" customHeight="1">
      <c r="A744" s="41">
        <f t="shared" si="20"/>
        <v>85</v>
      </c>
      <c r="B744" s="158" t="s">
        <v>563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21"/>
        <v>H_085</v>
      </c>
      <c r="K744" s="116"/>
    </row>
    <row r="745" spans="1:11" ht="15" customHeight="1">
      <c r="A745" s="41">
        <f t="shared" si="20"/>
        <v>86</v>
      </c>
      <c r="B745" s="158" t="s">
        <v>564</v>
      </c>
      <c r="C745" s="205" t="s">
        <v>40</v>
      </c>
      <c r="D745" s="48" t="s">
        <v>104</v>
      </c>
      <c r="E745" s="55">
        <v>6957.9299999999994</v>
      </c>
      <c r="F745" s="182" t="s">
        <v>104</v>
      </c>
      <c r="G745" s="9">
        <f>IF(Tabla9[[#This Row],[Precio
Unidad de Compra ( $)]]="","",(E745/(H745*I745)))</f>
        <v>6957.9299999999994</v>
      </c>
      <c r="H745" s="8">
        <v>1</v>
      </c>
      <c r="I745" s="169">
        <v>1</v>
      </c>
      <c r="J745" s="206" t="str">
        <f t="shared" si="21"/>
        <v>H_086</v>
      </c>
      <c r="K745" s="116"/>
    </row>
    <row r="746" spans="1:11" ht="15" customHeight="1">
      <c r="A746" s="41">
        <f t="shared" si="20"/>
        <v>87</v>
      </c>
      <c r="B746" s="36" t="s">
        <v>565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21"/>
        <v>H_087</v>
      </c>
      <c r="K746" s="116"/>
    </row>
    <row r="747" spans="1:11" ht="15" customHeight="1">
      <c r="A747" s="41">
        <f t="shared" si="20"/>
        <v>88</v>
      </c>
      <c r="B747" s="36" t="s">
        <v>566</v>
      </c>
      <c r="C747" s="205" t="s">
        <v>40</v>
      </c>
      <c r="D747" s="48" t="s">
        <v>104</v>
      </c>
      <c r="E747" s="43">
        <v>3700</v>
      </c>
      <c r="F747" s="176" t="s">
        <v>104</v>
      </c>
      <c r="G747" s="9">
        <f>IF(Tabla9[[#This Row],[Precio
Unidad de Compra ( $)]]="","",(E747/(H747*I747)))</f>
        <v>3700</v>
      </c>
      <c r="H747" s="8">
        <v>1</v>
      </c>
      <c r="I747" s="169">
        <v>1</v>
      </c>
      <c r="J747" s="206" t="str">
        <f t="shared" si="21"/>
        <v>H_088</v>
      </c>
      <c r="K747" s="116"/>
    </row>
    <row r="748" spans="1:11" ht="15" customHeight="1">
      <c r="A748" s="41">
        <f t="shared" si="20"/>
        <v>89</v>
      </c>
      <c r="B748" s="158" t="s">
        <v>567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21"/>
        <v>H_089</v>
      </c>
      <c r="K748" s="116"/>
    </row>
    <row r="749" spans="1:11" ht="15" customHeight="1">
      <c r="A749" s="41">
        <f t="shared" si="20"/>
        <v>90</v>
      </c>
      <c r="B749" s="158" t="s">
        <v>568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21"/>
        <v>H_090</v>
      </c>
      <c r="K749" s="116"/>
    </row>
    <row r="750" spans="1:11" ht="15" customHeight="1">
      <c r="A750" s="41">
        <f t="shared" si="20"/>
        <v>91</v>
      </c>
      <c r="B750" s="158" t="s">
        <v>569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21"/>
        <v>H_091</v>
      </c>
      <c r="K750" s="116"/>
    </row>
    <row r="751" spans="1:11" ht="15" customHeight="1">
      <c r="A751" s="41">
        <f t="shared" si="20"/>
        <v>92</v>
      </c>
      <c r="B751" s="158" t="s">
        <v>570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21"/>
        <v>H_092</v>
      </c>
      <c r="K751" s="116"/>
    </row>
    <row r="752" spans="1:11" ht="15" customHeight="1">
      <c r="A752" s="41">
        <f t="shared" si="20"/>
        <v>93</v>
      </c>
      <c r="B752" s="158" t="s">
        <v>571</v>
      </c>
      <c r="C752" s="205" t="s">
        <v>40</v>
      </c>
      <c r="D752" s="48" t="s">
        <v>104</v>
      </c>
      <c r="E752" s="55">
        <v>1200</v>
      </c>
      <c r="F752" s="182" t="s">
        <v>104</v>
      </c>
      <c r="G752" s="9">
        <f>IF(Tabla9[[#This Row],[Precio
Unidad de Compra ( $)]]="","",(E752/(H752*I752)))</f>
        <v>1200</v>
      </c>
      <c r="H752" s="8">
        <v>1</v>
      </c>
      <c r="I752" s="169">
        <v>1</v>
      </c>
      <c r="J752" s="206" t="str">
        <f t="shared" si="21"/>
        <v>H_093</v>
      </c>
      <c r="K752" s="116"/>
    </row>
    <row r="753" spans="1:11" ht="15" customHeight="1">
      <c r="A753" s="41">
        <f t="shared" si="20"/>
        <v>94</v>
      </c>
      <c r="B753" s="158" t="s">
        <v>572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21"/>
        <v>H_094</v>
      </c>
      <c r="K753" s="116"/>
    </row>
    <row r="754" spans="1:11" ht="15" customHeight="1">
      <c r="A754" s="41">
        <f t="shared" si="20"/>
        <v>95</v>
      </c>
      <c r="B754" s="158" t="s">
        <v>573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21"/>
        <v>H_095</v>
      </c>
      <c r="K754" s="116"/>
    </row>
    <row r="755" spans="1:11" ht="15" customHeight="1">
      <c r="A755" s="41">
        <f t="shared" si="20"/>
        <v>96</v>
      </c>
      <c r="B755" s="158" t="s">
        <v>574</v>
      </c>
      <c r="C755" s="205" t="s">
        <v>40</v>
      </c>
      <c r="D755" s="48" t="s">
        <v>104</v>
      </c>
      <c r="E755" s="55">
        <v>873.94</v>
      </c>
      <c r="F755" s="182" t="s">
        <v>104</v>
      </c>
      <c r="G755" s="9">
        <f>IF(Tabla9[[#This Row],[Precio
Unidad de Compra ( $)]]="","",(E755/(H755*I755)))</f>
        <v>873.94</v>
      </c>
      <c r="H755" s="8">
        <v>1</v>
      </c>
      <c r="I755" s="169">
        <v>1</v>
      </c>
      <c r="J755" s="206" t="str">
        <f t="shared" si="21"/>
        <v>H_096</v>
      </c>
      <c r="K755" s="116"/>
    </row>
    <row r="756" spans="1:11" ht="15" customHeight="1">
      <c r="A756" s="41">
        <f t="shared" si="20"/>
        <v>97</v>
      </c>
      <c r="B756" s="158" t="s">
        <v>575</v>
      </c>
      <c r="C756" s="205" t="s">
        <v>40</v>
      </c>
      <c r="D756" s="48" t="s">
        <v>104</v>
      </c>
      <c r="E756" s="55">
        <v>1173.3399999999999</v>
      </c>
      <c r="F756" s="182" t="s">
        <v>104</v>
      </c>
      <c r="G756" s="9">
        <f>IF(Tabla9[[#This Row],[Precio
Unidad de Compra ( $)]]="","",(E756/(H756*I756)))</f>
        <v>1173.3399999999999</v>
      </c>
      <c r="H756" s="8">
        <v>1</v>
      </c>
      <c r="I756" s="169">
        <v>1</v>
      </c>
      <c r="J756" s="206" t="str">
        <f t="shared" si="21"/>
        <v>H_097</v>
      </c>
      <c r="K756" s="116"/>
    </row>
    <row r="757" spans="1:11" ht="15" customHeight="1">
      <c r="A757" s="41">
        <f t="shared" si="20"/>
        <v>98</v>
      </c>
      <c r="B757" s="158" t="s">
        <v>576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21"/>
        <v>H_098</v>
      </c>
      <c r="K757" s="116"/>
    </row>
    <row r="758" spans="1:11" ht="15" customHeight="1">
      <c r="A758" s="41">
        <f t="shared" si="20"/>
        <v>99</v>
      </c>
      <c r="B758" s="158" t="s">
        <v>577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21"/>
        <v>H_099</v>
      </c>
      <c r="K758" s="116"/>
    </row>
    <row r="759" spans="1:11" ht="15" customHeight="1">
      <c r="A759" s="41">
        <f t="shared" si="20"/>
        <v>100</v>
      </c>
      <c r="B759" s="158" t="s">
        <v>578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21"/>
        <v>H_100</v>
      </c>
      <c r="K759" s="116"/>
    </row>
    <row r="760" spans="1:11" ht="15" customHeight="1">
      <c r="A760" s="41">
        <f t="shared" si="20"/>
        <v>101</v>
      </c>
      <c r="B760" s="158" t="s">
        <v>579</v>
      </c>
      <c r="C760" s="205" t="s">
        <v>40</v>
      </c>
      <c r="D760" s="48" t="s">
        <v>104</v>
      </c>
      <c r="E760" s="55">
        <v>998.41</v>
      </c>
      <c r="F760" s="182" t="s">
        <v>104</v>
      </c>
      <c r="G760" s="9">
        <f>IF(Tabla9[[#This Row],[Precio
Unidad de Compra ( $)]]="","",(E760/(H760*I760)))</f>
        <v>998.41</v>
      </c>
      <c r="H760" s="8">
        <v>1</v>
      </c>
      <c r="I760" s="169">
        <v>1</v>
      </c>
      <c r="J760" s="206" t="str">
        <f t="shared" si="21"/>
        <v>H_101</v>
      </c>
      <c r="K760" s="116"/>
    </row>
    <row r="761" spans="1:11" ht="15" customHeight="1">
      <c r="A761" s="41">
        <f t="shared" si="20"/>
        <v>102</v>
      </c>
      <c r="B761" s="158" t="s">
        <v>580</v>
      </c>
      <c r="C761" s="205" t="s">
        <v>40</v>
      </c>
      <c r="D761" s="48" t="s">
        <v>104</v>
      </c>
      <c r="E761" s="55">
        <v>1173.3399999999999</v>
      </c>
      <c r="F761" s="182" t="s">
        <v>104</v>
      </c>
      <c r="G761" s="9">
        <f>IF(Tabla9[[#This Row],[Precio
Unidad de Compra ( $)]]="","",(E761/(H761*I761)))</f>
        <v>1173.3399999999999</v>
      </c>
      <c r="H761" s="8">
        <v>1</v>
      </c>
      <c r="I761" s="169">
        <v>1</v>
      </c>
      <c r="J761" s="206" t="str">
        <f t="shared" si="21"/>
        <v>H_102</v>
      </c>
      <c r="K761" s="116"/>
    </row>
    <row r="762" spans="1:11" ht="15" customHeight="1">
      <c r="A762" s="41">
        <f t="shared" si="20"/>
        <v>103</v>
      </c>
      <c r="B762" s="158" t="s">
        <v>581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21"/>
        <v>H_103</v>
      </c>
      <c r="K762" s="116"/>
    </row>
    <row r="763" spans="1:11" ht="15" customHeight="1">
      <c r="A763" s="41">
        <f t="shared" si="20"/>
        <v>104</v>
      </c>
      <c r="B763" s="158" t="s">
        <v>582</v>
      </c>
      <c r="C763" s="205" t="s">
        <v>40</v>
      </c>
      <c r="D763" s="48" t="s">
        <v>104</v>
      </c>
      <c r="E763" s="55">
        <v>998.41</v>
      </c>
      <c r="F763" s="182" t="s">
        <v>104</v>
      </c>
      <c r="G763" s="9">
        <f>IF(Tabla9[[#This Row],[Precio
Unidad de Compra ( $)]]="","",(E763/(H763*I763)))</f>
        <v>998.41</v>
      </c>
      <c r="H763" s="8">
        <v>1</v>
      </c>
      <c r="I763" s="169">
        <v>1</v>
      </c>
      <c r="J763" s="206" t="str">
        <f t="shared" si="21"/>
        <v>H_104</v>
      </c>
      <c r="K763" s="116"/>
    </row>
    <row r="764" spans="1:11" ht="15" customHeight="1">
      <c r="A764" s="41">
        <f t="shared" si="20"/>
        <v>105</v>
      </c>
      <c r="B764" s="158" t="s">
        <v>583</v>
      </c>
      <c r="C764" s="205" t="s">
        <v>40</v>
      </c>
      <c r="D764" s="48" t="s">
        <v>104</v>
      </c>
      <c r="E764" s="55">
        <v>1173.3399999999999</v>
      </c>
      <c r="F764" s="182" t="s">
        <v>104</v>
      </c>
      <c r="G764" s="9">
        <f>IF(Tabla9[[#This Row],[Precio
Unidad de Compra ( $)]]="","",(E764/(H764*I764)))</f>
        <v>1173.3399999999999</v>
      </c>
      <c r="H764" s="8">
        <v>1</v>
      </c>
      <c r="I764" s="169">
        <v>1</v>
      </c>
      <c r="J764" s="206" t="str">
        <f t="shared" si="21"/>
        <v>H_105</v>
      </c>
      <c r="K764" s="116"/>
    </row>
    <row r="765" spans="1:11" ht="15" customHeight="1">
      <c r="A765" s="41">
        <f t="shared" si="20"/>
        <v>106</v>
      </c>
      <c r="B765" s="158" t="s">
        <v>584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21"/>
        <v>H_106</v>
      </c>
      <c r="K765" s="116"/>
    </row>
    <row r="766" spans="1:11" ht="15" customHeight="1">
      <c r="A766" s="41">
        <f t="shared" si="20"/>
        <v>107</v>
      </c>
      <c r="B766" s="158" t="s">
        <v>585</v>
      </c>
      <c r="C766" s="205" t="s">
        <v>40</v>
      </c>
      <c r="D766" s="48" t="s">
        <v>104</v>
      </c>
      <c r="E766" s="55">
        <v>998.41</v>
      </c>
      <c r="F766" s="182" t="s">
        <v>104</v>
      </c>
      <c r="G766" s="9">
        <f>IF(Tabla9[[#This Row],[Precio
Unidad de Compra ( $)]]="","",(E766/(H766*I766)))</f>
        <v>998.41</v>
      </c>
      <c r="H766" s="8">
        <v>1</v>
      </c>
      <c r="I766" s="169">
        <v>1</v>
      </c>
      <c r="J766" s="206" t="str">
        <f t="shared" si="21"/>
        <v>H_107</v>
      </c>
      <c r="K766" s="116"/>
    </row>
    <row r="767" spans="1:11" ht="15" customHeight="1">
      <c r="A767" s="41">
        <f t="shared" si="20"/>
        <v>108</v>
      </c>
      <c r="B767" s="158" t="s">
        <v>586</v>
      </c>
      <c r="C767" s="205" t="s">
        <v>40</v>
      </c>
      <c r="D767" s="48" t="s">
        <v>104</v>
      </c>
      <c r="E767" s="55">
        <v>1018.64</v>
      </c>
      <c r="F767" s="182" t="s">
        <v>104</v>
      </c>
      <c r="G767" s="9">
        <f>IF(Tabla9[[#This Row],[Precio
Unidad de Compra ( $)]]="","",(E767/(H767*I767)))</f>
        <v>1018.64</v>
      </c>
      <c r="H767" s="8">
        <v>1</v>
      </c>
      <c r="I767" s="169">
        <v>1</v>
      </c>
      <c r="J767" s="206" t="str">
        <f t="shared" si="21"/>
        <v>H_108</v>
      </c>
      <c r="K767" s="116"/>
    </row>
    <row r="768" spans="1:11" ht="15" customHeight="1">
      <c r="A768" s="41">
        <f t="shared" si="20"/>
        <v>109</v>
      </c>
      <c r="B768" s="158" t="s">
        <v>587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21"/>
        <v>H_109</v>
      </c>
      <c r="K768" s="116"/>
    </row>
    <row r="769" spans="1:11" ht="15" customHeight="1">
      <c r="A769" s="41">
        <f t="shared" si="20"/>
        <v>110</v>
      </c>
      <c r="B769" s="158" t="s">
        <v>588</v>
      </c>
      <c r="C769" s="205" t="s">
        <v>40</v>
      </c>
      <c r="D769" s="48" t="s">
        <v>104</v>
      </c>
      <c r="E769" s="55">
        <v>1173.3399999999999</v>
      </c>
      <c r="F769" s="182" t="s">
        <v>104</v>
      </c>
      <c r="G769" s="9">
        <f>IF(Tabla9[[#This Row],[Precio
Unidad de Compra ( $)]]="","",(E769/(H769*I769)))</f>
        <v>1173.3399999999999</v>
      </c>
      <c r="H769" s="8">
        <v>1</v>
      </c>
      <c r="I769" s="169">
        <v>1</v>
      </c>
      <c r="J769" s="206" t="str">
        <f t="shared" si="21"/>
        <v>H_110</v>
      </c>
      <c r="K769" s="116"/>
    </row>
    <row r="770" spans="1:11" ht="15" customHeight="1">
      <c r="A770" s="41">
        <f t="shared" si="20"/>
        <v>111</v>
      </c>
      <c r="B770" s="158" t="s">
        <v>589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21"/>
        <v>H_111</v>
      </c>
      <c r="K770" s="116"/>
    </row>
    <row r="771" spans="1:11" ht="15" customHeight="1">
      <c r="A771" s="41">
        <f t="shared" si="20"/>
        <v>112</v>
      </c>
      <c r="B771" s="158" t="s">
        <v>590</v>
      </c>
      <c r="C771" s="205" t="s">
        <v>40</v>
      </c>
      <c r="D771" s="48" t="s">
        <v>104</v>
      </c>
      <c r="E771" s="55">
        <v>1018.64</v>
      </c>
      <c r="F771" s="182" t="s">
        <v>104</v>
      </c>
      <c r="G771" s="9">
        <f>IF(Tabla9[[#This Row],[Precio
Unidad de Compra ( $)]]="","",(E771/(H771*I771)))</f>
        <v>1018.64</v>
      </c>
      <c r="H771" s="8">
        <v>1</v>
      </c>
      <c r="I771" s="169">
        <v>1</v>
      </c>
      <c r="J771" s="206" t="str">
        <f t="shared" si="21"/>
        <v>H_112</v>
      </c>
      <c r="K771" s="116"/>
    </row>
    <row r="772" spans="1:11" ht="15" customHeight="1">
      <c r="A772" s="41">
        <f t="shared" si="20"/>
        <v>113</v>
      </c>
      <c r="B772" s="158" t="s">
        <v>591</v>
      </c>
      <c r="C772" s="205" t="s">
        <v>40</v>
      </c>
      <c r="D772" s="48" t="s">
        <v>104</v>
      </c>
      <c r="E772" s="55">
        <v>2746.52</v>
      </c>
      <c r="F772" s="182" t="s">
        <v>104</v>
      </c>
      <c r="G772" s="9">
        <f>IF(Tabla9[[#This Row],[Precio
Unidad de Compra ( $)]]="","",(E772/(H772*I772)))</f>
        <v>2746.52</v>
      </c>
      <c r="H772" s="8">
        <v>1</v>
      </c>
      <c r="I772" s="169">
        <v>1</v>
      </c>
      <c r="J772" s="206" t="str">
        <f t="shared" si="21"/>
        <v>H_113</v>
      </c>
      <c r="K772" s="116"/>
    </row>
    <row r="773" spans="1:11" ht="15" customHeight="1">
      <c r="A773" s="41">
        <f t="shared" si="20"/>
        <v>114</v>
      </c>
      <c r="B773" s="158" t="s">
        <v>592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21"/>
        <v>H_114</v>
      </c>
      <c r="K773" s="116"/>
    </row>
    <row r="774" spans="1:11" ht="15" customHeight="1">
      <c r="A774" s="41">
        <f t="shared" si="20"/>
        <v>115</v>
      </c>
      <c r="B774" s="158" t="s">
        <v>593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21"/>
        <v>H_115</v>
      </c>
      <c r="K774" s="116"/>
    </row>
    <row r="775" spans="1:11" ht="15" customHeight="1">
      <c r="A775" s="41">
        <f t="shared" si="20"/>
        <v>116</v>
      </c>
      <c r="B775" s="158" t="s">
        <v>594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21"/>
        <v>H_116</v>
      </c>
      <c r="K775" s="116"/>
    </row>
    <row r="776" spans="1:11" ht="15" customHeight="1">
      <c r="A776" s="41">
        <f t="shared" si="20"/>
        <v>117</v>
      </c>
      <c r="B776" s="158" t="s">
        <v>595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21"/>
        <v>H_117</v>
      </c>
      <c r="K776" s="116"/>
    </row>
    <row r="777" spans="1:11" ht="15" customHeight="1">
      <c r="A777" s="41">
        <f t="shared" si="20"/>
        <v>118</v>
      </c>
      <c r="B777" s="158" t="s">
        <v>596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21"/>
        <v>H_118</v>
      </c>
      <c r="K777" s="116"/>
    </row>
    <row r="778" spans="1:11" ht="15" customHeight="1">
      <c r="A778" s="41">
        <f t="shared" si="20"/>
        <v>119</v>
      </c>
      <c r="B778" s="158" t="s">
        <v>597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21"/>
        <v>H_119</v>
      </c>
      <c r="K778" s="116"/>
    </row>
    <row r="779" spans="1:11" ht="15" customHeight="1">
      <c r="A779" s="41">
        <f t="shared" si="20"/>
        <v>120</v>
      </c>
      <c r="B779" s="158" t="s">
        <v>598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21"/>
        <v>H_120</v>
      </c>
      <c r="K779" s="116"/>
    </row>
    <row r="780" spans="1:11" ht="15" customHeight="1">
      <c r="A780" s="41">
        <f t="shared" si="20"/>
        <v>121</v>
      </c>
      <c r="B780" s="158" t="s">
        <v>599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21"/>
        <v>H_121</v>
      </c>
      <c r="K780" s="116"/>
    </row>
    <row r="781" spans="1:11" ht="15" customHeight="1">
      <c r="A781" s="41">
        <f t="shared" si="20"/>
        <v>122</v>
      </c>
      <c r="B781" s="158" t="s">
        <v>600</v>
      </c>
      <c r="C781" s="205" t="s">
        <v>40</v>
      </c>
      <c r="D781" s="48" t="s">
        <v>104</v>
      </c>
      <c r="E781" s="55">
        <v>1173.3399999999999</v>
      </c>
      <c r="F781" s="182" t="s">
        <v>104</v>
      </c>
      <c r="G781" s="9">
        <f>IF(Tabla9[[#This Row],[Precio
Unidad de Compra ( $)]]="","",(E781/(H781*I781)))</f>
        <v>1173.3399999999999</v>
      </c>
      <c r="H781" s="8">
        <v>1</v>
      </c>
      <c r="I781" s="169">
        <v>1</v>
      </c>
      <c r="J781" s="206" t="str">
        <f t="shared" si="21"/>
        <v>H_122</v>
      </c>
      <c r="K781" s="116"/>
    </row>
    <row r="782" spans="1:11" ht="15" customHeight="1">
      <c r="A782" s="41">
        <f t="shared" si="20"/>
        <v>123</v>
      </c>
      <c r="B782" s="36" t="s">
        <v>601</v>
      </c>
      <c r="C782" s="205" t="s">
        <v>40</v>
      </c>
      <c r="D782" s="48" t="s">
        <v>104</v>
      </c>
      <c r="E782" s="55">
        <v>2563</v>
      </c>
      <c r="F782" s="176" t="s">
        <v>104</v>
      </c>
      <c r="G782" s="9">
        <f>IF(Tabla9[[#This Row],[Precio
Unidad de Compra ( $)]]="","",(E782/(H782*I782)))</f>
        <v>2563</v>
      </c>
      <c r="H782" s="8">
        <v>1</v>
      </c>
      <c r="I782" s="169">
        <v>1</v>
      </c>
      <c r="J782" s="206" t="str">
        <f t="shared" si="21"/>
        <v>H_123</v>
      </c>
      <c r="K782" s="116"/>
    </row>
    <row r="783" spans="1:11" ht="15" customHeight="1">
      <c r="A783" s="41">
        <f t="shared" si="20"/>
        <v>124</v>
      </c>
      <c r="B783" s="36" t="s">
        <v>602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21"/>
        <v>H_124</v>
      </c>
      <c r="K783" s="116"/>
    </row>
    <row r="784" spans="1:11" ht="15" customHeight="1">
      <c r="A784" s="41">
        <f t="shared" si="20"/>
        <v>125</v>
      </c>
      <c r="B784" s="36" t="s">
        <v>603</v>
      </c>
      <c r="C784" s="205" t="s">
        <v>40</v>
      </c>
      <c r="D784" s="48" t="s">
        <v>104</v>
      </c>
      <c r="E784" s="43">
        <v>2364.5299999999997</v>
      </c>
      <c r="F784" s="176" t="s">
        <v>104</v>
      </c>
      <c r="G784" s="9">
        <f>IF(Tabla9[[#This Row],[Precio
Unidad de Compra ( $)]]="","",(E784/(H784*I784)))</f>
        <v>2364.5299999999997</v>
      </c>
      <c r="H784" s="8">
        <v>1</v>
      </c>
      <c r="I784" s="169">
        <v>1</v>
      </c>
      <c r="J784" s="206" t="str">
        <f t="shared" si="21"/>
        <v>H_125</v>
      </c>
      <c r="K784" s="116"/>
    </row>
    <row r="785" spans="1:11" ht="15" customHeight="1">
      <c r="A785" s="41">
        <f t="shared" si="20"/>
        <v>126</v>
      </c>
      <c r="B785" s="36" t="s">
        <v>604</v>
      </c>
      <c r="C785" s="205" t="s">
        <v>40</v>
      </c>
      <c r="D785" s="48" t="s">
        <v>104</v>
      </c>
      <c r="E785" s="43">
        <v>2563</v>
      </c>
      <c r="F785" s="176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21"/>
        <v>H_126</v>
      </c>
      <c r="K785" s="116"/>
    </row>
    <row r="786" spans="1:11" ht="15" customHeight="1">
      <c r="A786" s="41">
        <f t="shared" si="20"/>
        <v>127</v>
      </c>
      <c r="B786" s="36" t="s">
        <v>605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21"/>
        <v>H_127</v>
      </c>
      <c r="K786" s="116"/>
    </row>
    <row r="787" spans="1:11" ht="15" customHeight="1">
      <c r="A787" s="41">
        <f t="shared" si="20"/>
        <v>128</v>
      </c>
      <c r="B787" s="36" t="s">
        <v>606</v>
      </c>
      <c r="C787" s="205" t="s">
        <v>40</v>
      </c>
      <c r="D787" s="48" t="s">
        <v>104</v>
      </c>
      <c r="E787" s="55">
        <v>2563</v>
      </c>
      <c r="F787" s="182" t="s">
        <v>104</v>
      </c>
      <c r="G787" s="9">
        <f>IF(Tabla9[[#This Row],[Precio
Unidad de Compra ( $)]]="","",(E787/(H787*I787)))</f>
        <v>2563</v>
      </c>
      <c r="H787" s="8">
        <v>1</v>
      </c>
      <c r="I787" s="169">
        <v>1</v>
      </c>
      <c r="J787" s="206" t="str">
        <f t="shared" si="21"/>
        <v>H_128</v>
      </c>
      <c r="K787" s="116"/>
    </row>
    <row r="788" spans="1:11" ht="15" customHeight="1">
      <c r="A788" s="41">
        <f t="shared" si="20"/>
        <v>129</v>
      </c>
      <c r="B788" s="36" t="s">
        <v>607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si="21"/>
        <v>H_129</v>
      </c>
      <c r="K788" s="116"/>
    </row>
    <row r="789" spans="1:11" ht="15" customHeight="1">
      <c r="A789" s="41">
        <f t="shared" ref="A789:A852" si="22">A788+1</f>
        <v>130</v>
      </c>
      <c r="B789" s="36" t="s">
        <v>608</v>
      </c>
      <c r="C789" s="205" t="s">
        <v>40</v>
      </c>
      <c r="D789" s="48" t="s">
        <v>104</v>
      </c>
      <c r="E789" s="43">
        <v>2440.69</v>
      </c>
      <c r="F789" s="176" t="s">
        <v>104</v>
      </c>
      <c r="G789" s="9">
        <f>IF(Tabla9[[#This Row],[Precio
Unidad de Compra ( $)]]="","",(E789/(H789*I789)))</f>
        <v>2440.69</v>
      </c>
      <c r="H789" s="8">
        <v>1</v>
      </c>
      <c r="I789" s="169">
        <v>1</v>
      </c>
      <c r="J789" s="206" t="str">
        <f t="shared" si="21"/>
        <v>H_130</v>
      </c>
      <c r="K789" s="116"/>
    </row>
    <row r="790" spans="1:11" ht="15" customHeight="1">
      <c r="A790" s="41">
        <f t="shared" si="22"/>
        <v>131</v>
      </c>
      <c r="B790" s="158" t="s">
        <v>609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1"/>
        <v>H_131</v>
      </c>
      <c r="K790" s="116"/>
    </row>
    <row r="791" spans="1:11" ht="15" customHeight="1">
      <c r="A791" s="41">
        <f t="shared" si="22"/>
        <v>132</v>
      </c>
      <c r="B791" s="158" t="s">
        <v>610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1"/>
        <v>H_132</v>
      </c>
      <c r="K791" s="116"/>
    </row>
    <row r="792" spans="1:11" ht="15" customHeight="1">
      <c r="A792" s="41">
        <f t="shared" si="22"/>
        <v>133</v>
      </c>
      <c r="B792" s="158" t="s">
        <v>611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1"/>
        <v>H_133</v>
      </c>
      <c r="K792" s="116"/>
    </row>
    <row r="793" spans="1:11" ht="15" customHeight="1">
      <c r="A793" s="41">
        <f t="shared" si="22"/>
        <v>134</v>
      </c>
      <c r="B793" s="158" t="s">
        <v>612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1"/>
        <v>H_134</v>
      </c>
      <c r="K793" s="116"/>
    </row>
    <row r="794" spans="1:11" ht="15" customHeight="1">
      <c r="A794" s="41">
        <f t="shared" si="22"/>
        <v>135</v>
      </c>
      <c r="B794" s="158" t="s">
        <v>613</v>
      </c>
      <c r="C794" s="205" t="s">
        <v>40</v>
      </c>
      <c r="D794" s="48" t="s">
        <v>104</v>
      </c>
      <c r="E794" s="55">
        <v>873.94</v>
      </c>
      <c r="F794" s="182" t="s">
        <v>104</v>
      </c>
      <c r="G794" s="9">
        <f>IF(Tabla9[[#This Row],[Precio
Unidad de Compra ( $)]]="","",(E794/(H794*I794)))</f>
        <v>873.94</v>
      </c>
      <c r="H794" s="8">
        <v>1</v>
      </c>
      <c r="I794" s="169">
        <v>1</v>
      </c>
      <c r="J794" s="206" t="str">
        <f t="shared" si="21"/>
        <v>H_135</v>
      </c>
      <c r="K794" s="116"/>
    </row>
    <row r="795" spans="1:11" ht="15" customHeight="1">
      <c r="A795" s="41">
        <f t="shared" si="22"/>
        <v>136</v>
      </c>
      <c r="B795" s="158" t="s">
        <v>614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1"/>
        <v>H_136</v>
      </c>
      <c r="K795" s="116"/>
    </row>
    <row r="796" spans="1:11" ht="15" customHeight="1">
      <c r="A796" s="41">
        <f t="shared" si="22"/>
        <v>137</v>
      </c>
      <c r="B796" s="158" t="s">
        <v>615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ref="J796:J859" si="23">IFERROR(CONCATENATE(LEFT(C796,1),"_",TEXT(A796,"000")),"")</f>
        <v>H_137</v>
      </c>
      <c r="K796" s="116"/>
    </row>
    <row r="797" spans="1:11" ht="15" customHeight="1">
      <c r="A797" s="41">
        <f t="shared" si="22"/>
        <v>138</v>
      </c>
      <c r="B797" s="158" t="s">
        <v>616</v>
      </c>
      <c r="C797" s="205" t="s">
        <v>40</v>
      </c>
      <c r="D797" s="48" t="s">
        <v>104</v>
      </c>
      <c r="E797" s="55">
        <v>1547</v>
      </c>
      <c r="F797" s="182" t="s">
        <v>104</v>
      </c>
      <c r="G797" s="9">
        <f>IF(Tabla9[[#This Row],[Precio
Unidad de Compra ( $)]]="","",(E797/(H797*I797)))</f>
        <v>1547</v>
      </c>
      <c r="H797" s="8">
        <v>1</v>
      </c>
      <c r="I797" s="169">
        <v>1</v>
      </c>
      <c r="J797" s="206" t="str">
        <f t="shared" si="23"/>
        <v>H_138</v>
      </c>
      <c r="K797" s="116"/>
    </row>
    <row r="798" spans="1:11" ht="15" customHeight="1">
      <c r="A798" s="41">
        <f t="shared" si="22"/>
        <v>139</v>
      </c>
      <c r="B798" s="158" t="s">
        <v>617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3"/>
        <v>H_139</v>
      </c>
      <c r="K798" s="116"/>
    </row>
    <row r="799" spans="1:11" ht="15" customHeight="1">
      <c r="A799" s="41">
        <f t="shared" si="22"/>
        <v>140</v>
      </c>
      <c r="B799" s="158" t="s">
        <v>618</v>
      </c>
      <c r="C799" s="205" t="s">
        <v>40</v>
      </c>
      <c r="D799" s="48" t="s">
        <v>104</v>
      </c>
      <c r="E799" s="55">
        <v>1850</v>
      </c>
      <c r="F799" s="182" t="s">
        <v>104</v>
      </c>
      <c r="G799" s="9">
        <f>IF(Tabla9[[#This Row],[Precio
Unidad de Compra ( $)]]="","",(E799/(H799*I799)))</f>
        <v>1850</v>
      </c>
      <c r="H799" s="8">
        <v>1</v>
      </c>
      <c r="I799" s="169">
        <v>1</v>
      </c>
      <c r="J799" s="206" t="str">
        <f t="shared" si="23"/>
        <v>H_140</v>
      </c>
      <c r="K799" s="116"/>
    </row>
    <row r="800" spans="1:11" ht="15" customHeight="1">
      <c r="A800" s="41">
        <f t="shared" si="22"/>
        <v>141</v>
      </c>
      <c r="B800" s="158" t="s">
        <v>619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3"/>
        <v>H_141</v>
      </c>
      <c r="K800" s="116"/>
    </row>
    <row r="801" spans="1:11" ht="15" customHeight="1">
      <c r="A801" s="41">
        <f t="shared" si="22"/>
        <v>142</v>
      </c>
      <c r="B801" s="158" t="s">
        <v>620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3"/>
        <v>H_142</v>
      </c>
      <c r="K801" s="116"/>
    </row>
    <row r="802" spans="1:11" ht="15" customHeight="1">
      <c r="A802" s="41">
        <f t="shared" si="22"/>
        <v>143</v>
      </c>
      <c r="B802" s="158" t="s">
        <v>621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3"/>
        <v>H_143</v>
      </c>
      <c r="K802" s="116"/>
    </row>
    <row r="803" spans="1:11" ht="15" customHeight="1">
      <c r="A803" s="41">
        <f t="shared" si="22"/>
        <v>144</v>
      </c>
      <c r="B803" s="158" t="s">
        <v>622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3"/>
        <v>H_144</v>
      </c>
      <c r="K803" s="116"/>
    </row>
    <row r="804" spans="1:11" ht="15" customHeight="1">
      <c r="A804" s="41">
        <f t="shared" si="22"/>
        <v>145</v>
      </c>
      <c r="B804" s="158" t="s">
        <v>623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3"/>
        <v>H_145</v>
      </c>
      <c r="K804" s="116"/>
    </row>
    <row r="805" spans="1:11" ht="15" customHeight="1">
      <c r="A805" s="41">
        <f t="shared" si="22"/>
        <v>146</v>
      </c>
      <c r="B805" s="158" t="s">
        <v>624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3"/>
        <v>H_146</v>
      </c>
      <c r="K805" s="116"/>
    </row>
    <row r="806" spans="1:11" ht="15" customHeight="1">
      <c r="A806" s="41">
        <f t="shared" si="22"/>
        <v>147</v>
      </c>
      <c r="B806" s="158" t="s">
        <v>625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3"/>
        <v>H_147</v>
      </c>
      <c r="K806" s="116"/>
    </row>
    <row r="807" spans="1:11" ht="15" customHeight="1">
      <c r="A807" s="41">
        <f t="shared" si="22"/>
        <v>148</v>
      </c>
      <c r="B807" s="158" t="s">
        <v>626</v>
      </c>
      <c r="C807" s="205" t="s">
        <v>40</v>
      </c>
      <c r="D807" s="48" t="s">
        <v>104</v>
      </c>
      <c r="E807" s="55">
        <v>4799.2700000000004</v>
      </c>
      <c r="F807" s="182" t="s">
        <v>104</v>
      </c>
      <c r="G807" s="9">
        <f>IF(Tabla9[[#This Row],[Precio
Unidad de Compra ( $)]]="","",(E807/(H807*I807)))</f>
        <v>4799.2700000000004</v>
      </c>
      <c r="H807" s="8">
        <v>1</v>
      </c>
      <c r="I807" s="169">
        <v>1</v>
      </c>
      <c r="J807" s="206" t="str">
        <f t="shared" si="23"/>
        <v>H_148</v>
      </c>
      <c r="K807" s="116"/>
    </row>
    <row r="808" spans="1:11" ht="15" customHeight="1">
      <c r="A808" s="41">
        <f t="shared" si="22"/>
        <v>149</v>
      </c>
      <c r="B808" s="158" t="s">
        <v>627</v>
      </c>
      <c r="C808" s="205" t="s">
        <v>40</v>
      </c>
      <c r="D808" s="48" t="s">
        <v>104</v>
      </c>
      <c r="E808" s="55">
        <v>1000</v>
      </c>
      <c r="F808" s="182" t="s">
        <v>104</v>
      </c>
      <c r="G808" s="9">
        <f>IF(Tabla9[[#This Row],[Precio
Unidad de Compra ( $)]]="","",(E808/(H808*I808)))</f>
        <v>1000</v>
      </c>
      <c r="H808" s="8">
        <v>1</v>
      </c>
      <c r="I808" s="169">
        <v>1</v>
      </c>
      <c r="J808" s="206" t="str">
        <f t="shared" si="23"/>
        <v>H_149</v>
      </c>
      <c r="K808" s="116"/>
    </row>
    <row r="809" spans="1:11" ht="15" customHeight="1">
      <c r="A809" s="41">
        <f t="shared" si="22"/>
        <v>150</v>
      </c>
      <c r="B809" s="158" t="s">
        <v>628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3"/>
        <v>H_150</v>
      </c>
      <c r="K809" s="116"/>
    </row>
    <row r="810" spans="1:11" ht="15" customHeight="1">
      <c r="A810" s="41">
        <f t="shared" si="22"/>
        <v>151</v>
      </c>
      <c r="B810" s="158" t="s">
        <v>629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3"/>
        <v>H_151</v>
      </c>
      <c r="K810" s="116"/>
    </row>
    <row r="811" spans="1:11" ht="15" customHeight="1">
      <c r="A811" s="41">
        <f t="shared" si="22"/>
        <v>152</v>
      </c>
      <c r="B811" s="158" t="s">
        <v>630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3"/>
        <v>H_152</v>
      </c>
      <c r="K811" s="116"/>
    </row>
    <row r="812" spans="1:11" ht="15" customHeight="1">
      <c r="A812" s="41">
        <f t="shared" si="22"/>
        <v>153</v>
      </c>
      <c r="B812" s="158" t="s">
        <v>631</v>
      </c>
      <c r="C812" s="205" t="s">
        <v>40</v>
      </c>
      <c r="D812" s="48" t="s">
        <v>104</v>
      </c>
      <c r="E812" s="55">
        <v>8973.7900000000009</v>
      </c>
      <c r="F812" s="182" t="s">
        <v>104</v>
      </c>
      <c r="G812" s="9">
        <f>IF(Tabla9[[#This Row],[Precio
Unidad de Compra ( $)]]="","",(E812/(H812*I812)))</f>
        <v>8973.7900000000009</v>
      </c>
      <c r="H812" s="8">
        <v>1</v>
      </c>
      <c r="I812" s="169">
        <v>1</v>
      </c>
      <c r="J812" s="206" t="str">
        <f t="shared" si="23"/>
        <v>H_153</v>
      </c>
      <c r="K812" s="116"/>
    </row>
    <row r="813" spans="1:11" ht="15" customHeight="1">
      <c r="A813" s="41">
        <f t="shared" si="22"/>
        <v>154</v>
      </c>
      <c r="B813" s="158" t="s">
        <v>632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3"/>
        <v>H_154</v>
      </c>
      <c r="K813" s="116"/>
    </row>
    <row r="814" spans="1:11" ht="15" customHeight="1">
      <c r="A814" s="41">
        <f t="shared" si="22"/>
        <v>155</v>
      </c>
      <c r="B814" s="158" t="s">
        <v>633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3"/>
        <v>H_155</v>
      </c>
      <c r="K814" s="116"/>
    </row>
    <row r="815" spans="1:11" ht="15" customHeight="1">
      <c r="A815" s="41">
        <f t="shared" si="22"/>
        <v>156</v>
      </c>
      <c r="B815" s="158" t="s">
        <v>634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3"/>
        <v>H_156</v>
      </c>
      <c r="K815" s="116"/>
    </row>
    <row r="816" spans="1:11" ht="15" customHeight="1">
      <c r="A816" s="41">
        <f t="shared" si="22"/>
        <v>157</v>
      </c>
      <c r="B816" s="158" t="s">
        <v>635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3"/>
        <v>H_157</v>
      </c>
      <c r="K816" s="116"/>
    </row>
    <row r="817" spans="1:11" ht="15" customHeight="1">
      <c r="A817" s="41">
        <f t="shared" si="22"/>
        <v>158</v>
      </c>
      <c r="B817" s="158" t="s">
        <v>636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3"/>
        <v>H_158</v>
      </c>
      <c r="K817" s="116"/>
    </row>
    <row r="818" spans="1:11" ht="15" customHeight="1">
      <c r="A818" s="41">
        <f t="shared" si="22"/>
        <v>159</v>
      </c>
      <c r="B818" s="158" t="s">
        <v>637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3"/>
        <v>H_159</v>
      </c>
      <c r="K818" s="116"/>
    </row>
    <row r="819" spans="1:11" ht="15" customHeight="1">
      <c r="A819" s="41">
        <f t="shared" si="22"/>
        <v>160</v>
      </c>
      <c r="B819" s="158" t="s">
        <v>638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3"/>
        <v>H_160</v>
      </c>
      <c r="K819" s="116"/>
    </row>
    <row r="820" spans="1:11" ht="30">
      <c r="A820" s="41">
        <f t="shared" si="22"/>
        <v>161</v>
      </c>
      <c r="B820" s="158" t="s">
        <v>639</v>
      </c>
      <c r="C820" s="205" t="s">
        <v>40</v>
      </c>
      <c r="D820" s="48" t="s">
        <v>104</v>
      </c>
      <c r="E820" s="55">
        <v>3844.89</v>
      </c>
      <c r="F820" s="182" t="s">
        <v>104</v>
      </c>
      <c r="G820" s="9">
        <f>IF(Tabla9[[#This Row],[Precio
Unidad de Compra ( $)]]="","",(E820/(H820*I820)))</f>
        <v>3844.89</v>
      </c>
      <c r="H820" s="8">
        <v>1</v>
      </c>
      <c r="I820" s="169">
        <v>1</v>
      </c>
      <c r="J820" s="206" t="str">
        <f t="shared" si="23"/>
        <v>H_161</v>
      </c>
      <c r="K820" s="116"/>
    </row>
    <row r="821" spans="1:11" ht="15" customHeight="1">
      <c r="A821" s="41">
        <f t="shared" si="22"/>
        <v>162</v>
      </c>
      <c r="B821" s="158" t="s">
        <v>640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3"/>
        <v>H_162</v>
      </c>
      <c r="K821" s="116"/>
    </row>
    <row r="822" spans="1:11" ht="15" customHeight="1">
      <c r="A822" s="41">
        <f t="shared" si="22"/>
        <v>163</v>
      </c>
      <c r="B822" s="158" t="s">
        <v>641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3"/>
        <v>H_163</v>
      </c>
      <c r="K822" s="116"/>
    </row>
    <row r="823" spans="1:11" ht="15" customHeight="1">
      <c r="A823" s="41">
        <f t="shared" si="22"/>
        <v>164</v>
      </c>
      <c r="B823" s="158" t="s">
        <v>642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3"/>
        <v>H_164</v>
      </c>
      <c r="K823" s="116"/>
    </row>
    <row r="824" spans="1:11" ht="15" customHeight="1">
      <c r="A824" s="41">
        <f t="shared" si="22"/>
        <v>165</v>
      </c>
      <c r="B824" s="158" t="s">
        <v>643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3"/>
        <v>H_165</v>
      </c>
      <c r="K824" s="116"/>
    </row>
    <row r="825" spans="1:11" ht="15" customHeight="1">
      <c r="A825" s="41">
        <f t="shared" si="22"/>
        <v>166</v>
      </c>
      <c r="B825" s="158" t="s">
        <v>644</v>
      </c>
      <c r="C825" s="205" t="s">
        <v>40</v>
      </c>
      <c r="D825" s="48" t="s">
        <v>104</v>
      </c>
      <c r="E825" s="55">
        <v>1661.24</v>
      </c>
      <c r="F825" s="182" t="s">
        <v>104</v>
      </c>
      <c r="G825" s="9">
        <f>IF(Tabla9[[#This Row],[Precio
Unidad de Compra ( $)]]="","",(E825/(H825*I825)))</f>
        <v>1661.24</v>
      </c>
      <c r="H825" s="8">
        <v>1</v>
      </c>
      <c r="I825" s="169">
        <v>1</v>
      </c>
      <c r="J825" s="206" t="str">
        <f t="shared" si="23"/>
        <v>H_166</v>
      </c>
      <c r="K825" s="116"/>
    </row>
    <row r="826" spans="1:11" ht="15" customHeight="1">
      <c r="A826" s="41">
        <f t="shared" si="22"/>
        <v>167</v>
      </c>
      <c r="B826" s="158" t="s">
        <v>645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3"/>
        <v>H_167</v>
      </c>
      <c r="K826" s="116"/>
    </row>
    <row r="827" spans="1:11" ht="15" customHeight="1">
      <c r="A827" s="41">
        <f t="shared" si="22"/>
        <v>168</v>
      </c>
      <c r="B827" s="158" t="s">
        <v>646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3"/>
        <v>H_168</v>
      </c>
      <c r="K827" s="116"/>
    </row>
    <row r="828" spans="1:11" ht="15" customHeight="1">
      <c r="A828" s="41">
        <f t="shared" si="22"/>
        <v>169</v>
      </c>
      <c r="B828" s="158" t="s">
        <v>647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3"/>
        <v>H_169</v>
      </c>
      <c r="K828" s="116"/>
    </row>
    <row r="829" spans="1:11" ht="15" customHeight="1">
      <c r="A829" s="41">
        <f t="shared" si="22"/>
        <v>170</v>
      </c>
      <c r="B829" s="158" t="s">
        <v>648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3"/>
        <v>H_170</v>
      </c>
      <c r="K829" s="116"/>
    </row>
    <row r="830" spans="1:11" ht="15" customHeight="1">
      <c r="A830" s="41">
        <f t="shared" si="22"/>
        <v>171</v>
      </c>
      <c r="B830" s="158" t="s">
        <v>649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3"/>
        <v>H_171</v>
      </c>
      <c r="K830" s="116"/>
    </row>
    <row r="831" spans="1:11" ht="15" customHeight="1">
      <c r="A831" s="41">
        <f t="shared" si="22"/>
        <v>172</v>
      </c>
      <c r="B831" s="158" t="s">
        <v>650</v>
      </c>
      <c r="C831" s="205" t="s">
        <v>40</v>
      </c>
      <c r="D831" s="48" t="s">
        <v>104</v>
      </c>
      <c r="E831" s="55">
        <v>690.75</v>
      </c>
      <c r="F831" s="182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3"/>
        <v>H_172</v>
      </c>
      <c r="K831" s="116"/>
    </row>
    <row r="832" spans="1:11" ht="15" customHeight="1">
      <c r="A832" s="41">
        <f t="shared" si="22"/>
        <v>173</v>
      </c>
      <c r="B832" s="158" t="s">
        <v>651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3"/>
        <v>H_173</v>
      </c>
      <c r="K832" s="116"/>
    </row>
    <row r="833" spans="1:11" ht="15" customHeight="1">
      <c r="A833" s="41">
        <f t="shared" si="22"/>
        <v>174</v>
      </c>
      <c r="B833" s="158" t="s">
        <v>652</v>
      </c>
      <c r="C833" s="205" t="s">
        <v>40</v>
      </c>
      <c r="D833" s="48" t="s">
        <v>104</v>
      </c>
      <c r="E833" s="43">
        <v>690.75</v>
      </c>
      <c r="F833" s="176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3"/>
        <v>H_174</v>
      </c>
      <c r="K833" s="116"/>
    </row>
    <row r="834" spans="1:11" ht="15" customHeight="1">
      <c r="A834" s="41">
        <f t="shared" si="22"/>
        <v>175</v>
      </c>
      <c r="B834" s="158" t="s">
        <v>653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3"/>
        <v>H_175</v>
      </c>
      <c r="K834" s="116"/>
    </row>
    <row r="835" spans="1:11" ht="15" customHeight="1">
      <c r="A835" s="41">
        <f t="shared" si="22"/>
        <v>176</v>
      </c>
      <c r="B835" s="158" t="s">
        <v>654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3"/>
        <v>H_176</v>
      </c>
      <c r="K835" s="116"/>
    </row>
    <row r="836" spans="1:11" ht="15" customHeight="1">
      <c r="A836" s="41">
        <f t="shared" si="22"/>
        <v>177</v>
      </c>
      <c r="B836" s="158" t="s">
        <v>655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3"/>
        <v>H_177</v>
      </c>
      <c r="K836" s="116"/>
    </row>
    <row r="837" spans="1:11" ht="15" customHeight="1">
      <c r="A837" s="41">
        <f t="shared" si="22"/>
        <v>178</v>
      </c>
      <c r="B837" s="158" t="s">
        <v>656</v>
      </c>
      <c r="C837" s="205" t="s">
        <v>40</v>
      </c>
      <c r="D837" s="48" t="s">
        <v>104</v>
      </c>
      <c r="E837" s="55">
        <v>690.75</v>
      </c>
      <c r="F837" s="182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3"/>
        <v>H_178</v>
      </c>
      <c r="K837" s="116"/>
    </row>
    <row r="838" spans="1:11" ht="15" customHeight="1">
      <c r="A838" s="41">
        <f t="shared" si="22"/>
        <v>179</v>
      </c>
      <c r="B838" s="158" t="s">
        <v>657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3"/>
        <v>H_179</v>
      </c>
      <c r="K838" s="116"/>
    </row>
    <row r="839" spans="1:11" ht="15" customHeight="1">
      <c r="A839" s="41">
        <f t="shared" si="22"/>
        <v>180</v>
      </c>
      <c r="B839" s="158" t="s">
        <v>658</v>
      </c>
      <c r="C839" s="205" t="s">
        <v>40</v>
      </c>
      <c r="D839" s="48" t="s">
        <v>104</v>
      </c>
      <c r="E839" s="43">
        <v>690.75</v>
      </c>
      <c r="F839" s="176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3"/>
        <v>H_180</v>
      </c>
      <c r="K839" s="116"/>
    </row>
    <row r="840" spans="1:11" ht="15" customHeight="1">
      <c r="A840" s="41">
        <f t="shared" si="22"/>
        <v>181</v>
      </c>
      <c r="B840" s="158" t="s">
        <v>659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3"/>
        <v>H_181</v>
      </c>
      <c r="K840" s="116"/>
    </row>
    <row r="841" spans="1:11" ht="15" customHeight="1">
      <c r="A841" s="41">
        <f t="shared" si="22"/>
        <v>182</v>
      </c>
      <c r="B841" s="158" t="s">
        <v>660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3"/>
        <v>H_182</v>
      </c>
      <c r="K841" s="116"/>
    </row>
    <row r="842" spans="1:11" ht="15" customHeight="1">
      <c r="A842" s="41">
        <f t="shared" si="22"/>
        <v>183</v>
      </c>
      <c r="B842" s="158" t="s">
        <v>661</v>
      </c>
      <c r="C842" s="205" t="s">
        <v>40</v>
      </c>
      <c r="D842" s="48" t="s">
        <v>104</v>
      </c>
      <c r="E842" s="55">
        <v>690.75</v>
      </c>
      <c r="F842" s="182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3"/>
        <v>H_183</v>
      </c>
      <c r="K842" s="116"/>
    </row>
    <row r="843" spans="1:11">
      <c r="A843" s="41">
        <f t="shared" si="22"/>
        <v>184</v>
      </c>
      <c r="B843" s="158" t="s">
        <v>662</v>
      </c>
      <c r="C843" s="205" t="s">
        <v>40</v>
      </c>
      <c r="D843" s="48" t="s">
        <v>104</v>
      </c>
      <c r="E843" s="43">
        <v>690.75</v>
      </c>
      <c r="F843" s="176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3"/>
        <v>H_184</v>
      </c>
      <c r="K843" s="116"/>
    </row>
    <row r="844" spans="1:11" ht="30">
      <c r="A844" s="41">
        <f t="shared" si="22"/>
        <v>185</v>
      </c>
      <c r="B844" s="158" t="s">
        <v>663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3"/>
        <v>H_185</v>
      </c>
      <c r="K844" s="116"/>
    </row>
    <row r="845" spans="1:11" ht="30">
      <c r="A845" s="41">
        <f t="shared" si="22"/>
        <v>186</v>
      </c>
      <c r="B845" s="158" t="s">
        <v>664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3"/>
        <v>H_186</v>
      </c>
      <c r="K845" s="116"/>
    </row>
    <row r="846" spans="1:11" ht="30">
      <c r="A846" s="41">
        <f t="shared" si="22"/>
        <v>187</v>
      </c>
      <c r="B846" s="158" t="s">
        <v>665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3"/>
        <v>H_187</v>
      </c>
      <c r="K846" s="116"/>
    </row>
    <row r="847" spans="1:11">
      <c r="A847" s="41">
        <f t="shared" si="22"/>
        <v>188</v>
      </c>
      <c r="B847" s="158" t="s">
        <v>666</v>
      </c>
      <c r="C847" s="205" t="s">
        <v>40</v>
      </c>
      <c r="D847" s="48" t="s">
        <v>104</v>
      </c>
      <c r="E847" s="55">
        <v>690.75</v>
      </c>
      <c r="F847" s="182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3"/>
        <v>H_188</v>
      </c>
      <c r="K847" s="116"/>
    </row>
    <row r="848" spans="1:11">
      <c r="A848" s="41">
        <f t="shared" si="22"/>
        <v>189</v>
      </c>
      <c r="B848" s="158" t="s">
        <v>667</v>
      </c>
      <c r="C848" s="205" t="s">
        <v>40</v>
      </c>
      <c r="D848" s="48" t="s">
        <v>104</v>
      </c>
      <c r="E848" s="43">
        <v>690.75</v>
      </c>
      <c r="F848" s="176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3"/>
        <v>H_189</v>
      </c>
      <c r="K848" s="116"/>
    </row>
    <row r="849" spans="1:11">
      <c r="A849" s="41">
        <f t="shared" si="22"/>
        <v>190</v>
      </c>
      <c r="B849" s="158" t="s">
        <v>668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3"/>
        <v>H_190</v>
      </c>
      <c r="K849" s="116"/>
    </row>
    <row r="850" spans="1:11">
      <c r="A850" s="41">
        <f t="shared" si="22"/>
        <v>191</v>
      </c>
      <c r="B850" s="158" t="s">
        <v>669</v>
      </c>
      <c r="C850" s="205" t="s">
        <v>40</v>
      </c>
      <c r="D850" s="48" t="s">
        <v>104</v>
      </c>
      <c r="E850" s="55">
        <v>690.75</v>
      </c>
      <c r="F850" s="182" t="s">
        <v>104</v>
      </c>
      <c r="G850" s="9">
        <f>IF(Tabla9[[#This Row],[Precio
Unidad de Compra ( $)]]="","",(E850/(H850*I850)))</f>
        <v>690.75</v>
      </c>
      <c r="H850" s="8">
        <v>1</v>
      </c>
      <c r="I850" s="169">
        <v>1</v>
      </c>
      <c r="J850" s="206" t="str">
        <f t="shared" si="23"/>
        <v>H_191</v>
      </c>
      <c r="K850" s="116"/>
    </row>
    <row r="851" spans="1:11" ht="30">
      <c r="A851" s="41">
        <f t="shared" si="22"/>
        <v>192</v>
      </c>
      <c r="B851" s="158" t="s">
        <v>670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3"/>
        <v>H_192</v>
      </c>
      <c r="K851" s="116"/>
    </row>
    <row r="852" spans="1:11" ht="30">
      <c r="A852" s="41">
        <f t="shared" si="22"/>
        <v>193</v>
      </c>
      <c r="B852" s="158" t="s">
        <v>671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si="23"/>
        <v>H_193</v>
      </c>
      <c r="K852" s="116"/>
    </row>
    <row r="853" spans="1:11" ht="30">
      <c r="A853" s="41">
        <f t="shared" ref="A853:A916" si="24">A852+1</f>
        <v>194</v>
      </c>
      <c r="B853" s="158" t="s">
        <v>672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3"/>
        <v>H_194</v>
      </c>
      <c r="K853" s="116"/>
    </row>
    <row r="854" spans="1:11" ht="30">
      <c r="A854" s="41">
        <f t="shared" si="24"/>
        <v>195</v>
      </c>
      <c r="B854" s="158" t="s">
        <v>673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3"/>
        <v>H_195</v>
      </c>
      <c r="K854" s="116"/>
    </row>
    <row r="855" spans="1:11" ht="30">
      <c r="A855" s="41">
        <f t="shared" si="24"/>
        <v>196</v>
      </c>
      <c r="B855" s="158" t="s">
        <v>674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3"/>
        <v>H_196</v>
      </c>
      <c r="K855" s="116"/>
    </row>
    <row r="856" spans="1:11" ht="30">
      <c r="A856" s="41">
        <f t="shared" si="24"/>
        <v>197</v>
      </c>
      <c r="B856" s="158" t="s">
        <v>675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3"/>
        <v>H_197</v>
      </c>
      <c r="K856" s="116"/>
    </row>
    <row r="857" spans="1:11" ht="30">
      <c r="A857" s="41">
        <f t="shared" si="24"/>
        <v>198</v>
      </c>
      <c r="B857" s="158" t="s">
        <v>676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3"/>
        <v>H_198</v>
      </c>
      <c r="K857" s="116"/>
    </row>
    <row r="858" spans="1:11" ht="30">
      <c r="A858" s="41">
        <f t="shared" si="24"/>
        <v>199</v>
      </c>
      <c r="B858" s="158" t="s">
        <v>677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3"/>
        <v>H_199</v>
      </c>
      <c r="K858" s="116"/>
    </row>
    <row r="859" spans="1:11" ht="30">
      <c r="A859" s="41">
        <f t="shared" si="24"/>
        <v>200</v>
      </c>
      <c r="B859" s="158" t="s">
        <v>678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3"/>
        <v>H_200</v>
      </c>
      <c r="K859" s="116"/>
    </row>
    <row r="860" spans="1:11" ht="30">
      <c r="A860" s="41">
        <f t="shared" si="24"/>
        <v>201</v>
      </c>
      <c r="B860" s="158" t="s">
        <v>679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ref="J860:J923" si="25">IFERROR(CONCATENATE(LEFT(C860,1),"_",TEXT(A860,"000")),"")</f>
        <v>H_201</v>
      </c>
      <c r="K860" s="116"/>
    </row>
    <row r="861" spans="1:11" ht="30">
      <c r="A861" s="41">
        <f t="shared" si="24"/>
        <v>202</v>
      </c>
      <c r="B861" s="158" t="s">
        <v>680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5"/>
        <v>H_202</v>
      </c>
      <c r="K861" s="116"/>
    </row>
    <row r="862" spans="1:11" ht="30">
      <c r="A862" s="41">
        <f t="shared" si="24"/>
        <v>203</v>
      </c>
      <c r="B862" s="158" t="s">
        <v>681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5"/>
        <v>H_203</v>
      </c>
      <c r="K862" s="116"/>
    </row>
    <row r="863" spans="1:11" ht="30">
      <c r="A863" s="41">
        <f t="shared" si="24"/>
        <v>204</v>
      </c>
      <c r="B863" s="158" t="s">
        <v>682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5"/>
        <v>H_204</v>
      </c>
      <c r="K863" s="116"/>
    </row>
    <row r="864" spans="1:11" ht="30">
      <c r="A864" s="41">
        <f t="shared" si="24"/>
        <v>205</v>
      </c>
      <c r="B864" s="158" t="s">
        <v>683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5"/>
        <v>H_205</v>
      </c>
      <c r="K864" s="116"/>
    </row>
    <row r="865" spans="1:11" ht="30">
      <c r="A865" s="41">
        <f t="shared" si="24"/>
        <v>206</v>
      </c>
      <c r="B865" s="158" t="s">
        <v>684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5"/>
        <v>H_206</v>
      </c>
      <c r="K865" s="116"/>
    </row>
    <row r="866" spans="1:11" ht="30">
      <c r="A866" s="41">
        <f t="shared" si="24"/>
        <v>207</v>
      </c>
      <c r="B866" s="158" t="s">
        <v>685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5"/>
        <v>H_207</v>
      </c>
      <c r="K866" s="116"/>
    </row>
    <row r="867" spans="1:11" ht="30">
      <c r="A867" s="41">
        <f t="shared" si="24"/>
        <v>208</v>
      </c>
      <c r="B867" s="158" t="s">
        <v>686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5"/>
        <v>H_208</v>
      </c>
      <c r="K867" s="116"/>
    </row>
    <row r="868" spans="1:11" ht="30">
      <c r="A868" s="41">
        <f t="shared" si="24"/>
        <v>209</v>
      </c>
      <c r="B868" s="158" t="s">
        <v>687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5"/>
        <v>H_209</v>
      </c>
      <c r="K868" s="116"/>
    </row>
    <row r="869" spans="1:11" ht="30">
      <c r="A869" s="41">
        <f t="shared" si="24"/>
        <v>210</v>
      </c>
      <c r="B869" s="158" t="s">
        <v>688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5"/>
        <v>H_210</v>
      </c>
      <c r="K869" s="116"/>
    </row>
    <row r="870" spans="1:11" ht="30">
      <c r="A870" s="41">
        <f t="shared" si="24"/>
        <v>211</v>
      </c>
      <c r="B870" s="158" t="s">
        <v>689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5"/>
        <v>H_211</v>
      </c>
      <c r="K870" s="116"/>
    </row>
    <row r="871" spans="1:11" ht="30">
      <c r="A871" s="41">
        <f t="shared" si="24"/>
        <v>212</v>
      </c>
      <c r="B871" s="158" t="s">
        <v>690</v>
      </c>
      <c r="C871" s="205" t="s">
        <v>40</v>
      </c>
      <c r="D871" s="48" t="s">
        <v>104</v>
      </c>
      <c r="E871" s="55">
        <v>3850</v>
      </c>
      <c r="F871" s="182" t="s">
        <v>104</v>
      </c>
      <c r="G871" s="9">
        <f>IF(Tabla9[[#This Row],[Precio
Unidad de Compra ( $)]]="","",(E871/(H871*I871)))</f>
        <v>3850</v>
      </c>
      <c r="H871" s="8">
        <v>1</v>
      </c>
      <c r="I871" s="169">
        <v>1</v>
      </c>
      <c r="J871" s="206" t="str">
        <f t="shared" si="25"/>
        <v>H_212</v>
      </c>
      <c r="K871" s="116"/>
    </row>
    <row r="872" spans="1:11" ht="30">
      <c r="A872" s="41">
        <f t="shared" si="24"/>
        <v>213</v>
      </c>
      <c r="B872" s="158" t="s">
        <v>691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5"/>
        <v>H_213</v>
      </c>
      <c r="K872" s="116"/>
    </row>
    <row r="873" spans="1:11" ht="30">
      <c r="A873" s="41">
        <f t="shared" si="24"/>
        <v>214</v>
      </c>
      <c r="B873" s="158" t="s">
        <v>692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5"/>
        <v>H_214</v>
      </c>
      <c r="K873" s="116"/>
    </row>
    <row r="874" spans="1:11" ht="30">
      <c r="A874" s="41">
        <f t="shared" si="24"/>
        <v>215</v>
      </c>
      <c r="B874" s="158" t="s">
        <v>693</v>
      </c>
      <c r="C874" s="205" t="s">
        <v>40</v>
      </c>
      <c r="D874" s="48" t="s">
        <v>104</v>
      </c>
      <c r="E874" s="55">
        <v>8973.7900000000009</v>
      </c>
      <c r="F874" s="182" t="s">
        <v>104</v>
      </c>
      <c r="G874" s="9">
        <f>IF(Tabla9[[#This Row],[Precio
Unidad de Compra ( $)]]="","",(E874/(H874*I874)))</f>
        <v>8973.7900000000009</v>
      </c>
      <c r="H874" s="8">
        <v>1</v>
      </c>
      <c r="I874" s="169">
        <v>1</v>
      </c>
      <c r="J874" s="206" t="str">
        <f t="shared" si="25"/>
        <v>H_215</v>
      </c>
      <c r="K874" s="116"/>
    </row>
    <row r="875" spans="1:11">
      <c r="A875" s="41">
        <f t="shared" si="24"/>
        <v>216</v>
      </c>
      <c r="B875" s="158" t="s">
        <v>694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5"/>
        <v>H_216</v>
      </c>
      <c r="K875" s="116"/>
    </row>
    <row r="876" spans="1:11" ht="30">
      <c r="A876" s="41">
        <f t="shared" si="24"/>
        <v>217</v>
      </c>
      <c r="B876" s="158" t="s">
        <v>695</v>
      </c>
      <c r="C876" s="205" t="s">
        <v>40</v>
      </c>
      <c r="D876" s="48" t="s">
        <v>104</v>
      </c>
      <c r="E876" s="55">
        <v>1661.24</v>
      </c>
      <c r="F876" s="182" t="s">
        <v>104</v>
      </c>
      <c r="G876" s="9">
        <f>IF(Tabla9[[#This Row],[Precio
Unidad de Compra ( $)]]="","",(E876/(H876*I876)))</f>
        <v>1661.24</v>
      </c>
      <c r="H876" s="8">
        <v>1</v>
      </c>
      <c r="I876" s="169">
        <v>1</v>
      </c>
      <c r="J876" s="206" t="str">
        <f t="shared" si="25"/>
        <v>H_217</v>
      </c>
      <c r="K876" s="116"/>
    </row>
    <row r="877" spans="1:11">
      <c r="A877" s="41">
        <f t="shared" si="24"/>
        <v>218</v>
      </c>
      <c r="B877" s="158" t="s">
        <v>696</v>
      </c>
      <c r="C877" s="205" t="s">
        <v>40</v>
      </c>
      <c r="D877" s="48" t="s">
        <v>104</v>
      </c>
      <c r="E877" s="55">
        <v>690.75</v>
      </c>
      <c r="F877" s="182" t="s">
        <v>104</v>
      </c>
      <c r="G877" s="9">
        <f>IF(Tabla9[[#This Row],[Precio
Unidad de Compra ( $)]]="","",(E877/(H877*I877)))</f>
        <v>690.75</v>
      </c>
      <c r="H877" s="8">
        <v>1</v>
      </c>
      <c r="I877" s="169">
        <v>1</v>
      </c>
      <c r="J877" s="206" t="str">
        <f t="shared" si="25"/>
        <v>H_218</v>
      </c>
      <c r="K877" s="116"/>
    </row>
    <row r="878" spans="1:11">
      <c r="A878" s="41">
        <f t="shared" si="24"/>
        <v>219</v>
      </c>
      <c r="B878" s="171" t="s">
        <v>697</v>
      </c>
      <c r="C878" s="205" t="s">
        <v>40</v>
      </c>
      <c r="D878" s="48" t="s">
        <v>104</v>
      </c>
      <c r="E878" s="56">
        <v>1505.04</v>
      </c>
      <c r="F878" s="176" t="s">
        <v>104</v>
      </c>
      <c r="G878" s="9">
        <f>IF(Tabla9[[#This Row],[Precio
Unidad de Compra ( $)]]="","",(E878/(H878*I878)))</f>
        <v>1505.04</v>
      </c>
      <c r="H878" s="8">
        <v>1</v>
      </c>
      <c r="I878" s="169">
        <v>1</v>
      </c>
      <c r="J878" s="206" t="str">
        <f t="shared" si="25"/>
        <v>H_219</v>
      </c>
      <c r="K878" s="116"/>
    </row>
    <row r="879" spans="1:11">
      <c r="A879" s="41">
        <f t="shared" si="24"/>
        <v>220</v>
      </c>
      <c r="B879" s="171" t="s">
        <v>698</v>
      </c>
      <c r="C879" s="205" t="s">
        <v>40</v>
      </c>
      <c r="D879" s="48" t="s">
        <v>104</v>
      </c>
      <c r="E879" s="56">
        <v>3628.57</v>
      </c>
      <c r="F879" s="176" t="s">
        <v>104</v>
      </c>
      <c r="G879" s="9">
        <f>IF(Tabla9[[#This Row],[Precio
Unidad de Compra ( $)]]="","",(E879/(H879*I879)))</f>
        <v>3628.57</v>
      </c>
      <c r="H879" s="8">
        <v>1</v>
      </c>
      <c r="I879" s="169">
        <v>1</v>
      </c>
      <c r="J879" s="206" t="str">
        <f t="shared" si="25"/>
        <v>H_220</v>
      </c>
      <c r="K879" s="116"/>
    </row>
    <row r="880" spans="1:11">
      <c r="A880" s="41">
        <f t="shared" si="24"/>
        <v>221</v>
      </c>
      <c r="B880" s="171" t="s">
        <v>699</v>
      </c>
      <c r="C880" s="205" t="s">
        <v>40</v>
      </c>
      <c r="D880" s="48" t="s">
        <v>104</v>
      </c>
      <c r="E880" s="56">
        <v>1505.04</v>
      </c>
      <c r="F880" s="176" t="s">
        <v>104</v>
      </c>
      <c r="G880" s="9">
        <f>IF(Tabla9[[#This Row],[Precio
Unidad de Compra ( $)]]="","",(E880/(H880*I880)))</f>
        <v>1505.04</v>
      </c>
      <c r="H880" s="8">
        <v>1</v>
      </c>
      <c r="I880" s="169">
        <v>1</v>
      </c>
      <c r="J880" s="206" t="str">
        <f t="shared" si="25"/>
        <v>H_221</v>
      </c>
      <c r="K880" s="116"/>
    </row>
    <row r="881" spans="1:11" ht="30">
      <c r="A881" s="41">
        <f t="shared" si="24"/>
        <v>222</v>
      </c>
      <c r="B881" s="158" t="s">
        <v>700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5"/>
        <v>H_222</v>
      </c>
      <c r="K881" s="116"/>
    </row>
    <row r="882" spans="1:11" ht="30">
      <c r="A882" s="41">
        <f t="shared" si="24"/>
        <v>223</v>
      </c>
      <c r="B882" s="158" t="s">
        <v>701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5"/>
        <v>H_223</v>
      </c>
      <c r="K882" s="116"/>
    </row>
    <row r="883" spans="1:11" ht="30">
      <c r="A883" s="41">
        <f t="shared" si="24"/>
        <v>224</v>
      </c>
      <c r="B883" s="158" t="s">
        <v>702</v>
      </c>
      <c r="C883" s="205" t="s">
        <v>40</v>
      </c>
      <c r="D883" s="48" t="s">
        <v>104</v>
      </c>
      <c r="E883" s="55">
        <v>2898.84</v>
      </c>
      <c r="F883" s="182" t="s">
        <v>104</v>
      </c>
      <c r="G883" s="9">
        <f>IF(Tabla9[[#This Row],[Precio
Unidad de Compra ( $)]]="","",(E883/(H883*I883)))</f>
        <v>2898.84</v>
      </c>
      <c r="H883" s="8">
        <v>1</v>
      </c>
      <c r="I883" s="169">
        <v>1</v>
      </c>
      <c r="J883" s="206" t="str">
        <f t="shared" si="25"/>
        <v>H_224</v>
      </c>
      <c r="K883" s="116"/>
    </row>
    <row r="884" spans="1:11" ht="30">
      <c r="A884" s="41">
        <f t="shared" si="24"/>
        <v>225</v>
      </c>
      <c r="B884" s="158" t="s">
        <v>703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5"/>
        <v>H_225</v>
      </c>
      <c r="K884" s="116"/>
    </row>
    <row r="885" spans="1:11" ht="30">
      <c r="A885" s="41">
        <f t="shared" si="24"/>
        <v>226</v>
      </c>
      <c r="B885" s="158" t="s">
        <v>704</v>
      </c>
      <c r="C885" s="205" t="s">
        <v>40</v>
      </c>
      <c r="D885" s="48" t="s">
        <v>104</v>
      </c>
      <c r="E885" s="55">
        <v>833</v>
      </c>
      <c r="F885" s="182" t="s">
        <v>104</v>
      </c>
      <c r="G885" s="9">
        <f>IF(Tabla9[[#This Row],[Precio
Unidad de Compra ( $)]]="","",(E885/(H885*I885)))</f>
        <v>833</v>
      </c>
      <c r="H885" s="8">
        <v>1</v>
      </c>
      <c r="I885" s="169">
        <v>1</v>
      </c>
      <c r="J885" s="206" t="str">
        <f t="shared" si="25"/>
        <v>H_226</v>
      </c>
      <c r="K885" s="116"/>
    </row>
    <row r="886" spans="1:11" ht="30">
      <c r="A886" s="41">
        <f t="shared" si="24"/>
        <v>227</v>
      </c>
      <c r="B886" s="158" t="s">
        <v>705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5"/>
        <v>H_227</v>
      </c>
      <c r="K886" s="116"/>
    </row>
    <row r="887" spans="1:11" ht="30">
      <c r="A887" s="41">
        <f t="shared" si="24"/>
        <v>228</v>
      </c>
      <c r="B887" s="158" t="s">
        <v>706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5"/>
        <v>H_228</v>
      </c>
      <c r="K887" s="116"/>
    </row>
    <row r="888" spans="1:11" ht="30">
      <c r="A888" s="41">
        <f t="shared" si="24"/>
        <v>229</v>
      </c>
      <c r="B888" s="158" t="s">
        <v>707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5"/>
        <v>H_229</v>
      </c>
      <c r="K888" s="116"/>
    </row>
    <row r="889" spans="1:11" ht="30">
      <c r="A889" s="41">
        <f t="shared" si="24"/>
        <v>230</v>
      </c>
      <c r="B889" s="158" t="s">
        <v>708</v>
      </c>
      <c r="C889" s="205" t="s">
        <v>40</v>
      </c>
      <c r="D889" s="48" t="s">
        <v>104</v>
      </c>
      <c r="E889" s="55">
        <v>1266.6666666666667</v>
      </c>
      <c r="F889" s="182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5"/>
        <v>H_230</v>
      </c>
      <c r="K889" s="116"/>
    </row>
    <row r="890" spans="1:11" ht="30">
      <c r="A890" s="41">
        <f t="shared" si="24"/>
        <v>231</v>
      </c>
      <c r="B890" s="158" t="s">
        <v>709</v>
      </c>
      <c r="C890" s="205" t="s">
        <v>40</v>
      </c>
      <c r="D890" s="48" t="s">
        <v>104</v>
      </c>
      <c r="E890" s="43">
        <v>1266.6666666666667</v>
      </c>
      <c r="F890" s="176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5"/>
        <v>H_231</v>
      </c>
      <c r="K890" s="116"/>
    </row>
    <row r="891" spans="1:11" ht="30">
      <c r="A891" s="41">
        <f t="shared" si="24"/>
        <v>232</v>
      </c>
      <c r="B891" s="158" t="s">
        <v>710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5"/>
        <v>H_232</v>
      </c>
      <c r="K891" s="116"/>
    </row>
    <row r="892" spans="1:11" ht="30">
      <c r="A892" s="41">
        <f t="shared" si="24"/>
        <v>233</v>
      </c>
      <c r="B892" s="158" t="s">
        <v>711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5"/>
        <v>H_233</v>
      </c>
      <c r="K892" s="116"/>
    </row>
    <row r="893" spans="1:11" ht="30">
      <c r="A893" s="41">
        <f t="shared" si="24"/>
        <v>234</v>
      </c>
      <c r="B893" s="158" t="s">
        <v>712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5"/>
        <v>H_234</v>
      </c>
      <c r="K893" s="116"/>
    </row>
    <row r="894" spans="1:11" ht="30">
      <c r="A894" s="41">
        <f t="shared" si="24"/>
        <v>235</v>
      </c>
      <c r="B894" s="158" t="s">
        <v>713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5"/>
        <v>H_235</v>
      </c>
      <c r="K894" s="116"/>
    </row>
    <row r="895" spans="1:11" ht="30">
      <c r="A895" s="41">
        <f t="shared" si="24"/>
        <v>236</v>
      </c>
      <c r="B895" s="158" t="s">
        <v>714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5"/>
        <v>H_236</v>
      </c>
      <c r="K895" s="116"/>
    </row>
    <row r="896" spans="1:11" ht="30">
      <c r="A896" s="41">
        <f t="shared" si="24"/>
        <v>237</v>
      </c>
      <c r="B896" s="158" t="s">
        <v>715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5"/>
        <v>H_237</v>
      </c>
      <c r="K896" s="116"/>
    </row>
    <row r="897" spans="1:11" ht="30">
      <c r="A897" s="41">
        <f t="shared" si="24"/>
        <v>238</v>
      </c>
      <c r="B897" s="158" t="s">
        <v>716</v>
      </c>
      <c r="C897" s="205" t="s">
        <v>40</v>
      </c>
      <c r="D897" s="48" t="s">
        <v>104</v>
      </c>
      <c r="E897" s="55">
        <v>1266.6666666666667</v>
      </c>
      <c r="F897" s="182" t="s">
        <v>104</v>
      </c>
      <c r="G897" s="9">
        <f>IF(Tabla9[[#This Row],[Precio
Unidad de Compra ( $)]]="","",(E897/(H897*I897)))</f>
        <v>1266.6666666666667</v>
      </c>
      <c r="H897" s="8">
        <v>1</v>
      </c>
      <c r="I897" s="169">
        <v>1</v>
      </c>
      <c r="J897" s="206" t="str">
        <f t="shared" si="25"/>
        <v>H_238</v>
      </c>
      <c r="K897" s="116"/>
    </row>
    <row r="898" spans="1:11" ht="30">
      <c r="A898" s="41">
        <f t="shared" si="24"/>
        <v>239</v>
      </c>
      <c r="B898" s="158" t="s">
        <v>717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5"/>
        <v>H_239</v>
      </c>
      <c r="K898" s="116"/>
    </row>
    <row r="899" spans="1:11" ht="30">
      <c r="A899" s="41">
        <f t="shared" si="24"/>
        <v>240</v>
      </c>
      <c r="B899" s="158" t="s">
        <v>718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5"/>
        <v>H_240</v>
      </c>
      <c r="K899" s="116"/>
    </row>
    <row r="900" spans="1:11" ht="30">
      <c r="A900" s="41">
        <f t="shared" si="24"/>
        <v>241</v>
      </c>
      <c r="B900" s="158" t="s">
        <v>719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5"/>
        <v>H_241</v>
      </c>
      <c r="K900" s="116"/>
    </row>
    <row r="901" spans="1:11" ht="30">
      <c r="A901" s="41">
        <f t="shared" si="24"/>
        <v>242</v>
      </c>
      <c r="B901" s="158" t="s">
        <v>720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5"/>
        <v>H_242</v>
      </c>
      <c r="K901" s="116"/>
    </row>
    <row r="902" spans="1:11" ht="30">
      <c r="A902" s="41">
        <f t="shared" si="24"/>
        <v>243</v>
      </c>
      <c r="B902" s="158" t="s">
        <v>721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5"/>
        <v>H_243</v>
      </c>
      <c r="K902" s="116"/>
    </row>
    <row r="903" spans="1:11" ht="30">
      <c r="A903" s="41">
        <f t="shared" si="24"/>
        <v>244</v>
      </c>
      <c r="B903" s="158" t="s">
        <v>722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5"/>
        <v>H_244</v>
      </c>
      <c r="K903" s="116"/>
    </row>
    <row r="904" spans="1:11" ht="30">
      <c r="A904" s="41">
        <f t="shared" si="24"/>
        <v>245</v>
      </c>
      <c r="B904" s="158" t="s">
        <v>723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5"/>
        <v>H_245</v>
      </c>
      <c r="K904" s="116"/>
    </row>
    <row r="905" spans="1:11" ht="30">
      <c r="A905" s="41">
        <f t="shared" si="24"/>
        <v>246</v>
      </c>
      <c r="B905" s="158" t="s">
        <v>724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5"/>
        <v>H_246</v>
      </c>
      <c r="K905" s="116"/>
    </row>
    <row r="906" spans="1:11" ht="30">
      <c r="A906" s="41">
        <f t="shared" si="24"/>
        <v>247</v>
      </c>
      <c r="B906" s="158" t="s">
        <v>725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5"/>
        <v>H_247</v>
      </c>
      <c r="K906" s="116"/>
    </row>
    <row r="907" spans="1:11" ht="30">
      <c r="A907" s="41">
        <f t="shared" si="24"/>
        <v>248</v>
      </c>
      <c r="B907" s="158" t="s">
        <v>726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5"/>
        <v>H_248</v>
      </c>
      <c r="K907" s="116"/>
    </row>
    <row r="908" spans="1:11" ht="30">
      <c r="A908" s="41">
        <f t="shared" si="24"/>
        <v>249</v>
      </c>
      <c r="B908" s="158" t="s">
        <v>727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5"/>
        <v>H_249</v>
      </c>
      <c r="K908" s="116"/>
    </row>
    <row r="909" spans="1:11" ht="30">
      <c r="A909" s="41">
        <f t="shared" si="24"/>
        <v>250</v>
      </c>
      <c r="B909" s="158" t="s">
        <v>728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5"/>
        <v>H_250</v>
      </c>
      <c r="K909" s="116"/>
    </row>
    <row r="910" spans="1:11" ht="30">
      <c r="A910" s="41">
        <f t="shared" si="24"/>
        <v>251</v>
      </c>
      <c r="B910" s="158" t="s">
        <v>729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5"/>
        <v>H_251</v>
      </c>
      <c r="K910" s="116"/>
    </row>
    <row r="911" spans="1:11" ht="30">
      <c r="A911" s="41">
        <f t="shared" si="24"/>
        <v>252</v>
      </c>
      <c r="B911" s="158" t="s">
        <v>730</v>
      </c>
      <c r="C911" s="205" t="s">
        <v>40</v>
      </c>
      <c r="D911" s="48" t="s">
        <v>104</v>
      </c>
      <c r="E911" s="55">
        <v>455.66624999999999</v>
      </c>
      <c r="F911" s="182" t="s">
        <v>104</v>
      </c>
      <c r="G911" s="9">
        <f>IF(Tabla9[[#This Row],[Precio
Unidad de Compra ( $)]]="","",(E911/(H911*I911)))</f>
        <v>455.66624999999999</v>
      </c>
      <c r="H911" s="8">
        <v>1</v>
      </c>
      <c r="I911" s="169">
        <v>1</v>
      </c>
      <c r="J911" s="206" t="str">
        <f t="shared" si="25"/>
        <v>H_252</v>
      </c>
      <c r="K911" s="116"/>
    </row>
    <row r="912" spans="1:11">
      <c r="A912" s="41">
        <f t="shared" si="24"/>
        <v>253</v>
      </c>
      <c r="B912" s="36" t="s">
        <v>731</v>
      </c>
      <c r="C912" s="205" t="s">
        <v>40</v>
      </c>
      <c r="D912" s="48" t="s">
        <v>104</v>
      </c>
      <c r="E912" s="43">
        <v>3356</v>
      </c>
      <c r="F912" s="176" t="s">
        <v>104</v>
      </c>
      <c r="G912" s="9">
        <f>IF(Tabla9[[#This Row],[Precio
Unidad de Compra ( $)]]="","",(E912/(H912*I912)))</f>
        <v>3356</v>
      </c>
      <c r="H912" s="8">
        <v>1</v>
      </c>
      <c r="I912" s="169">
        <v>1</v>
      </c>
      <c r="J912" s="206" t="str">
        <f t="shared" si="25"/>
        <v>H_253</v>
      </c>
      <c r="K912" s="116"/>
    </row>
    <row r="913" spans="1:11">
      <c r="A913" s="41">
        <f t="shared" si="24"/>
        <v>254</v>
      </c>
      <c r="B913" s="158" t="s">
        <v>732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5"/>
        <v>H_254</v>
      </c>
      <c r="K913" s="116"/>
    </row>
    <row r="914" spans="1:11">
      <c r="A914" s="41">
        <f t="shared" si="24"/>
        <v>255</v>
      </c>
      <c r="B914" s="158" t="s">
        <v>733</v>
      </c>
      <c r="C914" s="205" t="s">
        <v>40</v>
      </c>
      <c r="D914" s="48" t="s">
        <v>104</v>
      </c>
      <c r="E914" s="55">
        <v>1900</v>
      </c>
      <c r="F914" s="182" t="s">
        <v>104</v>
      </c>
      <c r="G914" s="9">
        <f>IF(Tabla9[[#This Row],[Precio
Unidad de Compra ( $)]]="","",(E914/(H914*I914)))</f>
        <v>1900</v>
      </c>
      <c r="H914" s="8">
        <v>1</v>
      </c>
      <c r="I914" s="169">
        <v>1</v>
      </c>
      <c r="J914" s="206" t="str">
        <f t="shared" si="25"/>
        <v>H_255</v>
      </c>
      <c r="K914" s="116"/>
    </row>
    <row r="915" spans="1:11">
      <c r="A915" s="41">
        <f t="shared" si="24"/>
        <v>256</v>
      </c>
      <c r="B915" s="158" t="s">
        <v>734</v>
      </c>
      <c r="C915" s="205" t="s">
        <v>40</v>
      </c>
      <c r="D915" s="48" t="s">
        <v>104</v>
      </c>
      <c r="E915" s="55">
        <v>23075</v>
      </c>
      <c r="F915" s="182" t="s">
        <v>104</v>
      </c>
      <c r="G915" s="9">
        <f>IF(Tabla9[[#This Row],[Precio
Unidad de Compra ( $)]]="","",(E915/(H915*I915)))</f>
        <v>23075</v>
      </c>
      <c r="H915" s="8">
        <v>1</v>
      </c>
      <c r="I915" s="169">
        <v>1</v>
      </c>
      <c r="J915" s="206" t="str">
        <f t="shared" si="25"/>
        <v>H_256</v>
      </c>
      <c r="K915" s="116"/>
    </row>
    <row r="916" spans="1:11">
      <c r="A916" s="41">
        <f t="shared" si="24"/>
        <v>257</v>
      </c>
      <c r="B916" s="36" t="s">
        <v>735</v>
      </c>
      <c r="C916" s="205" t="s">
        <v>40</v>
      </c>
      <c r="D916" s="48" t="s">
        <v>104</v>
      </c>
      <c r="E916" s="55">
        <v>23075.289999999997</v>
      </c>
      <c r="F916" s="176" t="s">
        <v>104</v>
      </c>
      <c r="G916" s="9">
        <f>IF(Tabla9[[#This Row],[Precio
Unidad de Compra ( $)]]="","",(E916/(H916*I916)))</f>
        <v>23075.289999999997</v>
      </c>
      <c r="H916" s="8">
        <v>1</v>
      </c>
      <c r="I916" s="169">
        <v>1</v>
      </c>
      <c r="J916" s="206" t="str">
        <f t="shared" si="25"/>
        <v>H_257</v>
      </c>
      <c r="K916" s="116"/>
    </row>
    <row r="917" spans="1:11">
      <c r="A917" s="41">
        <f t="shared" ref="A917:A980" si="26">A916+1</f>
        <v>258</v>
      </c>
      <c r="B917" s="158" t="s">
        <v>736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5"/>
        <v>H_258</v>
      </c>
      <c r="K917" s="116"/>
    </row>
    <row r="918" spans="1:11">
      <c r="A918" s="41">
        <f t="shared" si="26"/>
        <v>259</v>
      </c>
      <c r="B918" s="158" t="s">
        <v>737</v>
      </c>
      <c r="C918" s="205" t="s">
        <v>40</v>
      </c>
      <c r="D918" s="48" t="s">
        <v>104</v>
      </c>
      <c r="E918" s="55">
        <v>1018.64</v>
      </c>
      <c r="F918" s="182" t="s">
        <v>104</v>
      </c>
      <c r="G918" s="9">
        <f>IF(Tabla9[[#This Row],[Precio
Unidad de Compra ( $)]]="","",(E918/(H918*I918)))</f>
        <v>1018.64</v>
      </c>
      <c r="H918" s="8">
        <v>1</v>
      </c>
      <c r="I918" s="169">
        <v>1</v>
      </c>
      <c r="J918" s="206" t="str">
        <f t="shared" si="25"/>
        <v>H_259</v>
      </c>
      <c r="K918" s="116"/>
    </row>
    <row r="919" spans="1:11">
      <c r="A919" s="41">
        <f t="shared" si="26"/>
        <v>260</v>
      </c>
      <c r="B919" s="36" t="s">
        <v>738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5"/>
        <v>H_260</v>
      </c>
      <c r="K919" s="116"/>
    </row>
    <row r="920" spans="1:11" ht="30">
      <c r="A920" s="41">
        <f t="shared" si="26"/>
        <v>261</v>
      </c>
      <c r="B920" s="36" t="s">
        <v>739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5"/>
        <v>H_261</v>
      </c>
      <c r="K920" s="116"/>
    </row>
    <row r="921" spans="1:11">
      <c r="A921" s="41">
        <f t="shared" si="26"/>
        <v>262</v>
      </c>
      <c r="B921" s="36" t="s">
        <v>740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5"/>
        <v>H_262</v>
      </c>
      <c r="K921" s="116"/>
    </row>
    <row r="922" spans="1:11">
      <c r="A922" s="41">
        <f t="shared" si="26"/>
        <v>263</v>
      </c>
      <c r="B922" s="36" t="s">
        <v>741</v>
      </c>
      <c r="C922" s="205" t="s">
        <v>40</v>
      </c>
      <c r="D922" s="48" t="s">
        <v>104</v>
      </c>
      <c r="E922" s="43">
        <v>3356</v>
      </c>
      <c r="F922" s="176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5"/>
        <v>H_263</v>
      </c>
      <c r="K922" s="116"/>
    </row>
    <row r="923" spans="1:11" ht="30">
      <c r="A923" s="41">
        <f t="shared" si="26"/>
        <v>264</v>
      </c>
      <c r="B923" s="36" t="s">
        <v>742</v>
      </c>
      <c r="C923" s="205" t="s">
        <v>40</v>
      </c>
      <c r="D923" s="48" t="s">
        <v>104</v>
      </c>
      <c r="E923" s="55">
        <v>3356</v>
      </c>
      <c r="F923" s="182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5"/>
        <v>H_264</v>
      </c>
      <c r="K923" s="116"/>
    </row>
    <row r="924" spans="1:11">
      <c r="A924" s="41">
        <f t="shared" si="26"/>
        <v>265</v>
      </c>
      <c r="B924" s="36" t="s">
        <v>743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ref="J924:J987" si="27">IFERROR(CONCATENATE(LEFT(C924,1),"_",TEXT(A924,"000")),"")</f>
        <v>H_265</v>
      </c>
      <c r="K924" s="116"/>
    </row>
    <row r="925" spans="1:11" ht="30">
      <c r="A925" s="41">
        <f t="shared" si="26"/>
        <v>266</v>
      </c>
      <c r="B925" s="36" t="s">
        <v>744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7"/>
        <v>H_266</v>
      </c>
      <c r="K925" s="116"/>
    </row>
    <row r="926" spans="1:11" ht="30">
      <c r="A926" s="41">
        <f t="shared" si="26"/>
        <v>267</v>
      </c>
      <c r="B926" s="36" t="s">
        <v>745</v>
      </c>
      <c r="C926" s="205" t="s">
        <v>40</v>
      </c>
      <c r="D926" s="48" t="s">
        <v>104</v>
      </c>
      <c r="E926" s="43">
        <v>3356</v>
      </c>
      <c r="F926" s="176" t="s">
        <v>104</v>
      </c>
      <c r="G926" s="9">
        <f>IF(Tabla9[[#This Row],[Precio
Unidad de Compra ( $)]]="","",(E926/(H926*I926)))</f>
        <v>3356</v>
      </c>
      <c r="H926" s="8">
        <v>1</v>
      </c>
      <c r="I926" s="169">
        <v>1</v>
      </c>
      <c r="J926" s="206" t="str">
        <f t="shared" si="27"/>
        <v>H_267</v>
      </c>
      <c r="K926" s="116"/>
    </row>
    <row r="927" spans="1:11">
      <c r="A927" s="41">
        <f t="shared" si="26"/>
        <v>268</v>
      </c>
      <c r="B927" s="36" t="s">
        <v>746</v>
      </c>
      <c r="C927" s="205" t="s">
        <v>40</v>
      </c>
      <c r="D927" s="48" t="s">
        <v>104</v>
      </c>
      <c r="E927" s="55">
        <v>198</v>
      </c>
      <c r="F927" s="182" t="s">
        <v>104</v>
      </c>
      <c r="G927" s="9">
        <f>IF(Tabla9[[#This Row],[Precio
Unidad de Compra ( $)]]="","",(E927/(H927*I927)))</f>
        <v>198</v>
      </c>
      <c r="H927" s="8">
        <v>1</v>
      </c>
      <c r="I927" s="169">
        <v>1</v>
      </c>
      <c r="J927" s="206" t="str">
        <f t="shared" si="27"/>
        <v>H_268</v>
      </c>
      <c r="K927" s="116"/>
    </row>
    <row r="928" spans="1:11">
      <c r="A928" s="41">
        <f t="shared" si="26"/>
        <v>269</v>
      </c>
      <c r="B928" s="36" t="s">
        <v>747</v>
      </c>
      <c r="C928" s="205" t="s">
        <v>40</v>
      </c>
      <c r="D928" s="48" t="s">
        <v>104</v>
      </c>
      <c r="E928" s="55">
        <v>3356</v>
      </c>
      <c r="F928" s="182" t="s">
        <v>104</v>
      </c>
      <c r="G928" s="9">
        <f>IF(Tabla9[[#This Row],[Precio
Unidad de Compra ( $)]]="","",(E928/(H928*I928)))</f>
        <v>3356</v>
      </c>
      <c r="H928" s="8">
        <v>1</v>
      </c>
      <c r="I928" s="169">
        <v>1</v>
      </c>
      <c r="J928" s="206" t="str">
        <f t="shared" si="27"/>
        <v>H_269</v>
      </c>
      <c r="K928" s="116"/>
    </row>
    <row r="929" spans="1:11">
      <c r="A929" s="41">
        <f t="shared" si="26"/>
        <v>270</v>
      </c>
      <c r="B929" s="36" t="s">
        <v>748</v>
      </c>
      <c r="C929" s="205" t="s">
        <v>40</v>
      </c>
      <c r="D929" s="48" t="s">
        <v>104</v>
      </c>
      <c r="E929" s="55">
        <v>198</v>
      </c>
      <c r="F929" s="182" t="s">
        <v>104</v>
      </c>
      <c r="G929" s="9">
        <f>IF(Tabla9[[#This Row],[Precio
Unidad de Compra ( $)]]="","",(E929/(H929*I929)))</f>
        <v>198</v>
      </c>
      <c r="H929" s="8">
        <v>1</v>
      </c>
      <c r="I929" s="169">
        <v>1</v>
      </c>
      <c r="J929" s="206" t="str">
        <f t="shared" si="27"/>
        <v>H_270</v>
      </c>
      <c r="K929" s="116"/>
    </row>
    <row r="930" spans="1:11">
      <c r="A930" s="41">
        <f t="shared" si="26"/>
        <v>271</v>
      </c>
      <c r="B930" s="36" t="s">
        <v>749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7"/>
        <v>H_271</v>
      </c>
      <c r="K930" s="116"/>
    </row>
    <row r="931" spans="1:11">
      <c r="A931" s="41">
        <f t="shared" si="26"/>
        <v>272</v>
      </c>
      <c r="B931" s="36" t="s">
        <v>750</v>
      </c>
      <c r="C931" s="205" t="s">
        <v>40</v>
      </c>
      <c r="D931" s="48" t="s">
        <v>104</v>
      </c>
      <c r="E931" s="55">
        <v>3356</v>
      </c>
      <c r="F931" s="182" t="s">
        <v>104</v>
      </c>
      <c r="G931" s="9">
        <f>IF(Tabla9[[#This Row],[Precio
Unidad de Compra ( $)]]="","",(E931/(H931*I931)))</f>
        <v>3356</v>
      </c>
      <c r="H931" s="8">
        <v>1</v>
      </c>
      <c r="I931" s="169">
        <v>1</v>
      </c>
      <c r="J931" s="206" t="str">
        <f t="shared" si="27"/>
        <v>H_272</v>
      </c>
      <c r="K931" s="116"/>
    </row>
    <row r="932" spans="1:11" ht="30">
      <c r="A932" s="41">
        <f t="shared" si="26"/>
        <v>273</v>
      </c>
      <c r="B932" s="36" t="s">
        <v>751</v>
      </c>
      <c r="C932" s="205" t="s">
        <v>40</v>
      </c>
      <c r="D932" s="48" t="s">
        <v>104</v>
      </c>
      <c r="E932" s="43">
        <v>198</v>
      </c>
      <c r="F932" s="176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7"/>
        <v>H_273</v>
      </c>
      <c r="K932" s="116"/>
    </row>
    <row r="933" spans="1:11" ht="30">
      <c r="A933" s="41">
        <f t="shared" si="26"/>
        <v>274</v>
      </c>
      <c r="B933" s="36" t="s">
        <v>752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7"/>
        <v>H_274</v>
      </c>
      <c r="K933" s="116"/>
    </row>
    <row r="934" spans="1:11">
      <c r="A934" s="41">
        <f t="shared" si="26"/>
        <v>275</v>
      </c>
      <c r="B934" s="36" t="s">
        <v>753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7"/>
        <v>H_275</v>
      </c>
      <c r="K934" s="116"/>
    </row>
    <row r="935" spans="1:11">
      <c r="A935" s="41">
        <f t="shared" si="26"/>
        <v>276</v>
      </c>
      <c r="B935" s="36" t="s">
        <v>754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7"/>
        <v>H_276</v>
      </c>
      <c r="K935" s="116"/>
    </row>
    <row r="936" spans="1:11" ht="30">
      <c r="A936" s="41">
        <f t="shared" si="26"/>
        <v>277</v>
      </c>
      <c r="B936" s="36" t="s">
        <v>755</v>
      </c>
      <c r="C936" s="205" t="s">
        <v>40</v>
      </c>
      <c r="D936" s="48" t="s">
        <v>104</v>
      </c>
      <c r="E936" s="55">
        <v>198</v>
      </c>
      <c r="F936" s="182" t="s">
        <v>104</v>
      </c>
      <c r="G936" s="9">
        <f>IF(Tabla9[[#This Row],[Precio
Unidad de Compra ( $)]]="","",(E936/(H936*I936)))</f>
        <v>198</v>
      </c>
      <c r="H936" s="8">
        <v>1</v>
      </c>
      <c r="I936" s="169">
        <v>1</v>
      </c>
      <c r="J936" s="206" t="str">
        <f t="shared" si="27"/>
        <v>H_277</v>
      </c>
      <c r="K936" s="116"/>
    </row>
    <row r="937" spans="1:11">
      <c r="A937" s="41">
        <f t="shared" si="26"/>
        <v>278</v>
      </c>
      <c r="B937" s="36" t="s">
        <v>756</v>
      </c>
      <c r="C937" s="205" t="s">
        <v>40</v>
      </c>
      <c r="D937" s="48" t="s">
        <v>104</v>
      </c>
      <c r="E937" s="55">
        <v>3356</v>
      </c>
      <c r="F937" s="182" t="s">
        <v>104</v>
      </c>
      <c r="G937" s="9">
        <f>IF(Tabla9[[#This Row],[Precio
Unidad de Compra ( $)]]="","",(E937/(H937*I937)))</f>
        <v>3356</v>
      </c>
      <c r="H937" s="8">
        <v>1</v>
      </c>
      <c r="I937" s="169">
        <v>1</v>
      </c>
      <c r="J937" s="206" t="str">
        <f t="shared" si="27"/>
        <v>H_278</v>
      </c>
      <c r="K937" s="116"/>
    </row>
    <row r="938" spans="1:11">
      <c r="A938" s="41">
        <f t="shared" si="26"/>
        <v>279</v>
      </c>
      <c r="B938" s="158" t="s">
        <v>757</v>
      </c>
      <c r="C938" s="205" t="s">
        <v>40</v>
      </c>
      <c r="D938" s="48" t="s">
        <v>104</v>
      </c>
      <c r="E938" s="55">
        <v>1100</v>
      </c>
      <c r="F938" s="182" t="s">
        <v>104</v>
      </c>
      <c r="G938" s="9">
        <f>IF(Tabla9[[#This Row],[Precio
Unidad de Compra ( $)]]="","",(E938/(H938*I938)))</f>
        <v>1100</v>
      </c>
      <c r="H938" s="8">
        <v>1</v>
      </c>
      <c r="I938" s="169">
        <v>1</v>
      </c>
      <c r="J938" s="206" t="str">
        <f t="shared" si="27"/>
        <v>H_279</v>
      </c>
      <c r="K938" s="116"/>
    </row>
    <row r="939" spans="1:11">
      <c r="A939" s="41">
        <f t="shared" si="26"/>
        <v>280</v>
      </c>
      <c r="B939" s="158" t="s">
        <v>758</v>
      </c>
      <c r="C939" s="205" t="s">
        <v>40</v>
      </c>
      <c r="D939" s="48" t="s">
        <v>104</v>
      </c>
      <c r="E939" s="55">
        <v>1350</v>
      </c>
      <c r="F939" s="182" t="s">
        <v>104</v>
      </c>
      <c r="G939" s="9">
        <f>IF(Tabla9[[#This Row],[Precio
Unidad de Compra ( $)]]="","",(E939/(H939*I939)))</f>
        <v>1350</v>
      </c>
      <c r="H939" s="8">
        <v>1</v>
      </c>
      <c r="I939" s="169">
        <v>1</v>
      </c>
      <c r="J939" s="206" t="str">
        <f t="shared" si="27"/>
        <v>H_280</v>
      </c>
      <c r="K939" s="116"/>
    </row>
    <row r="940" spans="1:11">
      <c r="A940" s="41">
        <f t="shared" si="26"/>
        <v>281</v>
      </c>
      <c r="B940" s="158" t="s">
        <v>759</v>
      </c>
      <c r="C940" s="205" t="s">
        <v>40</v>
      </c>
      <c r="D940" s="48" t="s">
        <v>104</v>
      </c>
      <c r="E940" s="55">
        <v>925</v>
      </c>
      <c r="F940" s="182" t="s">
        <v>104</v>
      </c>
      <c r="G940" s="9">
        <f>IF(Tabla9[[#This Row],[Precio
Unidad de Compra ( $)]]="","",(E940/(H940*I940)))</f>
        <v>925</v>
      </c>
      <c r="H940" s="8">
        <v>1</v>
      </c>
      <c r="I940" s="169">
        <v>1</v>
      </c>
      <c r="J940" s="206" t="str">
        <f t="shared" si="27"/>
        <v>H_281</v>
      </c>
      <c r="K940" s="116"/>
    </row>
    <row r="941" spans="1:11">
      <c r="A941" s="41">
        <f t="shared" si="26"/>
        <v>282</v>
      </c>
      <c r="B941" s="36" t="s">
        <v>760</v>
      </c>
      <c r="C941" s="205" t="s">
        <v>40</v>
      </c>
      <c r="D941" s="48" t="s">
        <v>104</v>
      </c>
      <c r="E941" s="43">
        <v>3373</v>
      </c>
      <c r="F941" s="176" t="s">
        <v>104</v>
      </c>
      <c r="G941" s="9">
        <f>IF(Tabla9[[#This Row],[Precio
Unidad de Compra ( $)]]="","",(E941/(H941*I941)))</f>
        <v>3373</v>
      </c>
      <c r="H941" s="8">
        <v>1</v>
      </c>
      <c r="I941" s="169">
        <v>1</v>
      </c>
      <c r="J941" s="206" t="str">
        <f t="shared" si="27"/>
        <v>H_282</v>
      </c>
      <c r="K941" s="116"/>
    </row>
    <row r="942" spans="1:11">
      <c r="A942" s="41">
        <f t="shared" si="26"/>
        <v>283</v>
      </c>
      <c r="B942" s="171" t="s">
        <v>761</v>
      </c>
      <c r="C942" s="205" t="s">
        <v>40</v>
      </c>
      <c r="D942" s="48" t="s">
        <v>104</v>
      </c>
      <c r="E942" s="56">
        <v>1275.68</v>
      </c>
      <c r="F942" s="176" t="s">
        <v>104</v>
      </c>
      <c r="G942" s="9">
        <f>IF(Tabla9[[#This Row],[Precio
Unidad de Compra ( $)]]="","",(E942/(H942*I942)))</f>
        <v>1275.68</v>
      </c>
      <c r="H942" s="8">
        <v>1</v>
      </c>
      <c r="I942" s="169">
        <v>1</v>
      </c>
      <c r="J942" s="206" t="str">
        <f t="shared" si="27"/>
        <v>H_283</v>
      </c>
      <c r="K942" s="116"/>
    </row>
    <row r="943" spans="1:11">
      <c r="A943" s="41">
        <f t="shared" si="26"/>
        <v>284</v>
      </c>
      <c r="B943" s="36" t="s">
        <v>762</v>
      </c>
      <c r="C943" s="205" t="s">
        <v>40</v>
      </c>
      <c r="D943" s="48" t="s">
        <v>104</v>
      </c>
      <c r="E943" s="55">
        <v>3373</v>
      </c>
      <c r="F943" s="182" t="s">
        <v>104</v>
      </c>
      <c r="G943" s="9">
        <f>IF(Tabla9[[#This Row],[Precio
Unidad de Compra ( $)]]="","",(E943/(H943*I943)))</f>
        <v>3373</v>
      </c>
      <c r="H943" s="8">
        <v>1</v>
      </c>
      <c r="I943" s="169">
        <v>1</v>
      </c>
      <c r="J943" s="206" t="str">
        <f t="shared" si="27"/>
        <v>H_284</v>
      </c>
      <c r="K943" s="116"/>
    </row>
    <row r="944" spans="1:11">
      <c r="A944" s="41">
        <f t="shared" si="26"/>
        <v>285</v>
      </c>
      <c r="B944" s="171" t="s">
        <v>763</v>
      </c>
      <c r="C944" s="205" t="s">
        <v>40</v>
      </c>
      <c r="D944" s="48" t="s">
        <v>104</v>
      </c>
      <c r="E944" s="56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7"/>
        <v>H_285</v>
      </c>
      <c r="K944" s="116"/>
    </row>
    <row r="945" spans="1:11">
      <c r="A945" s="41">
        <f t="shared" si="26"/>
        <v>286</v>
      </c>
      <c r="B945" s="36" t="s">
        <v>764</v>
      </c>
      <c r="C945" s="205" t="s">
        <v>40</v>
      </c>
      <c r="D945" s="48" t="s">
        <v>104</v>
      </c>
      <c r="E945" s="43">
        <v>1275.68</v>
      </c>
      <c r="F945" s="176" t="s">
        <v>104</v>
      </c>
      <c r="G945" s="9">
        <f>IF(Tabla9[[#This Row],[Precio
Unidad de Compra ( $)]]="","",(E945/(H945*I945)))</f>
        <v>1275.68</v>
      </c>
      <c r="H945" s="8">
        <v>1</v>
      </c>
      <c r="I945" s="169">
        <v>1</v>
      </c>
      <c r="J945" s="206" t="str">
        <f t="shared" si="27"/>
        <v>H_286</v>
      </c>
      <c r="K945" s="116"/>
    </row>
    <row r="946" spans="1:11">
      <c r="A946" s="41">
        <f t="shared" si="26"/>
        <v>287</v>
      </c>
      <c r="B946" s="158" t="s">
        <v>765</v>
      </c>
      <c r="C946" s="205" t="s">
        <v>40</v>
      </c>
      <c r="D946" s="48" t="s">
        <v>104</v>
      </c>
      <c r="E946" s="55">
        <v>2746.52</v>
      </c>
      <c r="F946" s="182" t="s">
        <v>104</v>
      </c>
      <c r="G946" s="9">
        <f>IF(Tabla9[[#This Row],[Precio
Unidad de Compra ( $)]]="","",(E946/(H946*I946)))</f>
        <v>2746.52</v>
      </c>
      <c r="H946" s="8">
        <v>1</v>
      </c>
      <c r="I946" s="169">
        <v>1</v>
      </c>
      <c r="J946" s="206" t="str">
        <f t="shared" si="27"/>
        <v>H_287</v>
      </c>
      <c r="K946" s="116"/>
    </row>
    <row r="947" spans="1:11">
      <c r="A947" s="41">
        <f t="shared" si="26"/>
        <v>288</v>
      </c>
      <c r="B947" s="36" t="s">
        <v>766</v>
      </c>
      <c r="C947" s="205" t="s">
        <v>40</v>
      </c>
      <c r="D947" s="48" t="s">
        <v>104</v>
      </c>
      <c r="E947" s="43">
        <v>1275.68</v>
      </c>
      <c r="F947" s="176" t="s">
        <v>104</v>
      </c>
      <c r="G947" s="9">
        <f>IF(Tabla9[[#This Row],[Precio
Unidad de Compra ( $)]]="","",(E947/(H947*I947)))</f>
        <v>1275.68</v>
      </c>
      <c r="H947" s="8">
        <v>1</v>
      </c>
      <c r="I947" s="169">
        <v>1</v>
      </c>
      <c r="J947" s="206" t="str">
        <f t="shared" si="27"/>
        <v>H_288</v>
      </c>
      <c r="K947" s="116"/>
    </row>
    <row r="948" spans="1:11">
      <c r="A948" s="41">
        <f t="shared" si="26"/>
        <v>289</v>
      </c>
      <c r="B948" s="36" t="s">
        <v>767</v>
      </c>
      <c r="C948" s="205" t="s">
        <v>40</v>
      </c>
      <c r="D948" s="48" t="s">
        <v>104</v>
      </c>
      <c r="E948" s="43">
        <v>1225.7</v>
      </c>
      <c r="F948" s="176" t="s">
        <v>104</v>
      </c>
      <c r="G948" s="9">
        <f>IF(Tabla9[[#This Row],[Precio
Unidad de Compra ( $)]]="","",(E948/(H948*I948)))</f>
        <v>1225.7</v>
      </c>
      <c r="H948" s="8">
        <v>1</v>
      </c>
      <c r="I948" s="169">
        <v>1</v>
      </c>
      <c r="J948" s="206" t="str">
        <f t="shared" si="27"/>
        <v>H_289</v>
      </c>
      <c r="K948" s="116"/>
    </row>
    <row r="949" spans="1:11">
      <c r="A949" s="41">
        <f t="shared" si="26"/>
        <v>290</v>
      </c>
      <c r="B949" s="36" t="s">
        <v>768</v>
      </c>
      <c r="C949" s="205" t="s">
        <v>40</v>
      </c>
      <c r="D949" s="48" t="s">
        <v>104</v>
      </c>
      <c r="E949" s="43">
        <v>3881.78</v>
      </c>
      <c r="F949" s="176" t="s">
        <v>104</v>
      </c>
      <c r="G949" s="9">
        <f>IF(Tabla9[[#This Row],[Precio
Unidad de Compra ( $)]]="","",(E949/(H949*I949)))</f>
        <v>3881.78</v>
      </c>
      <c r="H949" s="8">
        <v>1</v>
      </c>
      <c r="I949" s="169">
        <v>1</v>
      </c>
      <c r="J949" s="206" t="str">
        <f t="shared" si="27"/>
        <v>H_290</v>
      </c>
      <c r="K949" s="116"/>
    </row>
    <row r="950" spans="1:11">
      <c r="A950" s="41">
        <f t="shared" si="26"/>
        <v>291</v>
      </c>
      <c r="B950" s="36" t="s">
        <v>769</v>
      </c>
      <c r="C950" s="205" t="s">
        <v>40</v>
      </c>
      <c r="D950" s="48" t="s">
        <v>104</v>
      </c>
      <c r="E950" s="43">
        <v>1275.68</v>
      </c>
      <c r="F950" s="176" t="s">
        <v>104</v>
      </c>
      <c r="G950" s="9">
        <f>IF(Tabla9[[#This Row],[Precio
Unidad de Compra ( $)]]="","",(E950/(H950*I950)))</f>
        <v>1275.68</v>
      </c>
      <c r="H950" s="8">
        <v>1</v>
      </c>
      <c r="I950" s="169">
        <v>1</v>
      </c>
      <c r="J950" s="206" t="str">
        <f t="shared" si="27"/>
        <v>H_291</v>
      </c>
      <c r="K950" s="116"/>
    </row>
    <row r="951" spans="1:11">
      <c r="A951" s="41">
        <f t="shared" si="26"/>
        <v>292</v>
      </c>
      <c r="B951" s="36" t="s">
        <v>770</v>
      </c>
      <c r="C951" s="205" t="s">
        <v>40</v>
      </c>
      <c r="D951" s="48" t="s">
        <v>104</v>
      </c>
      <c r="E951" s="43">
        <v>3881.78</v>
      </c>
      <c r="F951" s="176" t="s">
        <v>104</v>
      </c>
      <c r="G951" s="9">
        <f>IF(Tabla9[[#This Row],[Precio
Unidad de Compra ( $)]]="","",(E951/(H951*I951)))</f>
        <v>3881.78</v>
      </c>
      <c r="H951" s="8">
        <v>1</v>
      </c>
      <c r="I951" s="169">
        <v>1</v>
      </c>
      <c r="J951" s="206" t="str">
        <f t="shared" si="27"/>
        <v>H_292</v>
      </c>
      <c r="K951" s="116"/>
    </row>
    <row r="952" spans="1:11">
      <c r="A952" s="41">
        <f t="shared" si="26"/>
        <v>293</v>
      </c>
      <c r="B952" s="36" t="s">
        <v>771</v>
      </c>
      <c r="C952" s="205" t="s">
        <v>40</v>
      </c>
      <c r="D952" s="48" t="s">
        <v>104</v>
      </c>
      <c r="E952" s="55">
        <v>1225.7</v>
      </c>
      <c r="F952" s="182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7"/>
        <v>H_293</v>
      </c>
      <c r="K952" s="116"/>
    </row>
    <row r="953" spans="1:11">
      <c r="A953" s="41">
        <f t="shared" si="26"/>
        <v>294</v>
      </c>
      <c r="B953" s="36" t="s">
        <v>772</v>
      </c>
      <c r="C953" s="205" t="s">
        <v>40</v>
      </c>
      <c r="D953" s="48" t="s">
        <v>104</v>
      </c>
      <c r="E953" s="43">
        <v>1225.7</v>
      </c>
      <c r="F953" s="176" t="s">
        <v>104</v>
      </c>
      <c r="G953" s="9">
        <f>IF(Tabla9[[#This Row],[Precio
Unidad de Compra ( $)]]="","",(E953/(H953*I953)))</f>
        <v>1225.7</v>
      </c>
      <c r="H953" s="8">
        <v>1</v>
      </c>
      <c r="I953" s="169">
        <v>1</v>
      </c>
      <c r="J953" s="206" t="str">
        <f t="shared" si="27"/>
        <v>H_294</v>
      </c>
      <c r="K953" s="116"/>
    </row>
    <row r="954" spans="1:11">
      <c r="A954" s="41">
        <f t="shared" si="26"/>
        <v>295</v>
      </c>
      <c r="B954" s="36" t="s">
        <v>773</v>
      </c>
      <c r="C954" s="205" t="s">
        <v>40</v>
      </c>
      <c r="D954" s="48" t="s">
        <v>104</v>
      </c>
      <c r="E954" s="43">
        <v>2400</v>
      </c>
      <c r="F954" s="176" t="s">
        <v>104</v>
      </c>
      <c r="G954" s="9">
        <f>IF(Tabla9[[#This Row],[Precio
Unidad de Compra ( $)]]="","",(E954/(H954*I954)))</f>
        <v>2400</v>
      </c>
      <c r="H954" s="8">
        <v>1</v>
      </c>
      <c r="I954" s="169">
        <v>1</v>
      </c>
      <c r="J954" s="206" t="str">
        <f t="shared" si="27"/>
        <v>H_295</v>
      </c>
      <c r="K954" s="116"/>
    </row>
    <row r="955" spans="1:11">
      <c r="A955" s="41">
        <f t="shared" si="26"/>
        <v>296</v>
      </c>
      <c r="B955" s="36" t="s">
        <v>774</v>
      </c>
      <c r="C955" s="205" t="s">
        <v>40</v>
      </c>
      <c r="D955" s="48" t="s">
        <v>104</v>
      </c>
      <c r="E955" s="43">
        <v>1275.68</v>
      </c>
      <c r="F955" s="176" t="s">
        <v>104</v>
      </c>
      <c r="G955" s="9">
        <f>IF(Tabla9[[#This Row],[Precio
Unidad de Compra ( $)]]="","",(E955/(H955*I955)))</f>
        <v>1275.68</v>
      </c>
      <c r="H955" s="8">
        <v>1</v>
      </c>
      <c r="I955" s="169">
        <v>1</v>
      </c>
      <c r="J955" s="206" t="str">
        <f t="shared" si="27"/>
        <v>H_296</v>
      </c>
      <c r="K955" s="116"/>
    </row>
    <row r="956" spans="1:11">
      <c r="A956" s="41">
        <f t="shared" si="26"/>
        <v>297</v>
      </c>
      <c r="B956" s="36" t="s">
        <v>775</v>
      </c>
      <c r="C956" s="205" t="s">
        <v>40</v>
      </c>
      <c r="D956" s="48" t="s">
        <v>104</v>
      </c>
      <c r="E956" s="43">
        <v>1225.7</v>
      </c>
      <c r="F956" s="176" t="s">
        <v>104</v>
      </c>
      <c r="G956" s="9">
        <f>IF(Tabla9[[#This Row],[Precio
Unidad de Compra ( $)]]="","",(E956/(H956*I956)))</f>
        <v>1225.7</v>
      </c>
      <c r="H956" s="8">
        <v>1</v>
      </c>
      <c r="I956" s="169">
        <v>1</v>
      </c>
      <c r="J956" s="206" t="str">
        <f t="shared" si="27"/>
        <v>H_297</v>
      </c>
      <c r="K956" s="116"/>
    </row>
    <row r="957" spans="1:11">
      <c r="A957" s="41">
        <f t="shared" si="26"/>
        <v>298</v>
      </c>
      <c r="B957" s="36" t="s">
        <v>776</v>
      </c>
      <c r="C957" s="205" t="s">
        <v>40</v>
      </c>
      <c r="D957" s="48" t="s">
        <v>104</v>
      </c>
      <c r="E957" s="43">
        <v>1275.68</v>
      </c>
      <c r="F957" s="176" t="s">
        <v>104</v>
      </c>
      <c r="G957" s="9">
        <f>IF(Tabla9[[#This Row],[Precio
Unidad de Compra ( $)]]="","",(E957/(H957*I957)))</f>
        <v>1275.68</v>
      </c>
      <c r="H957" s="8">
        <v>1</v>
      </c>
      <c r="I957" s="169">
        <v>1</v>
      </c>
      <c r="J957" s="206" t="str">
        <f t="shared" si="27"/>
        <v>H_298</v>
      </c>
      <c r="K957" s="116"/>
    </row>
    <row r="958" spans="1:11">
      <c r="A958" s="41">
        <f t="shared" si="26"/>
        <v>299</v>
      </c>
      <c r="B958" s="36" t="s">
        <v>777</v>
      </c>
      <c r="C958" s="205" t="s">
        <v>40</v>
      </c>
      <c r="D958" s="48" t="s">
        <v>104</v>
      </c>
      <c r="E958" s="43">
        <v>2400</v>
      </c>
      <c r="F958" s="176" t="s">
        <v>104</v>
      </c>
      <c r="G958" s="9">
        <f>IF(Tabla9[[#This Row],[Precio
Unidad de Compra ( $)]]="","",(E958/(H958*I958)))</f>
        <v>2400</v>
      </c>
      <c r="H958" s="8">
        <v>1</v>
      </c>
      <c r="I958" s="169">
        <v>1</v>
      </c>
      <c r="J958" s="206" t="str">
        <f t="shared" si="27"/>
        <v>H_299</v>
      </c>
      <c r="K958" s="116"/>
    </row>
    <row r="959" spans="1:11" ht="30">
      <c r="A959" s="41">
        <f t="shared" si="26"/>
        <v>300</v>
      </c>
      <c r="B959" s="158" t="s">
        <v>778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7"/>
        <v>H_300</v>
      </c>
      <c r="K959" s="116"/>
    </row>
    <row r="960" spans="1:11">
      <c r="A960" s="41">
        <f t="shared" si="26"/>
        <v>301</v>
      </c>
      <c r="B960" s="158" t="s">
        <v>779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7"/>
        <v>H_301</v>
      </c>
      <c r="K960" s="116"/>
    </row>
    <row r="961" spans="1:11">
      <c r="A961" s="41">
        <f t="shared" si="26"/>
        <v>302</v>
      </c>
      <c r="B961" s="158" t="s">
        <v>780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7"/>
        <v>H_302</v>
      </c>
      <c r="K961" s="116"/>
    </row>
    <row r="962" spans="1:11">
      <c r="A962" s="41">
        <f t="shared" si="26"/>
        <v>303</v>
      </c>
      <c r="B962" s="158" t="s">
        <v>781</v>
      </c>
      <c r="C962" s="205" t="s">
        <v>40</v>
      </c>
      <c r="D962" s="48" t="s">
        <v>104</v>
      </c>
      <c r="E962" s="55">
        <v>873.94</v>
      </c>
      <c r="F962" s="182" t="s">
        <v>104</v>
      </c>
      <c r="G962" s="9">
        <f>IF(Tabla9[[#This Row],[Precio
Unidad de Compra ( $)]]="","",(E962/(H962*I962)))</f>
        <v>873.94</v>
      </c>
      <c r="H962" s="8">
        <v>1</v>
      </c>
      <c r="I962" s="169">
        <v>1</v>
      </c>
      <c r="J962" s="206" t="str">
        <f t="shared" si="27"/>
        <v>H_303</v>
      </c>
      <c r="K962" s="116"/>
    </row>
    <row r="963" spans="1:11">
      <c r="A963" s="41">
        <f t="shared" si="26"/>
        <v>304</v>
      </c>
      <c r="B963" s="36" t="s">
        <v>782</v>
      </c>
      <c r="C963" s="205" t="s">
        <v>40</v>
      </c>
      <c r="D963" s="48" t="s">
        <v>104</v>
      </c>
      <c r="E963" s="43">
        <v>131.97</v>
      </c>
      <c r="F963" s="176" t="s">
        <v>104</v>
      </c>
      <c r="G963" s="9">
        <f>IF(Tabla9[[#This Row],[Precio
Unidad de Compra ( $)]]="","",(E963/(H963*I963)))</f>
        <v>131.97</v>
      </c>
      <c r="H963" s="8">
        <v>1</v>
      </c>
      <c r="I963" s="169">
        <v>1</v>
      </c>
      <c r="J963" s="206" t="str">
        <f t="shared" si="27"/>
        <v>H_304</v>
      </c>
      <c r="K963" s="116"/>
    </row>
    <row r="964" spans="1:11">
      <c r="A964" s="41">
        <f t="shared" si="26"/>
        <v>305</v>
      </c>
      <c r="B964" s="158" t="s">
        <v>783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7"/>
        <v>H_305</v>
      </c>
      <c r="K964" s="116"/>
    </row>
    <row r="965" spans="1:11">
      <c r="A965" s="41">
        <f t="shared" si="26"/>
        <v>306</v>
      </c>
      <c r="B965" s="158" t="s">
        <v>784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7"/>
        <v>H_306</v>
      </c>
      <c r="K965" s="116"/>
    </row>
    <row r="966" spans="1:11" ht="30">
      <c r="A966" s="41">
        <f t="shared" si="26"/>
        <v>307</v>
      </c>
      <c r="B966" s="158" t="s">
        <v>785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7"/>
        <v>H_307</v>
      </c>
      <c r="K966" s="116"/>
    </row>
    <row r="967" spans="1:11" ht="30">
      <c r="A967" s="41">
        <f t="shared" si="26"/>
        <v>308</v>
      </c>
      <c r="B967" s="158" t="s">
        <v>786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7"/>
        <v>H_308</v>
      </c>
      <c r="K967" s="116"/>
    </row>
    <row r="968" spans="1:11" ht="30">
      <c r="A968" s="41">
        <f t="shared" si="26"/>
        <v>309</v>
      </c>
      <c r="B968" s="158" t="s">
        <v>787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7"/>
        <v>H_309</v>
      </c>
      <c r="K968" s="116"/>
    </row>
    <row r="969" spans="1:11" ht="30">
      <c r="A969" s="41">
        <f t="shared" si="26"/>
        <v>310</v>
      </c>
      <c r="B969" s="158" t="s">
        <v>788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7"/>
        <v>H_310</v>
      </c>
      <c r="K969" s="116"/>
    </row>
    <row r="970" spans="1:11" ht="30">
      <c r="A970" s="41">
        <f t="shared" si="26"/>
        <v>311</v>
      </c>
      <c r="B970" s="158" t="s">
        <v>789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7"/>
        <v>H_311</v>
      </c>
      <c r="K970" s="116"/>
    </row>
    <row r="971" spans="1:11" ht="30">
      <c r="A971" s="41">
        <f t="shared" si="26"/>
        <v>312</v>
      </c>
      <c r="B971" s="158" t="s">
        <v>790</v>
      </c>
      <c r="C971" s="205" t="s">
        <v>40</v>
      </c>
      <c r="D971" s="48" t="s">
        <v>104</v>
      </c>
      <c r="E971" s="55">
        <v>5450</v>
      </c>
      <c r="F971" s="182" t="s">
        <v>104</v>
      </c>
      <c r="G971" s="9">
        <f>IF(Tabla9[[#This Row],[Precio
Unidad de Compra ( $)]]="","",(E971/(H971*I971)))</f>
        <v>5450</v>
      </c>
      <c r="H971" s="8">
        <v>1</v>
      </c>
      <c r="I971" s="169">
        <v>1</v>
      </c>
      <c r="J971" s="206" t="str">
        <f t="shared" si="27"/>
        <v>H_312</v>
      </c>
      <c r="K971" s="116"/>
    </row>
    <row r="972" spans="1:11">
      <c r="A972" s="41">
        <f t="shared" si="26"/>
        <v>313</v>
      </c>
      <c r="B972" s="36" t="s">
        <v>791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7"/>
        <v>H_313</v>
      </c>
      <c r="K972" s="116"/>
    </row>
    <row r="973" spans="1:11">
      <c r="A973" s="41">
        <f t="shared" si="26"/>
        <v>314</v>
      </c>
      <c r="B973" s="36" t="s">
        <v>792</v>
      </c>
      <c r="C973" s="205" t="s">
        <v>40</v>
      </c>
      <c r="D973" s="48" t="s">
        <v>104</v>
      </c>
      <c r="E973" s="43">
        <v>131.97</v>
      </c>
      <c r="F973" s="176" t="s">
        <v>104</v>
      </c>
      <c r="G973" s="9">
        <f>IF(Tabla9[[#This Row],[Precio
Unidad de Compra ( $)]]="","",(E973/(H973*I973)))</f>
        <v>131.97</v>
      </c>
      <c r="H973" s="8">
        <v>1</v>
      </c>
      <c r="I973" s="169">
        <v>1</v>
      </c>
      <c r="J973" s="206" t="str">
        <f t="shared" si="27"/>
        <v>H_314</v>
      </c>
      <c r="K973" s="116"/>
    </row>
    <row r="974" spans="1:11">
      <c r="A974" s="41">
        <f t="shared" si="26"/>
        <v>315</v>
      </c>
      <c r="B974" s="170" t="s">
        <v>793</v>
      </c>
      <c r="C974" s="205" t="s">
        <v>40</v>
      </c>
      <c r="D974" s="48" t="s">
        <v>104</v>
      </c>
      <c r="E974" s="43">
        <v>249.9</v>
      </c>
      <c r="F974" s="176" t="s">
        <v>235</v>
      </c>
      <c r="G974" s="9">
        <f>IF(Tabla9[[#This Row],[Precio
Unidad de Compra ( $)]]="","",(E974/(H974*I974)))</f>
        <v>249.9</v>
      </c>
      <c r="H974" s="8">
        <v>1</v>
      </c>
      <c r="I974" s="169">
        <v>1</v>
      </c>
      <c r="J974" s="206" t="str">
        <f t="shared" si="27"/>
        <v>H_315</v>
      </c>
      <c r="K974" s="116"/>
    </row>
    <row r="975" spans="1:11">
      <c r="A975" s="41">
        <f t="shared" si="26"/>
        <v>316</v>
      </c>
      <c r="B975" s="36" t="s">
        <v>794</v>
      </c>
      <c r="C975" s="205" t="s">
        <v>40</v>
      </c>
      <c r="D975" s="48" t="s">
        <v>104</v>
      </c>
      <c r="E975" s="43">
        <v>131.97</v>
      </c>
      <c r="F975" s="176" t="s">
        <v>234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7"/>
        <v>H_316</v>
      </c>
      <c r="K975" s="116"/>
    </row>
    <row r="976" spans="1:11">
      <c r="A976" s="41">
        <f t="shared" si="26"/>
        <v>317</v>
      </c>
      <c r="B976" s="36" t="s">
        <v>795</v>
      </c>
      <c r="C976" s="205" t="s">
        <v>40</v>
      </c>
      <c r="D976" s="48" t="s">
        <v>104</v>
      </c>
      <c r="E976" s="43">
        <v>131.97</v>
      </c>
      <c r="F976" s="176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7"/>
        <v>H_317</v>
      </c>
      <c r="K976" s="116"/>
    </row>
    <row r="977" spans="1:11">
      <c r="A977" s="41">
        <f t="shared" si="26"/>
        <v>318</v>
      </c>
      <c r="B977" s="36" t="s">
        <v>796</v>
      </c>
      <c r="C977" s="205" t="s">
        <v>40</v>
      </c>
      <c r="D977" s="48" t="s">
        <v>104</v>
      </c>
      <c r="E977" s="55">
        <v>131.97</v>
      </c>
      <c r="F977" s="182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7"/>
        <v>H_318</v>
      </c>
      <c r="K977" s="116"/>
    </row>
    <row r="978" spans="1:11">
      <c r="A978" s="41">
        <f t="shared" si="26"/>
        <v>319</v>
      </c>
      <c r="B978" s="36" t="s">
        <v>797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7"/>
        <v>H_319</v>
      </c>
      <c r="K978" s="116"/>
    </row>
    <row r="979" spans="1:11">
      <c r="A979" s="41">
        <f t="shared" si="26"/>
        <v>320</v>
      </c>
      <c r="B979" s="36" t="s">
        <v>798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7"/>
        <v>H_320</v>
      </c>
      <c r="K979" s="116"/>
    </row>
    <row r="980" spans="1:11">
      <c r="A980" s="41">
        <f t="shared" si="26"/>
        <v>321</v>
      </c>
      <c r="B980" s="36" t="s">
        <v>799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si="27"/>
        <v>H_321</v>
      </c>
      <c r="K980" s="116"/>
    </row>
    <row r="981" spans="1:11">
      <c r="A981" s="41">
        <f t="shared" ref="A981:A1044" si="28">A980+1</f>
        <v>322</v>
      </c>
      <c r="B981" s="36" t="s">
        <v>800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7"/>
        <v>H_322</v>
      </c>
      <c r="K981" s="116"/>
    </row>
    <row r="982" spans="1:11">
      <c r="A982" s="41">
        <f t="shared" si="28"/>
        <v>323</v>
      </c>
      <c r="B982" s="36" t="s">
        <v>801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7"/>
        <v>H_323</v>
      </c>
      <c r="K982" s="116"/>
    </row>
    <row r="983" spans="1:11">
      <c r="A983" s="41">
        <f t="shared" si="28"/>
        <v>324</v>
      </c>
      <c r="B983" s="36" t="s">
        <v>802</v>
      </c>
      <c r="C983" s="205" t="s">
        <v>40</v>
      </c>
      <c r="D983" s="48" t="s">
        <v>104</v>
      </c>
      <c r="E983" s="43">
        <v>131.97</v>
      </c>
      <c r="F983" s="176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7"/>
        <v>H_324</v>
      </c>
      <c r="K983" s="116"/>
    </row>
    <row r="984" spans="1:11">
      <c r="A984" s="41">
        <f t="shared" si="28"/>
        <v>325</v>
      </c>
      <c r="B984" s="36" t="s">
        <v>803</v>
      </c>
      <c r="C984" s="205" t="s">
        <v>40</v>
      </c>
      <c r="D984" s="48" t="s">
        <v>104</v>
      </c>
      <c r="E984" s="43">
        <v>131.97</v>
      </c>
      <c r="F984" s="182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7"/>
        <v>H_325</v>
      </c>
      <c r="K984" s="116"/>
    </row>
    <row r="985" spans="1:11">
      <c r="A985" s="41">
        <f t="shared" si="28"/>
        <v>326</v>
      </c>
      <c r="B985" s="36" t="s">
        <v>804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7"/>
        <v>H_326</v>
      </c>
      <c r="K985" s="116"/>
    </row>
    <row r="986" spans="1:11">
      <c r="A986" s="41">
        <f t="shared" si="28"/>
        <v>327</v>
      </c>
      <c r="B986" s="36" t="s">
        <v>805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7"/>
        <v>H_327</v>
      </c>
      <c r="K986" s="116"/>
    </row>
    <row r="987" spans="1:11">
      <c r="A987" s="41">
        <f t="shared" si="28"/>
        <v>328</v>
      </c>
      <c r="B987" s="36" t="s">
        <v>806</v>
      </c>
      <c r="C987" s="205" t="s">
        <v>40</v>
      </c>
      <c r="D987" s="48" t="s">
        <v>104</v>
      </c>
      <c r="E987" s="43">
        <v>131.97</v>
      </c>
      <c r="F987" s="176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7"/>
        <v>H_328</v>
      </c>
      <c r="K987" s="116"/>
    </row>
    <row r="988" spans="1:11">
      <c r="A988" s="41">
        <f t="shared" si="28"/>
        <v>329</v>
      </c>
      <c r="B988" s="36" t="s">
        <v>807</v>
      </c>
      <c r="C988" s="205" t="s">
        <v>40</v>
      </c>
      <c r="D988" s="48" t="s">
        <v>104</v>
      </c>
      <c r="E988" s="55">
        <v>131.97</v>
      </c>
      <c r="F988" s="182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ref="J988:J1051" si="29">IFERROR(CONCATENATE(LEFT(C988,1),"_",TEXT(A988,"000")),"")</f>
        <v>H_329</v>
      </c>
      <c r="K988" s="116"/>
    </row>
    <row r="989" spans="1:11">
      <c r="A989" s="41">
        <f t="shared" si="28"/>
        <v>330</v>
      </c>
      <c r="B989" s="36" t="s">
        <v>808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9"/>
        <v>H_330</v>
      </c>
      <c r="K989" s="116"/>
    </row>
    <row r="990" spans="1:11">
      <c r="A990" s="41">
        <f t="shared" si="28"/>
        <v>331</v>
      </c>
      <c r="B990" s="36" t="s">
        <v>809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9"/>
        <v>H_331</v>
      </c>
      <c r="K990" s="116"/>
    </row>
    <row r="991" spans="1:11">
      <c r="A991" s="41">
        <f t="shared" si="28"/>
        <v>332</v>
      </c>
      <c r="B991" s="36" t="s">
        <v>810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9"/>
        <v>H_332</v>
      </c>
      <c r="K991" s="116"/>
    </row>
    <row r="992" spans="1:11">
      <c r="A992" s="41">
        <f t="shared" si="28"/>
        <v>333</v>
      </c>
      <c r="B992" s="36" t="s">
        <v>811</v>
      </c>
      <c r="C992" s="205" t="s">
        <v>40</v>
      </c>
      <c r="D992" s="48" t="s">
        <v>104</v>
      </c>
      <c r="E992" s="43">
        <v>131.97</v>
      </c>
      <c r="F992" s="176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9"/>
        <v>H_333</v>
      </c>
      <c r="K992" s="116"/>
    </row>
    <row r="993" spans="1:11">
      <c r="A993" s="41">
        <f t="shared" si="28"/>
        <v>334</v>
      </c>
      <c r="B993" s="36" t="s">
        <v>812</v>
      </c>
      <c r="C993" s="205" t="s">
        <v>40</v>
      </c>
      <c r="D993" s="48" t="s">
        <v>104</v>
      </c>
      <c r="E993" s="55">
        <v>131.97</v>
      </c>
      <c r="F993" s="182" t="s">
        <v>104</v>
      </c>
      <c r="G993" s="9">
        <f>IF(Tabla9[[#This Row],[Precio
Unidad de Compra ( $)]]="","",(E993/(H993*I993)))</f>
        <v>131.97</v>
      </c>
      <c r="H993" s="8">
        <v>1</v>
      </c>
      <c r="I993" s="169">
        <v>1</v>
      </c>
      <c r="J993" s="206" t="str">
        <f t="shared" si="29"/>
        <v>H_334</v>
      </c>
      <c r="K993" s="116"/>
    </row>
    <row r="994" spans="1:11" ht="30">
      <c r="A994" s="41">
        <f t="shared" si="28"/>
        <v>335</v>
      </c>
      <c r="B994" s="158" t="s">
        <v>813</v>
      </c>
      <c r="C994" s="205" t="s">
        <v>40</v>
      </c>
      <c r="D994" s="48" t="s">
        <v>104</v>
      </c>
      <c r="E994" s="55">
        <v>6957.9299999999994</v>
      </c>
      <c r="F994" s="182" t="s">
        <v>104</v>
      </c>
      <c r="G994" s="9">
        <f>IF(Tabla9[[#This Row],[Precio
Unidad de Compra ( $)]]="","",(E994/(H994*I994)))</f>
        <v>6957.9299999999994</v>
      </c>
      <c r="H994" s="8">
        <v>1</v>
      </c>
      <c r="I994" s="169">
        <v>1</v>
      </c>
      <c r="J994" s="206" t="str">
        <f t="shared" si="29"/>
        <v>H_335</v>
      </c>
      <c r="K994" s="116"/>
    </row>
    <row r="995" spans="1:11">
      <c r="A995" s="41">
        <f t="shared" si="28"/>
        <v>336</v>
      </c>
      <c r="B995" s="158" t="s">
        <v>814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9"/>
        <v>H_336</v>
      </c>
      <c r="K995" s="116"/>
    </row>
    <row r="996" spans="1:11">
      <c r="A996" s="41">
        <f t="shared" si="28"/>
        <v>337</v>
      </c>
      <c r="B996" s="158" t="s">
        <v>815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9"/>
        <v>H_337</v>
      </c>
      <c r="K996" s="116"/>
    </row>
    <row r="997" spans="1:11" ht="30">
      <c r="A997" s="41">
        <f t="shared" si="28"/>
        <v>338</v>
      </c>
      <c r="B997" s="158" t="s">
        <v>816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9"/>
        <v>H_338</v>
      </c>
      <c r="K997" s="116"/>
    </row>
    <row r="998" spans="1:11">
      <c r="A998" s="41">
        <f t="shared" si="28"/>
        <v>339</v>
      </c>
      <c r="B998" s="158" t="s">
        <v>817</v>
      </c>
      <c r="C998" s="205" t="s">
        <v>40</v>
      </c>
      <c r="D998" s="48" t="s">
        <v>104</v>
      </c>
      <c r="E998" s="55">
        <v>2563</v>
      </c>
      <c r="F998" s="182" t="s">
        <v>104</v>
      </c>
      <c r="G998" s="9">
        <f>IF(Tabla9[[#This Row],[Precio
Unidad de Compra ( $)]]="","",(E998/(H998*I998)))</f>
        <v>2563</v>
      </c>
      <c r="H998" s="8">
        <v>1</v>
      </c>
      <c r="I998" s="169">
        <v>1</v>
      </c>
      <c r="J998" s="206" t="str">
        <f t="shared" si="29"/>
        <v>H_339</v>
      </c>
      <c r="K998" s="116"/>
    </row>
    <row r="999" spans="1:11" ht="30">
      <c r="A999" s="41">
        <f t="shared" si="28"/>
        <v>340</v>
      </c>
      <c r="B999" s="158" t="s">
        <v>818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9"/>
        <v>H_340</v>
      </c>
      <c r="K999" s="116"/>
    </row>
    <row r="1000" spans="1:11" ht="30">
      <c r="A1000" s="41">
        <f t="shared" si="28"/>
        <v>341</v>
      </c>
      <c r="B1000" s="158" t="s">
        <v>819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9"/>
        <v>H_341</v>
      </c>
      <c r="K1000" s="116"/>
    </row>
    <row r="1001" spans="1:11" ht="30">
      <c r="A1001" s="41">
        <f t="shared" si="28"/>
        <v>342</v>
      </c>
      <c r="B1001" s="158" t="s">
        <v>820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9"/>
        <v>H_342</v>
      </c>
      <c r="K1001" s="116"/>
    </row>
    <row r="1002" spans="1:11" ht="30">
      <c r="A1002" s="41">
        <f t="shared" si="28"/>
        <v>343</v>
      </c>
      <c r="B1002" s="158" t="s">
        <v>821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9"/>
        <v>H_343</v>
      </c>
      <c r="K1002" s="116"/>
    </row>
    <row r="1003" spans="1:11" ht="30">
      <c r="A1003" s="41">
        <f t="shared" si="28"/>
        <v>344</v>
      </c>
      <c r="B1003" s="158" t="s">
        <v>822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9"/>
        <v>H_344</v>
      </c>
      <c r="K1003" s="116"/>
    </row>
    <row r="1004" spans="1:11" ht="30">
      <c r="A1004" s="41">
        <f t="shared" si="28"/>
        <v>345</v>
      </c>
      <c r="B1004" s="158" t="s">
        <v>823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9"/>
        <v>H_345</v>
      </c>
      <c r="K1004" s="116"/>
    </row>
    <row r="1005" spans="1:11" ht="30">
      <c r="A1005" s="41">
        <f t="shared" si="28"/>
        <v>346</v>
      </c>
      <c r="B1005" s="158" t="s">
        <v>824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9"/>
        <v>H_346</v>
      </c>
      <c r="K1005" s="116"/>
    </row>
    <row r="1006" spans="1:11" ht="30">
      <c r="A1006" s="41">
        <f t="shared" si="28"/>
        <v>347</v>
      </c>
      <c r="B1006" s="158" t="s">
        <v>825</v>
      </c>
      <c r="C1006" s="205" t="s">
        <v>40</v>
      </c>
      <c r="D1006" s="48" t="s">
        <v>104</v>
      </c>
      <c r="E1006" s="55">
        <v>2885.5</v>
      </c>
      <c r="F1006" s="182" t="s">
        <v>104</v>
      </c>
      <c r="G1006" s="9">
        <f>IF(Tabla9[[#This Row],[Precio
Unidad de Compra ( $)]]="","",(E1006/(H1006*I1006)))</f>
        <v>2885.5</v>
      </c>
      <c r="H1006" s="8">
        <v>1</v>
      </c>
      <c r="I1006" s="169">
        <v>1</v>
      </c>
      <c r="J1006" s="206" t="str">
        <f t="shared" si="29"/>
        <v>H_347</v>
      </c>
      <c r="K1006" s="116"/>
    </row>
    <row r="1007" spans="1:11" ht="30">
      <c r="A1007" s="41">
        <f t="shared" si="28"/>
        <v>348</v>
      </c>
      <c r="B1007" s="158" t="s">
        <v>826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9"/>
        <v>H_348</v>
      </c>
      <c r="K1007" s="116"/>
    </row>
    <row r="1008" spans="1:11" ht="30">
      <c r="A1008" s="41">
        <f t="shared" si="28"/>
        <v>349</v>
      </c>
      <c r="B1008" s="158" t="s">
        <v>827</v>
      </c>
      <c r="C1008" s="205" t="s">
        <v>40</v>
      </c>
      <c r="D1008" s="48" t="s">
        <v>104</v>
      </c>
      <c r="E1008" s="55">
        <v>2785.5</v>
      </c>
      <c r="F1008" s="182" t="s">
        <v>104</v>
      </c>
      <c r="G1008" s="9">
        <f>IF(Tabla9[[#This Row],[Precio
Unidad de Compra ( $)]]="","",(E1008/(H1008*I1008)))</f>
        <v>2785.5</v>
      </c>
      <c r="H1008" s="8">
        <v>1</v>
      </c>
      <c r="I1008" s="169">
        <v>1</v>
      </c>
      <c r="J1008" s="206" t="str">
        <f t="shared" si="29"/>
        <v>H_349</v>
      </c>
      <c r="K1008" s="116"/>
    </row>
    <row r="1009" spans="1:11" ht="30">
      <c r="A1009" s="41">
        <f t="shared" si="28"/>
        <v>350</v>
      </c>
      <c r="B1009" s="158" t="s">
        <v>828</v>
      </c>
      <c r="C1009" s="205" t="s">
        <v>40</v>
      </c>
      <c r="D1009" s="48" t="s">
        <v>104</v>
      </c>
      <c r="E1009" s="55">
        <v>1</v>
      </c>
      <c r="F1009" s="182" t="s">
        <v>104</v>
      </c>
      <c r="G1009" s="9">
        <f>IF(Tabla9[[#This Row],[Precio
Unidad de Compra ( $)]]="","",(E1009/(H1009*I1009)))</f>
        <v>1</v>
      </c>
      <c r="H1009" s="8">
        <v>1</v>
      </c>
      <c r="I1009" s="169">
        <v>1</v>
      </c>
      <c r="J1009" s="206" t="str">
        <f t="shared" si="29"/>
        <v>H_350</v>
      </c>
      <c r="K1009" s="116"/>
    </row>
    <row r="1010" spans="1:11" ht="30">
      <c r="A1010" s="41">
        <f t="shared" si="28"/>
        <v>351</v>
      </c>
      <c r="B1010" s="158" t="s">
        <v>829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9"/>
        <v>H_351</v>
      </c>
      <c r="K1010" s="116"/>
    </row>
    <row r="1011" spans="1:11" ht="30">
      <c r="A1011" s="41">
        <f t="shared" si="28"/>
        <v>352</v>
      </c>
      <c r="B1011" s="158" t="s">
        <v>830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9"/>
        <v>H_352</v>
      </c>
      <c r="K1011" s="116"/>
    </row>
    <row r="1012" spans="1:11">
      <c r="A1012" s="41">
        <f t="shared" si="28"/>
        <v>353</v>
      </c>
      <c r="B1012" s="158" t="s">
        <v>831</v>
      </c>
      <c r="C1012" s="205" t="s">
        <v>40</v>
      </c>
      <c r="D1012" s="48" t="s">
        <v>104</v>
      </c>
      <c r="E1012" s="55">
        <v>1200</v>
      </c>
      <c r="F1012" s="182" t="s">
        <v>104</v>
      </c>
      <c r="G1012" s="9">
        <f>IF(Tabla9[[#This Row],[Precio
Unidad de Compra ( $)]]="","",(E1012/(H1012*I1012)))</f>
        <v>1200</v>
      </c>
      <c r="H1012" s="8">
        <v>1</v>
      </c>
      <c r="I1012" s="169">
        <v>1</v>
      </c>
      <c r="J1012" s="206" t="str">
        <f t="shared" si="29"/>
        <v>H_353</v>
      </c>
      <c r="K1012" s="116"/>
    </row>
    <row r="1013" spans="1:11">
      <c r="A1013" s="41">
        <f t="shared" si="28"/>
        <v>354</v>
      </c>
      <c r="B1013" s="158" t="s">
        <v>832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9"/>
        <v>H_354</v>
      </c>
      <c r="K1013" s="116"/>
    </row>
    <row r="1014" spans="1:11">
      <c r="A1014" s="41">
        <f t="shared" si="28"/>
        <v>355</v>
      </c>
      <c r="B1014" s="158" t="s">
        <v>833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9"/>
        <v>H_355</v>
      </c>
      <c r="K1014" s="116"/>
    </row>
    <row r="1015" spans="1:11">
      <c r="A1015" s="41">
        <f t="shared" si="28"/>
        <v>356</v>
      </c>
      <c r="B1015" s="158" t="s">
        <v>834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9"/>
        <v>H_356</v>
      </c>
      <c r="K1015" s="116"/>
    </row>
    <row r="1016" spans="1:11">
      <c r="A1016" s="41">
        <f t="shared" si="28"/>
        <v>357</v>
      </c>
      <c r="B1016" s="158" t="s">
        <v>835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9"/>
        <v>H_357</v>
      </c>
      <c r="K1016" s="116"/>
    </row>
    <row r="1017" spans="1:11">
      <c r="A1017" s="41">
        <f t="shared" si="28"/>
        <v>358</v>
      </c>
      <c r="B1017" s="158" t="s">
        <v>836</v>
      </c>
      <c r="C1017" s="205" t="s">
        <v>40</v>
      </c>
      <c r="D1017" s="48" t="s">
        <v>104</v>
      </c>
      <c r="E1017" s="55">
        <v>500</v>
      </c>
      <c r="F1017" s="182" t="s">
        <v>104</v>
      </c>
      <c r="G1017" s="9">
        <f>IF(Tabla9[[#This Row],[Precio
Unidad de Compra ( $)]]="","",(E1017/(H1017*I1017)))</f>
        <v>500</v>
      </c>
      <c r="H1017" s="8">
        <v>1</v>
      </c>
      <c r="I1017" s="169">
        <v>1</v>
      </c>
      <c r="J1017" s="206" t="str">
        <f t="shared" si="29"/>
        <v>H_358</v>
      </c>
      <c r="K1017" s="116"/>
    </row>
    <row r="1018" spans="1:11">
      <c r="A1018" s="41">
        <f t="shared" si="28"/>
        <v>359</v>
      </c>
      <c r="B1018" s="158" t="s">
        <v>837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9"/>
        <v>H_359</v>
      </c>
      <c r="K1018" s="116"/>
    </row>
    <row r="1019" spans="1:11">
      <c r="A1019" s="41">
        <f t="shared" si="28"/>
        <v>360</v>
      </c>
      <c r="B1019" s="158" t="s">
        <v>838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9"/>
        <v>H_360</v>
      </c>
      <c r="K1019" s="116"/>
    </row>
    <row r="1020" spans="1:11">
      <c r="A1020" s="41">
        <f t="shared" si="28"/>
        <v>361</v>
      </c>
      <c r="B1020" s="158" t="s">
        <v>839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9"/>
        <v>H_361</v>
      </c>
      <c r="K1020" s="116"/>
    </row>
    <row r="1021" spans="1:11">
      <c r="A1021" s="41">
        <f t="shared" si="28"/>
        <v>362</v>
      </c>
      <c r="B1021" s="158" t="s">
        <v>840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9"/>
        <v>H_362</v>
      </c>
      <c r="K1021" s="116"/>
    </row>
    <row r="1022" spans="1:11">
      <c r="A1022" s="41">
        <f t="shared" si="28"/>
        <v>363</v>
      </c>
      <c r="B1022" s="158" t="s">
        <v>841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9"/>
        <v>H_363</v>
      </c>
      <c r="K1022" s="116"/>
    </row>
    <row r="1023" spans="1:11">
      <c r="A1023" s="41">
        <f t="shared" si="28"/>
        <v>364</v>
      </c>
      <c r="B1023" s="158" t="s">
        <v>842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9"/>
        <v>H_364</v>
      </c>
      <c r="K1023" s="116"/>
    </row>
    <row r="1024" spans="1:11">
      <c r="A1024" s="41">
        <f t="shared" si="28"/>
        <v>365</v>
      </c>
      <c r="B1024" s="158" t="s">
        <v>843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9"/>
        <v>H_365</v>
      </c>
      <c r="K1024" s="116"/>
    </row>
    <row r="1025" spans="1:11">
      <c r="A1025" s="41">
        <f t="shared" si="28"/>
        <v>366</v>
      </c>
      <c r="B1025" s="158" t="s">
        <v>844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9"/>
        <v>H_366</v>
      </c>
      <c r="K1025" s="116"/>
    </row>
    <row r="1026" spans="1:11">
      <c r="A1026" s="41">
        <f t="shared" si="28"/>
        <v>367</v>
      </c>
      <c r="B1026" s="158" t="s">
        <v>845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9"/>
        <v>H_367</v>
      </c>
      <c r="K1026" s="116"/>
    </row>
    <row r="1027" spans="1:11">
      <c r="A1027" s="41">
        <f t="shared" si="28"/>
        <v>368</v>
      </c>
      <c r="B1027" s="158" t="s">
        <v>846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9"/>
        <v>H_368</v>
      </c>
      <c r="K1027" s="116"/>
    </row>
    <row r="1028" spans="1:11">
      <c r="A1028" s="41">
        <f t="shared" si="28"/>
        <v>369</v>
      </c>
      <c r="B1028" s="158" t="s">
        <v>847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9"/>
        <v>H_369</v>
      </c>
      <c r="K1028" s="116"/>
    </row>
    <row r="1029" spans="1:11">
      <c r="A1029" s="41">
        <f t="shared" si="28"/>
        <v>370</v>
      </c>
      <c r="B1029" s="158" t="s">
        <v>848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9"/>
        <v>H_370</v>
      </c>
      <c r="K1029" s="116"/>
    </row>
    <row r="1030" spans="1:11">
      <c r="A1030" s="41">
        <f t="shared" si="28"/>
        <v>371</v>
      </c>
      <c r="B1030" s="158" t="s">
        <v>849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9"/>
        <v>H_371</v>
      </c>
      <c r="K1030" s="116"/>
    </row>
    <row r="1031" spans="1:11">
      <c r="A1031" s="41">
        <f t="shared" si="28"/>
        <v>372</v>
      </c>
      <c r="B1031" s="158" t="s">
        <v>850</v>
      </c>
      <c r="C1031" s="205" t="s">
        <v>40</v>
      </c>
      <c r="D1031" s="48" t="s">
        <v>104</v>
      </c>
      <c r="E1031" s="55">
        <v>114.24</v>
      </c>
      <c r="F1031" s="182" t="s">
        <v>104</v>
      </c>
      <c r="G1031" s="9">
        <f>IF(Tabla9[[#This Row],[Precio
Unidad de Compra ( $)]]="","",(E1031/(H1031*I1031)))</f>
        <v>114.24</v>
      </c>
      <c r="H1031" s="8">
        <v>1</v>
      </c>
      <c r="I1031" s="169">
        <v>1</v>
      </c>
      <c r="J1031" s="206" t="str">
        <f t="shared" si="29"/>
        <v>H_372</v>
      </c>
      <c r="K1031" s="116"/>
    </row>
    <row r="1032" spans="1:11">
      <c r="A1032" s="41">
        <f t="shared" si="28"/>
        <v>373</v>
      </c>
      <c r="B1032" s="158" t="s">
        <v>851</v>
      </c>
      <c r="C1032" s="205" t="s">
        <v>40</v>
      </c>
      <c r="D1032" s="48" t="s">
        <v>104</v>
      </c>
      <c r="E1032" s="55">
        <v>1800</v>
      </c>
      <c r="F1032" s="182" t="s">
        <v>104</v>
      </c>
      <c r="G1032" s="9">
        <f>IF(Tabla9[[#This Row],[Precio
Unidad de Compra ( $)]]="","",(E1032/(H1032*I1032)))</f>
        <v>1800</v>
      </c>
      <c r="H1032" s="8">
        <v>1</v>
      </c>
      <c r="I1032" s="169">
        <v>1</v>
      </c>
      <c r="J1032" s="206" t="str">
        <f t="shared" si="29"/>
        <v>H_373</v>
      </c>
      <c r="K1032" s="116"/>
    </row>
    <row r="1033" spans="1:11">
      <c r="A1033" s="41">
        <f t="shared" si="28"/>
        <v>374</v>
      </c>
      <c r="B1033" s="158" t="s">
        <v>852</v>
      </c>
      <c r="C1033" s="205" t="s">
        <v>40</v>
      </c>
      <c r="D1033" s="48" t="s">
        <v>104</v>
      </c>
      <c r="E1033" s="55">
        <v>546</v>
      </c>
      <c r="F1033" s="182" t="s">
        <v>104</v>
      </c>
      <c r="G1033" s="9">
        <f>IF(Tabla9[[#This Row],[Precio
Unidad de Compra ( $)]]="","",(E1033/(H1033*I1033)))</f>
        <v>546</v>
      </c>
      <c r="H1033" s="8">
        <v>1</v>
      </c>
      <c r="I1033" s="169">
        <v>1</v>
      </c>
      <c r="J1033" s="206" t="str">
        <f t="shared" si="29"/>
        <v>H_374</v>
      </c>
      <c r="K1033" s="116"/>
    </row>
    <row r="1034" spans="1:11">
      <c r="A1034" s="41">
        <f t="shared" si="28"/>
        <v>375</v>
      </c>
      <c r="B1034" s="158" t="s">
        <v>853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9"/>
        <v>H_375</v>
      </c>
      <c r="K1034" s="116"/>
    </row>
    <row r="1035" spans="1:11">
      <c r="A1035" s="41">
        <f t="shared" si="28"/>
        <v>376</v>
      </c>
      <c r="B1035" s="158" t="s">
        <v>854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9"/>
        <v>H_376</v>
      </c>
      <c r="K1035" s="116"/>
    </row>
    <row r="1036" spans="1:11">
      <c r="A1036" s="41">
        <f t="shared" si="28"/>
        <v>377</v>
      </c>
      <c r="B1036" s="158" t="s">
        <v>855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9"/>
        <v>H_377</v>
      </c>
      <c r="K1036" s="116"/>
    </row>
    <row r="1037" spans="1:11">
      <c r="A1037" s="41">
        <f t="shared" si="28"/>
        <v>378</v>
      </c>
      <c r="B1037" s="158" t="s">
        <v>856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9"/>
        <v>H_378</v>
      </c>
      <c r="K1037" s="116"/>
    </row>
    <row r="1038" spans="1:11">
      <c r="A1038" s="41">
        <f t="shared" si="28"/>
        <v>379</v>
      </c>
      <c r="B1038" s="158" t="s">
        <v>857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9"/>
        <v>H_379</v>
      </c>
      <c r="K1038" s="116"/>
    </row>
    <row r="1039" spans="1:11">
      <c r="A1039" s="41">
        <f t="shared" si="28"/>
        <v>380</v>
      </c>
      <c r="B1039" s="158" t="s">
        <v>858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9"/>
        <v>H_380</v>
      </c>
      <c r="K1039" s="116"/>
    </row>
    <row r="1040" spans="1:11">
      <c r="A1040" s="41">
        <f t="shared" si="28"/>
        <v>381</v>
      </c>
      <c r="B1040" s="158" t="s">
        <v>859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9"/>
        <v>H_381</v>
      </c>
      <c r="K1040" s="116"/>
    </row>
    <row r="1041" spans="1:11">
      <c r="A1041" s="41">
        <f t="shared" si="28"/>
        <v>382</v>
      </c>
      <c r="B1041" s="158" t="s">
        <v>860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9"/>
        <v>H_382</v>
      </c>
      <c r="K1041" s="116"/>
    </row>
    <row r="1042" spans="1:11">
      <c r="A1042" s="41">
        <f t="shared" si="28"/>
        <v>383</v>
      </c>
      <c r="B1042" s="158" t="s">
        <v>861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9"/>
        <v>H_383</v>
      </c>
      <c r="K1042" s="116"/>
    </row>
    <row r="1043" spans="1:11">
      <c r="A1043" s="41">
        <f t="shared" si="28"/>
        <v>384</v>
      </c>
      <c r="B1043" s="158" t="s">
        <v>862</v>
      </c>
      <c r="C1043" s="205" t="s">
        <v>40</v>
      </c>
      <c r="D1043" s="48" t="s">
        <v>104</v>
      </c>
      <c r="E1043" s="55">
        <v>114.24</v>
      </c>
      <c r="F1043" s="182" t="s">
        <v>104</v>
      </c>
      <c r="G1043" s="9">
        <f>IF(Tabla9[[#This Row],[Precio
Unidad de Compra ( $)]]="","",(E1043/(H1043*I1043)))</f>
        <v>114.24</v>
      </c>
      <c r="H1043" s="8">
        <v>1</v>
      </c>
      <c r="I1043" s="169">
        <v>1</v>
      </c>
      <c r="J1043" s="206" t="str">
        <f t="shared" si="29"/>
        <v>H_384</v>
      </c>
      <c r="K1043" s="116"/>
    </row>
    <row r="1044" spans="1:11">
      <c r="A1044" s="41">
        <f t="shared" si="28"/>
        <v>385</v>
      </c>
      <c r="B1044" s="158" t="s">
        <v>863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si="29"/>
        <v>H_385</v>
      </c>
      <c r="K1044" s="116"/>
    </row>
    <row r="1045" spans="1:11" ht="30">
      <c r="A1045" s="41">
        <f t="shared" ref="A1045:A1081" si="30">A1044+1</f>
        <v>386</v>
      </c>
      <c r="B1045" s="158" t="s">
        <v>864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9"/>
        <v>H_386</v>
      </c>
      <c r="K1045" s="116"/>
    </row>
    <row r="1046" spans="1:11" ht="30">
      <c r="A1046" s="41">
        <f t="shared" si="30"/>
        <v>387</v>
      </c>
      <c r="B1046" s="158" t="s">
        <v>865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9"/>
        <v>H_387</v>
      </c>
      <c r="K1046" s="116"/>
    </row>
    <row r="1047" spans="1:11">
      <c r="A1047" s="41">
        <f t="shared" si="30"/>
        <v>388</v>
      </c>
      <c r="B1047" s="158" t="s">
        <v>866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9"/>
        <v>H_388</v>
      </c>
      <c r="K1047" s="116"/>
    </row>
    <row r="1048" spans="1:11">
      <c r="A1048" s="41">
        <f t="shared" si="30"/>
        <v>389</v>
      </c>
      <c r="B1048" s="158" t="s">
        <v>867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9"/>
        <v>H_389</v>
      </c>
      <c r="K1048" s="116"/>
    </row>
    <row r="1049" spans="1:11">
      <c r="A1049" s="41">
        <f t="shared" si="30"/>
        <v>390</v>
      </c>
      <c r="B1049" s="158" t="s">
        <v>868</v>
      </c>
      <c r="C1049" s="205" t="s">
        <v>40</v>
      </c>
      <c r="D1049" s="48" t="s">
        <v>104</v>
      </c>
      <c r="E1049" s="55">
        <v>1550</v>
      </c>
      <c r="F1049" s="182" t="s">
        <v>104</v>
      </c>
      <c r="G1049" s="9">
        <f>IF(Tabla9[[#This Row],[Precio
Unidad de Compra ( $)]]="","",(E1049/(H1049*I1049)))</f>
        <v>1550</v>
      </c>
      <c r="H1049" s="8">
        <v>1</v>
      </c>
      <c r="I1049" s="169">
        <v>1</v>
      </c>
      <c r="J1049" s="206" t="str">
        <f t="shared" si="29"/>
        <v>H_390</v>
      </c>
      <c r="K1049" s="116"/>
    </row>
    <row r="1050" spans="1:11">
      <c r="A1050" s="41">
        <f t="shared" si="30"/>
        <v>391</v>
      </c>
      <c r="B1050" s="158" t="s">
        <v>869</v>
      </c>
      <c r="C1050" s="205" t="s">
        <v>40</v>
      </c>
      <c r="D1050" s="48" t="s">
        <v>104</v>
      </c>
      <c r="E1050" s="55">
        <v>952</v>
      </c>
      <c r="F1050" s="182" t="s">
        <v>104</v>
      </c>
      <c r="G1050" s="9">
        <f>IF(Tabla9[[#This Row],[Precio
Unidad de Compra ( $)]]="","",(E1050/(H1050*I1050)))</f>
        <v>952</v>
      </c>
      <c r="H1050" s="8">
        <v>1</v>
      </c>
      <c r="I1050" s="169">
        <v>1</v>
      </c>
      <c r="J1050" s="206" t="str">
        <f t="shared" si="29"/>
        <v>H_391</v>
      </c>
      <c r="K1050" s="116"/>
    </row>
    <row r="1051" spans="1:11">
      <c r="A1051" s="41">
        <f t="shared" si="30"/>
        <v>392</v>
      </c>
      <c r="B1051" s="158" t="s">
        <v>870</v>
      </c>
      <c r="C1051" s="205" t="s">
        <v>40</v>
      </c>
      <c r="D1051" s="48" t="s">
        <v>104</v>
      </c>
      <c r="E1051" s="55">
        <v>925</v>
      </c>
      <c r="F1051" s="182" t="s">
        <v>104</v>
      </c>
      <c r="G1051" s="9">
        <f>IF(Tabla9[[#This Row],[Precio
Unidad de Compra ( $)]]="","",(E1051/(H1051*I1051)))</f>
        <v>925</v>
      </c>
      <c r="H1051" s="8">
        <v>1</v>
      </c>
      <c r="I1051" s="169">
        <v>1</v>
      </c>
      <c r="J1051" s="206" t="str">
        <f t="shared" si="29"/>
        <v>H_392</v>
      </c>
      <c r="K1051" s="116"/>
    </row>
    <row r="1052" spans="1:11">
      <c r="A1052" s="41">
        <f t="shared" si="30"/>
        <v>393</v>
      </c>
      <c r="B1052" s="158" t="s">
        <v>871</v>
      </c>
      <c r="C1052" s="205" t="s">
        <v>40</v>
      </c>
      <c r="D1052" s="48" t="s">
        <v>104</v>
      </c>
      <c r="E1052" s="55">
        <v>1100</v>
      </c>
      <c r="F1052" s="182" t="s">
        <v>104</v>
      </c>
      <c r="G1052" s="9">
        <f>IF(Tabla9[[#This Row],[Precio
Unidad de Compra ( $)]]="","",(E1052/(H1052*I1052)))</f>
        <v>1100</v>
      </c>
      <c r="H1052" s="8">
        <v>1</v>
      </c>
      <c r="I1052" s="169">
        <v>1</v>
      </c>
      <c r="J1052" s="206" t="str">
        <f t="shared" ref="J1052:J1081" si="31">IFERROR(CONCATENATE(LEFT(C1052,1),"_",TEXT(A1052,"000")),"")</f>
        <v>H_393</v>
      </c>
      <c r="K1052" s="116"/>
    </row>
    <row r="1053" spans="1:11">
      <c r="A1053" s="41">
        <f t="shared" si="30"/>
        <v>394</v>
      </c>
      <c r="B1053" s="158" t="s">
        <v>872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31"/>
        <v>H_394</v>
      </c>
      <c r="K1053" s="116"/>
    </row>
    <row r="1054" spans="1:11">
      <c r="A1054" s="41">
        <f t="shared" si="30"/>
        <v>395</v>
      </c>
      <c r="B1054" s="158" t="s">
        <v>873</v>
      </c>
      <c r="C1054" s="205" t="s">
        <v>40</v>
      </c>
      <c r="D1054" s="48" t="s">
        <v>104</v>
      </c>
      <c r="E1054" s="55">
        <v>1350</v>
      </c>
      <c r="F1054" s="182" t="s">
        <v>104</v>
      </c>
      <c r="G1054" s="9">
        <f>IF(Tabla9[[#This Row],[Precio
Unidad de Compra ( $)]]="","",(E1054/(H1054*I1054)))</f>
        <v>1350</v>
      </c>
      <c r="H1054" s="8">
        <v>1</v>
      </c>
      <c r="I1054" s="169">
        <v>1</v>
      </c>
      <c r="J1054" s="206" t="str">
        <f t="shared" si="31"/>
        <v>H_395</v>
      </c>
      <c r="K1054" s="116"/>
    </row>
    <row r="1055" spans="1:11">
      <c r="A1055" s="41">
        <f t="shared" si="30"/>
        <v>396</v>
      </c>
      <c r="B1055" s="36" t="s">
        <v>874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31"/>
        <v>H_396</v>
      </c>
      <c r="K1055" s="116"/>
    </row>
    <row r="1056" spans="1:11">
      <c r="A1056" s="41">
        <f t="shared" si="30"/>
        <v>397</v>
      </c>
      <c r="B1056" s="36" t="s">
        <v>875</v>
      </c>
      <c r="C1056" s="205" t="s">
        <v>40</v>
      </c>
      <c r="D1056" s="48" t="s">
        <v>104</v>
      </c>
      <c r="E1056" s="43">
        <v>2727.48</v>
      </c>
      <c r="F1056" s="176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31"/>
        <v>H_397</v>
      </c>
      <c r="K1056" s="116"/>
    </row>
    <row r="1057" spans="1:11">
      <c r="A1057" s="41">
        <f t="shared" si="30"/>
        <v>398</v>
      </c>
      <c r="B1057" s="158" t="s">
        <v>876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31"/>
        <v>H_398</v>
      </c>
      <c r="K1057" s="116"/>
    </row>
    <row r="1058" spans="1:11">
      <c r="A1058" s="41">
        <f t="shared" si="30"/>
        <v>399</v>
      </c>
      <c r="B1058" s="158" t="s">
        <v>877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31"/>
        <v>H_399</v>
      </c>
      <c r="K1058" s="116"/>
    </row>
    <row r="1059" spans="1:11">
      <c r="A1059" s="41">
        <f t="shared" si="30"/>
        <v>400</v>
      </c>
      <c r="B1059" s="158" t="s">
        <v>878</v>
      </c>
      <c r="C1059" s="205" t="s">
        <v>40</v>
      </c>
      <c r="D1059" s="48" t="s">
        <v>104</v>
      </c>
      <c r="E1059" s="55">
        <v>2727.48</v>
      </c>
      <c r="F1059" s="182" t="s">
        <v>104</v>
      </c>
      <c r="G1059" s="9">
        <f>IF(Tabla9[[#This Row],[Precio
Unidad de Compra ( $)]]="","",(E1059/(H1059*I1059)))</f>
        <v>2727.48</v>
      </c>
      <c r="H1059" s="8">
        <v>1</v>
      </c>
      <c r="I1059" s="169">
        <v>1</v>
      </c>
      <c r="J1059" s="206" t="str">
        <f t="shared" si="31"/>
        <v>H_400</v>
      </c>
      <c r="K1059" s="116"/>
    </row>
    <row r="1060" spans="1:11">
      <c r="A1060" s="41">
        <f t="shared" si="30"/>
        <v>401</v>
      </c>
      <c r="B1060" s="158" t="s">
        <v>879</v>
      </c>
      <c r="C1060" s="205" t="s">
        <v>40</v>
      </c>
      <c r="D1060" s="48" t="s">
        <v>104</v>
      </c>
      <c r="E1060" s="55">
        <v>3111.85</v>
      </c>
      <c r="F1060" s="182" t="s">
        <v>104</v>
      </c>
      <c r="G1060" s="9">
        <f>IF(Tabla9[[#This Row],[Precio
Unidad de Compra ( $)]]="","",(E1060/(H1060*I1060)))</f>
        <v>3111.85</v>
      </c>
      <c r="H1060" s="8">
        <v>1</v>
      </c>
      <c r="I1060" s="169">
        <v>1</v>
      </c>
      <c r="J1060" s="206" t="str">
        <f t="shared" si="31"/>
        <v>H_401</v>
      </c>
      <c r="K1060" s="116"/>
    </row>
    <row r="1061" spans="1:11" ht="17.25" customHeight="1">
      <c r="A1061" s="41">
        <f t="shared" si="30"/>
        <v>402</v>
      </c>
      <c r="B1061" s="158" t="s">
        <v>880</v>
      </c>
      <c r="C1061" s="205" t="s">
        <v>40</v>
      </c>
      <c r="D1061" s="48" t="s">
        <v>104</v>
      </c>
      <c r="E1061" s="43">
        <v>1550</v>
      </c>
      <c r="F1061" s="176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31"/>
        <v>H_402</v>
      </c>
      <c r="K1061" s="116"/>
    </row>
    <row r="1062" spans="1:11" ht="13.5" customHeight="1">
      <c r="A1062" s="41">
        <f t="shared" si="30"/>
        <v>403</v>
      </c>
      <c r="B1062" s="158" t="s">
        <v>881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31"/>
        <v>H_403</v>
      </c>
      <c r="K1062" s="116"/>
    </row>
    <row r="1063" spans="1:11" ht="27" customHeight="1">
      <c r="A1063" s="41">
        <f t="shared" si="30"/>
        <v>404</v>
      </c>
      <c r="B1063" s="158" t="s">
        <v>882</v>
      </c>
      <c r="C1063" s="205" t="s">
        <v>40</v>
      </c>
      <c r="D1063" s="48" t="s">
        <v>104</v>
      </c>
      <c r="E1063" s="55">
        <v>1550</v>
      </c>
      <c r="F1063" s="182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31"/>
        <v>H_404</v>
      </c>
      <c r="K1063" s="116"/>
    </row>
    <row r="1064" spans="1:11">
      <c r="A1064" s="41">
        <f t="shared" si="30"/>
        <v>405</v>
      </c>
      <c r="B1064" s="158" t="s">
        <v>883</v>
      </c>
      <c r="C1064" s="205" t="s">
        <v>40</v>
      </c>
      <c r="D1064" s="48" t="s">
        <v>104</v>
      </c>
      <c r="E1064" s="43">
        <v>1550</v>
      </c>
      <c r="F1064" s="176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31"/>
        <v>H_405</v>
      </c>
      <c r="K1064" s="116"/>
    </row>
    <row r="1065" spans="1:11">
      <c r="A1065" s="41">
        <f t="shared" si="30"/>
        <v>406</v>
      </c>
      <c r="B1065" s="158" t="s">
        <v>884</v>
      </c>
      <c r="C1065" s="205" t="s">
        <v>40</v>
      </c>
      <c r="D1065" s="48" t="s">
        <v>104</v>
      </c>
      <c r="E1065" s="55">
        <v>1550</v>
      </c>
      <c r="F1065" s="182" t="s">
        <v>104</v>
      </c>
      <c r="G1065" s="9">
        <f>IF(Tabla9[[#This Row],[Precio
Unidad de Compra ( $)]]="","",(E1065/(H1065*I1065)))</f>
        <v>1550</v>
      </c>
      <c r="H1065" s="8">
        <v>1</v>
      </c>
      <c r="I1065" s="169">
        <v>1</v>
      </c>
      <c r="J1065" s="206" t="str">
        <f t="shared" si="31"/>
        <v>H_406</v>
      </c>
      <c r="K1065" s="116"/>
    </row>
    <row r="1066" spans="1:11">
      <c r="A1066" s="41">
        <f t="shared" si="30"/>
        <v>407</v>
      </c>
      <c r="B1066" s="158" t="s">
        <v>885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31"/>
        <v>H_407</v>
      </c>
      <c r="K1066" s="116"/>
    </row>
    <row r="1067" spans="1:11">
      <c r="A1067" s="41">
        <f t="shared" si="30"/>
        <v>408</v>
      </c>
      <c r="B1067" s="158" t="s">
        <v>886</v>
      </c>
      <c r="C1067" s="205" t="s">
        <v>40</v>
      </c>
      <c r="D1067" s="48" t="s">
        <v>104</v>
      </c>
      <c r="E1067" s="55">
        <v>3844</v>
      </c>
      <c r="F1067" s="182" t="s">
        <v>104</v>
      </c>
      <c r="G1067" s="9">
        <f>IF(Tabla9[[#This Row],[Precio
Unidad de Compra ( $)]]="","",(E1067/(H1067*I1067)))</f>
        <v>3844</v>
      </c>
      <c r="H1067" s="8">
        <v>1</v>
      </c>
      <c r="I1067" s="169">
        <v>1</v>
      </c>
      <c r="J1067" s="206" t="str">
        <f t="shared" si="31"/>
        <v>H_408</v>
      </c>
      <c r="K1067" s="116"/>
    </row>
    <row r="1068" spans="1:11">
      <c r="A1068" s="41">
        <f t="shared" si="30"/>
        <v>409</v>
      </c>
      <c r="B1068" s="158" t="s">
        <v>887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31"/>
        <v>H_409</v>
      </c>
      <c r="K1068" s="116"/>
    </row>
    <row r="1069" spans="1:11">
      <c r="A1069" s="41">
        <f t="shared" si="30"/>
        <v>410</v>
      </c>
      <c r="B1069" s="158" t="s">
        <v>888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31"/>
        <v>H_410</v>
      </c>
      <c r="K1069" s="116"/>
    </row>
    <row r="1070" spans="1:11">
      <c r="A1070" s="41">
        <f t="shared" si="30"/>
        <v>411</v>
      </c>
      <c r="B1070" s="158" t="s">
        <v>889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31"/>
        <v>H_411</v>
      </c>
      <c r="K1070" s="116"/>
    </row>
    <row r="1071" spans="1:11">
      <c r="A1071" s="41">
        <f t="shared" si="30"/>
        <v>412</v>
      </c>
      <c r="B1071" s="158" t="s">
        <v>890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31"/>
        <v>H_412</v>
      </c>
      <c r="K1071" s="116"/>
    </row>
    <row r="1072" spans="1:11">
      <c r="A1072" s="41">
        <f t="shared" si="30"/>
        <v>413</v>
      </c>
      <c r="B1072" s="158" t="s">
        <v>891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31"/>
        <v>H_413</v>
      </c>
      <c r="K1072" s="116"/>
    </row>
    <row r="1073" spans="1:11">
      <c r="A1073" s="41">
        <f t="shared" si="30"/>
        <v>414</v>
      </c>
      <c r="B1073" s="158" t="s">
        <v>892</v>
      </c>
      <c r="C1073" s="205" t="s">
        <v>40</v>
      </c>
      <c r="D1073" s="48" t="s">
        <v>104</v>
      </c>
      <c r="E1073" s="55">
        <v>998.41</v>
      </c>
      <c r="F1073" s="182" t="s">
        <v>104</v>
      </c>
      <c r="G1073" s="9">
        <f>IF(Tabla9[[#This Row],[Precio
Unidad de Compra ( $)]]="","",(E1073/(H1073*I1073)))</f>
        <v>998.41</v>
      </c>
      <c r="H1073" s="8">
        <v>1</v>
      </c>
      <c r="I1073" s="169">
        <v>1</v>
      </c>
      <c r="J1073" s="206" t="str">
        <f t="shared" si="31"/>
        <v>H_414</v>
      </c>
      <c r="K1073" s="116"/>
    </row>
    <row r="1074" spans="1:11">
      <c r="A1074" s="41">
        <f t="shared" si="30"/>
        <v>415</v>
      </c>
      <c r="B1074" s="158" t="s">
        <v>893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31"/>
        <v>H_415</v>
      </c>
      <c r="K1074" s="116"/>
    </row>
    <row r="1075" spans="1:11">
      <c r="A1075" s="41">
        <f t="shared" si="30"/>
        <v>416</v>
      </c>
      <c r="B1075" s="158" t="s">
        <v>894</v>
      </c>
      <c r="C1075" s="205" t="s">
        <v>40</v>
      </c>
      <c r="D1075" s="48" t="s">
        <v>104</v>
      </c>
      <c r="E1075" s="55">
        <v>3844</v>
      </c>
      <c r="F1075" s="182" t="s">
        <v>104</v>
      </c>
      <c r="G1075" s="9">
        <f>IF(Tabla9[[#This Row],[Precio
Unidad de Compra ( $)]]="","",(E1075/(H1075*I1075)))</f>
        <v>3844</v>
      </c>
      <c r="H1075" s="8">
        <v>1</v>
      </c>
      <c r="I1075" s="169">
        <v>1</v>
      </c>
      <c r="J1075" s="206" t="str">
        <f t="shared" si="31"/>
        <v>H_416</v>
      </c>
      <c r="K1075" s="116"/>
    </row>
    <row r="1076" spans="1:11">
      <c r="A1076" s="41">
        <f t="shared" si="30"/>
        <v>417</v>
      </c>
      <c r="B1076" s="158" t="s">
        <v>895</v>
      </c>
      <c r="C1076" s="205" t="s">
        <v>40</v>
      </c>
      <c r="D1076" s="48" t="s">
        <v>104</v>
      </c>
      <c r="E1076" s="55">
        <v>998.41</v>
      </c>
      <c r="F1076" s="182" t="s">
        <v>104</v>
      </c>
      <c r="G1076" s="9">
        <f>IF(Tabla9[[#This Row],[Precio
Unidad de Compra ( $)]]="","",(E1076/(H1076*I1076)))</f>
        <v>998.41</v>
      </c>
      <c r="H1076" s="8">
        <v>1</v>
      </c>
      <c r="I1076" s="169">
        <v>1</v>
      </c>
      <c r="J1076" s="206" t="str">
        <f t="shared" si="31"/>
        <v>H_417</v>
      </c>
      <c r="K1076" s="116"/>
    </row>
    <row r="1077" spans="1:11">
      <c r="A1077" s="41">
        <f t="shared" si="30"/>
        <v>418</v>
      </c>
      <c r="B1077" s="158" t="s">
        <v>896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31"/>
        <v>H_418</v>
      </c>
      <c r="K1077" s="116"/>
    </row>
    <row r="1078" spans="1:11">
      <c r="A1078" s="41">
        <f t="shared" si="30"/>
        <v>419</v>
      </c>
      <c r="B1078" s="158" t="s">
        <v>897</v>
      </c>
      <c r="C1078" s="205" t="s">
        <v>40</v>
      </c>
      <c r="D1078" s="48" t="s">
        <v>104</v>
      </c>
      <c r="E1078" s="55">
        <v>3844</v>
      </c>
      <c r="F1078" s="182" t="s">
        <v>104</v>
      </c>
      <c r="G1078" s="9">
        <f>IF(Tabla9[[#This Row],[Precio
Unidad de Compra ( $)]]="","",(E1078/(H1078*I1078)))</f>
        <v>3844</v>
      </c>
      <c r="H1078" s="8">
        <v>1</v>
      </c>
      <c r="I1078" s="169">
        <v>1</v>
      </c>
      <c r="J1078" s="206" t="str">
        <f t="shared" si="31"/>
        <v>H_419</v>
      </c>
      <c r="K1078" s="116"/>
    </row>
    <row r="1079" spans="1:11">
      <c r="A1079" s="41">
        <f t="shared" si="30"/>
        <v>420</v>
      </c>
      <c r="B1079" s="158" t="s">
        <v>898</v>
      </c>
      <c r="C1079" s="205" t="s">
        <v>40</v>
      </c>
      <c r="D1079" s="48" t="s">
        <v>104</v>
      </c>
      <c r="E1079" s="55">
        <v>1173.3399999999999</v>
      </c>
      <c r="F1079" s="182" t="s">
        <v>104</v>
      </c>
      <c r="G1079" s="9">
        <f>IF(Tabla9[[#This Row],[Precio
Unidad de Compra ( $)]]="","",(E1079/(H1079*I1079)))</f>
        <v>1173.3399999999999</v>
      </c>
      <c r="H1079" s="8">
        <v>1</v>
      </c>
      <c r="I1079" s="169">
        <v>1</v>
      </c>
      <c r="J1079" s="206" t="str">
        <f t="shared" si="31"/>
        <v>H_420</v>
      </c>
      <c r="K1079" s="116"/>
    </row>
    <row r="1080" spans="1:11">
      <c r="A1080" s="41">
        <f t="shared" si="30"/>
        <v>421</v>
      </c>
      <c r="B1080" s="158" t="s">
        <v>899</v>
      </c>
      <c r="C1080" s="205" t="s">
        <v>40</v>
      </c>
      <c r="D1080" s="48" t="s">
        <v>104</v>
      </c>
      <c r="E1080" s="55">
        <v>3844</v>
      </c>
      <c r="F1080" s="182" t="s">
        <v>104</v>
      </c>
      <c r="G1080" s="9">
        <f>IF(Tabla9[[#This Row],[Precio
Unidad de Compra ( $)]]="","",(E1080/(H1080*I1080)))</f>
        <v>3844</v>
      </c>
      <c r="H1080" s="8">
        <v>1</v>
      </c>
      <c r="I1080" s="169">
        <v>1</v>
      </c>
      <c r="J1080" s="206" t="str">
        <f t="shared" si="31"/>
        <v>H_421</v>
      </c>
      <c r="K1080" s="116"/>
    </row>
    <row r="1081" spans="1:11">
      <c r="A1081" s="302">
        <f t="shared" si="30"/>
        <v>422</v>
      </c>
      <c r="B1081" s="158" t="s">
        <v>900</v>
      </c>
      <c r="C1081" s="205" t="s">
        <v>40</v>
      </c>
      <c r="D1081" s="48" t="s">
        <v>104</v>
      </c>
      <c r="E1081" s="55">
        <v>1200</v>
      </c>
      <c r="F1081" s="182" t="s">
        <v>104</v>
      </c>
      <c r="G1081" s="297">
        <f>IF(Tabla9[[#This Row],[Precio
Unidad de Compra ( $)]]="","",(E1081/(H1081*I1081)))</f>
        <v>1200</v>
      </c>
      <c r="H1081" s="8">
        <v>1</v>
      </c>
      <c r="I1081" s="169">
        <v>1</v>
      </c>
      <c r="J1081" s="84" t="str">
        <f t="shared" si="31"/>
        <v>H_422</v>
      </c>
      <c r="K1081" s="95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4">
        <f>SUBTOTAL(3,(B1109:B1151))</f>
        <v>43</v>
      </c>
      <c r="C1107" s="504"/>
      <c r="D1107" s="504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6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2">IFERROR(CONCATENATE(LEFT(C1109,1),MID(C1109,SEARCH("_",C1109)+1,2),TEXT(A1109,"000")),"")</f>
        <v>STE001</v>
      </c>
      <c r="K1109" s="116"/>
    </row>
    <row r="1110" spans="1:11">
      <c r="A1110" s="41">
        <f t="shared" ref="A1110:A1151" si="33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2"/>
        <v>STE002</v>
      </c>
      <c r="K1110" s="116"/>
    </row>
    <row r="1111" spans="1:11">
      <c r="A1111" s="41">
        <f t="shared" si="33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2"/>
        <v>STE003</v>
      </c>
      <c r="K1111" s="116"/>
    </row>
    <row r="1112" spans="1:11">
      <c r="A1112" s="41">
        <f t="shared" si="33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2"/>
        <v>STE004</v>
      </c>
      <c r="K1112" s="116"/>
    </row>
    <row r="1113" spans="1:11">
      <c r="A1113" s="41">
        <f t="shared" si="33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2"/>
        <v>STE005</v>
      </c>
      <c r="K1113" s="116"/>
    </row>
    <row r="1114" spans="1:11">
      <c r="A1114" s="41">
        <f t="shared" si="33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2"/>
        <v>STE006</v>
      </c>
      <c r="K1114" s="116"/>
    </row>
    <row r="1115" spans="1:11">
      <c r="A1115" s="41">
        <f t="shared" si="33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2"/>
        <v>STE007</v>
      </c>
      <c r="K1115" s="116"/>
    </row>
    <row r="1116" spans="1:11">
      <c r="A1116" s="41">
        <f t="shared" si="33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2"/>
        <v>STE008</v>
      </c>
      <c r="K1116" s="116"/>
    </row>
    <row r="1117" spans="1:11">
      <c r="A1117" s="41">
        <f t="shared" si="33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2"/>
        <v>STE009</v>
      </c>
      <c r="K1117" s="116"/>
    </row>
    <row r="1118" spans="1:11">
      <c r="A1118" s="41">
        <f t="shared" si="33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2"/>
        <v>STE010</v>
      </c>
      <c r="K1118" s="116"/>
    </row>
    <row r="1119" spans="1:11">
      <c r="A1119" s="41">
        <f t="shared" si="33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2"/>
        <v>STE011</v>
      </c>
      <c r="K1119" s="116"/>
    </row>
    <row r="1120" spans="1:11">
      <c r="A1120" s="86">
        <f t="shared" si="33"/>
        <v>12</v>
      </c>
      <c r="B1120" s="284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2"/>
        <v>STE012</v>
      </c>
      <c r="K1120" s="116"/>
    </row>
    <row r="1121" spans="1:11">
      <c r="A1121" s="86">
        <f t="shared" si="33"/>
        <v>13</v>
      </c>
      <c r="B1121" s="284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2"/>
        <v>STE013</v>
      </c>
      <c r="K1121" s="116"/>
    </row>
    <row r="1122" spans="1:11">
      <c r="A1122" s="86">
        <f t="shared" si="33"/>
        <v>14</v>
      </c>
      <c r="B1122" s="284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2"/>
        <v>STE014</v>
      </c>
      <c r="K1122" s="116"/>
    </row>
    <row r="1123" spans="1:11" ht="30" customHeight="1">
      <c r="A1123" s="86">
        <f t="shared" si="33"/>
        <v>15</v>
      </c>
      <c r="B1123" s="284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2"/>
        <v>STE015</v>
      </c>
      <c r="K1123" s="116"/>
    </row>
    <row r="1124" spans="1:11">
      <c r="A1124" s="86">
        <f t="shared" si="33"/>
        <v>16</v>
      </c>
      <c r="B1124" s="284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2"/>
        <v>STE016</v>
      </c>
      <c r="K1124" s="116"/>
    </row>
    <row r="1125" spans="1:11">
      <c r="A1125" s="86">
        <f t="shared" si="33"/>
        <v>17</v>
      </c>
      <c r="B1125" s="284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2"/>
        <v>STE017</v>
      </c>
      <c r="K1125" s="116"/>
    </row>
    <row r="1126" spans="1:11">
      <c r="A1126" s="41">
        <f t="shared" si="33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2"/>
        <v>STE018</v>
      </c>
      <c r="K1126" s="116"/>
    </row>
    <row r="1127" spans="1:11" ht="30">
      <c r="A1127" s="41">
        <f t="shared" si="33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2"/>
        <v>STE019</v>
      </c>
      <c r="K1127" s="116"/>
    </row>
    <row r="1128" spans="1:11" ht="30">
      <c r="A1128" s="41">
        <f t="shared" si="33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2"/>
        <v>STE020</v>
      </c>
      <c r="K1128" s="116"/>
    </row>
    <row r="1129" spans="1:11">
      <c r="A1129" s="41">
        <f t="shared" si="33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2"/>
        <v>STE021</v>
      </c>
      <c r="K1129" s="116"/>
    </row>
    <row r="1130" spans="1:11" ht="30">
      <c r="A1130" s="41">
        <f t="shared" si="33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2"/>
        <v>STE022</v>
      </c>
      <c r="K1130" s="116"/>
    </row>
    <row r="1131" spans="1:11">
      <c r="A1131" s="41">
        <f t="shared" si="33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2"/>
        <v>STE023</v>
      </c>
      <c r="K1131" s="116"/>
    </row>
    <row r="1132" spans="1:11">
      <c r="A1132" s="41">
        <f t="shared" si="33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2"/>
        <v>STE024</v>
      </c>
      <c r="K1132" s="116"/>
    </row>
    <row r="1133" spans="1:11">
      <c r="A1133" s="41">
        <f t="shared" si="33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2"/>
        <v>STE025</v>
      </c>
      <c r="K1133" s="116"/>
    </row>
    <row r="1134" spans="1:11">
      <c r="A1134" s="41">
        <f t="shared" si="33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2"/>
        <v>STE026</v>
      </c>
      <c r="K1134" s="116"/>
    </row>
    <row r="1135" spans="1:11">
      <c r="A1135" s="41">
        <f t="shared" si="33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2"/>
        <v>STE027</v>
      </c>
      <c r="K1135" s="116"/>
    </row>
    <row r="1136" spans="1:11">
      <c r="A1136" s="41">
        <f t="shared" si="33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2"/>
        <v>STE028</v>
      </c>
      <c r="K1136" s="116"/>
    </row>
    <row r="1137" spans="1:11">
      <c r="A1137" s="41">
        <f t="shared" si="33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2"/>
        <v>STE029</v>
      </c>
      <c r="K1137" s="116"/>
    </row>
    <row r="1138" spans="1:11" ht="30">
      <c r="A1138" s="41">
        <f t="shared" si="33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2"/>
        <v>STE030</v>
      </c>
      <c r="K1138" s="116"/>
    </row>
    <row r="1139" spans="1:11">
      <c r="A1139" s="41">
        <f t="shared" si="33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2"/>
        <v>STE031</v>
      </c>
      <c r="K1139" s="116"/>
    </row>
    <row r="1140" spans="1:11">
      <c r="A1140" s="41">
        <f t="shared" si="33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2"/>
        <v>STE032</v>
      </c>
      <c r="K1140" s="116"/>
    </row>
    <row r="1141" spans="1:11">
      <c r="A1141" s="86">
        <f t="shared" si="33"/>
        <v>33</v>
      </c>
      <c r="B1141" s="271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2"/>
        <v>STE033</v>
      </c>
      <c r="K1141" s="116"/>
    </row>
    <row r="1142" spans="1:11">
      <c r="A1142" s="41">
        <f t="shared" si="33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2"/>
        <v>STE034</v>
      </c>
      <c r="K1142" s="116"/>
    </row>
    <row r="1143" spans="1:11">
      <c r="A1143" s="41">
        <f t="shared" si="33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2"/>
        <v>STE035</v>
      </c>
      <c r="K1143" s="116"/>
    </row>
    <row r="1144" spans="1:11">
      <c r="A1144" s="41">
        <f t="shared" si="33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2"/>
        <v>STE036</v>
      </c>
      <c r="K1144" s="116"/>
    </row>
    <row r="1145" spans="1:11">
      <c r="A1145" s="41">
        <f t="shared" si="33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2"/>
        <v>STE037</v>
      </c>
      <c r="K1145" s="116"/>
    </row>
    <row r="1146" spans="1:11">
      <c r="A1146" s="41">
        <f t="shared" si="33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2"/>
        <v>STE038</v>
      </c>
      <c r="K1146" s="116"/>
    </row>
    <row r="1147" spans="1:11" ht="30">
      <c r="A1147" s="41">
        <f t="shared" si="33"/>
        <v>39</v>
      </c>
      <c r="B1147" s="285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2"/>
        <v>STE039</v>
      </c>
      <c r="K1147" s="116"/>
    </row>
    <row r="1148" spans="1:11" ht="30">
      <c r="A1148" s="41">
        <f t="shared" si="33"/>
        <v>40</v>
      </c>
      <c r="B1148" s="285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2"/>
        <v>STE040</v>
      </c>
      <c r="K1148" s="116"/>
    </row>
    <row r="1149" spans="1:11" ht="30">
      <c r="A1149" s="41">
        <f t="shared" si="33"/>
        <v>41</v>
      </c>
      <c r="B1149" s="285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2"/>
        <v>STE041</v>
      </c>
      <c r="K1149" s="116"/>
    </row>
    <row r="1150" spans="1:11" ht="30">
      <c r="A1150" s="41">
        <f t="shared" si="33"/>
        <v>42</v>
      </c>
      <c r="B1150" s="285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2"/>
        <v>STE042</v>
      </c>
      <c r="K1150" s="116"/>
    </row>
    <row r="1151" spans="1:11">
      <c r="A1151" s="86">
        <f t="shared" si="33"/>
        <v>43</v>
      </c>
      <c r="B1151" s="285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2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7"/>
      <c r="D1166" s="506"/>
      <c r="E1166"/>
      <c r="F1166" s="177"/>
      <c r="H1166"/>
      <c r="I1166"/>
    </row>
    <row r="1167" spans="1:11" ht="24" thickBot="1">
      <c r="A1167" s="125" t="s">
        <v>85</v>
      </c>
      <c r="B1167" s="286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6" t="s">
        <v>96</v>
      </c>
    </row>
    <row r="1169" spans="1:11">
      <c r="A1169" s="79">
        <v>1</v>
      </c>
      <c r="B1169" s="273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4">CONCATENATE(LEFT(C1169,1),"_",TEXT(A1169,"000"))</f>
        <v>S_001</v>
      </c>
      <c r="K1169" s="116"/>
    </row>
    <row r="1170" spans="1:11">
      <c r="A1170" s="79">
        <v>2</v>
      </c>
      <c r="B1170" s="273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4"/>
        <v>S_002</v>
      </c>
      <c r="K1170" s="116"/>
    </row>
    <row r="1171" spans="1:11">
      <c r="A1171" s="79">
        <f>A1170+1</f>
        <v>3</v>
      </c>
      <c r="B1171" s="273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4"/>
        <v>S_003</v>
      </c>
      <c r="K1171" s="116"/>
    </row>
    <row r="1172" spans="1:11">
      <c r="A1172" s="79">
        <f>A1171+1</f>
        <v>4</v>
      </c>
      <c r="B1172" s="273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4"/>
        <v>S_004</v>
      </c>
      <c r="K1172" s="116"/>
    </row>
    <row r="1173" spans="1:11">
      <c r="A1173" s="79">
        <f>A1172+1</f>
        <v>5</v>
      </c>
      <c r="B1173" s="273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4"/>
        <v>S_005</v>
      </c>
      <c r="K1173" s="116"/>
    </row>
    <row r="1174" spans="1:11">
      <c r="A1174" s="79">
        <f>A1173+1</f>
        <v>6</v>
      </c>
      <c r="B1174" s="273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4"/>
        <v>S_006</v>
      </c>
      <c r="K1174" s="116"/>
    </row>
    <row r="1175" spans="1:11">
      <c r="A1175" s="221">
        <f>A1174+1</f>
        <v>7</v>
      </c>
      <c r="B1175" s="273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4"/>
        <v>S_007</v>
      </c>
      <c r="K1175" s="116"/>
    </row>
    <row r="1176" spans="1:11" ht="30">
      <c r="A1176" s="221">
        <f t="shared" ref="A1176:A1230" si="35">A1175+1</f>
        <v>8</v>
      </c>
      <c r="B1176" s="269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4"/>
        <v>S_008</v>
      </c>
      <c r="K1176" s="116"/>
    </row>
    <row r="1177" spans="1:11">
      <c r="A1177" s="221">
        <f t="shared" si="35"/>
        <v>9</v>
      </c>
      <c r="B1177" s="287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4"/>
        <v>S_009</v>
      </c>
      <c r="K1177" s="116"/>
    </row>
    <row r="1178" spans="1:11">
      <c r="A1178" s="221">
        <f t="shared" si="35"/>
        <v>10</v>
      </c>
      <c r="B1178" s="287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4"/>
        <v>S_010</v>
      </c>
      <c r="K1178" s="116"/>
    </row>
    <row r="1179" spans="1:11">
      <c r="A1179" s="221">
        <f t="shared" si="35"/>
        <v>11</v>
      </c>
      <c r="B1179" s="269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4"/>
        <v>S_011</v>
      </c>
      <c r="K1179" s="116"/>
    </row>
    <row r="1180" spans="1:11">
      <c r="A1180" s="221">
        <f t="shared" si="35"/>
        <v>12</v>
      </c>
      <c r="B1180" s="269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4"/>
        <v>S_012</v>
      </c>
      <c r="K1180" s="116"/>
    </row>
    <row r="1181" spans="1:11">
      <c r="A1181" s="221">
        <f t="shared" si="35"/>
        <v>13</v>
      </c>
      <c r="B1181" s="269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4"/>
        <v>S_013</v>
      </c>
      <c r="K1181" s="116"/>
    </row>
    <row r="1182" spans="1:11">
      <c r="A1182" s="221">
        <f t="shared" si="35"/>
        <v>14</v>
      </c>
      <c r="B1182" s="269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4"/>
        <v>S_014</v>
      </c>
      <c r="K1182" s="116"/>
    </row>
    <row r="1183" spans="1:11">
      <c r="A1183" s="221">
        <f t="shared" si="35"/>
        <v>15</v>
      </c>
      <c r="B1183" s="269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4"/>
        <v>S_015</v>
      </c>
      <c r="K1183" s="116"/>
    </row>
    <row r="1184" spans="1:11">
      <c r="A1184" s="221">
        <f t="shared" si="35"/>
        <v>16</v>
      </c>
      <c r="B1184" s="269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4"/>
        <v>S_016</v>
      </c>
      <c r="K1184" s="116"/>
    </row>
    <row r="1185" spans="1:11">
      <c r="A1185" s="221">
        <f t="shared" si="35"/>
        <v>17</v>
      </c>
      <c r="B1185" s="269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4"/>
        <v>S_017</v>
      </c>
      <c r="K1185" s="116"/>
    </row>
    <row r="1186" spans="1:11">
      <c r="A1186" s="221">
        <f t="shared" si="35"/>
        <v>18</v>
      </c>
      <c r="B1186" s="269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4"/>
        <v>S_018</v>
      </c>
      <c r="K1186" s="116"/>
    </row>
    <row r="1187" spans="1:11">
      <c r="A1187" s="221">
        <f t="shared" si="35"/>
        <v>19</v>
      </c>
      <c r="B1187" s="269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4"/>
        <v>S_019</v>
      </c>
      <c r="K1187" s="116"/>
    </row>
    <row r="1188" spans="1:11">
      <c r="A1188" s="221">
        <f t="shared" si="35"/>
        <v>20</v>
      </c>
      <c r="B1188" s="269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4"/>
        <v>S_020</v>
      </c>
      <c r="K1188" s="116"/>
    </row>
    <row r="1189" spans="1:11">
      <c r="A1189" s="221">
        <f t="shared" si="35"/>
        <v>21</v>
      </c>
      <c r="B1189" s="269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4"/>
        <v>S_021</v>
      </c>
      <c r="K1189" s="116"/>
    </row>
    <row r="1190" spans="1:11">
      <c r="A1190" s="221">
        <f t="shared" si="35"/>
        <v>22</v>
      </c>
      <c r="B1190" s="269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4"/>
        <v>S_022</v>
      </c>
      <c r="K1190" s="116"/>
    </row>
    <row r="1191" spans="1:11">
      <c r="A1191" s="221">
        <f t="shared" si="35"/>
        <v>23</v>
      </c>
      <c r="B1191" s="269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4"/>
        <v>S_023</v>
      </c>
      <c r="K1191" s="116"/>
    </row>
    <row r="1192" spans="1:11">
      <c r="A1192" s="221">
        <f t="shared" si="35"/>
        <v>24</v>
      </c>
      <c r="B1192" s="269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4"/>
        <v>S_024</v>
      </c>
      <c r="K1192" s="116"/>
    </row>
    <row r="1193" spans="1:11">
      <c r="A1193" s="221">
        <f t="shared" si="35"/>
        <v>25</v>
      </c>
      <c r="B1193" s="269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4"/>
        <v>S_025</v>
      </c>
      <c r="K1193" s="116"/>
    </row>
    <row r="1194" spans="1:11">
      <c r="A1194" s="221">
        <f t="shared" si="35"/>
        <v>26</v>
      </c>
      <c r="B1194" s="269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4"/>
        <v>S_026</v>
      </c>
      <c r="K1194" s="116"/>
    </row>
    <row r="1195" spans="1:11">
      <c r="A1195" s="221">
        <f t="shared" si="35"/>
        <v>27</v>
      </c>
      <c r="B1195" s="269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4"/>
        <v>S_027</v>
      </c>
      <c r="K1195" s="116"/>
    </row>
    <row r="1196" spans="1:11">
      <c r="A1196" s="221">
        <f t="shared" si="35"/>
        <v>28</v>
      </c>
      <c r="B1196" s="269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4"/>
        <v>S_028</v>
      </c>
      <c r="K1196" s="116"/>
    </row>
    <row r="1197" spans="1:11">
      <c r="A1197" s="221">
        <f t="shared" si="35"/>
        <v>29</v>
      </c>
      <c r="B1197" s="269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4"/>
        <v>S_029</v>
      </c>
      <c r="K1197" s="116"/>
    </row>
    <row r="1198" spans="1:11">
      <c r="A1198" s="221">
        <f t="shared" si="35"/>
        <v>30</v>
      </c>
      <c r="B1198" s="269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4"/>
        <v>S_030</v>
      </c>
      <c r="K1198" s="116"/>
    </row>
    <row r="1199" spans="1:11">
      <c r="A1199" s="221">
        <f t="shared" si="35"/>
        <v>31</v>
      </c>
      <c r="B1199" s="269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4"/>
        <v>S_031</v>
      </c>
      <c r="K1199" s="116"/>
    </row>
    <row r="1200" spans="1:11">
      <c r="A1200" s="221">
        <f t="shared" si="35"/>
        <v>32</v>
      </c>
      <c r="B1200" s="269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4"/>
        <v>S_032</v>
      </c>
      <c r="K1200" s="116"/>
    </row>
    <row r="1201" spans="1:11">
      <c r="A1201" s="221">
        <f t="shared" si="35"/>
        <v>33</v>
      </c>
      <c r="B1201" s="269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6">CONCATENATE(LEFT(C1201,1),"_",TEXT(A1201,"000"))</f>
        <v>S_033</v>
      </c>
      <c r="K1201" s="116"/>
    </row>
    <row r="1202" spans="1:11">
      <c r="A1202" s="221">
        <f t="shared" si="35"/>
        <v>34</v>
      </c>
      <c r="B1202" s="269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6"/>
        <v>S_034</v>
      </c>
      <c r="K1202" s="116"/>
    </row>
    <row r="1203" spans="1:11">
      <c r="A1203" s="221">
        <f t="shared" si="35"/>
        <v>35</v>
      </c>
      <c r="B1203" s="269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6"/>
        <v>S_035</v>
      </c>
      <c r="K1203" s="116"/>
    </row>
    <row r="1204" spans="1:11">
      <c r="A1204" s="221">
        <f t="shared" si="35"/>
        <v>36</v>
      </c>
      <c r="B1204" s="269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6"/>
        <v>S_036</v>
      </c>
      <c r="K1204" s="116"/>
    </row>
    <row r="1205" spans="1:11" ht="30">
      <c r="A1205" s="221">
        <f t="shared" si="35"/>
        <v>37</v>
      </c>
      <c r="B1205" s="269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6"/>
        <v>S_037</v>
      </c>
      <c r="K1205" s="116"/>
    </row>
    <row r="1206" spans="1:11" ht="30">
      <c r="A1206" s="221">
        <f t="shared" si="35"/>
        <v>38</v>
      </c>
      <c r="B1206" s="269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6"/>
        <v>S_038</v>
      </c>
      <c r="K1206" s="116"/>
    </row>
    <row r="1207" spans="1:11">
      <c r="A1207" s="221">
        <f t="shared" si="35"/>
        <v>39</v>
      </c>
      <c r="B1207" s="269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6"/>
        <v>S_039</v>
      </c>
      <c r="K1207" s="116"/>
    </row>
    <row r="1208" spans="1:11">
      <c r="A1208" s="221">
        <f t="shared" si="35"/>
        <v>40</v>
      </c>
      <c r="B1208" s="269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6"/>
        <v>S_040</v>
      </c>
      <c r="K1208" s="116"/>
    </row>
    <row r="1209" spans="1:11">
      <c r="A1209" s="221">
        <f t="shared" si="35"/>
        <v>41</v>
      </c>
      <c r="B1209" s="269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6"/>
        <v>S_041</v>
      </c>
      <c r="K1209" s="116"/>
    </row>
    <row r="1210" spans="1:11">
      <c r="A1210" s="221">
        <f t="shared" si="35"/>
        <v>42</v>
      </c>
      <c r="B1210" s="269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6"/>
        <v>S_042</v>
      </c>
      <c r="K1210" s="116"/>
    </row>
    <row r="1211" spans="1:11">
      <c r="A1211" s="221">
        <f t="shared" si="35"/>
        <v>43</v>
      </c>
      <c r="B1211" s="269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6"/>
        <v>S_043</v>
      </c>
      <c r="K1211" s="116"/>
    </row>
    <row r="1212" spans="1:11">
      <c r="A1212" s="221">
        <f t="shared" si="35"/>
        <v>44</v>
      </c>
      <c r="B1212" s="269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6"/>
        <v>S_044</v>
      </c>
      <c r="K1212" s="116"/>
    </row>
    <row r="1213" spans="1:11">
      <c r="A1213" s="221">
        <f t="shared" si="35"/>
        <v>45</v>
      </c>
      <c r="B1213" s="269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6"/>
        <v>S_045</v>
      </c>
      <c r="K1213" s="116"/>
    </row>
    <row r="1214" spans="1:11">
      <c r="A1214" s="221">
        <f t="shared" si="35"/>
        <v>46</v>
      </c>
      <c r="B1214" s="269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6"/>
        <v>S_046</v>
      </c>
      <c r="K1214" s="116"/>
    </row>
    <row r="1215" spans="1:11">
      <c r="A1215" s="221">
        <f t="shared" si="35"/>
        <v>47</v>
      </c>
      <c r="B1215" s="269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6"/>
        <v>S_047</v>
      </c>
      <c r="K1215" s="116"/>
    </row>
    <row r="1216" spans="1:11">
      <c r="A1216" s="221">
        <f t="shared" si="35"/>
        <v>48</v>
      </c>
      <c r="B1216" s="269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6"/>
        <v>S_048</v>
      </c>
      <c r="K1216" s="116"/>
    </row>
    <row r="1217" spans="1:11" ht="30">
      <c r="A1217" s="221">
        <f t="shared" si="35"/>
        <v>49</v>
      </c>
      <c r="B1217" s="269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6"/>
        <v>S_049</v>
      </c>
      <c r="K1217" s="116"/>
    </row>
    <row r="1218" spans="1:11">
      <c r="A1218" s="221">
        <f t="shared" si="35"/>
        <v>50</v>
      </c>
      <c r="B1218" s="269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6"/>
        <v>S_050</v>
      </c>
      <c r="K1218" s="116"/>
    </row>
    <row r="1219" spans="1:11">
      <c r="A1219" s="221">
        <f t="shared" si="35"/>
        <v>51</v>
      </c>
      <c r="B1219" s="269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6"/>
        <v>S_051</v>
      </c>
      <c r="K1219" s="116"/>
    </row>
    <row r="1220" spans="1:11">
      <c r="A1220" s="221">
        <f t="shared" si="35"/>
        <v>52</v>
      </c>
      <c r="B1220" s="269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6"/>
        <v>S_052</v>
      </c>
      <c r="K1220" s="116"/>
    </row>
    <row r="1221" spans="1:11">
      <c r="A1221" s="221">
        <f t="shared" si="35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6"/>
        <v>S_053</v>
      </c>
      <c r="K1221" s="116"/>
    </row>
    <row r="1222" spans="1:11">
      <c r="A1222" s="221">
        <f t="shared" si="35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6"/>
        <v>S_054</v>
      </c>
      <c r="K1222" s="116"/>
    </row>
    <row r="1223" spans="1:11">
      <c r="A1223" s="221">
        <f t="shared" si="35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6"/>
        <v>S_055</v>
      </c>
      <c r="K1223" s="116"/>
    </row>
    <row r="1224" spans="1:11" ht="30">
      <c r="A1224" s="221">
        <f t="shared" si="35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6"/>
        <v>S_056</v>
      </c>
      <c r="K1224" s="116"/>
    </row>
    <row r="1225" spans="1:11" ht="30">
      <c r="A1225" s="221">
        <f t="shared" si="35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6"/>
        <v>S_057</v>
      </c>
      <c r="K1225" s="116"/>
    </row>
    <row r="1226" spans="1:11" ht="30">
      <c r="A1226" s="221">
        <f t="shared" si="35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6"/>
        <v>S_058</v>
      </c>
      <c r="K1226" s="116"/>
    </row>
    <row r="1227" spans="1:11">
      <c r="A1227" s="221">
        <f t="shared" si="35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6"/>
        <v>S_059</v>
      </c>
      <c r="K1227" s="116"/>
    </row>
    <row r="1228" spans="1:11">
      <c r="A1228" s="221">
        <f t="shared" si="35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6"/>
        <v>S_060</v>
      </c>
      <c r="K1228" s="116"/>
    </row>
    <row r="1229" spans="1:11">
      <c r="A1229" s="221">
        <f t="shared" si="35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6"/>
        <v>S_061</v>
      </c>
      <c r="K1229" s="116"/>
    </row>
    <row r="1230" spans="1:11" ht="30">
      <c r="A1230" s="221">
        <f t="shared" si="35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6"/>
        <v>S_062</v>
      </c>
      <c r="K1230" s="95"/>
    </row>
    <row r="1231" spans="1:11">
      <c r="A1231" s="233"/>
      <c r="B1231" s="219"/>
      <c r="C1231" s="275"/>
      <c r="D1231" s="262"/>
      <c r="E1231" s="234"/>
      <c r="F1231" s="276"/>
      <c r="G1231" s="263"/>
      <c r="H1231" s="264"/>
      <c r="I1231" s="264"/>
      <c r="J1231" s="4"/>
    </row>
    <row r="1232" spans="1:11">
      <c r="A1232" s="233"/>
      <c r="B1232" s="219"/>
      <c r="C1232" s="275"/>
      <c r="D1232" s="262"/>
      <c r="E1232" s="234"/>
      <c r="F1232" s="276"/>
      <c r="G1232" s="263"/>
      <c r="H1232" s="264"/>
      <c r="I1232" s="264"/>
      <c r="J1232" s="4"/>
    </row>
    <row r="1233" spans="1:10">
      <c r="A1233" s="233"/>
      <c r="B1233" s="219"/>
      <c r="C1233" s="275"/>
      <c r="D1233" s="262"/>
      <c r="E1233" s="234"/>
      <c r="F1233" s="276"/>
      <c r="G1233" s="263"/>
      <c r="H1233" s="264"/>
      <c r="I1233" s="264"/>
      <c r="J1233" s="4"/>
    </row>
    <row r="1234" spans="1:10">
      <c r="A1234" s="233"/>
      <c r="B1234" s="219"/>
      <c r="C1234" s="275"/>
      <c r="D1234" s="262"/>
      <c r="E1234" s="234"/>
      <c r="F1234" s="276"/>
      <c r="G1234" s="263"/>
      <c r="H1234" s="264"/>
      <c r="I1234" s="264"/>
      <c r="J1234" s="4"/>
    </row>
    <row r="1235" spans="1:10">
      <c r="A1235" s="233"/>
      <c r="B1235" s="219"/>
      <c r="C1235" s="275"/>
      <c r="D1235" s="262"/>
      <c r="E1235" s="234"/>
      <c r="F1235" s="276"/>
      <c r="G1235" s="263"/>
      <c r="H1235" s="264"/>
      <c r="I1235" s="264"/>
      <c r="J1235" s="4"/>
    </row>
    <row r="1236" spans="1:10">
      <c r="A1236" s="233"/>
      <c r="B1236" s="219"/>
      <c r="C1236" s="275"/>
      <c r="D1236" s="262"/>
      <c r="E1236" s="234"/>
      <c r="F1236" s="276"/>
      <c r="G1236" s="263"/>
      <c r="H1236" s="264"/>
      <c r="I1236" s="264"/>
      <c r="J1236" s="4"/>
    </row>
    <row r="1237" spans="1:10">
      <c r="A1237" s="233"/>
      <c r="B1237" s="219"/>
      <c r="C1237" s="275"/>
      <c r="D1237" s="262"/>
      <c r="E1237" s="234"/>
      <c r="F1237" s="276"/>
      <c r="G1237" s="263"/>
      <c r="H1237" s="264"/>
      <c r="I1237" s="264"/>
      <c r="J1237" s="4"/>
    </row>
    <row r="1238" spans="1:10">
      <c r="A1238" s="233"/>
      <c r="B1238" s="219"/>
      <c r="C1238" s="275"/>
      <c r="D1238" s="262"/>
      <c r="E1238" s="234"/>
      <c r="F1238" s="276"/>
      <c r="G1238" s="263"/>
      <c r="H1238" s="264"/>
      <c r="I1238" s="264"/>
      <c r="J1238" s="4"/>
    </row>
    <row r="1239" spans="1:10">
      <c r="A1239" s="233"/>
      <c r="B1239" s="219"/>
      <c r="C1239" s="275"/>
      <c r="D1239" s="262"/>
      <c r="E1239" s="234"/>
      <c r="F1239" s="276"/>
      <c r="G1239" s="263"/>
      <c r="H1239" s="264"/>
      <c r="I1239" s="264"/>
      <c r="J1239" s="4"/>
    </row>
    <row r="1240" spans="1:10">
      <c r="A1240" s="233"/>
      <c r="B1240" s="219"/>
      <c r="C1240" s="275"/>
      <c r="D1240" s="262"/>
      <c r="E1240" s="234"/>
      <c r="F1240" s="276"/>
      <c r="G1240" s="263"/>
      <c r="H1240" s="264"/>
      <c r="I1240" s="264"/>
      <c r="J1240" s="4"/>
    </row>
    <row r="1241" spans="1:10">
      <c r="A1241" s="233"/>
      <c r="B1241" s="219"/>
      <c r="C1241" s="275"/>
      <c r="D1241" s="262"/>
      <c r="E1241" s="234"/>
      <c r="F1241" s="276"/>
      <c r="G1241" s="263"/>
      <c r="H1241" s="264"/>
      <c r="I1241" s="264"/>
      <c r="J1241" s="4"/>
    </row>
    <row r="1242" spans="1:10">
      <c r="A1242" s="233"/>
      <c r="B1242" s="219"/>
      <c r="C1242" s="275"/>
      <c r="D1242" s="262"/>
      <c r="E1242" s="234"/>
      <c r="F1242" s="276"/>
      <c r="G1242" s="263"/>
      <c r="H1242" s="264"/>
      <c r="I1242" s="264"/>
      <c r="J1242" s="4"/>
    </row>
    <row r="1243" spans="1:10">
      <c r="A1243" s="233"/>
      <c r="B1243" s="219"/>
      <c r="C1243" s="275"/>
      <c r="D1243" s="262"/>
      <c r="E1243" s="234"/>
      <c r="F1243" s="276"/>
      <c r="G1243" s="263"/>
      <c r="H1243" s="264"/>
      <c r="I1243" s="264"/>
      <c r="J1243" s="4"/>
    </row>
    <row r="1244" spans="1:10">
      <c r="A1244" s="233"/>
      <c r="B1244" s="219"/>
      <c r="C1244" s="275"/>
      <c r="D1244" s="262"/>
      <c r="E1244" s="234"/>
      <c r="F1244" s="276"/>
      <c r="G1244" s="263"/>
      <c r="H1244" s="264"/>
      <c r="I1244" s="264"/>
      <c r="J1244" s="4"/>
    </row>
    <row r="1245" spans="1:10">
      <c r="A1245" s="233"/>
      <c r="B1245" s="219"/>
      <c r="C1245" s="275"/>
      <c r="D1245" s="262"/>
      <c r="E1245" s="234"/>
      <c r="F1245" s="276"/>
      <c r="G1245" s="263"/>
      <c r="H1245" s="264"/>
      <c r="I1245" s="264"/>
      <c r="J1245" s="4"/>
    </row>
    <row r="1246" spans="1:10">
      <c r="A1246" s="233"/>
      <c r="B1246" s="219"/>
      <c r="C1246" s="275"/>
      <c r="D1246" s="262"/>
      <c r="E1246" s="234"/>
      <c r="F1246" s="276"/>
      <c r="G1246" s="263"/>
      <c r="H1246" s="264"/>
      <c r="I1246" s="264"/>
      <c r="J1246" s="4"/>
    </row>
    <row r="1247" spans="1:10">
      <c r="A1247" s="233"/>
      <c r="B1247" s="219"/>
      <c r="C1247" s="275"/>
      <c r="D1247" s="262"/>
      <c r="E1247" s="234"/>
      <c r="F1247" s="276"/>
      <c r="G1247" s="263"/>
      <c r="H1247" s="264"/>
      <c r="I1247" s="264"/>
      <c r="J1247" s="4"/>
    </row>
    <row r="1248" spans="1:10">
      <c r="A1248" s="233"/>
      <c r="B1248" s="219"/>
      <c r="C1248" s="275"/>
      <c r="D1248" s="262"/>
      <c r="E1248" s="234"/>
      <c r="F1248" s="276"/>
      <c r="G1248" s="263"/>
      <c r="H1248" s="264"/>
      <c r="I1248" s="264"/>
      <c r="J1248" s="4"/>
    </row>
    <row r="1249" spans="1:10">
      <c r="A1249" s="233"/>
      <c r="B1249" s="219"/>
      <c r="C1249" s="275"/>
      <c r="D1249" s="262"/>
      <c r="E1249" s="234"/>
      <c r="F1249" s="276"/>
      <c r="G1249" s="263"/>
      <c r="H1249" s="264"/>
      <c r="I1249" s="264"/>
      <c r="J1249" s="4"/>
    </row>
    <row r="1250" spans="1:10">
      <c r="A1250" s="233"/>
      <c r="B1250" s="219"/>
      <c r="C1250" s="275"/>
      <c r="D1250" s="262"/>
      <c r="E1250" s="234"/>
      <c r="F1250" s="276"/>
      <c r="G1250" s="263"/>
      <c r="H1250" s="264"/>
      <c r="I1250" s="264"/>
      <c r="J1250" s="4"/>
    </row>
    <row r="1251" spans="1:10">
      <c r="A1251" s="233"/>
      <c r="B1251" s="219"/>
      <c r="C1251" s="275"/>
      <c r="D1251" s="262"/>
      <c r="E1251" s="234"/>
      <c r="F1251" s="276"/>
      <c r="G1251" s="263"/>
      <c r="H1251" s="264"/>
      <c r="I1251" s="264"/>
      <c r="J1251" s="4"/>
    </row>
    <row r="1252" spans="1:10">
      <c r="A1252" s="233"/>
      <c r="B1252" s="219"/>
      <c r="C1252" s="275"/>
      <c r="D1252" s="262"/>
      <c r="E1252" s="234"/>
      <c r="F1252" s="276"/>
      <c r="G1252" s="263"/>
      <c r="H1252" s="264"/>
      <c r="I1252" s="264"/>
      <c r="J1252" s="4"/>
    </row>
    <row r="1253" spans="1:10">
      <c r="A1253" s="233"/>
      <c r="B1253" s="219"/>
      <c r="C1253" s="275"/>
      <c r="D1253" s="262"/>
      <c r="E1253" s="234"/>
      <c r="F1253" s="276"/>
      <c r="G1253" s="263"/>
      <c r="H1253" s="264"/>
      <c r="I1253" s="264"/>
      <c r="J1253" s="4"/>
    </row>
    <row r="1254" spans="1:10">
      <c r="A1254" s="233"/>
      <c r="B1254" s="219"/>
      <c r="C1254" s="275"/>
      <c r="D1254" s="262"/>
      <c r="E1254" s="234"/>
      <c r="F1254" s="276"/>
      <c r="G1254" s="263"/>
      <c r="H1254" s="264"/>
      <c r="I1254" s="264"/>
      <c r="J1254" s="4"/>
    </row>
    <row r="1255" spans="1:10">
      <c r="A1255" s="233"/>
      <c r="B1255" s="219"/>
      <c r="C1255" s="275"/>
      <c r="D1255" s="262"/>
      <c r="E1255" s="234"/>
      <c r="F1255" s="276"/>
      <c r="G1255" s="263"/>
      <c r="H1255" s="264"/>
      <c r="I1255" s="264"/>
      <c r="J1255" s="4"/>
    </row>
    <row r="1256" spans="1:10">
      <c r="A1256" s="233"/>
      <c r="B1256" s="219"/>
      <c r="C1256" s="275"/>
      <c r="D1256" s="262"/>
      <c r="E1256" s="234"/>
      <c r="F1256" s="276"/>
      <c r="G1256" s="263"/>
      <c r="H1256" s="264"/>
      <c r="I1256" s="264"/>
      <c r="J1256" s="4"/>
    </row>
    <row r="1257" spans="1:10">
      <c r="A1257" s="233"/>
      <c r="B1257" s="219"/>
      <c r="C1257" s="275"/>
      <c r="D1257" s="262"/>
      <c r="E1257" s="234"/>
      <c r="F1257" s="276"/>
      <c r="G1257" s="263"/>
      <c r="H1257" s="264"/>
      <c r="I1257" s="264"/>
      <c r="J1257" s="4"/>
    </row>
    <row r="1258" spans="1:10">
      <c r="A1258" s="233"/>
      <c r="B1258" s="219"/>
      <c r="C1258" s="275"/>
      <c r="D1258" s="262"/>
      <c r="E1258" s="234"/>
      <c r="F1258" s="276"/>
      <c r="G1258" s="263"/>
      <c r="H1258" s="264"/>
      <c r="I1258" s="264"/>
      <c r="J1258" s="4"/>
    </row>
    <row r="1259" spans="1:10">
      <c r="A1259" s="233"/>
      <c r="B1259" s="219"/>
      <c r="C1259" s="275"/>
      <c r="D1259" s="262"/>
      <c r="E1259" s="234"/>
      <c r="F1259" s="276"/>
      <c r="G1259" s="263"/>
      <c r="H1259" s="264"/>
      <c r="I1259" s="264"/>
      <c r="J1259" s="4"/>
    </row>
    <row r="1260" spans="1:10">
      <c r="A1260" s="233"/>
      <c r="B1260" s="219"/>
      <c r="C1260" s="275"/>
      <c r="D1260" s="262"/>
      <c r="E1260" s="234"/>
      <c r="F1260" s="276"/>
      <c r="G1260" s="263"/>
      <c r="H1260" s="264"/>
      <c r="I1260" s="264"/>
      <c r="J1260" s="4"/>
    </row>
    <row r="1261" spans="1:10">
      <c r="A1261" s="233"/>
      <c r="B1261" s="219"/>
      <c r="C1261" s="275"/>
      <c r="D1261" s="262"/>
      <c r="E1261" s="234"/>
      <c r="F1261" s="276"/>
      <c r="G1261" s="263"/>
      <c r="H1261" s="264"/>
      <c r="I1261" s="264"/>
      <c r="J1261" s="4"/>
    </row>
    <row r="1262" spans="1:10">
      <c r="A1262" s="233"/>
      <c r="B1262" s="219"/>
      <c r="C1262" s="275"/>
      <c r="D1262" s="262"/>
      <c r="E1262" s="234"/>
      <c r="F1262" s="276"/>
      <c r="G1262" s="263"/>
      <c r="H1262" s="264"/>
      <c r="I1262" s="264"/>
      <c r="J1262" s="4"/>
    </row>
    <row r="1263" spans="1:10">
      <c r="A1263" s="233"/>
      <c r="B1263" s="219"/>
      <c r="C1263" s="275"/>
      <c r="D1263" s="262"/>
      <c r="E1263" s="234"/>
      <c r="F1263" s="276"/>
      <c r="G1263" s="263"/>
      <c r="H1263" s="264"/>
      <c r="I1263" s="264"/>
      <c r="J1263" s="4"/>
    </row>
    <row r="1264" spans="1:10">
      <c r="A1264" s="233"/>
      <c r="B1264" s="219"/>
      <c r="C1264" s="275"/>
      <c r="D1264" s="262"/>
      <c r="E1264" s="234"/>
      <c r="F1264" s="276"/>
      <c r="G1264" s="263"/>
      <c r="H1264" s="264"/>
      <c r="I1264" s="264"/>
      <c r="J1264" s="4"/>
    </row>
    <row r="1265" spans="1:11">
      <c r="A1265" s="233"/>
      <c r="B1265" s="219"/>
      <c r="C1265" s="275"/>
      <c r="D1265" s="262"/>
      <c r="E1265" s="234"/>
      <c r="F1265" s="276"/>
      <c r="G1265" s="263"/>
      <c r="H1265" s="264"/>
      <c r="I1265" s="264"/>
      <c r="J1265" s="4"/>
    </row>
    <row r="1266" spans="1:11">
      <c r="A1266" s="233"/>
      <c r="B1266" s="219"/>
      <c r="C1266" s="275"/>
      <c r="D1266" s="262"/>
      <c r="E1266" s="234"/>
      <c r="F1266" s="276"/>
      <c r="G1266" s="263"/>
      <c r="H1266" s="264"/>
      <c r="I1266" s="264"/>
      <c r="J1266" s="4"/>
    </row>
    <row r="1267" spans="1:11">
      <c r="A1267" s="233"/>
      <c r="B1267" s="219"/>
      <c r="C1267" s="275"/>
      <c r="D1267" s="262"/>
      <c r="E1267" s="234"/>
      <c r="F1267" s="276"/>
      <c r="G1267" s="263"/>
      <c r="H1267" s="264"/>
      <c r="I1267" s="264"/>
      <c r="J1267" s="4"/>
    </row>
    <row r="1268" spans="1:11">
      <c r="A1268" s="233"/>
      <c r="B1268" s="219"/>
      <c r="C1268" s="275"/>
      <c r="D1268" s="262"/>
      <c r="E1268" s="234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8">
        <f>SUBTOTAL(3,(B1277:B1316))</f>
        <v>40</v>
      </c>
      <c r="C1275" s="504"/>
      <c r="D1275" s="504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6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7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7"/>
        <v>H_002</v>
      </c>
      <c r="K1278" s="116"/>
    </row>
    <row r="1279" spans="1:11" ht="30">
      <c r="A1279" s="79">
        <f t="shared" ref="A1279:A1316" si="38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7"/>
        <v>H_003</v>
      </c>
      <c r="K1279" s="116"/>
    </row>
    <row r="1280" spans="1:11" ht="30">
      <c r="A1280" s="79">
        <f t="shared" si="38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7"/>
        <v>H_004</v>
      </c>
      <c r="K1280" s="116"/>
    </row>
    <row r="1281" spans="1:11" ht="30">
      <c r="A1281" s="79">
        <f t="shared" si="38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7"/>
        <v>H_005</v>
      </c>
      <c r="K1281" s="116"/>
    </row>
    <row r="1282" spans="1:11" ht="30">
      <c r="A1282" s="79">
        <f t="shared" si="38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7"/>
        <v>H_006</v>
      </c>
      <c r="K1282" s="116"/>
    </row>
    <row r="1283" spans="1:11" ht="45">
      <c r="A1283" s="79">
        <f t="shared" si="38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7"/>
        <v>H_007</v>
      </c>
      <c r="K1283" s="116"/>
    </row>
    <row r="1284" spans="1:11" ht="30">
      <c r="A1284" s="79">
        <f t="shared" si="38"/>
        <v>8</v>
      </c>
      <c r="B1284" s="273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7"/>
        <v>H_008</v>
      </c>
      <c r="K1284" s="116"/>
    </row>
    <row r="1285" spans="1:11" ht="30">
      <c r="A1285" s="79">
        <f t="shared" si="38"/>
        <v>9</v>
      </c>
      <c r="B1285" s="273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7"/>
        <v>H_009</v>
      </c>
      <c r="K1285" s="116"/>
    </row>
    <row r="1286" spans="1:11" ht="30">
      <c r="A1286" s="79">
        <f t="shared" si="38"/>
        <v>10</v>
      </c>
      <c r="B1286" s="273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7"/>
        <v>H_010</v>
      </c>
      <c r="K1286" s="116"/>
    </row>
    <row r="1287" spans="1:11" ht="30">
      <c r="A1287" s="79">
        <f t="shared" si="38"/>
        <v>11</v>
      </c>
      <c r="B1287" s="273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7"/>
        <v>H_011</v>
      </c>
      <c r="K1287" s="116"/>
    </row>
    <row r="1288" spans="1:11" ht="30">
      <c r="A1288" s="79">
        <f t="shared" si="38"/>
        <v>12</v>
      </c>
      <c r="B1288" s="273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7"/>
        <v>H_012</v>
      </c>
      <c r="K1288" s="116"/>
    </row>
    <row r="1289" spans="1:11" ht="30">
      <c r="A1289" s="79">
        <f t="shared" si="38"/>
        <v>13</v>
      </c>
      <c r="B1289" s="273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7"/>
        <v>H_013</v>
      </c>
      <c r="K1289" s="116"/>
    </row>
    <row r="1290" spans="1:11" ht="30">
      <c r="A1290" s="79">
        <f t="shared" si="38"/>
        <v>14</v>
      </c>
      <c r="B1290" s="273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7"/>
        <v>H_014</v>
      </c>
      <c r="K1290" s="116"/>
    </row>
    <row r="1291" spans="1:11" ht="30">
      <c r="A1291" s="79">
        <f t="shared" si="38"/>
        <v>15</v>
      </c>
      <c r="B1291" s="273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7"/>
        <v>H_015</v>
      </c>
      <c r="K1291" s="116"/>
    </row>
    <row r="1292" spans="1:11" ht="30">
      <c r="A1292" s="79">
        <f t="shared" si="38"/>
        <v>16</v>
      </c>
      <c r="B1292" s="273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7"/>
        <v>H_016</v>
      </c>
      <c r="K1292" s="116"/>
    </row>
    <row r="1293" spans="1:11" ht="30">
      <c r="A1293" s="79">
        <f t="shared" si="38"/>
        <v>17</v>
      </c>
      <c r="B1293" s="273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7"/>
        <v>H_017</v>
      </c>
      <c r="K1293" s="116"/>
    </row>
    <row r="1294" spans="1:11" ht="30">
      <c r="A1294" s="79">
        <f t="shared" si="38"/>
        <v>18</v>
      </c>
      <c r="B1294" s="273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7"/>
        <v>H_018</v>
      </c>
      <c r="K1294" s="116"/>
    </row>
    <row r="1295" spans="1:11" ht="30">
      <c r="A1295" s="79">
        <f t="shared" si="38"/>
        <v>19</v>
      </c>
      <c r="B1295" s="273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7"/>
        <v>H_019</v>
      </c>
      <c r="K1295" s="116"/>
    </row>
    <row r="1296" spans="1:11" ht="30">
      <c r="A1296" s="79">
        <f t="shared" si="38"/>
        <v>20</v>
      </c>
      <c r="B1296" s="273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7"/>
        <v>H_020</v>
      </c>
      <c r="K1296" s="116"/>
    </row>
    <row r="1297" spans="1:11" ht="30">
      <c r="A1297" s="79">
        <f t="shared" si="38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7"/>
        <v>H_021</v>
      </c>
      <c r="K1297" s="116"/>
    </row>
    <row r="1298" spans="1:11">
      <c r="A1298" s="79">
        <f t="shared" si="38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0">
        <v>1</v>
      </c>
      <c r="I1298" s="290">
        <v>1</v>
      </c>
      <c r="J1298" s="206" t="str">
        <f t="shared" si="37"/>
        <v>H_022</v>
      </c>
      <c r="K1298" s="116"/>
    </row>
    <row r="1299" spans="1:11">
      <c r="A1299" s="79">
        <f t="shared" si="38"/>
        <v>23</v>
      </c>
      <c r="B1299" s="273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7"/>
        <v>H_023</v>
      </c>
      <c r="K1299" s="116"/>
    </row>
    <row r="1300" spans="1:11">
      <c r="A1300" s="79">
        <f t="shared" si="38"/>
        <v>24</v>
      </c>
      <c r="B1300" s="273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7"/>
        <v>H_024</v>
      </c>
      <c r="K1300" s="116"/>
    </row>
    <row r="1301" spans="1:11" ht="30">
      <c r="A1301" s="79">
        <f t="shared" si="38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7"/>
        <v>H_025</v>
      </c>
      <c r="K1301" s="116"/>
    </row>
    <row r="1302" spans="1:11">
      <c r="A1302" s="79">
        <f t="shared" si="38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8"/>
        <v>27</v>
      </c>
      <c r="B1303" s="273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9">CONCATENATE(LEFT(C1303,1),"_",TEXT(A1303,"000"))</f>
        <v>H_027</v>
      </c>
      <c r="K1303" s="116"/>
    </row>
    <row r="1304" spans="1:11">
      <c r="A1304" s="79">
        <f t="shared" si="38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0">
        <v>1</v>
      </c>
      <c r="I1304" s="290">
        <v>1</v>
      </c>
      <c r="J1304" s="206" t="str">
        <f t="shared" si="39"/>
        <v>H_028</v>
      </c>
      <c r="K1304" s="116"/>
    </row>
    <row r="1305" spans="1:11" ht="30">
      <c r="A1305" s="79">
        <f t="shared" si="38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9"/>
        <v>H_029</v>
      </c>
      <c r="K1305" s="116"/>
    </row>
    <row r="1306" spans="1:11" ht="30">
      <c r="A1306" s="79">
        <f t="shared" si="38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0">
        <v>1</v>
      </c>
      <c r="I1306" s="290">
        <v>1</v>
      </c>
      <c r="J1306" s="206" t="str">
        <f t="shared" si="39"/>
        <v>H_030</v>
      </c>
      <c r="K1306" s="116"/>
    </row>
    <row r="1307" spans="1:11" ht="30">
      <c r="A1307" s="79">
        <f t="shared" si="38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0">
        <v>1</v>
      </c>
      <c r="I1307" s="290">
        <v>1</v>
      </c>
      <c r="J1307" s="206" t="str">
        <f t="shared" si="39"/>
        <v>H_031</v>
      </c>
      <c r="K1307" s="116"/>
    </row>
    <row r="1308" spans="1:11">
      <c r="A1308" s="79">
        <f t="shared" si="38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0">
        <v>1</v>
      </c>
      <c r="I1308" s="290">
        <v>1</v>
      </c>
      <c r="J1308" s="206" t="str">
        <f t="shared" si="39"/>
        <v>H_032</v>
      </c>
      <c r="K1308" s="116"/>
    </row>
    <row r="1309" spans="1:11" ht="30">
      <c r="A1309" s="79">
        <f t="shared" si="38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8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40">CONCATENATE(LEFT(C1310,1),"_",TEXT(A1310,"000"))</f>
        <v>H_034</v>
      </c>
      <c r="K1310" s="116"/>
    </row>
    <row r="1311" spans="1:11" ht="30">
      <c r="A1311" s="79">
        <f t="shared" si="38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40"/>
        <v>H_035</v>
      </c>
      <c r="K1311" s="116"/>
    </row>
    <row r="1312" spans="1:11">
      <c r="A1312" s="79">
        <f t="shared" si="38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0">
        <v>1</v>
      </c>
      <c r="I1312" s="290">
        <v>1</v>
      </c>
      <c r="J1312" s="206" t="str">
        <f t="shared" si="40"/>
        <v>H_036</v>
      </c>
      <c r="K1312" s="116"/>
    </row>
    <row r="1313" spans="1:11">
      <c r="A1313" s="79">
        <f t="shared" si="38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40"/>
        <v>H_037</v>
      </c>
      <c r="K1313" s="116"/>
    </row>
    <row r="1314" spans="1:11" ht="30">
      <c r="A1314" s="79">
        <f t="shared" si="38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89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40"/>
        <v>H_038</v>
      </c>
      <c r="K1314" s="116"/>
    </row>
    <row r="1315" spans="1:11" ht="45">
      <c r="A1315" s="79">
        <f t="shared" si="38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89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40"/>
        <v>H_039</v>
      </c>
      <c r="K1315" s="116"/>
    </row>
    <row r="1316" spans="1:11" ht="30">
      <c r="A1316" s="79">
        <f t="shared" si="38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89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40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7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8">
        <f>SUBTOTAL(3,B1333:B1374)</f>
        <v>42</v>
      </c>
      <c r="C1331" s="504"/>
      <c r="D1331" s="504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6" t="s">
        <v>96</v>
      </c>
    </row>
    <row r="1333" spans="1:11">
      <c r="A1333" s="79">
        <f t="shared" ref="A1333:A1364" si="41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2">CONCATENATE(LEFT(C1333,1),MID(C1333,SEARCH("_",C1333)+1,2),TEXT(A1333,"000"))</f>
        <v>ICO220</v>
      </c>
    </row>
    <row r="1334" spans="1:11">
      <c r="A1334" s="79">
        <f t="shared" si="41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2"/>
        <v>ICO221</v>
      </c>
    </row>
    <row r="1335" spans="1:11">
      <c r="A1335" s="79">
        <f t="shared" si="41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2"/>
        <v>ICO222</v>
      </c>
    </row>
    <row r="1336" spans="1:11">
      <c r="A1336" s="79">
        <f t="shared" si="41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2"/>
        <v>ICO223</v>
      </c>
    </row>
    <row r="1337" spans="1:11">
      <c r="A1337" s="79">
        <f t="shared" si="41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2"/>
        <v>ICO224</v>
      </c>
    </row>
    <row r="1338" spans="1:11">
      <c r="A1338" s="79">
        <f t="shared" si="41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2"/>
        <v>ICO225</v>
      </c>
    </row>
    <row r="1339" spans="1:11">
      <c r="A1339" s="79">
        <f t="shared" si="41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2"/>
        <v>ICO226</v>
      </c>
    </row>
    <row r="1340" spans="1:11">
      <c r="A1340" s="79">
        <f t="shared" si="41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2"/>
        <v>ICO227</v>
      </c>
    </row>
    <row r="1341" spans="1:11">
      <c r="A1341" s="79">
        <f t="shared" si="41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2"/>
        <v>ICO228</v>
      </c>
    </row>
    <row r="1342" spans="1:11">
      <c r="A1342" s="79">
        <f t="shared" si="41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2"/>
        <v>ICO229</v>
      </c>
    </row>
    <row r="1343" spans="1:11">
      <c r="A1343" s="79">
        <f t="shared" si="41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2"/>
        <v>ICO230</v>
      </c>
    </row>
    <row r="1344" spans="1:11">
      <c r="A1344" s="79">
        <f t="shared" si="41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2"/>
        <v>ICO231</v>
      </c>
    </row>
    <row r="1345" spans="1:10">
      <c r="A1345" s="79">
        <f t="shared" si="41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2"/>
        <v>ICO232</v>
      </c>
    </row>
    <row r="1346" spans="1:10">
      <c r="A1346" s="79">
        <f t="shared" si="41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2"/>
        <v>ICO233</v>
      </c>
    </row>
    <row r="1347" spans="1:10">
      <c r="A1347" s="79">
        <f t="shared" si="41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2"/>
        <v>ICO234</v>
      </c>
    </row>
    <row r="1348" spans="1:10">
      <c r="A1348" s="79">
        <f t="shared" si="41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2"/>
        <v>ICO235</v>
      </c>
    </row>
    <row r="1349" spans="1:10">
      <c r="A1349" s="79">
        <f t="shared" si="41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2"/>
        <v>ICO236</v>
      </c>
    </row>
    <row r="1350" spans="1:10">
      <c r="A1350" s="79">
        <f t="shared" si="41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2"/>
        <v>ICO237</v>
      </c>
    </row>
    <row r="1351" spans="1:10">
      <c r="A1351" s="79">
        <f t="shared" si="41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2"/>
        <v>ICO238</v>
      </c>
    </row>
    <row r="1352" spans="1:10">
      <c r="A1352" s="79">
        <f t="shared" si="41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2"/>
        <v>ICO239</v>
      </c>
    </row>
    <row r="1353" spans="1:10" ht="30">
      <c r="A1353" s="79">
        <f t="shared" si="41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2"/>
        <v>ICO240</v>
      </c>
    </row>
    <row r="1354" spans="1:10" ht="30">
      <c r="A1354" s="79">
        <f t="shared" si="41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2"/>
        <v>ICO241</v>
      </c>
    </row>
    <row r="1355" spans="1:10" ht="30">
      <c r="A1355" s="79">
        <f t="shared" si="41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2"/>
        <v>ICO242</v>
      </c>
    </row>
    <row r="1356" spans="1:10" ht="30">
      <c r="A1356" s="79">
        <f t="shared" si="41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2"/>
        <v>ICO243</v>
      </c>
    </row>
    <row r="1357" spans="1:10" ht="30">
      <c r="A1357" s="79">
        <f t="shared" si="41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2"/>
        <v>ICO244</v>
      </c>
    </row>
    <row r="1358" spans="1:10" ht="30">
      <c r="A1358" s="79">
        <f t="shared" si="41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2"/>
        <v>ICO245</v>
      </c>
    </row>
    <row r="1359" spans="1:10">
      <c r="A1359" s="79">
        <f t="shared" si="41"/>
        <v>246</v>
      </c>
      <c r="B1359" s="291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2"/>
        <v>ICO246</v>
      </c>
    </row>
    <row r="1360" spans="1:10">
      <c r="A1360" s="79">
        <f t="shared" si="41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2"/>
        <v>ICO247</v>
      </c>
    </row>
    <row r="1361" spans="1:10">
      <c r="A1361" s="79">
        <f t="shared" si="41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2"/>
        <v>ICO248</v>
      </c>
    </row>
    <row r="1362" spans="1:10">
      <c r="A1362" s="79">
        <f t="shared" si="41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2"/>
        <v>ICO249</v>
      </c>
    </row>
    <row r="1363" spans="1:10">
      <c r="A1363" s="79">
        <f t="shared" si="41"/>
        <v>250</v>
      </c>
      <c r="B1363" s="291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2"/>
        <v>ICO250</v>
      </c>
    </row>
    <row r="1364" spans="1:10">
      <c r="A1364" s="79">
        <f t="shared" si="41"/>
        <v>251</v>
      </c>
      <c r="B1364" s="291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2"/>
        <v>ICO251</v>
      </c>
    </row>
    <row r="1365" spans="1:10">
      <c r="A1365" s="79">
        <f t="shared" ref="A1365:A1396" si="43">A1364+1</f>
        <v>252</v>
      </c>
      <c r="B1365" s="292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4">CONCATENATE(LEFT(C1365,1),MID(C1365,SEARCH("_",C1365)+1,2),TEXT(A1365,"000"))</f>
        <v>ICO252</v>
      </c>
    </row>
    <row r="1366" spans="1:10">
      <c r="A1366" s="79">
        <f t="shared" si="43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4"/>
        <v>ICO253</v>
      </c>
    </row>
    <row r="1367" spans="1:10" ht="30">
      <c r="A1367" s="79">
        <f t="shared" si="43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4"/>
        <v>ICO254</v>
      </c>
    </row>
    <row r="1368" spans="1:10" ht="30">
      <c r="A1368" s="79">
        <f t="shared" si="43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4"/>
        <v>ICO255</v>
      </c>
    </row>
    <row r="1369" spans="1:10" ht="30">
      <c r="A1369" s="79">
        <f t="shared" si="43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4"/>
        <v>ICO256</v>
      </c>
    </row>
    <row r="1370" spans="1:10" ht="30">
      <c r="A1370" s="79">
        <f t="shared" si="43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4"/>
        <v>ICO257</v>
      </c>
    </row>
    <row r="1371" spans="1:10">
      <c r="A1371" s="79">
        <f t="shared" si="43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4"/>
        <v>ICO258</v>
      </c>
    </row>
    <row r="1372" spans="1:10">
      <c r="A1372" s="79">
        <f t="shared" si="43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4"/>
        <v>ICO259</v>
      </c>
    </row>
    <row r="1373" spans="1:10" ht="17.25" customHeight="1">
      <c r="A1373" s="79">
        <f t="shared" si="43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4"/>
        <v>ICO260</v>
      </c>
    </row>
    <row r="1374" spans="1:10" ht="30">
      <c r="A1374" s="79">
        <f t="shared" si="43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5">
        <f>IF(BD!$E1368="","",(E1374/(H1374*I1374)))</f>
        <v>23233.4</v>
      </c>
      <c r="H1374" s="162">
        <v>1</v>
      </c>
      <c r="I1374" s="162">
        <v>1</v>
      </c>
      <c r="J1374" s="81" t="str">
        <f t="shared" si="44"/>
        <v>ICO261</v>
      </c>
    </row>
    <row r="1375" spans="1:10" ht="30">
      <c r="A1375" s="79">
        <f t="shared" si="43"/>
        <v>262</v>
      </c>
      <c r="B1375" s="293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5">
        <f>IF(BD!$E1369="","",(E1375/(H1375*I1375)))</f>
        <v>219.5</v>
      </c>
      <c r="H1375" s="162">
        <v>1</v>
      </c>
      <c r="I1375" s="162">
        <v>1</v>
      </c>
      <c r="J1375" s="206" t="str">
        <f t="shared" si="44"/>
        <v>ICO262</v>
      </c>
    </row>
    <row r="1376" spans="1:10" ht="30">
      <c r="A1376" s="79">
        <f t="shared" si="43"/>
        <v>263</v>
      </c>
      <c r="B1376" s="293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5">
        <f>IF(BD!$E1370="","",(E1376/(H1376*I1376)))</f>
        <v>907</v>
      </c>
      <c r="H1376" s="162">
        <v>1</v>
      </c>
      <c r="I1376" s="162">
        <v>1</v>
      </c>
      <c r="J1376" s="206" t="str">
        <f t="shared" si="44"/>
        <v>ICO263</v>
      </c>
    </row>
    <row r="1377" spans="1:10">
      <c r="A1377" s="79">
        <f t="shared" si="43"/>
        <v>264</v>
      </c>
      <c r="B1377" s="260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5">
        <f>IF(BD!$E1371="","",(E1377/(H1377*I1377)))</f>
        <v>5333.34</v>
      </c>
      <c r="H1377" s="162">
        <v>1</v>
      </c>
      <c r="I1377" s="162">
        <v>1</v>
      </c>
      <c r="J1377" s="206" t="str">
        <f t="shared" si="44"/>
        <v>ICO264</v>
      </c>
    </row>
    <row r="1378" spans="1:10" ht="30">
      <c r="A1378" s="79">
        <f t="shared" si="43"/>
        <v>265</v>
      </c>
      <c r="B1378" s="261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5">
        <f>IF(BD!$E1372="","",(E1378/(H1378*I1378)))</f>
        <v>867804</v>
      </c>
      <c r="H1378" s="162">
        <v>1</v>
      </c>
      <c r="I1378" s="162">
        <v>1</v>
      </c>
      <c r="J1378" s="206" t="str">
        <f t="shared" si="44"/>
        <v>ICO265</v>
      </c>
    </row>
    <row r="1379" spans="1:10" ht="30">
      <c r="A1379" s="79">
        <f t="shared" si="43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5">
        <f>IF(BD!$E1373="","",(E1379/(H1379*I1379)))</f>
        <v>1097662</v>
      </c>
      <c r="H1379" s="162">
        <v>1</v>
      </c>
      <c r="I1379" s="162">
        <v>1</v>
      </c>
      <c r="J1379" s="206" t="str">
        <f t="shared" si="44"/>
        <v>ICO266</v>
      </c>
    </row>
    <row r="1380" spans="1:10">
      <c r="A1380" s="79">
        <f t="shared" si="43"/>
        <v>267</v>
      </c>
      <c r="B1380" s="260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5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4"/>
        <v>ICO267</v>
      </c>
    </row>
    <row r="1381" spans="1:10">
      <c r="A1381" s="79">
        <f t="shared" si="43"/>
        <v>268</v>
      </c>
      <c r="B1381" s="260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5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4"/>
        <v>ICO268</v>
      </c>
    </row>
    <row r="1382" spans="1:10">
      <c r="A1382" s="79">
        <f t="shared" si="43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5">
        <f>IF(BD!$E1376="","",(E1382/(H1382*I1382)))</f>
        <v>19073</v>
      </c>
      <c r="H1382" s="162">
        <v>1</v>
      </c>
      <c r="I1382" s="162">
        <v>1</v>
      </c>
      <c r="J1382" s="206" t="str">
        <f t="shared" si="44"/>
        <v>ICO269</v>
      </c>
    </row>
    <row r="1383" spans="1:10" ht="30">
      <c r="A1383" s="79">
        <f t="shared" si="43"/>
        <v>270</v>
      </c>
      <c r="B1383" s="260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6" t="str">
        <f t="shared" si="44"/>
        <v>ICO270</v>
      </c>
    </row>
    <row r="1384" spans="1:10">
      <c r="A1384" s="79">
        <f t="shared" si="43"/>
        <v>271</v>
      </c>
      <c r="B1384" s="272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4"/>
        <v>ICO271</v>
      </c>
    </row>
    <row r="1385" spans="1:10">
      <c r="A1385" s="79">
        <f t="shared" si="43"/>
        <v>272</v>
      </c>
      <c r="B1385" s="272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4"/>
        <v>ICO272</v>
      </c>
    </row>
    <row r="1386" spans="1:10">
      <c r="A1386" s="79">
        <f t="shared" si="43"/>
        <v>273</v>
      </c>
      <c r="B1386" s="260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5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4"/>
        <v>ICO273</v>
      </c>
    </row>
    <row r="1387" spans="1:10">
      <c r="A1387" s="79">
        <f t="shared" si="43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5">
        <f>IF(BD!$E1379="","",(E1387/(H1387*I1387)))</f>
        <v>19000</v>
      </c>
      <c r="H1387" s="162">
        <v>1</v>
      </c>
      <c r="I1387" s="162">
        <v>1</v>
      </c>
      <c r="J1387" s="206" t="str">
        <f t="shared" si="44"/>
        <v>ICO274</v>
      </c>
    </row>
    <row r="1388" spans="1:10">
      <c r="A1388" s="79">
        <f t="shared" si="43"/>
        <v>275</v>
      </c>
      <c r="B1388" s="260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4"/>
        <v>ICO275</v>
      </c>
    </row>
    <row r="1389" spans="1:10" ht="30">
      <c r="A1389" s="258">
        <f t="shared" si="43"/>
        <v>276</v>
      </c>
      <c r="B1389" s="260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4"/>
        <v>ICO276</v>
      </c>
    </row>
    <row r="1390" spans="1:10">
      <c r="A1390" s="258">
        <f t="shared" si="43"/>
        <v>277</v>
      </c>
      <c r="B1390" s="272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4"/>
        <v>ICO277</v>
      </c>
    </row>
    <row r="1391" spans="1:10">
      <c r="A1391" s="258">
        <f t="shared" si="43"/>
        <v>278</v>
      </c>
      <c r="B1391" s="261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3">
        <f>IF(BD!$E1382="","",(E1391/(H1391*I1391)))</f>
        <v>7200</v>
      </c>
      <c r="H1391" s="162">
        <v>1</v>
      </c>
      <c r="I1391" s="162">
        <v>1</v>
      </c>
      <c r="J1391" s="84" t="str">
        <f t="shared" si="44"/>
        <v>ICO278</v>
      </c>
    </row>
    <row r="1392" spans="1:10">
      <c r="A1392" s="258">
        <f t="shared" si="43"/>
        <v>279</v>
      </c>
      <c r="B1392" s="272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4"/>
        <v>ICO279</v>
      </c>
    </row>
    <row r="1393" spans="1:10">
      <c r="A1393" s="258">
        <f t="shared" si="43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3">
        <f>IF(BD!$E1383="","",(E1393/(H1393*I1393)))</f>
        <v>6013.33</v>
      </c>
      <c r="H1393" s="162">
        <v>1</v>
      </c>
      <c r="I1393" s="162">
        <v>1</v>
      </c>
      <c r="J1393" s="84" t="str">
        <f t="shared" si="44"/>
        <v>ICO280</v>
      </c>
    </row>
    <row r="1394" spans="1:10">
      <c r="A1394" s="258">
        <f t="shared" si="43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3" t="str">
        <f>IF(BD!$E1384="","",(E1394/(H1394*I1394)))</f>
        <v/>
      </c>
      <c r="H1394" s="162">
        <v>1</v>
      </c>
      <c r="I1394" s="162">
        <v>1</v>
      </c>
      <c r="J1394" s="84" t="str">
        <f t="shared" si="44"/>
        <v>ICO281</v>
      </c>
    </row>
    <row r="1395" spans="1:10">
      <c r="A1395" s="258">
        <f t="shared" si="43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3" t="str">
        <f>IF(BD!$E1385="","",(E1395/(H1395*I1395)))</f>
        <v/>
      </c>
      <c r="H1395" s="162">
        <v>1</v>
      </c>
      <c r="I1395" s="162">
        <v>1</v>
      </c>
      <c r="J1395" s="84" t="str">
        <f t="shared" si="44"/>
        <v>ICO282</v>
      </c>
    </row>
    <row r="1396" spans="1:10">
      <c r="A1396" s="259">
        <f t="shared" si="43"/>
        <v>283</v>
      </c>
      <c r="B1396" s="272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4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7">
        <f>SUBTOTAL(3,Tabla34[Material])</f>
        <v>82</v>
      </c>
      <c r="C1416" s="504"/>
      <c r="D1416" s="504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6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5">CONCATENATE(LEFT(C1418,1),MID(C1418,SEARCH("_",C1418)+1,2),TEXT(A1418,"000"))</f>
        <v>PP001</v>
      </c>
      <c r="K1418" s="116"/>
    </row>
    <row r="1419" spans="1:11">
      <c r="A1419" s="41">
        <f t="shared" ref="A1419:A1450" si="46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5"/>
        <v>PP002</v>
      </c>
      <c r="K1419" s="116"/>
    </row>
    <row r="1420" spans="1:11">
      <c r="A1420" s="41">
        <f t="shared" si="46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5"/>
        <v>PP003</v>
      </c>
      <c r="K1420" s="116"/>
    </row>
    <row r="1421" spans="1:11">
      <c r="A1421" s="41">
        <f t="shared" si="46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5"/>
        <v>PP004</v>
      </c>
      <c r="K1421" s="116"/>
    </row>
    <row r="1422" spans="1:11">
      <c r="A1422" s="41">
        <f t="shared" si="46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5"/>
        <v>PP005</v>
      </c>
      <c r="K1422" s="116"/>
    </row>
    <row r="1423" spans="1:11">
      <c r="A1423" s="41">
        <f t="shared" si="46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5"/>
        <v>PP006</v>
      </c>
      <c r="K1423" s="116"/>
    </row>
    <row r="1424" spans="1:11">
      <c r="A1424" s="41">
        <f t="shared" si="46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5"/>
        <v>PP007</v>
      </c>
      <c r="K1424" s="116"/>
    </row>
    <row r="1425" spans="1:11">
      <c r="A1425" s="41">
        <f t="shared" si="46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5"/>
        <v>PP008</v>
      </c>
      <c r="K1425" s="116"/>
    </row>
    <row r="1426" spans="1:11">
      <c r="A1426" s="41">
        <f t="shared" si="46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5"/>
        <v>PP009</v>
      </c>
      <c r="K1426" s="116"/>
    </row>
    <row r="1427" spans="1:11">
      <c r="A1427" s="41">
        <f t="shared" si="46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5"/>
        <v>PP010</v>
      </c>
      <c r="K1427" s="116"/>
    </row>
    <row r="1428" spans="1:11">
      <c r="A1428" s="41">
        <f t="shared" si="46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5"/>
        <v>PP011</v>
      </c>
      <c r="K1428" s="116"/>
    </row>
    <row r="1429" spans="1:11">
      <c r="A1429" s="41">
        <f t="shared" si="46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5"/>
        <v>PP012</v>
      </c>
      <c r="K1429" s="116"/>
    </row>
    <row r="1430" spans="1:11">
      <c r="A1430" s="41">
        <f t="shared" si="46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5"/>
        <v>PP013</v>
      </c>
      <c r="K1430" s="116"/>
    </row>
    <row r="1431" spans="1:11">
      <c r="A1431" s="41">
        <f t="shared" si="46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5"/>
        <v>PP014</v>
      </c>
      <c r="K1431" s="116"/>
    </row>
    <row r="1432" spans="1:11">
      <c r="A1432" s="41">
        <f t="shared" si="46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5"/>
        <v>PP015</v>
      </c>
      <c r="K1432" s="116"/>
    </row>
    <row r="1433" spans="1:11">
      <c r="A1433" s="41">
        <f t="shared" si="46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5"/>
        <v>PP016</v>
      </c>
      <c r="K1433" s="116"/>
    </row>
    <row r="1434" spans="1:11">
      <c r="A1434" s="41">
        <f t="shared" si="46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5"/>
        <v>PP017</v>
      </c>
      <c r="K1434" s="116"/>
    </row>
    <row r="1435" spans="1:11" ht="30">
      <c r="A1435" s="41">
        <f t="shared" si="46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5"/>
        <v>PP018</v>
      </c>
      <c r="K1435" s="116"/>
    </row>
    <row r="1436" spans="1:11" ht="30">
      <c r="A1436" s="41">
        <f t="shared" si="46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5"/>
        <v>PP019</v>
      </c>
      <c r="K1436" s="116"/>
    </row>
    <row r="1437" spans="1:11">
      <c r="A1437" s="41">
        <f t="shared" si="46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5"/>
        <v>PP020</v>
      </c>
      <c r="K1437" s="116"/>
    </row>
    <row r="1438" spans="1:11">
      <c r="A1438" s="41">
        <f t="shared" si="46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5"/>
        <v>PP021</v>
      </c>
      <c r="K1438" s="116"/>
    </row>
    <row r="1439" spans="1:11">
      <c r="A1439" s="41">
        <f t="shared" si="46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5"/>
        <v>PP022</v>
      </c>
      <c r="K1439" s="116"/>
    </row>
    <row r="1440" spans="1:11">
      <c r="A1440" s="41">
        <f t="shared" si="46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5"/>
        <v>PP023</v>
      </c>
      <c r="K1440" s="116"/>
    </row>
    <row r="1441" spans="1:11">
      <c r="A1441" s="41">
        <f t="shared" si="46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5"/>
        <v>PP024</v>
      </c>
      <c r="K1441" s="116"/>
    </row>
    <row r="1442" spans="1:11">
      <c r="A1442" s="41">
        <f t="shared" si="46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5"/>
        <v>PP025</v>
      </c>
      <c r="K1442" s="116"/>
    </row>
    <row r="1443" spans="1:11">
      <c r="A1443" s="41">
        <f t="shared" si="46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5"/>
        <v>PP026</v>
      </c>
      <c r="K1443" s="116"/>
    </row>
    <row r="1444" spans="1:11">
      <c r="A1444" s="41">
        <f t="shared" si="46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5"/>
        <v>PP027</v>
      </c>
      <c r="K1444" s="116"/>
    </row>
    <row r="1445" spans="1:11">
      <c r="A1445" s="41">
        <f t="shared" si="46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5"/>
        <v>PP028</v>
      </c>
      <c r="K1445" s="116"/>
    </row>
    <row r="1446" spans="1:11">
      <c r="A1446" s="41">
        <f t="shared" si="46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5"/>
        <v>PP029</v>
      </c>
      <c r="K1446" s="116"/>
    </row>
    <row r="1447" spans="1:11">
      <c r="A1447" s="41">
        <f t="shared" si="46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5"/>
        <v>PP030</v>
      </c>
      <c r="K1447" s="116"/>
    </row>
    <row r="1448" spans="1:11">
      <c r="A1448" s="41">
        <f t="shared" si="46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5"/>
        <v>PP031</v>
      </c>
      <c r="K1448" s="116"/>
    </row>
    <row r="1449" spans="1:11">
      <c r="A1449" s="41">
        <f t="shared" si="46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5"/>
        <v>PP032</v>
      </c>
      <c r="K1449" s="116"/>
    </row>
    <row r="1450" spans="1:11">
      <c r="A1450" s="41">
        <f t="shared" si="46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7">CONCATENATE(LEFT(C1450,1),MID(C1450,SEARCH("_",C1450)+1,2),TEXT(A1450,"000"))</f>
        <v>PP033</v>
      </c>
      <c r="K1450" s="116"/>
    </row>
    <row r="1451" spans="1:11">
      <c r="A1451" s="41">
        <f t="shared" ref="A1451:A1482" si="48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7"/>
        <v>PP034</v>
      </c>
      <c r="K1451" s="116"/>
    </row>
    <row r="1452" spans="1:11">
      <c r="A1452" s="41">
        <f t="shared" si="48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7"/>
        <v>PP035</v>
      </c>
      <c r="K1452" s="116"/>
    </row>
    <row r="1453" spans="1:11">
      <c r="A1453" s="41">
        <f t="shared" si="48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7"/>
        <v>PP036</v>
      </c>
      <c r="K1453" s="116"/>
    </row>
    <row r="1454" spans="1:11">
      <c r="A1454" s="41">
        <f t="shared" si="48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7"/>
        <v>PP037</v>
      </c>
      <c r="K1454" s="116"/>
    </row>
    <row r="1455" spans="1:11">
      <c r="A1455" s="41">
        <f t="shared" si="48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7"/>
        <v>PP038</v>
      </c>
      <c r="K1455" s="116"/>
    </row>
    <row r="1456" spans="1:11">
      <c r="A1456" s="41">
        <f t="shared" si="48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7"/>
        <v>PP039</v>
      </c>
      <c r="K1456" s="116"/>
    </row>
    <row r="1457" spans="1:11">
      <c r="A1457" s="41">
        <f t="shared" si="48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7"/>
        <v>PP040</v>
      </c>
      <c r="K1457" s="116"/>
    </row>
    <row r="1458" spans="1:11">
      <c r="A1458" s="41">
        <f t="shared" si="48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7"/>
        <v>PP041</v>
      </c>
      <c r="K1458" s="116"/>
    </row>
    <row r="1459" spans="1:11">
      <c r="A1459" s="41">
        <f t="shared" si="48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7"/>
        <v>PP042</v>
      </c>
      <c r="K1459" s="116"/>
    </row>
    <row r="1460" spans="1:11" ht="25.5" customHeight="1">
      <c r="A1460" s="41">
        <f t="shared" si="48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7"/>
        <v>PP043</v>
      </c>
      <c r="K1460" s="116"/>
    </row>
    <row r="1461" spans="1:11">
      <c r="A1461" s="41">
        <f t="shared" si="48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7"/>
        <v>PP044</v>
      </c>
      <c r="K1461" s="116"/>
    </row>
    <row r="1462" spans="1:11">
      <c r="A1462" s="41">
        <f t="shared" si="48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7"/>
        <v>PP045</v>
      </c>
      <c r="K1462" s="116"/>
    </row>
    <row r="1463" spans="1:11">
      <c r="A1463" s="41">
        <f t="shared" si="48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7"/>
        <v>PP046</v>
      </c>
      <c r="K1463" s="116"/>
    </row>
    <row r="1464" spans="1:11">
      <c r="A1464" s="41">
        <f t="shared" si="48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7"/>
        <v>PP047</v>
      </c>
      <c r="K1464" s="116"/>
    </row>
    <row r="1465" spans="1:11">
      <c r="A1465" s="41">
        <f t="shared" si="48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7"/>
        <v>PP048</v>
      </c>
      <c r="K1465" s="116"/>
    </row>
    <row r="1466" spans="1:11">
      <c r="A1466" s="41">
        <f t="shared" si="48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7"/>
        <v>PP049</v>
      </c>
      <c r="K1466" s="116"/>
    </row>
    <row r="1467" spans="1:11">
      <c r="A1467" s="41">
        <f t="shared" si="48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7"/>
        <v>PP050</v>
      </c>
      <c r="K1467" s="116"/>
    </row>
    <row r="1468" spans="1:11">
      <c r="A1468" s="41">
        <f t="shared" si="48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7"/>
        <v>PP051</v>
      </c>
      <c r="K1468" s="116"/>
    </row>
    <row r="1469" spans="1:11">
      <c r="A1469" s="41">
        <f t="shared" si="48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7"/>
        <v>PP052</v>
      </c>
      <c r="K1469" s="116"/>
    </row>
    <row r="1470" spans="1:11">
      <c r="A1470" s="41">
        <f t="shared" si="48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7"/>
        <v>PP053</v>
      </c>
      <c r="K1470" s="116"/>
    </row>
    <row r="1471" spans="1:11" ht="45">
      <c r="A1471" s="41">
        <f t="shared" si="48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7"/>
        <v>PP054</v>
      </c>
      <c r="K1471" s="116"/>
    </row>
    <row r="1472" spans="1:11" ht="45">
      <c r="A1472" s="41">
        <f t="shared" si="48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7"/>
        <v>PP055</v>
      </c>
      <c r="K1472" s="116"/>
    </row>
    <row r="1473" spans="1:11">
      <c r="A1473" s="41">
        <f t="shared" si="48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7"/>
        <v>PP056</v>
      </c>
      <c r="K1473" s="116"/>
    </row>
    <row r="1474" spans="1:11">
      <c r="A1474" s="41">
        <f t="shared" si="48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7"/>
        <v>PP057</v>
      </c>
      <c r="K1474" s="116"/>
    </row>
    <row r="1475" spans="1:11">
      <c r="A1475" s="41">
        <f t="shared" si="48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7"/>
        <v>PP058</v>
      </c>
      <c r="K1475" s="116"/>
    </row>
    <row r="1476" spans="1:11">
      <c r="A1476" s="41">
        <f t="shared" si="48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7"/>
        <v>PP059</v>
      </c>
      <c r="K1476" s="116"/>
    </row>
    <row r="1477" spans="1:11">
      <c r="A1477" s="41">
        <f t="shared" si="48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7"/>
        <v>PP060</v>
      </c>
      <c r="K1477" s="116"/>
    </row>
    <row r="1478" spans="1:11">
      <c r="A1478" s="41">
        <f t="shared" si="48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7"/>
        <v>PP061</v>
      </c>
      <c r="K1478" s="116"/>
    </row>
    <row r="1479" spans="1:11">
      <c r="A1479" s="41">
        <f t="shared" si="48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7"/>
        <v>PP062</v>
      </c>
      <c r="K1479" s="116"/>
    </row>
    <row r="1480" spans="1:11">
      <c r="A1480" s="41">
        <f t="shared" si="48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7"/>
        <v>PP063</v>
      </c>
      <c r="K1480" s="116"/>
    </row>
    <row r="1481" spans="1:11">
      <c r="A1481" s="41">
        <f t="shared" si="48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7"/>
        <v>PP064</v>
      </c>
      <c r="K1481" s="116"/>
    </row>
    <row r="1482" spans="1:11">
      <c r="A1482" s="41">
        <f t="shared" si="48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9">CONCATENATE(LEFT(C1482,1),MID(C1482,SEARCH("_",C1482)+1,2),TEXT(A1482,"000"))</f>
        <v>PP065</v>
      </c>
      <c r="K1482" s="116"/>
    </row>
    <row r="1483" spans="1:11">
      <c r="A1483" s="41">
        <f t="shared" ref="A1483:A1499" si="50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9"/>
        <v>PP066</v>
      </c>
      <c r="K1483" s="116"/>
    </row>
    <row r="1484" spans="1:11">
      <c r="A1484" s="41">
        <f t="shared" si="50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9"/>
        <v>PP067</v>
      </c>
      <c r="K1484" s="116"/>
    </row>
    <row r="1485" spans="1:11">
      <c r="A1485" s="41">
        <f t="shared" si="50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9"/>
        <v>PP068</v>
      </c>
      <c r="K1485" s="116"/>
    </row>
    <row r="1486" spans="1:11">
      <c r="A1486" s="41">
        <f t="shared" si="50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9"/>
        <v>PP069</v>
      </c>
      <c r="K1486" s="116"/>
    </row>
    <row r="1487" spans="1:11">
      <c r="A1487" s="41">
        <f t="shared" si="50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9"/>
        <v>PP070</v>
      </c>
      <c r="K1487" s="116"/>
    </row>
    <row r="1488" spans="1:11">
      <c r="A1488" s="41">
        <f t="shared" si="50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9"/>
        <v>PP071</v>
      </c>
      <c r="K1488" s="116"/>
    </row>
    <row r="1489" spans="1:11">
      <c r="A1489" s="41">
        <f t="shared" si="50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9"/>
        <v>PP072</v>
      </c>
      <c r="K1489" s="116"/>
    </row>
    <row r="1490" spans="1:11">
      <c r="A1490" s="41">
        <f t="shared" si="50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9"/>
        <v>PP073</v>
      </c>
      <c r="K1490" s="116"/>
    </row>
    <row r="1491" spans="1:11">
      <c r="A1491" s="41">
        <f t="shared" si="50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9"/>
        <v>PP074</v>
      </c>
      <c r="K1491" s="116"/>
    </row>
    <row r="1492" spans="1:11" ht="30">
      <c r="A1492" s="41">
        <f t="shared" si="50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9"/>
        <v>PP075</v>
      </c>
      <c r="K1492" s="116"/>
    </row>
    <row r="1493" spans="1:11">
      <c r="A1493" s="41">
        <f t="shared" si="50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9"/>
        <v>PP076</v>
      </c>
      <c r="K1493" s="116"/>
    </row>
    <row r="1494" spans="1:11" ht="30">
      <c r="A1494" s="41">
        <f t="shared" si="50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9"/>
        <v>PP077</v>
      </c>
      <c r="K1494" s="116"/>
    </row>
    <row r="1495" spans="1:11" ht="30">
      <c r="A1495" s="41">
        <f t="shared" si="50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9"/>
        <v>PP078</v>
      </c>
      <c r="K1495" s="116"/>
    </row>
    <row r="1496" spans="1:11">
      <c r="A1496" s="41">
        <f t="shared" si="50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9"/>
        <v>PP079</v>
      </c>
      <c r="K1496" s="116"/>
    </row>
    <row r="1497" spans="1:11">
      <c r="A1497" s="41">
        <f t="shared" si="50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9"/>
        <v>PP080</v>
      </c>
      <c r="K1497" s="116"/>
    </row>
    <row r="1498" spans="1:11">
      <c r="A1498" s="41">
        <f t="shared" si="50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9"/>
        <v>PP081</v>
      </c>
      <c r="K1498" s="116"/>
    </row>
    <row r="1499" spans="1:11">
      <c r="A1499" s="41">
        <f t="shared" si="50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9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8">
        <f>SUBTOTAL(3,(B1512:B1597))</f>
        <v>86</v>
      </c>
      <c r="C1510" s="504"/>
      <c r="D1510" s="504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7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51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51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51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51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51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51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51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51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51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51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51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51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51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51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51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51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51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51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51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51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51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51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51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51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51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51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51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51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51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51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51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51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51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51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51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51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51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51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51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51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51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51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51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51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51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51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51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51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51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51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51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51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51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51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51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51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51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51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51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51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51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51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51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51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2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2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2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2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2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2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2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2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2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2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2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2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2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2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2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2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2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2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2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2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1 G660:J1081 E661:F920 C661:D1080 F921:F1080 A1111:A1143 H1111:J1143 D1337:E1353 H1337:J1374 D1354:F1374 H1425:I1426 D1425:D1498 F1425:F1498 A1425:A1499 H1443:I1498 D1499:I1499 C1519:C1597 C1081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1277:C1316 C614:C638 C1337:C1396 C217:C430 C1173:C1268 C660:C1081" xr:uid="{00000000-0002-0000-0200-000000000000}">
      <formula1>CATEGORIAS</formula1>
    </dataValidation>
    <dataValidation type="list" allowBlank="1" showInputMessage="1" sqref="F612 D8:D20 F8:F20 D217:D253 F1354:F1374 F288:F290 D270:D272 F217:F269 D660:D1081 D62:D169 F62:F169 D274:D289 D614:D638 F614:F638 F1111:F1151 D1111:D1121 F293:F430 F1425:F1499 D1425:D1498 D1519:D1597 F1519:F1597 F660:F1081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5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3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3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4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4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2025-09-15T18:46:06Z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