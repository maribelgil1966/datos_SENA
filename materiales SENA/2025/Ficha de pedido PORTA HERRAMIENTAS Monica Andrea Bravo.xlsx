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ONICA ANDREA BRAVO\"/>
    </mc:Choice>
  </mc:AlternateContent>
  <xr:revisionPtr revIDLastSave="0" documentId="13_ncr:1_{1B3CFDCD-4A19-4D2E-BDF9-4CEABB71EF5D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Listas!$H$2:$H$32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61" l="1" a="1"/>
  <c r="H20" i="61" s="1"/>
  <c r="O2" i="43" l="1"/>
  <c r="O10" i="43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K26" i="61" a="1"/>
  <c r="K26" i="61" s="1"/>
  <c r="O26" i="61"/>
  <c r="B26" i="61"/>
  <c r="K30" i="61" a="1"/>
  <c r="K30" i="61" s="1"/>
  <c r="O30" i="61"/>
  <c r="B30" i="61"/>
  <c r="K20" i="61" a="1"/>
  <c r="K20" i="61" s="1"/>
  <c r="B20" i="61"/>
  <c r="O20" i="61"/>
  <c r="K13" i="61" a="1"/>
  <c r="K13" i="61" s="1"/>
  <c r="O13" i="61"/>
  <c r="B13" i="61"/>
  <c r="K14" i="61" a="1"/>
  <c r="K14" i="61" s="1"/>
  <c r="B14" i="61"/>
  <c r="O14" i="61"/>
  <c r="K29" i="61" a="1"/>
  <c r="K29" i="61" s="1"/>
  <c r="O29" i="61"/>
  <c r="B29" i="61"/>
  <c r="K25" i="61" a="1"/>
  <c r="K25" i="61" s="1"/>
  <c r="B25" i="61"/>
  <c r="O25" i="61"/>
  <c r="K31" i="61" a="1"/>
  <c r="K31" i="61" s="1"/>
  <c r="B31" i="61"/>
  <c r="O31" i="61"/>
  <c r="K19" i="61" a="1"/>
  <c r="K19" i="61" s="1"/>
  <c r="B19" i="61"/>
  <c r="O19" i="61"/>
  <c r="K12" i="61" a="1"/>
  <c r="K12" i="61" s="1"/>
  <c r="O12" i="61"/>
  <c r="B12" i="61"/>
  <c r="K28" i="61" a="1"/>
  <c r="K28" i="61" s="1"/>
  <c r="O28" i="61"/>
  <c r="B28" i="61"/>
  <c r="K24" i="61" a="1"/>
  <c r="K24" i="61" s="1"/>
  <c r="B24" i="61"/>
  <c r="O24" i="61"/>
  <c r="K18" i="61" a="1"/>
  <c r="K18" i="61" s="1"/>
  <c r="B18" i="61"/>
  <c r="O18" i="61"/>
  <c r="K23" i="61" a="1"/>
  <c r="K23" i="61" s="1"/>
  <c r="O23" i="61"/>
  <c r="B23" i="61"/>
  <c r="K17" i="61" a="1"/>
  <c r="K17" i="61" s="1"/>
  <c r="O17" i="61"/>
  <c r="B17" i="61"/>
  <c r="K27" i="61" a="1"/>
  <c r="K27" i="61" s="1"/>
  <c r="O27" i="61"/>
  <c r="B27" i="61"/>
  <c r="K22" i="61" a="1"/>
  <c r="K22" i="61" s="1"/>
  <c r="B22" i="61"/>
  <c r="O22" i="61"/>
  <c r="K16" i="61" a="1"/>
  <c r="K16" i="61" s="1"/>
  <c r="O16" i="61"/>
  <c r="B16" i="61"/>
  <c r="K32" i="61" a="1"/>
  <c r="K32" i="61" s="1"/>
  <c r="O32" i="61"/>
  <c r="B32" i="61"/>
  <c r="B21" i="61"/>
  <c r="K21" i="61" a="1"/>
  <c r="K21" i="61" s="1"/>
  <c r="O21" i="61"/>
  <c r="K15" i="61" a="1"/>
  <c r="K15" i="61" s="1"/>
  <c r="B15" i="61"/>
  <c r="O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<sst xmlns="http://schemas.openxmlformats.org/spreadsheetml/2006/main" count="5024" uniqueCount="1393">
  <si>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</si>
  <si>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</si>
  <si>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</si>
  <si>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</si>
  <si>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</si>
  <si>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</si>
  <si>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</si>
  <si>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</si>
  <si>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</si>
  <si>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</si>
  <si>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</si>
  <si>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</si>
  <si>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</si>
  <si>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</si>
  <si>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</si>
  <si>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</si>
  <si>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</si>
  <si>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</si>
  <si>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</si>
  <si>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</si>
  <si>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</si>
  <si>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</si>
  <si>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</si>
  <si>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</si>
  <si>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</si>
  <si>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</si>
  <si>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</si>
  <si>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</si>
  <si>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</si>
  <si>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</si>
  <si>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</si>
  <si>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</si>
  <si>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</si>
  <si>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</si>
  <si>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</si>
  <si>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</si>
  <si>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</si>
  <si>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</si>
  <si>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</si>
  <si>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</si>
  <si>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</si>
  <si>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</si>
  <si>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</si>
  <si>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</si>
  <si>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</si>
  <si>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</si>
  <si>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</si>
  <si>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</si>
  <si>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</si>
  <si>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</si>
  <si>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</si>
  <si>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</si>
  <si>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</si>
  <si>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</si>
  <si>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</si>
  <si>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</si>
  <si>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</si>
  <si>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</si>
  <si>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</si>
  <si>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</si>
  <si>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</si>
  <si>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</si>
  <si>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</si>
  <si>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</si>
  <si>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</si>
  <si>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</si>
  <si>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</si>
  <si>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</si>
  <si>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</si>
  <si>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</si>
  <si>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</si>
  <si>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</si>
  <si>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</si>
  <si>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</si>
  <si>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</si>
  <si>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</si>
  <si>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</si>
  <si>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</si>
  <si>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</si>
  <si>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</si>
  <si>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</si>
  <si>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</si>
  <si>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</si>
  <si>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</si>
  <si>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</si>
  <si>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</si>
  <si>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</si>
  <si>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</si>
  <si>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</si>
  <si>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</si>
  <si>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</si>
  <si>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</si>
  <si>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</si>
  <si>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</si>
  <si>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</si>
  <si>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</si>
  <si>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</si>
  <si>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</si>
  <si>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</si>
  <si>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</si>
  <si>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</si>
  <si>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</si>
  <si>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</si>
  <si>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</si>
  <si>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</si>
  <si>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</si>
  <si>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</si>
  <si>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</si>
  <si>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</si>
  <si>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</si>
  <si>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</si>
  <si>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</si>
  <si>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</si>
  <si>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</si>
  <si>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</si>
  <si>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</si>
  <si>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</si>
  <si>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</si>
  <si>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</si>
  <si>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</si>
  <si>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</si>
  <si>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</si>
  <si>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</si>
  <si>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</si>
  <si>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</si>
  <si>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</si>
  <si>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</si>
  <si>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</si>
  <si>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</si>
  <si>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</si>
  <si>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</si>
  <si>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</si>
  <si>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</si>
  <si>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</si>
  <si>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</si>
  <si>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</si>
  <si>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</si>
  <si>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</si>
  <si>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</si>
  <si>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</si>
  <si>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</si>
  <si>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</si>
  <si>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</si>
  <si>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</si>
  <si>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</si>
  <si>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</si>
  <si>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</si>
  <si>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</si>
  <si>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</si>
  <si>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</si>
  <si>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</si>
  <si>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</si>
  <si>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</si>
  <si>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</si>
  <si>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</si>
  <si>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</si>
  <si>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</si>
  <si>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</si>
  <si>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</si>
  <si>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</si>
  <si>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</si>
  <si>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</si>
  <si>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</si>
  <si>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</si>
  <si>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</si>
  <si>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</si>
  <si>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</si>
  <si>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</si>
  <si>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</si>
  <si>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</si>
  <si>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</si>
  <si>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</si>
  <si>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</si>
  <si>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</si>
  <si>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</si>
  <si>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</si>
  <si>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</si>
  <si>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</si>
  <si>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</si>
  <si>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</si>
  <si>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</si>
  <si>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</si>
  <si>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</si>
  <si>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</si>
  <si>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</si>
  <si>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</si>
  <si>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</si>
  <si>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</si>
  <si>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</si>
  <si>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</si>
  <si>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</si>
  <si>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</si>
  <si>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</si>
  <si>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</si>
  <si>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</si>
  <si>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</si>
  <si>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</si>
  <si>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</si>
  <si>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</si>
  <si>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</si>
  <si>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</si>
  <si>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</si>
  <si>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</si>
  <si>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</si>
  <si>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</si>
  <si>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</si>
  <si>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</si>
  <si>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</si>
  <si>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</si>
  <si>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</si>
  <si>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</si>
  <si>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</si>
  <si>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</si>
  <si>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</si>
  <si>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</si>
  <si>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</si>
  <si>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</si>
  <si>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</si>
  <si>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</si>
  <si>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</si>
  <si>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</si>
  <si>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</si>
  <si>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</si>
  <si>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</si>
  <si>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</si>
  <si>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</si>
  <si>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</si>
  <si>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</si>
  <si>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</si>
  <si>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</si>
  <si>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</si>
  <si>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</si>
  <si>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</si>
  <si>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</si>
  <si>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</si>
  <si>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</si>
  <si>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</si>
  <si>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</si>
  <si>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</si>
  <si>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</si>
  <si>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</si>
  <si>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</si>
  <si>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</si>
  <si>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</si>
  <si>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</si>
  <si>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</si>
  <si>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</si>
  <si>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</si>
  <si>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</si>
  <si>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</si>
  <si>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</si>
  <si>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</si>
  <si>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</si>
  <si>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</si>
  <si>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</si>
  <si>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</si>
  <si>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</si>
  <si>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</si>
  <si>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</si>
  <si>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</si>
  <si>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</si>
  <si>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</si>
  <si>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</si>
  <si>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</si>
  <si>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</si>
  <si>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</si>
  <si>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</si>
  <si>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</si>
  <si>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</si>
  <si>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</si>
  <si>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</si>
  <si>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</si>
  <si>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</si>
  <si>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</si>
  <si>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</si>
  <si>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</si>
  <si>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</si>
  <si>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</si>
  <si>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</si>
  <si>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</si>
  <si>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</si>
  <si>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</si>
  <si>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</si>
  <si>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</si>
  <si>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</si>
  <si>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</si>
  <si>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</si>
  <si>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</si>
  <si>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</si>
  <si>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</si>
  <si>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</si>
  <si>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</si>
  <si>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</si>
  <si>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</si>
  <si>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</si>
  <si>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</si>
  <si>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</si>
  <si>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</si>
  <si>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</si>
  <si>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</si>
  <si>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</si>
  <si>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</si>
  <si>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</si>
  <si>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</si>
  <si>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</si>
  <si>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</si>
  <si>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</si>
  <si>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</si>
  <si>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</si>
  <si>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</si>
  <si>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</si>
  <si>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</si>
  <si>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</si>
  <si>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</si>
  <si>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</si>
  <si>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</si>
  <si>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</si>
  <si>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</si>
  <si>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</si>
  <si>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</si>
  <si>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</si>
  <si>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</si>
  <si>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</si>
  <si>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</si>
  <si>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</si>
  <si>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</si>
  <si>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</si>
  <si>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</si>
  <si>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</si>
  <si>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</si>
  <si>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</si>
  <si>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</si>
  <si>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</si>
  <si>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</si>
  <si>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</si>
  <si>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</si>
  <si>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</si>
  <si>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</si>
  <si>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</si>
  <si>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</si>
  <si>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</si>
  <si>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</si>
  <si>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</si>
  <si>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</si>
  <si>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</si>
  <si>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</si>
  <si>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</si>
  <si>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</si>
  <si>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</si>
  <si>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</si>
  <si>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</si>
  <si>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</si>
  <si>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</si>
  <si>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</si>
  <si>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</si>
  <si>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</si>
  <si>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</si>
  <si>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</si>
  <si>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</si>
  <si>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</si>
  <si>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</si>
  <si>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</si>
  <si>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</si>
  <si>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</si>
  <si>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</si>
  <si>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</si>
  <si>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</si>
  <si>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</si>
  <si>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</si>
  <si>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</si>
  <si>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</si>
  <si>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</si>
  <si>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</si>
  <si>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</si>
  <si>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</si>
  <si>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</si>
  <si>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</si>
  <si>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</si>
  <si>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</si>
  <si>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</si>
  <si>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</si>
  <si>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</si>
  <si>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</si>
  <si>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</si>
  <si>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</si>
  <si>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</si>
  <si>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</si>
  <si>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</si>
  <si>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</si>
  <si>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</si>
  <si>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</si>
  <si>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</si>
  <si>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</si>
  <si>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</si>
  <si>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</si>
  <si>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</si>
  <si>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</si>
  <si>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</si>
  <si>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</si>
  <si>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</si>
  <si>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</si>
  <si>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</si>
  <si>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</si>
  <si>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</si>
  <si>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</si>
  <si>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</si>
  <si>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</si>
  <si>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</si>
  <si>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</si>
  <si>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</si>
  <si>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</si>
  <si>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</si>
  <si>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</si>
  <si>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</si>
  <si>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</si>
  <si>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</si>
  <si>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</si>
  <si>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</si>
  <si>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</si>
  <si>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</si>
  <si>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</si>
  <si>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</si>
  <si>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</si>
  <si>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</si>
  <si>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</si>
  <si>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</si>
  <si>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</si>
  <si>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</si>
  <si>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</si>
  <si>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</si>
  <si>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</si>
  <si>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</si>
  <si>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</si>
  <si>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</si>
  <si>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</si>
  <si>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</si>
  <si>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</si>
  <si>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</si>
  <si>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</si>
  <si>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</si>
  <si>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</si>
  <si>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</si>
  <si>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</si>
  <si>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</si>
  <si>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</si>
  <si>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</si>
  <si>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</si>
  <si>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</si>
  <si>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</si>
  <si>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</si>
  <si>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</si>
  <si>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</si>
  <si>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</si>
  <si>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</si>
  <si>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</si>
  <si>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</si>
  <si>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</si>
  <si>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</si>
  <si>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</si>
  <si>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</si>
  <si>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</si>
  <si>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</si>
  <si>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</si>
  <si>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</si>
  <si>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</si>
  <si>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</si>
  <si>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</si>
  <si>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</si>
  <si>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</si>
  <si>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</si>
  <si>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</si>
  <si>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</si>
  <si>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</si>
  <si>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</si>
  <si>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</si>
  <si>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</si>
  <si>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</si>
  <si>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</si>
  <si>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</si>
  <si>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</si>
  <si>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</si>
  <si>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</si>
  <si>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</si>
  <si>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</si>
  <si>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</si>
  <si>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</si>
  <si>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</si>
  <si>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</si>
  <si>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</si>
  <si>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</si>
  <si>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</si>
  <si>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</si>
  <si>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</si>
  <si>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</si>
  <si>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</si>
  <si>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</si>
  <si>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</si>
  <si>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</si>
  <si>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</si>
  <si>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</si>
  <si>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</si>
  <si>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</si>
  <si>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</si>
  <si>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</si>
  <si>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</si>
  <si>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</si>
  <si>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</si>
  <si>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</si>
  <si>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</si>
  <si>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</si>
  <si>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</si>
  <si>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</si>
  <si>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</si>
  <si>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</si>
  <si>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</si>
  <si>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</si>
  <si>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</si>
  <si>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</si>
  <si>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</si>
  <si>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</si>
  <si>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</si>
  <si>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</si>
  <si>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</si>
  <si>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</si>
  <si>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</si>
  <si>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</si>
  <si>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</si>
  <si>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</si>
  <si>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</si>
  <si>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</si>
  <si>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</si>
  <si>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</si>
  <si>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</si>
  <si>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</si>
  <si>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</si>
  <si>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</si>
  <si>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</si>
  <si>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</si>
  <si>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</si>
  <si>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</si>
  <si>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</si>
  <si>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</si>
  <si>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</si>
  <si>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</si>
  <si>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</si>
  <si>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</si>
  <si>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</si>
  <si>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</si>
  <si>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</si>
  <si>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</si>
  <si>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</si>
  <si>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</si>
  <si>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</si>
  <si>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</si>
  <si>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</si>
  <si>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</si>
  <si>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</si>
  <si>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</si>
  <si>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</si>
  <si>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</si>
  <si>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</si>
  <si>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</si>
  <si>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</si>
  <si>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</si>
  <si>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</si>
  <si>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</si>
  <si>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</si>
  <si>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</si>
  <si>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</si>
  <si>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</si>
  <si>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</si>
  <si>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</si>
  <si>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</si>
  <si>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</si>
  <si>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</si>
  <si>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</si>
  <si>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</si>
  <si>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</si>
  <si>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</si>
  <si>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</si>
  <si>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</si>
  <si>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</si>
  <si>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</si>
  <si>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</si>
  <si>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</si>
  <si>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</si>
  <si>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</si>
  <si>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</si>
  <si>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</si>
  <si>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</si>
  <si>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</si>
  <si>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</si>
  <si>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</si>
  <si>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</si>
  <si>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</si>
  <si>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</si>
  <si>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</si>
  <si>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</si>
  <si>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</si>
  <si>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</si>
  <si>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</si>
  <si>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</si>
  <si>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</si>
  <si>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</si>
  <si>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</si>
  <si>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</si>
  <si>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</si>
  <si>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</si>
  <si>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</si>
  <si>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</si>
  <si>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</si>
  <si>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</si>
  <si>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</si>
  <si>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</si>
  <si>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</si>
  <si>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</si>
  <si>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</si>
  <si>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</si>
  <si>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</si>
  <si>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</si>
  <si>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</si>
  <si>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</si>
  <si>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</si>
  <si>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</si>
  <si>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</si>
  <si>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</si>
  <si>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</si>
  <si>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</si>
  <si>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</si>
  <si>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</si>
  <si>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</si>
  <si>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</si>
  <si>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</si>
  <si>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</si>
  <si>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</si>
  <si>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</si>
  <si>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</si>
  <si>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</si>
  <si>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</si>
  <si>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</si>
  <si>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</si>
  <si>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</si>
  <si>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</si>
  <si>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</si>
  <si>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</si>
  <si>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</si>
  <si>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</si>
  <si>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</si>
  <si>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</si>
  <si>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</si>
  <si>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</si>
  <si>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</si>
  <si>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</si>
  <si>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</si>
  <si>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</si>
  <si>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</si>
  <si>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</si>
  <si>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</si>
  <si>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</si>
  <si>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</si>
  <si>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</si>
  <si>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</si>
  <si>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</si>
  <si>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</si>
  <si>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</si>
  <si>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</si>
  <si>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</si>
  <si>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</si>
  <si>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</si>
  <si>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</si>
  <si>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</si>
  <si>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</si>
  <si>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</si>
  <si>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</si>
  <si>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</si>
  <si>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</si>
  <si>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</si>
  <si>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</si>
  <si>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</si>
  <si>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</si>
  <si>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</si>
  <si>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</si>
  <si>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</si>
  <si>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</si>
  <si>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</si>
  <si>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</si>
  <si>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</si>
  <si>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</si>
  <si>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</si>
  <si>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</si>
  <si>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</si>
  <si>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</si>
  <si>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</si>
  <si>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</si>
  <si>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</si>
  <si>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</si>
  <si>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</si>
  <si>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</si>
  <si>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</si>
  <si>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</si>
  <si>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</si>
  <si>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</si>
  <si>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</si>
  <si>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</si>
  <si>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</si>
  <si>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</si>
  <si>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</si>
  <si>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</si>
  <si>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</si>
  <si>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</si>
  <si>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</si>
  <si>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</si>
  <si>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</si>
  <si>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</si>
  <si>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</si>
  <si>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</si>
  <si>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</si>
  <si>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</si>
  <si>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</si>
  <si>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</si>
  <si>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</si>
  <si>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</si>
  <si>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</si>
  <si>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</si>
  <si>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</si>
  <si>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</si>
  <si>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</si>
  <si>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</si>
  <si>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</si>
  <si>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</si>
  <si>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</si>
  <si>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</si>
  <si>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</si>
  <si>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</si>
  <si>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</si>
  <si>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</si>
  <si>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</si>
  <si>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</si>
  <si>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</si>
  <si>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</si>
  <si>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</si>
  <si>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</si>
  <si>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</si>
  <si>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</si>
  <si>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</si>
  <si>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</si>
  <si>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</si>
  <si>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</si>
  <si>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</si>
  <si>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</si>
  <si>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</si>
  <si>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</si>
  <si>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</si>
  <si>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</si>
  <si>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</si>
  <si>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</si>
  <si>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</si>
  <si>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</si>
  <si>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</si>
  <si>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</si>
  <si>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</si>
  <si>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</si>
  <si>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</si>
  <si>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</si>
  <si>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</si>
  <si>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</si>
  <si>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</si>
  <si>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</si>
  <si>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</si>
  <si>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</si>
  <si>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</si>
  <si>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</si>
  <si>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</si>
  <si>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</si>
  <si>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</si>
  <si>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</si>
  <si>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</si>
  <si>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</si>
  <si>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</si>
  <si>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</si>
  <si>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</si>
  <si>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</si>
  <si>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</si>
  <si>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</si>
  <si>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</si>
  <si>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</si>
  <si>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</si>
  <si>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</si>
  <si>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</si>
  <si>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</si>
  <si>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</si>
  <si>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</si>
  <si>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</si>
  <si>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</si>
  <si>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</si>
  <si>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</si>
  <si>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</si>
  <si>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</si>
  <si>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</si>
  <si>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</si>
  <si>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</si>
  <si>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</si>
  <si>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</si>
  <si>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</si>
  <si>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</si>
  <si>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</si>
  <si>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</si>
  <si>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</si>
  <si>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</si>
  <si>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</si>
  <si>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</si>
  <si>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</si>
  <si>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</si>
  <si>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</si>
  <si>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</si>
  <si>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</si>
  <si>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</si>
  <si>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</si>
  <si>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</si>
  <si>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</si>
  <si>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</si>
  <si>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</si>
  <si>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</si>
  <si>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</si>
  <si>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</si>
  <si>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</si>
  <si>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</si>
  <si>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</si>
  <si>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</si>
  <si>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</si>
  <si>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</si>
  <si>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</si>
  <si>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</si>
  <si>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</si>
  <si>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</si>
  <si>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</si>
  <si>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</si>
  <si>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</si>
  <si>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</si>
  <si>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</si>
  <si>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</si>
  <si>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</si>
  <si>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</si>
  <si>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</si>
  <si>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</si>
  <si>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</si>
  <si>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</si>
  <si>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</si>
  <si>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</si>
  <si>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</si>
  <si>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</si>
  <si>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</si>
  <si>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</si>
  <si>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</si>
  <si>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</si>
  <si>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</si>
  <si>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</si>
  <si>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</si>
  <si>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</si>
  <si>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</si>
  <si>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</si>
  <si>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</si>
  <si>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</si>
  <si>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</si>
  <si>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</si>
  <si>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</si>
  <si>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</si>
  <si>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</si>
  <si>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</si>
  <si>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</si>
  <si>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</si>
  <si>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</si>
  <si>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</si>
  <si>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</si>
  <si>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</si>
  <si>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</si>
  <si>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</si>
  <si>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</si>
  <si>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</si>
  <si>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</si>
  <si>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</si>
  <si>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</si>
  <si>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</si>
  <si>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</si>
  <si>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</si>
  <si>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</si>
  <si>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</si>
  <si>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</si>
  <si>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</si>
  <si>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</si>
  <si>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</si>
  <si>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</si>
  <si>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</si>
  <si>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</si>
  <si>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</si>
  <si>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</si>
  <si>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</si>
  <si>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</si>
  <si>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</si>
  <si>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</si>
  <si>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</si>
  <si>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</si>
  <si>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</si>
  <si>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</si>
  <si>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</si>
  <si>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</si>
  <si>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</si>
  <si>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</si>
  <si>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</si>
  <si>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</si>
  <si>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</si>
  <si>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</si>
  <si>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</si>
  <si>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</si>
  <si>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</si>
  <si>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</si>
  <si>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</si>
  <si>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</si>
  <si>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</si>
  <si>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</si>
  <si>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</si>
  <si>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</si>
  <si>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</si>
  <si>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</si>
  <si>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</si>
  <si>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</si>
  <si>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</si>
  <si>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</si>
  <si>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</si>
  <si>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</si>
  <si>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</si>
  <si>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</si>
  <si>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</si>
  <si>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</si>
  <si>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</si>
  <si>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</si>
  <si>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</si>
  <si>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</si>
  <si>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</si>
  <si>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</si>
  <si>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</si>
  <si>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</si>
  <si>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</si>
  <si>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</si>
  <si>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</si>
  <si>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</si>
  <si>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</si>
  <si>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</si>
  <si>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</si>
  <si>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</si>
  <si>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</si>
  <si>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</si>
  <si>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</si>
  <si>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</si>
  <si>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</si>
  <si>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</si>
  <si>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</si>
  <si>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</si>
  <si>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</si>
  <si>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</si>
  <si>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</si>
  <si>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</si>
  <si>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</si>
  <si>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</si>
  <si>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</si>
  <si>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</si>
  <si>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</si>
  <si>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</si>
  <si>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</si>
  <si>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</si>
  <si>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</si>
  <si>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</si>
  <si>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</si>
  <si>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</si>
  <si>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</si>
  <si>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</si>
  <si>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</si>
  <si>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</si>
  <si>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</si>
  <si>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</si>
  <si>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</si>
  <si>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</si>
  <si>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</si>
  <si>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</si>
  <si>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</si>
  <si>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</si>
  <si>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</si>
  <si>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</si>
  <si>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</si>
  <si>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</si>
  <si>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</si>
  <si>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</si>
  <si>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</si>
  <si>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</si>
  <si>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</si>
  <si>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</si>
  <si>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</si>
  <si>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</si>
  <si>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</si>
  <si>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</si>
  <si>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</si>
  <si>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</si>
  <si>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</si>
  <si>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</si>
  <si>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</si>
  <si>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</si>
  <si>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</si>
  <si>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</si>
  <si>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</si>
  <si>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</si>
  <si>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</si>
  <si>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</si>
  <si>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</si>
  <si>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</si>
  <si>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</si>
  <si>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</si>
  <si>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</si>
  <si>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</si>
  <si>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</si>
  <si>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</si>
  <si>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</si>
  <si>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</si>
  <si>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</si>
  <si>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</si>
  <si>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</si>
  <si>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</si>
  <si>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</si>
  <si>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</si>
  <si>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</si>
  <si>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</si>
  <si>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</si>
  <si>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</si>
  <si>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</si>
  <si>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</si>
  <si>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</si>
  <si>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</si>
  <si>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</si>
  <si>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</si>
  <si>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</si>
  <si>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</si>
  <si>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</si>
  <si>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</si>
  <si>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</si>
  <si>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</si>
  <si>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</si>
  <si>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</si>
  <si>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</si>
  <si>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</si>
  <si>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</si>
  <si>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</si>
  <si>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</si>
  <si>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</si>
  <si>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</si>
  <si>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</si>
  <si>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</si>
  <si>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</si>
  <si>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</si>
  <si>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</si>
  <si>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</si>
  <si>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</si>
  <si>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</si>
  <si>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</si>
  <si>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</si>
  <si>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</si>
  <si>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</si>
  <si>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</si>
  <si>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</si>
  <si>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</si>
  <si>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</si>
  <si>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</si>
  <si>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</si>
  <si>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</si>
  <si>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</si>
  <si>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</si>
  <si>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</si>
  <si>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</si>
  <si>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</si>
  <si>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</si>
  <si>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</si>
  <si>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</si>
  <si>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</si>
  <si>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</si>
  <si>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</si>
  <si>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</si>
  <si>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</si>
  <si>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</si>
  <si>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</si>
  <si>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</si>
  <si>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</si>
  <si>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</si>
  <si>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</si>
  <si>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</si>
  <si>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</si>
  <si>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</si>
  <si>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</si>
  <si>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</si>
  <si>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</si>
  <si>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</si>
  <si>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</si>
  <si>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</si>
  <si>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</si>
  <si>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</si>
  <si>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</si>
  <si>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</si>
  <si>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</si>
  <si>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</si>
  <si>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</si>
  <si>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</si>
  <si>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</si>
  <si>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</si>
  <si>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</si>
  <si>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</si>
  <si>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</si>
  <si>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</si>
  <si>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</si>
  <si>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</si>
  <si>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</si>
  <si>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</si>
  <si>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</si>
  <si>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</si>
  <si>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</si>
  <si>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</si>
  <si>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</si>
  <si>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</si>
  <si>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</si>
  <si>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</si>
  <si>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</si>
  <si>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</si>
  <si>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</si>
  <si>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</si>
  <si>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</si>
  <si>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</si>
  <si>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</si>
  <si>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</si>
  <si>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</si>
  <si>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</si>
  <si>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</si>
  <si>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</si>
  <si>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</si>
  <si>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</si>
  <si>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</si>
  <si>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</si>
  <si>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</si>
  <si>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</si>
  <si>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</si>
  <si>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</si>
  <si>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</si>
  <si>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</si>
  <si>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</si>
  <si>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</si>
  <si>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</si>
  <si>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</si>
  <si>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</si>
  <si>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</si>
  <si>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</si>
  <si>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</si>
  <si>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</si>
  <si>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</si>
  <si>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</si>
  <si>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</si>
  <si>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</si>
  <si>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</si>
  <si>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</si>
  <si>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</si>
  <si>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</si>
  <si>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</si>
  <si>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</si>
  <si>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</si>
  <si>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</si>
  <si>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</si>
  <si>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</si>
  <si>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</si>
  <si>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</si>
  <si>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</si>
  <si>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</si>
  <si>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</si>
  <si>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</si>
  <si>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</si>
  <si>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</si>
  <si>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</si>
  <si>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</si>
  <si>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</si>
  <si>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</si>
  <si>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</si>
  <si>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</si>
  <si>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</si>
  <si>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</si>
  <si>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</si>
  <si>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</si>
  <si>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</si>
  <si>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</si>
  <si>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</si>
  <si>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</si>
  <si>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</si>
  <si>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</si>
  <si>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</si>
  <si>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</si>
  <si>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</si>
  <si>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</si>
  <si>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</si>
  <si>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</si>
  <si>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</si>
  <si>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</si>
  <si>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</si>
  <si>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</si>
  <si>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</si>
  <si>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</si>
  <si>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</si>
  <si>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</si>
  <si>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</si>
  <si>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</si>
  <si>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</si>
  <si>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</si>
  <si>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</si>
  <si>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</si>
  <si>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</si>
  <si>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</si>
  <si>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</si>
  <si>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</si>
  <si>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</si>
  <si>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</si>
  <si>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</si>
  <si>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</si>
  <si>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</si>
  <si>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</si>
  <si>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</si>
  <si>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</si>
  <si>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</si>
  <si>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</si>
  <si>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</si>
  <si>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</si>
  <si>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</si>
  <si>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</si>
  <si>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</si>
  <si>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</si>
  <si>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</si>
  <si>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</si>
  <si>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</si>
  <si>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</si>
  <si>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</si>
  <si>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</si>
  <si>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</si>
  <si>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</si>
  <si>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</si>
  <si>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</si>
  <si>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</si>
  <si>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</si>
  <si>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</si>
  <si>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</si>
  <si>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</si>
  <si>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</si>
  <si>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</si>
  <si>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</si>
  <si>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</si>
  <si>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</si>
  <si>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</si>
  <si>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</si>
  <si>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</si>
  <si>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</si>
  <si>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</si>
  <si>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</si>
  <si>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</si>
  <si>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</si>
  <si>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</si>
  <si>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</si>
  <si>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</si>
  <si>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</si>
  <si>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</si>
  <si>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</si>
  <si>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</si>
  <si>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</si>
  <si>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</si>
  <si>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</si>
  <si>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</si>
  <si>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</si>
  <si>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</si>
  <si>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</si>
  <si>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</si>
  <si>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</si>
  <si>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</si>
  <si>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</si>
  <si>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</si>
  <si>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</si>
  <si>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</si>
  <si>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</si>
  <si>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</si>
  <si>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</si>
  <si>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</si>
  <si>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</si>
  <si>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</si>
  <si>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</si>
  <si>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</si>
  <si>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</si>
  <si>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</si>
  <si>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</si>
  <si>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</si>
  <si>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</si>
  <si>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</si>
  <si>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</si>
  <si>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</si>
  <si>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</si>
  <si>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</si>
  <si>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</si>
  <si>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</si>
  <si>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</si>
  <si>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</si>
  <si>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</si>
  <si>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</si>
  <si>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</si>
  <si>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</si>
  <si>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</si>
  <si>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</si>
  <si>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</si>
  <si>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</si>
  <si>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</si>
  <si>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</si>
  <si>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</si>
  <si>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</si>
  <si>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</si>
  <si>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</si>
  <si>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</si>
  <si>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</si>
  <si>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</si>
  <si>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</si>
  <si>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</si>
  <si>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</si>
  <si>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</si>
  <si>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</si>
  <si>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</si>
  <si>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</si>
  <si>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</si>
  <si>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</si>
  <si>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</si>
  <si>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</si>
  <si>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</si>
  <si>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</si>
  <si>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</si>
  <si>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</si>
  <si>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</si>
  <si>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</si>
  <si>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</si>
  <si>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</si>
  <si>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</si>
  <si>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</si>
  <si>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</si>
  <si>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</si>
  <si>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</si>
  <si>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</si>
  <si>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</si>
  <si>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</si>
  <si>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</si>
  <si>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</si>
  <si>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</si>
  <si>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</si>
  <si>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</si>
  <si>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</si>
  <si>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</si>
  <si>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</si>
  <si>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</si>
  <si>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</si>
  <si>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</si>
  <si>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</si>
  <si>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</si>
  <si>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</si>
  <si>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</si>
  <si>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</si>
  <si>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</si>
  <si>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</si>
  <si>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</si>
  <si>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</si>
  <si>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</si>
  <si>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</si>
  <si>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</si>
  <si>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</si>
  <si>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</si>
  <si>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</si>
  <si>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</si>
  <si>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</si>
  <si>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</si>
  <si>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</si>
  <si>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</si>
  <si>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</si>
  <si>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</si>
  <si>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</si>
  <si>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</si>
  <si>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</si>
  <si>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</si>
  <si>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MONICA ANDREA BRAVO LEITON</t>
  </si>
  <si>
    <t>Orlando Bolaños Carlosama</t>
  </si>
  <si>
    <t>Ximena Patricia Villarreal C</t>
  </si>
  <si>
    <t xml:space="preserve">porta herramientas </t>
  </si>
  <si>
    <t>NO SE LE DIERON</t>
  </si>
  <si>
    <t>DEVUELVE LA CINTA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</si>
</sst>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Aptos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82" fillId="0" borderId="68" xfId="0" applyFont="1" applyBorder="1" applyAlignment="1">
      <alignment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8" fillId="0" borderId="20" xfId="0" applyFont="1" applyBorder="1" applyAlignment="1" applyProtection="1">
      <alignment horizontal="left" vertical="center" wrapText="1" shrinkToFi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84822</xdr:colOff>
      <xdr:row>0</xdr:row>
      <xdr:rowOff>75552</xdr:rowOff>
    </xdr:from>
    <xdr:to>
      <xdr:col>24</xdr:col>
      <xdr:colOff>401109</xdr:colOff>
      <xdr:row>6</xdr:row>
      <xdr:rowOff>221226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0ABC823-9B0E-FA6E-D224-96CF6A4C6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0628" y="75552"/>
          <a:ext cx="2059977" cy="1912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2" totalsRowShown="0" headerRowDxfId="7" headerRowBorderDxfId="6" tableBorderDxfId="5" totalsRowBorderDxfId="4">
  <autoFilter ref="H1:I32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="85" zoomScaleNormal="85" workbookViewId="0">
      <pane ySplit="8" topLeftCell="A9" activePane="bottomLeft" state="frozen"/>
      <selection pane="bottomLeft" activeCell="A19" sqref="A19:C19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9"/>
      <c r="B1" s="360"/>
      <c r="C1" s="331" t="s">
        <v>0</v>
      </c>
      <c r="D1" s="332"/>
      <c r="E1" s="332"/>
      <c r="F1" s="333" t="str">
        <f>IF(E2="","",CONCATENATE(LEFT(E2,1),MID(E2,SEARCH(" ",E2)+1,1),TEXT(O1,"DD"),TEXT(O1,"MM"),"-",IF(K1="",1,K1)))</f>
        <v>MA1701-1</v>
      </c>
      <c r="G1" s="334"/>
      <c r="H1" s="335"/>
      <c r="I1" s="348" t="s">
        <v>1</v>
      </c>
      <c r="J1" s="349"/>
      <c r="K1" s="232">
        <v>1</v>
      </c>
      <c r="L1" s="322" t="s">
        <v>2</v>
      </c>
      <c r="M1" s="350"/>
      <c r="N1" s="350"/>
      <c r="O1" s="351">
        <v>17</v>
      </c>
      <c r="P1" s="351"/>
      <c r="Q1" s="351"/>
      <c r="R1" s="352"/>
      <c r="S1" s="397" t="s">
        <v>3</v>
      </c>
      <c r="T1" s="398"/>
      <c r="U1" s="403" t="s">
        <v>4</v>
      </c>
      <c r="V1" s="404"/>
      <c r="W1" s="404"/>
      <c r="X1" s="404"/>
      <c r="Y1" s="405"/>
      <c r="Z1" s="297" t="s">
        <v>5</v>
      </c>
      <c r="AA1" s="298"/>
      <c r="AB1" s="298"/>
      <c r="AC1" s="298"/>
      <c r="AD1" s="298"/>
      <c r="AE1" s="298"/>
    </row>
    <row r="2" spans="1:31" ht="23.25" customHeight="1">
      <c r="A2" s="361"/>
      <c r="B2" s="362"/>
      <c r="C2" s="365" t="s">
        <v>6</v>
      </c>
      <c r="D2" s="366"/>
      <c r="E2" s="367" t="s">
        <v>1387</v>
      </c>
      <c r="F2" s="368"/>
      <c r="G2" s="368"/>
      <c r="H2" s="368"/>
      <c r="I2" s="368"/>
      <c r="J2" s="368"/>
      <c r="K2" s="369"/>
      <c r="L2" s="320" t="s">
        <v>7</v>
      </c>
      <c r="M2" s="321"/>
      <c r="N2" s="322"/>
      <c r="O2" s="323">
        <f>IF(E2="","",INDEX(Listas!H2:I36,MATCH('Soli_citud '!E2,Intructores,0),2))</f>
        <v>27082270</v>
      </c>
      <c r="P2" s="323"/>
      <c r="Q2" s="323"/>
      <c r="R2" s="324"/>
      <c r="S2" s="399">
        <v>10</v>
      </c>
      <c r="T2" s="400"/>
      <c r="U2" s="403"/>
      <c r="V2" s="404"/>
      <c r="W2" s="404"/>
      <c r="X2" s="404"/>
      <c r="Y2" s="405"/>
      <c r="Z2" s="297"/>
      <c r="AA2" s="298"/>
      <c r="AB2" s="298"/>
      <c r="AC2" s="298"/>
      <c r="AD2" s="298"/>
      <c r="AE2" s="298"/>
    </row>
    <row r="3" spans="1:31" ht="24.75" customHeight="1">
      <c r="A3" s="363"/>
      <c r="B3" s="364"/>
      <c r="C3" s="381" t="s">
        <v>8</v>
      </c>
      <c r="D3" s="382"/>
      <c r="E3" s="383" t="s">
        <v>9</v>
      </c>
      <c r="F3" s="384"/>
      <c r="G3" s="384"/>
      <c r="H3" s="384"/>
      <c r="I3" s="384"/>
      <c r="J3" s="384"/>
      <c r="K3" s="385"/>
      <c r="L3" s="320" t="s">
        <v>10</v>
      </c>
      <c r="M3" s="321"/>
      <c r="N3" s="322"/>
      <c r="O3" s="307">
        <v>3157746</v>
      </c>
      <c r="P3" s="325"/>
      <c r="Q3" s="325"/>
      <c r="R3" s="325"/>
      <c r="S3" s="399" t="s">
        <v>11</v>
      </c>
      <c r="T3" s="400"/>
      <c r="U3" s="403"/>
      <c r="V3" s="404"/>
      <c r="W3" s="404"/>
      <c r="X3" s="404"/>
      <c r="Y3" s="405"/>
      <c r="Z3" s="297"/>
      <c r="AA3" s="298"/>
      <c r="AB3" s="298"/>
      <c r="AC3" s="298"/>
      <c r="AD3" s="298"/>
      <c r="AE3" s="298"/>
    </row>
    <row r="4" spans="1:31" ht="30.75" customHeight="1">
      <c r="A4" s="358" t="s">
        <v>12</v>
      </c>
      <c r="B4" s="358"/>
      <c r="C4" s="358"/>
      <c r="D4" s="353" t="s">
        <v>1390</v>
      </c>
      <c r="E4" s="354"/>
      <c r="F4" s="354"/>
      <c r="G4" s="354"/>
      <c r="H4" s="354"/>
      <c r="I4" s="354"/>
      <c r="J4" s="354"/>
      <c r="K4" s="354"/>
      <c r="L4" s="355" t="s">
        <v>13</v>
      </c>
      <c r="M4" s="355"/>
      <c r="N4" s="355"/>
      <c r="O4" s="356" t="s">
        <v>14</v>
      </c>
      <c r="P4" s="357"/>
      <c r="Q4" s="357"/>
      <c r="R4" s="357"/>
      <c r="S4" s="399">
        <v>21</v>
      </c>
      <c r="T4" s="400"/>
      <c r="U4" s="403"/>
      <c r="V4" s="404"/>
      <c r="W4" s="404"/>
      <c r="X4" s="404"/>
      <c r="Y4" s="405"/>
      <c r="Z4" s="297"/>
      <c r="AA4" s="298"/>
      <c r="AB4" s="298"/>
      <c r="AC4" s="298"/>
      <c r="AD4" s="298"/>
      <c r="AE4" s="298"/>
    </row>
    <row r="5" spans="1:31" ht="29.25" customHeight="1">
      <c r="A5" s="386" t="s">
        <v>15</v>
      </c>
      <c r="B5" s="386"/>
      <c r="C5" s="386"/>
      <c r="D5" s="387">
        <f>IF(K5="","",(SUM(W10:Y28)-(SUMIF(U10:V28,"Restar_Pedido",W10:Y28)))/$K$5)</f>
        <v>3645.0773732937037</v>
      </c>
      <c r="E5" s="388"/>
      <c r="F5" s="389"/>
      <c r="G5" s="365" t="s">
        <v>16</v>
      </c>
      <c r="H5" s="390"/>
      <c r="I5" s="390"/>
      <c r="J5" s="366"/>
      <c r="K5" s="329">
        <v>26</v>
      </c>
      <c r="L5" s="329"/>
      <c r="M5" s="330" t="s">
        <v>17</v>
      </c>
      <c r="N5" s="330"/>
      <c r="O5" s="326">
        <f>IFERROR(IF(K5=0,"",D5*K5),"")</f>
        <v>94772.011705636294</v>
      </c>
      <c r="P5" s="327"/>
      <c r="Q5" s="327"/>
      <c r="R5" s="327"/>
      <c r="S5" s="401">
        <v>10</v>
      </c>
      <c r="T5" s="402"/>
      <c r="U5" s="403"/>
      <c r="V5" s="404"/>
      <c r="W5" s="404"/>
      <c r="X5" s="404"/>
      <c r="Y5" s="405"/>
      <c r="Z5" s="297"/>
      <c r="AA5" s="298"/>
      <c r="AB5" s="298"/>
      <c r="AC5" s="298"/>
      <c r="AD5" s="298"/>
      <c r="AE5" s="298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3"/>
      <c r="V6" s="404"/>
      <c r="W6" s="404"/>
      <c r="X6" s="404"/>
      <c r="Y6" s="405"/>
      <c r="Z6" s="297"/>
      <c r="AA6" s="298"/>
      <c r="AB6" s="298"/>
      <c r="AC6" s="298"/>
      <c r="AD6" s="298"/>
      <c r="AE6" s="298"/>
    </row>
    <row r="7" spans="1:31" ht="24" customHeight="1" thickBot="1">
      <c r="A7" s="370" t="s">
        <v>18</v>
      </c>
      <c r="B7" s="370"/>
      <c r="C7" s="371"/>
      <c r="D7" s="372" t="s">
        <v>19</v>
      </c>
      <c r="E7" s="373"/>
      <c r="F7" s="373"/>
      <c r="G7" s="373"/>
      <c r="H7" s="373"/>
      <c r="I7" s="373"/>
      <c r="J7" s="373"/>
      <c r="K7" s="373"/>
      <c r="L7" s="373"/>
      <c r="M7" s="373"/>
      <c r="N7" s="374"/>
      <c r="O7" s="378" t="s">
        <v>20</v>
      </c>
      <c r="P7" s="314"/>
      <c r="Q7" s="379" t="s">
        <v>21</v>
      </c>
      <c r="R7" s="380"/>
      <c r="S7" s="399"/>
      <c r="T7" s="400"/>
      <c r="U7" s="406"/>
      <c r="V7" s="407"/>
      <c r="W7" s="407"/>
      <c r="X7" s="407"/>
      <c r="Y7" s="408"/>
      <c r="Z7" s="297"/>
      <c r="AA7" s="298"/>
      <c r="AB7" s="298"/>
      <c r="AC7" s="298"/>
      <c r="AD7" s="298"/>
      <c r="AE7" s="298"/>
    </row>
    <row r="8" spans="1:31" ht="18.75" customHeight="1" thickBot="1">
      <c r="A8" s="370"/>
      <c r="B8" s="370"/>
      <c r="C8" s="371"/>
      <c r="D8" s="375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378"/>
      <c r="P8" s="314"/>
      <c r="Q8" s="379"/>
      <c r="R8" s="379"/>
      <c r="S8" s="316" t="s">
        <v>22</v>
      </c>
      <c r="T8" s="316"/>
      <c r="U8" s="317"/>
      <c r="V8" s="318">
        <f>IF(K5="","",1/K5)</f>
        <v>3.8461538461538464E-2</v>
      </c>
      <c r="W8" s="319"/>
      <c r="X8" s="103"/>
      <c r="Y8" s="104">
        <f>IFERROR((V8*X8)," ")</f>
        <v>0</v>
      </c>
      <c r="Z8" s="297"/>
      <c r="AA8" s="298"/>
      <c r="AB8" s="298"/>
      <c r="AC8" s="298"/>
      <c r="AD8" s="298"/>
      <c r="AE8" s="298"/>
    </row>
    <row r="9" spans="1:31" ht="12" customHeight="1">
      <c r="A9" s="328"/>
      <c r="B9" s="328"/>
      <c r="C9" s="328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5" t="s">
        <v>23</v>
      </c>
      <c r="T9" s="315"/>
      <c r="U9" s="314" t="s">
        <v>24</v>
      </c>
      <c r="V9" s="314"/>
      <c r="W9" s="314" t="s">
        <v>25</v>
      </c>
      <c r="X9" s="314"/>
      <c r="Y9" s="314"/>
    </row>
    <row r="10" spans="1:31" ht="17.25" customHeight="1">
      <c r="A10" s="300" t="s">
        <v>36</v>
      </c>
      <c r="B10" s="300"/>
      <c r="C10" s="301"/>
      <c r="D10" s="391" t="s">
        <v>466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O10" s="305" t="str">
        <f t="shared" ref="O10:O31" si="0">IFERROR(IF(D10="","",INDEX(Tabla_Completa,MATCH(D10,Materiales,0),6)),"")</f>
        <v>dm2</v>
      </c>
      <c r="P10" s="306"/>
      <c r="Q10" s="307">
        <v>0.5</v>
      </c>
      <c r="R10" s="308"/>
      <c r="S10" s="309">
        <f>IFERROR(IF(Q10="Unidad","1",(Q10*$K$5)),"")</f>
        <v>13</v>
      </c>
      <c r="T10" s="310"/>
      <c r="U10" s="311"/>
      <c r="V10" s="394"/>
      <c r="W10" s="312">
        <f>IFERROR(IF(D10="","",INDEX(Tabla_Completa,MATCH('Soli_citud '!D10,Materiales,0),7)*S10),"")</f>
        <v>21753.335500000001</v>
      </c>
      <c r="X10" s="312"/>
      <c r="Y10" s="312"/>
      <c r="Z10" s="34"/>
      <c r="AA10" s="34"/>
      <c r="AB10" s="34"/>
      <c r="AC10" s="34"/>
      <c r="AD10" s="34"/>
      <c r="AE10" s="34"/>
    </row>
    <row r="11" spans="1:31" ht="17.25" customHeight="1">
      <c r="A11" s="299" t="s">
        <v>1057</v>
      </c>
      <c r="B11" s="300"/>
      <c r="C11" s="301"/>
      <c r="D11" s="391" t="s">
        <v>1077</v>
      </c>
      <c r="E11" s="392"/>
      <c r="F11" s="392"/>
      <c r="G11" s="392"/>
      <c r="H11" s="392"/>
      <c r="I11" s="392"/>
      <c r="J11" s="392"/>
      <c r="K11" s="392"/>
      <c r="L11" s="392"/>
      <c r="M11" s="392"/>
      <c r="N11" s="393"/>
      <c r="O11" s="305" t="str">
        <f t="shared" si="0"/>
        <v>U</v>
      </c>
      <c r="P11" s="306"/>
      <c r="Q11" s="307">
        <v>1</v>
      </c>
      <c r="R11" s="308"/>
      <c r="S11" s="309">
        <f t="shared" ref="S11:S31" si="1">IFERROR(IF(Q11="Unidad","1",(Q11*$K$5)),"")</f>
        <v>26</v>
      </c>
      <c r="T11" s="310"/>
      <c r="U11" s="311"/>
      <c r="V11" s="311"/>
      <c r="W11" s="312">
        <f>IFERROR(IF(D11="","",INDEX(Tabla_Completa,MATCH('Soli_citud '!D11,Materiales,0),7)*S11),"")</f>
        <v>8016.58</v>
      </c>
      <c r="X11" s="312"/>
      <c r="Y11" s="312"/>
    </row>
    <row r="12" spans="1:31" ht="15.75" customHeight="1">
      <c r="A12" s="299" t="s">
        <v>1057</v>
      </c>
      <c r="B12" s="300"/>
      <c r="C12" s="301"/>
      <c r="D12" s="395" t="s">
        <v>1091</v>
      </c>
      <c r="E12" s="392"/>
      <c r="F12" s="392"/>
      <c r="G12" s="392"/>
      <c r="H12" s="392"/>
      <c r="I12" s="392"/>
      <c r="J12" s="392"/>
      <c r="K12" s="392"/>
      <c r="L12" s="392"/>
      <c r="M12" s="392"/>
      <c r="N12" s="393"/>
      <c r="O12" s="305" t="str">
        <f t="shared" ref="O12" si="2">IFERROR(IF(D12="","",INDEX(Tabla_Completa,MATCH(D12,Materiales,0),6)),"")</f>
        <v>U</v>
      </c>
      <c r="P12" s="306"/>
      <c r="Q12" s="307">
        <v>0.1</v>
      </c>
      <c r="R12" s="308"/>
      <c r="S12" s="309">
        <f t="shared" si="1"/>
        <v>2.6</v>
      </c>
      <c r="T12" s="310"/>
      <c r="U12" s="311"/>
      <c r="V12" s="311"/>
      <c r="W12" s="312" t="str">
        <f>IFERROR(IF(D12="","",INDEX(Tabla_Completa,MATCH('Soli_citud '!D12,Materiales,0),7)*S12),"")</f>
        <v/>
      </c>
      <c r="X12" s="312"/>
      <c r="Y12" s="312"/>
    </row>
    <row r="13" spans="1:31" ht="15.75" customHeight="1">
      <c r="A13" s="299" t="s">
        <v>39</v>
      </c>
      <c r="B13" s="300"/>
      <c r="C13" s="301"/>
      <c r="D13" s="391" t="s">
        <v>720</v>
      </c>
      <c r="E13" s="392"/>
      <c r="F13" s="392"/>
      <c r="G13" s="392"/>
      <c r="H13" s="392"/>
      <c r="I13" s="392"/>
      <c r="J13" s="392"/>
      <c r="K13" s="392"/>
      <c r="L13" s="392"/>
      <c r="M13" s="392"/>
      <c r="N13" s="393"/>
      <c r="O13" s="305" t="str">
        <f t="shared" si="0"/>
        <v>U</v>
      </c>
      <c r="P13" s="306"/>
      <c r="Q13" s="307">
        <v>1</v>
      </c>
      <c r="R13" s="308"/>
      <c r="S13" s="309">
        <f t="shared" si="1"/>
        <v>26</v>
      </c>
      <c r="T13" s="310"/>
      <c r="U13" s="311"/>
      <c r="V13" s="311"/>
      <c r="W13" s="312">
        <f>IFERROR(IF(D13="","",INDEX(Tabla_Completa,MATCH('Soli_citud '!D13,Materiales,0),7)*S13),"")</f>
        <v>11847.3225</v>
      </c>
      <c r="X13" s="312"/>
      <c r="Y13" s="312"/>
    </row>
    <row r="14" spans="1:31" ht="17.25" customHeight="1">
      <c r="A14" s="299" t="s">
        <v>231</v>
      </c>
      <c r="B14" s="300"/>
      <c r="C14" s="301"/>
      <c r="D14" s="391" t="s">
        <v>317</v>
      </c>
      <c r="E14" s="392"/>
      <c r="F14" s="392"/>
      <c r="G14" s="392"/>
      <c r="H14" s="392"/>
      <c r="I14" s="392"/>
      <c r="J14" s="392"/>
      <c r="K14" s="392"/>
      <c r="L14" s="392"/>
      <c r="M14" s="392"/>
      <c r="N14" s="393"/>
      <c r="O14" s="305" t="str">
        <f t="shared" si="0"/>
        <v>cm</v>
      </c>
      <c r="P14" s="306"/>
      <c r="Q14" s="307">
        <v>35</v>
      </c>
      <c r="R14" s="308"/>
      <c r="S14" s="309">
        <f t="shared" si="1"/>
        <v>910</v>
      </c>
      <c r="T14" s="310"/>
      <c r="U14" s="311"/>
      <c r="V14" s="311"/>
      <c r="W14" s="312">
        <f>IFERROR(IF(D14="","",INDEX(Tabla_Completa,MATCH('Soli_citud '!D14,Materiales,0),7)*S14),"")</f>
        <v>11129.300000000001</v>
      </c>
      <c r="X14" s="312"/>
      <c r="Y14" s="312"/>
    </row>
    <row r="15" spans="1:31" ht="15.75" customHeight="1">
      <c r="A15" s="299" t="s">
        <v>231</v>
      </c>
      <c r="B15" s="300"/>
      <c r="C15" s="301"/>
      <c r="D15" s="391" t="s">
        <v>243</v>
      </c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O15" s="305" t="str">
        <f t="shared" si="0"/>
        <v>cm</v>
      </c>
      <c r="P15" s="306"/>
      <c r="Q15" s="307">
        <v>60</v>
      </c>
      <c r="R15" s="308"/>
      <c r="S15" s="309">
        <f t="shared" si="1"/>
        <v>1560</v>
      </c>
      <c r="T15" s="310"/>
      <c r="U15" s="311"/>
      <c r="V15" s="311"/>
      <c r="W15" s="312">
        <f>IFERROR(IF(D15="","",INDEX(Tabla_Completa,MATCH('Soli_citud '!D15,Materiales,0),7)*S15),"")</f>
        <v>0</v>
      </c>
      <c r="X15" s="312"/>
      <c r="Y15" s="312"/>
    </row>
    <row r="16" spans="1:31" ht="15.75" customHeight="1">
      <c r="A16" s="299" t="s">
        <v>231</v>
      </c>
      <c r="B16" s="300"/>
      <c r="C16" s="301"/>
      <c r="D16" s="391" t="s">
        <v>347</v>
      </c>
      <c r="E16" s="392"/>
      <c r="F16" s="392"/>
      <c r="G16" s="392"/>
      <c r="H16" s="392"/>
      <c r="I16" s="392"/>
      <c r="J16" s="392"/>
      <c r="K16" s="392"/>
      <c r="L16" s="392"/>
      <c r="M16" s="392"/>
      <c r="N16" s="393"/>
      <c r="O16" s="305" t="str">
        <f t="shared" si="0"/>
        <v>Cono</v>
      </c>
      <c r="P16" s="306"/>
      <c r="Q16" s="307">
        <v>0.08</v>
      </c>
      <c r="R16" s="308"/>
      <c r="S16" s="309">
        <f t="shared" si="1"/>
        <v>2.08</v>
      </c>
      <c r="T16" s="310"/>
      <c r="U16" s="311" t="s">
        <v>1338</v>
      </c>
      <c r="V16" s="311"/>
      <c r="W16" s="312">
        <f>IFERROR(IF(D16="","",INDEX(Tabla_Completa,MATCH('Soli_citud '!D16,Materiales,0),7)*S16),"")</f>
        <v>15114.666666666668</v>
      </c>
      <c r="X16" s="312"/>
      <c r="Y16" s="312"/>
    </row>
    <row r="17" spans="1:25" ht="15.75" customHeight="1">
      <c r="A17" s="299" t="s">
        <v>231</v>
      </c>
      <c r="B17" s="300"/>
      <c r="C17" s="301"/>
      <c r="D17" s="391" t="s">
        <v>450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3"/>
      <c r="O17" s="305" t="str">
        <f t="shared" si="0"/>
        <v>cm2</v>
      </c>
      <c r="P17" s="306"/>
      <c r="Q17" s="307">
        <v>325</v>
      </c>
      <c r="R17" s="308"/>
      <c r="S17" s="309">
        <f t="shared" si="1"/>
        <v>8450</v>
      </c>
      <c r="T17" s="310"/>
      <c r="U17" s="311"/>
      <c r="V17" s="311"/>
      <c r="W17" s="312">
        <f>IFERROR(IF(D17="","",INDEX(Tabla_Completa,MATCH('Soli_citud '!D17,Materiales,0),7)*S17),"")</f>
        <v>6506.5</v>
      </c>
      <c r="X17" s="312"/>
      <c r="Y17" s="312"/>
    </row>
    <row r="18" spans="1:25" ht="15.75" customHeight="1">
      <c r="A18" s="299" t="s">
        <v>49</v>
      </c>
      <c r="B18" s="300"/>
      <c r="C18" s="301"/>
      <c r="D18" s="391" t="s">
        <v>937</v>
      </c>
      <c r="E18" s="392"/>
      <c r="F18" s="392"/>
      <c r="G18" s="392"/>
      <c r="H18" s="392"/>
      <c r="I18" s="392"/>
      <c r="J18" s="392"/>
      <c r="K18" s="392"/>
      <c r="L18" s="392"/>
      <c r="M18" s="392"/>
      <c r="N18" s="393"/>
      <c r="O18" s="305" t="str">
        <f t="shared" si="0"/>
        <v>cm2</v>
      </c>
      <c r="P18" s="306"/>
      <c r="Q18" s="307">
        <v>1050</v>
      </c>
      <c r="R18" s="308"/>
      <c r="S18" s="309">
        <f t="shared" si="1"/>
        <v>27300</v>
      </c>
      <c r="T18" s="310"/>
      <c r="U18" s="311"/>
      <c r="V18" s="311"/>
      <c r="W18" s="312">
        <f>IFERROR(IF(D18="","",INDEX(Tabla_Completa,MATCH('Soli_citud '!D18,Materiales,0),7)*S18),"")</f>
        <v>13592.6505</v>
      </c>
      <c r="X18" s="312"/>
      <c r="Y18" s="312"/>
    </row>
    <row r="19" spans="1:25" ht="15.75">
      <c r="A19" s="299" t="s">
        <v>30</v>
      </c>
      <c r="B19" s="300"/>
      <c r="C19" s="301"/>
      <c r="D19" s="396" t="s">
        <v>106</v>
      </c>
      <c r="E19" s="303"/>
      <c r="F19" s="303"/>
      <c r="G19" s="303"/>
      <c r="H19" s="303"/>
      <c r="I19" s="303"/>
      <c r="J19" s="303"/>
      <c r="K19" s="303"/>
      <c r="L19" s="303"/>
      <c r="M19" s="303"/>
      <c r="N19" s="304"/>
      <c r="O19" s="305" t="str">
        <f t="shared" si="0"/>
        <v>ml</v>
      </c>
      <c r="P19" s="306"/>
      <c r="Q19" s="307">
        <v>15</v>
      </c>
      <c r="R19" s="308"/>
      <c r="S19" s="309">
        <f t="shared" si="1"/>
        <v>390</v>
      </c>
      <c r="T19" s="310"/>
      <c r="U19" s="311"/>
      <c r="V19" s="311"/>
      <c r="W19" s="312">
        <f>IFERROR(IF(D19="","",INDEX(Tabla_Completa,MATCH('Soli_citud '!D19,Materiales,0),7)*S19),"")</f>
        <v>6811.6565389696161</v>
      </c>
      <c r="X19" s="312"/>
      <c r="Y19" s="312"/>
    </row>
    <row r="20" spans="1:25" ht="15.75">
      <c r="A20" s="299"/>
      <c r="B20" s="300"/>
      <c r="C20" s="301"/>
      <c r="D20" s="302"/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305" t="str">
        <f>IFERROR(IF(D20="","",INDEX(Tabla_Completa,MATCH(D20,Materiales,0),6)),"")</f>
        <v/>
      </c>
      <c r="P20" s="306"/>
      <c r="Q20" s="307"/>
      <c r="R20" s="308"/>
      <c r="S20" s="309">
        <f t="shared" si="1"/>
        <v>0</v>
      </c>
      <c r="T20" s="310"/>
      <c r="U20" s="311"/>
      <c r="V20" s="311"/>
      <c r="W20" s="312" t="str">
        <f>IFERROR(IF(D20="","",INDEX(Tabla_Completa,MATCH('Soli_citud '!D20,Materiales,0),7)*S20),"")</f>
        <v/>
      </c>
      <c r="X20" s="312"/>
      <c r="Y20" s="312"/>
    </row>
    <row r="21" spans="1:25" ht="15.75">
      <c r="A21" s="299"/>
      <c r="B21" s="300"/>
      <c r="C21" s="301"/>
      <c r="D21" s="302"/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305" t="str">
        <f>IFERROR(IF(D21="","",INDEX(Tabla_Completa,MATCH(D21,Materiales,0),6)),"")</f>
        <v/>
      </c>
      <c r="P21" s="306"/>
      <c r="Q21" s="307"/>
      <c r="R21" s="308"/>
      <c r="S21" s="309">
        <f t="shared" si="1"/>
        <v>0</v>
      </c>
      <c r="T21" s="310"/>
      <c r="U21" s="311"/>
      <c r="V21" s="311"/>
      <c r="W21" s="312" t="str">
        <f>IFERROR(IF(D21="","",INDEX(Tabla_Completa,MATCH('Soli_citud '!D21,Materiales,0),7)*S21),"")</f>
        <v/>
      </c>
      <c r="X21" s="312"/>
      <c r="Y21" s="312"/>
    </row>
    <row r="22" spans="1:25" ht="15.75">
      <c r="A22" s="299"/>
      <c r="B22" s="300"/>
      <c r="C22" s="301"/>
      <c r="D22" s="302"/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305" t="str">
        <f t="shared" si="0"/>
        <v/>
      </c>
      <c r="P22" s="306"/>
      <c r="Q22" s="307"/>
      <c r="R22" s="308"/>
      <c r="S22" s="309">
        <f t="shared" si="1"/>
        <v>0</v>
      </c>
      <c r="T22" s="310"/>
      <c r="U22" s="311"/>
      <c r="V22" s="311"/>
      <c r="W22" s="312" t="str">
        <f>IFERROR(IF(D22="","",INDEX(Tabla_Completa,MATCH('Soli_citud '!D22,Materiales,0),7)*S22),"")</f>
        <v/>
      </c>
      <c r="X22" s="312"/>
      <c r="Y22" s="312"/>
    </row>
    <row r="23" spans="1:25" ht="15.75">
      <c r="A23" s="299"/>
      <c r="B23" s="300"/>
      <c r="C23" s="301"/>
      <c r="D23" s="302"/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305" t="str">
        <f t="shared" si="0"/>
        <v/>
      </c>
      <c r="P23" s="306"/>
      <c r="Q23" s="307"/>
      <c r="R23" s="308"/>
      <c r="S23" s="309">
        <f t="shared" si="1"/>
        <v>0</v>
      </c>
      <c r="T23" s="310"/>
      <c r="U23" s="311"/>
      <c r="V23" s="311"/>
      <c r="W23" s="312" t="str">
        <f>IFERROR(IF(D23="","",INDEX(Tabla_Completa,MATCH('Soli_citud '!D23,Materiales,0),7)*S23),"")</f>
        <v/>
      </c>
      <c r="X23" s="312"/>
      <c r="Y23" s="312"/>
    </row>
    <row r="24" spans="1:25" ht="15.75">
      <c r="A24" s="299"/>
      <c r="B24" s="300"/>
      <c r="C24" s="301"/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305" t="str">
        <f t="shared" si="0"/>
        <v/>
      </c>
      <c r="P24" s="306"/>
      <c r="Q24" s="307"/>
      <c r="R24" s="308"/>
      <c r="S24" s="309">
        <f t="shared" si="1"/>
        <v>0</v>
      </c>
      <c r="T24" s="310"/>
      <c r="U24" s="311"/>
      <c r="V24" s="311"/>
      <c r="W24" s="312" t="str">
        <f>IFERROR(IF(D24="","",INDEX(Tabla_Completa,MATCH('Soli_citud '!D24,Materiales,0),7)*S24),"")</f>
        <v/>
      </c>
      <c r="X24" s="312"/>
      <c r="Y24" s="312"/>
    </row>
    <row r="25" spans="1:25" ht="15.75">
      <c r="A25" s="299"/>
      <c r="B25" s="300"/>
      <c r="C25" s="301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305" t="str">
        <f t="shared" si="0"/>
        <v/>
      </c>
      <c r="P25" s="306"/>
      <c r="Q25" s="307"/>
      <c r="R25" s="308"/>
      <c r="S25" s="309">
        <f t="shared" si="1"/>
        <v>0</v>
      </c>
      <c r="T25" s="310"/>
      <c r="U25" s="311"/>
      <c r="V25" s="311"/>
      <c r="W25" s="312" t="str">
        <f>IFERROR(IF(D25="","",INDEX(Tabla_Completa,MATCH('Soli_citud '!D25,Materiales,0),7)*S25),"")</f>
        <v/>
      </c>
      <c r="X25" s="312"/>
      <c r="Y25" s="312"/>
    </row>
    <row r="26" spans="1:25" ht="15.75">
      <c r="A26" s="299"/>
      <c r="B26" s="300"/>
      <c r="C26" s="301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4"/>
      <c r="O26" s="305" t="str">
        <f t="shared" si="0"/>
        <v/>
      </c>
      <c r="P26" s="306"/>
      <c r="Q26" s="307"/>
      <c r="R26" s="308"/>
      <c r="S26" s="309">
        <f t="shared" si="1"/>
        <v>0</v>
      </c>
      <c r="T26" s="310"/>
      <c r="U26" s="311"/>
      <c r="V26" s="311"/>
      <c r="W26" s="312" t="str">
        <f>IFERROR(IF(D26="","",INDEX(Tabla_Completa,MATCH('Soli_citud '!D26,Materiales,0),7)*S26),"")</f>
        <v/>
      </c>
      <c r="X26" s="312"/>
      <c r="Y26" s="312"/>
    </row>
    <row r="27" spans="1:25" ht="15.75">
      <c r="A27" s="299"/>
      <c r="B27" s="300"/>
      <c r="C27" s="301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5" t="str">
        <f t="shared" si="0"/>
        <v/>
      </c>
      <c r="P27" s="306"/>
      <c r="Q27" s="307"/>
      <c r="R27" s="308"/>
      <c r="S27" s="309">
        <f t="shared" si="1"/>
        <v>0</v>
      </c>
      <c r="T27" s="310"/>
      <c r="U27" s="311"/>
      <c r="V27" s="311"/>
      <c r="W27" s="312" t="str">
        <f>IFERROR(IF(D27="","",INDEX(Tabla_Completa,MATCH('Soli_citud '!D27,Materiales,0),7)*S27),"")</f>
        <v/>
      </c>
      <c r="X27" s="312"/>
      <c r="Y27" s="312"/>
    </row>
    <row r="28" spans="1:25" ht="15.75">
      <c r="A28" s="299"/>
      <c r="B28" s="300"/>
      <c r="C28" s="301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305" t="str">
        <f t="shared" si="0"/>
        <v/>
      </c>
      <c r="P28" s="306"/>
      <c r="Q28" s="307"/>
      <c r="R28" s="308"/>
      <c r="S28" s="309">
        <f t="shared" si="1"/>
        <v>0</v>
      </c>
      <c r="T28" s="310"/>
      <c r="U28" s="311"/>
      <c r="V28" s="311"/>
      <c r="W28" s="312" t="str">
        <f>IFERROR(IF(D28="","",INDEX(Tabla_Completa,MATCH('Soli_citud '!D28,Materiales,0),7)*S28),"")</f>
        <v/>
      </c>
      <c r="X28" s="312"/>
      <c r="Y28" s="312"/>
    </row>
    <row r="29" spans="1:25" ht="15.75">
      <c r="A29" s="299"/>
      <c r="B29" s="300"/>
      <c r="C29" s="301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305" t="str">
        <f t="shared" si="0"/>
        <v/>
      </c>
      <c r="P29" s="306"/>
      <c r="Q29" s="307"/>
      <c r="R29" s="308"/>
      <c r="S29" s="309">
        <f t="shared" si="1"/>
        <v>0</v>
      </c>
      <c r="T29" s="310"/>
      <c r="U29" s="311"/>
      <c r="V29" s="311"/>
      <c r="W29" s="312" t="str">
        <f>IFERROR(IF(D29="","",INDEX(Tabla_Completa,MATCH('Soli_citud '!D29,Materiales,0),7)*S29),"")</f>
        <v/>
      </c>
      <c r="X29" s="312"/>
      <c r="Y29" s="312"/>
    </row>
    <row r="30" spans="1:25" ht="15.75">
      <c r="A30" s="299"/>
      <c r="B30" s="300"/>
      <c r="C30" s="301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305" t="str">
        <f t="shared" si="0"/>
        <v/>
      </c>
      <c r="P30" s="306"/>
      <c r="Q30" s="307"/>
      <c r="R30" s="308"/>
      <c r="S30" s="309">
        <f t="shared" si="1"/>
        <v>0</v>
      </c>
      <c r="T30" s="310"/>
      <c r="U30" s="311"/>
      <c r="V30" s="311"/>
      <c r="W30" s="312" t="str">
        <f>IFERROR(IF(D30="","",INDEX(Tabla_Completa,MATCH('Soli_citud '!D30,Materiales,0),7)*S30),"")</f>
        <v/>
      </c>
      <c r="X30" s="312"/>
      <c r="Y30" s="312"/>
    </row>
    <row r="31" spans="1:25" ht="15.75">
      <c r="A31" s="299"/>
      <c r="B31" s="300"/>
      <c r="C31" s="301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305" t="str">
        <f t="shared" si="0"/>
        <v/>
      </c>
      <c r="P31" s="306"/>
      <c r="Q31" s="307"/>
      <c r="R31" s="308"/>
      <c r="S31" s="309">
        <f t="shared" si="1"/>
        <v>0</v>
      </c>
      <c r="T31" s="310"/>
      <c r="U31" s="311"/>
      <c r="V31" s="311"/>
      <c r="W31" s="312" t="str">
        <f>IFERROR(IF(D31="","",INDEX(Tabla_Completa,MATCH('Soli_citud '!D31,Materiales,0),7)*S31),"")</f>
        <v/>
      </c>
      <c r="X31" s="312"/>
      <c r="Y31" s="31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7" t="s">
        <v>26</v>
      </c>
      <c r="B39" s="337"/>
      <c r="C39" s="337"/>
      <c r="D39" s="338" t="s">
        <v>27</v>
      </c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3" t="s">
        <v>29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N44" s="346" t="s">
        <v>30</v>
      </c>
      <c r="O44" s="346"/>
      <c r="P44" s="346"/>
      <c r="Q44" s="346"/>
      <c r="R44" s="343" t="s">
        <v>31</v>
      </c>
      <c r="S44" s="343"/>
      <c r="T44" s="343"/>
      <c r="U44" s="343"/>
      <c r="V44" s="343"/>
      <c r="W44" s="343"/>
      <c r="X44" s="343"/>
    </row>
    <row r="45" spans="1:24" ht="29.25" customHeight="1">
      <c r="A45" s="336" t="s">
        <v>32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N45" s="346" t="s">
        <v>33</v>
      </c>
      <c r="O45" s="346"/>
      <c r="P45" s="346"/>
      <c r="Q45" s="346"/>
      <c r="R45" s="344" t="s">
        <v>34</v>
      </c>
      <c r="S45" s="344"/>
      <c r="T45" s="344"/>
      <c r="U45" s="344"/>
      <c r="V45" s="344"/>
      <c r="W45" s="344"/>
      <c r="X45" s="344"/>
    </row>
    <row r="46" spans="1:24" ht="31.5" customHeight="1">
      <c r="A46" s="339" t="s">
        <v>35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N46" s="346" t="s">
        <v>36</v>
      </c>
      <c r="O46" s="346"/>
      <c r="P46" s="346"/>
      <c r="Q46" s="346"/>
      <c r="R46" s="345" t="s">
        <v>37</v>
      </c>
      <c r="S46" s="345"/>
      <c r="T46" s="345"/>
      <c r="U46" s="345"/>
      <c r="V46" s="345"/>
      <c r="W46" s="345"/>
      <c r="X46" s="345"/>
    </row>
    <row r="47" spans="1:24" ht="28.5" customHeight="1">
      <c r="A47" s="340" t="s">
        <v>38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N47" s="346" t="s">
        <v>39</v>
      </c>
      <c r="O47" s="346"/>
      <c r="P47" s="346"/>
      <c r="Q47" s="346"/>
      <c r="R47" s="345" t="s">
        <v>40</v>
      </c>
      <c r="S47" s="345"/>
      <c r="T47" s="345"/>
      <c r="U47" s="345"/>
      <c r="V47" s="345"/>
      <c r="W47" s="345"/>
      <c r="X47" s="345"/>
    </row>
    <row r="48" spans="1:24" ht="42.75" customHeight="1">
      <c r="A48" s="341" t="s">
        <v>41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N48" s="346" t="s">
        <v>42</v>
      </c>
      <c r="O48" s="346"/>
      <c r="P48" s="346"/>
      <c r="Q48" s="346"/>
      <c r="R48" s="345" t="s">
        <v>43</v>
      </c>
      <c r="S48" s="345"/>
      <c r="T48" s="345"/>
      <c r="U48" s="345"/>
      <c r="V48" s="345"/>
      <c r="W48" s="345"/>
      <c r="X48" s="345"/>
    </row>
    <row r="49" spans="1:24" ht="36" customHeight="1">
      <c r="A49" s="341" t="s">
        <v>44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N49" s="347" t="s">
        <v>45</v>
      </c>
      <c r="O49" s="347"/>
      <c r="P49" s="347"/>
      <c r="Q49" s="347"/>
      <c r="R49" s="344" t="s">
        <v>46</v>
      </c>
      <c r="S49" s="344"/>
      <c r="T49" s="344"/>
      <c r="U49" s="344"/>
      <c r="V49" s="344"/>
      <c r="W49" s="344"/>
      <c r="X49" s="344"/>
    </row>
    <row r="50" spans="1:24" ht="15.75">
      <c r="A50" s="342"/>
      <c r="B50" s="342"/>
      <c r="C50" s="342"/>
      <c r="D50" s="342"/>
      <c r="N50" s="346" t="s">
        <v>47</v>
      </c>
      <c r="O50" s="346"/>
      <c r="P50" s="346"/>
      <c r="Q50" s="346"/>
      <c r="R50" s="345" t="s">
        <v>48</v>
      </c>
      <c r="S50" s="345"/>
      <c r="T50" s="345"/>
      <c r="U50" s="345"/>
      <c r="V50" s="345"/>
      <c r="W50" s="345"/>
      <c r="X50" s="345"/>
    </row>
    <row r="51" spans="1:24" ht="15.75">
      <c r="N51" s="346" t="s">
        <v>49</v>
      </c>
      <c r="O51" s="346"/>
      <c r="P51" s="346"/>
      <c r="Q51" s="346"/>
      <c r="R51" s="345" t="s">
        <v>50</v>
      </c>
      <c r="S51" s="345"/>
      <c r="T51" s="345"/>
      <c r="U51" s="345"/>
      <c r="V51" s="345"/>
      <c r="W51" s="345"/>
      <c r="X51" s="345"/>
    </row>
    <row r="52" spans="1:24" ht="15.75">
      <c r="N52" s="346" t="s">
        <v>51</v>
      </c>
      <c r="O52" s="346"/>
      <c r="P52" s="346"/>
      <c r="Q52" s="346"/>
      <c r="R52" s="345" t="s">
        <v>40</v>
      </c>
      <c r="S52" s="345"/>
      <c r="T52" s="345"/>
      <c r="U52" s="345"/>
      <c r="V52" s="345"/>
      <c r="W52" s="345"/>
      <c r="X52" s="345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Kr1p7tVX7x49TCtIW8QngIezOq1OZVwbH823icedA9NNXyHy3SjPxa9P/P9uS7mwYHR1s4NHOS7ktoI6FJKBMQ==" saltValue="qdnpm8jaj4IIktZH1N5DNg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8" activePane="bottomLeft" state="frozen"/>
      <selection activeCell="C1" sqref="C1"/>
      <selection pane="bottomLeft" activeCell="C21" sqref="C21:F2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1"/>
      <c r="C1" s="482"/>
      <c r="D1" s="458" t="s">
        <v>52</v>
      </c>
      <c r="E1" s="459"/>
      <c r="F1" s="459"/>
      <c r="G1" s="459"/>
      <c r="H1" s="459"/>
      <c r="I1" s="460"/>
      <c r="J1" s="487" t="s">
        <v>53</v>
      </c>
      <c r="K1" s="488"/>
      <c r="L1" s="488"/>
      <c r="M1" s="489"/>
      <c r="N1" s="490">
        <f>IF('Soli_citud '!O1="","",'Soli_citud '!O1)</f>
        <v>17</v>
      </c>
      <c r="O1" s="491"/>
      <c r="P1" s="429" t="s">
        <v>54</v>
      </c>
      <c r="Q1" s="430"/>
      <c r="R1" s="435" t="str">
        <f>IF('Soli_citud '!D4="","",'Soli_citud '!D4)</f>
        <v xml:space="preserve">porta herramientas </v>
      </c>
      <c r="S1" s="436"/>
      <c r="Z1" t="s">
        <v>55</v>
      </c>
      <c r="AA1" s="241" t="s">
        <v>55</v>
      </c>
    </row>
    <row r="2" spans="1:27" ht="15.75" customHeight="1" thickBot="1">
      <c r="A2" s="240"/>
      <c r="B2" s="483"/>
      <c r="C2" s="484"/>
      <c r="D2" s="461"/>
      <c r="E2" s="462"/>
      <c r="F2" s="462"/>
      <c r="G2" s="462"/>
      <c r="H2" s="462"/>
      <c r="I2" s="463"/>
      <c r="J2" s="492" t="s">
        <v>56</v>
      </c>
      <c r="K2" s="493"/>
      <c r="L2" s="493"/>
      <c r="M2" s="494"/>
      <c r="N2" s="495" t="str">
        <f>'Soli_citud '!F1</f>
        <v>MA1701-1</v>
      </c>
      <c r="O2" s="415"/>
      <c r="P2" s="431"/>
      <c r="Q2" s="432"/>
      <c r="R2" s="437"/>
      <c r="S2" s="438"/>
    </row>
    <row r="3" spans="1:27" ht="15.75" customHeight="1">
      <c r="A3" s="240"/>
      <c r="B3" s="483"/>
      <c r="C3" s="484"/>
      <c r="D3" s="461"/>
      <c r="E3" s="462"/>
      <c r="F3" s="462"/>
      <c r="G3" s="462"/>
      <c r="H3" s="462"/>
      <c r="I3" s="463"/>
      <c r="J3" s="496" t="s">
        <v>57</v>
      </c>
      <c r="K3" s="496"/>
      <c r="L3" s="496"/>
      <c r="M3" s="496"/>
      <c r="N3" s="497">
        <f>IF('Soli_citud '!O3="","",'Soli_citud '!O3)</f>
        <v>3157746</v>
      </c>
      <c r="O3" s="498"/>
      <c r="P3" s="431"/>
      <c r="Q3" s="432"/>
      <c r="R3" s="439" t="str" cm="1">
        <f t="array" ref="R3">IFERROR(_xlfn.IFS(L4="Calzado Producción","Entrega de Producto",L4="Marroquinería  Producción","Entrega Producto"),"")</f>
        <v/>
      </c>
      <c r="S3" s="440"/>
    </row>
    <row r="4" spans="1:27" ht="15.75" customHeight="1">
      <c r="A4" s="240"/>
      <c r="B4" s="485"/>
      <c r="C4" s="486"/>
      <c r="D4" s="464"/>
      <c r="E4" s="465"/>
      <c r="F4" s="465"/>
      <c r="G4" s="465"/>
      <c r="H4" s="465"/>
      <c r="I4" s="466"/>
      <c r="J4" s="444" t="s">
        <v>58</v>
      </c>
      <c r="K4" s="444"/>
      <c r="L4" s="444"/>
      <c r="M4" s="445" t="str">
        <f>IF('Soli_citud '!O4="","",'Soli_citud '!O4)</f>
        <v>Marroquinería Formación</v>
      </c>
      <c r="N4" s="445"/>
      <c r="O4" s="446"/>
      <c r="P4" s="431"/>
      <c r="Q4" s="432"/>
      <c r="R4" s="306"/>
      <c r="S4" s="441"/>
    </row>
    <row r="5" spans="1:27" ht="2.25" customHeight="1">
      <c r="A5" s="240"/>
      <c r="P5" s="431"/>
      <c r="Q5" s="432"/>
    </row>
    <row r="6" spans="1:27" ht="27" customHeight="1">
      <c r="A6" s="240"/>
      <c r="B6" s="447" t="s">
        <v>59</v>
      </c>
      <c r="C6" s="448"/>
      <c r="D6" s="449"/>
      <c r="E6" s="453" t="s">
        <v>60</v>
      </c>
      <c r="F6" s="453"/>
      <c r="G6" s="453"/>
      <c r="H6" s="453"/>
      <c r="I6" s="454"/>
      <c r="J6" s="455"/>
      <c r="K6" s="456"/>
      <c r="L6" s="456"/>
      <c r="M6" s="456"/>
      <c r="N6" s="457"/>
      <c r="O6" s="457"/>
      <c r="P6" s="431"/>
      <c r="Q6" s="432"/>
      <c r="R6" s="417" t="str">
        <f>IF(R3="","","Valor de Producción ($)")</f>
        <v/>
      </c>
      <c r="S6" s="418"/>
    </row>
    <row r="7" spans="1:27" ht="3.75" customHeight="1">
      <c r="A7" s="240"/>
      <c r="B7" s="450"/>
      <c r="C7" s="451"/>
      <c r="D7" s="452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1"/>
      <c r="Q7" s="432"/>
      <c r="R7" s="419" t="str">
        <f>IFERROR(IF(R3="","",G9*M10),"")</f>
        <v/>
      </c>
      <c r="S7" s="420"/>
    </row>
    <row r="8" spans="1:27" ht="20.25" customHeight="1">
      <c r="A8" s="240"/>
      <c r="B8" s="421">
        <f>IF('Soli_citud '!D5&lt;= 0,"",'Soli_citud '!D5)</f>
        <v>3645.0773732937037</v>
      </c>
      <c r="C8" s="422"/>
      <c r="D8" s="423"/>
      <c r="E8" s="424" t="s">
        <v>61</v>
      </c>
      <c r="F8" s="425"/>
      <c r="G8" s="425"/>
      <c r="H8" s="425"/>
      <c r="I8" s="426"/>
      <c r="J8" s="427" t="str">
        <f>IF('Soli_citud '!E2="","",'Soli_citud '!E2)</f>
        <v>MONICA ANDREA BRAVO LEITON</v>
      </c>
      <c r="K8" s="428"/>
      <c r="L8" s="428"/>
      <c r="M8" s="428"/>
      <c r="N8" s="428"/>
      <c r="O8" s="428"/>
      <c r="P8" s="431"/>
      <c r="Q8" s="432"/>
      <c r="R8" s="419"/>
      <c r="S8" s="420"/>
    </row>
    <row r="9" spans="1:27" ht="3.75" customHeight="1">
      <c r="A9" s="240"/>
      <c r="B9" s="467" t="s">
        <v>62</v>
      </c>
      <c r="C9" s="468"/>
      <c r="D9" s="471"/>
      <c r="E9" s="472" t="s">
        <v>63</v>
      </c>
      <c r="F9" s="472"/>
      <c r="G9" s="473" t="str">
        <f>IFERROR(IF(D9="","",ROUNDUP(B8*(1+D9),-2)),"")</f>
        <v/>
      </c>
      <c r="H9" s="474"/>
      <c r="I9" s="475"/>
      <c r="J9" s="105"/>
      <c r="K9" s="105"/>
      <c r="L9" s="105"/>
      <c r="M9" s="105"/>
      <c r="N9" s="105"/>
      <c r="O9" s="105"/>
      <c r="P9" s="431"/>
      <c r="Q9" s="432"/>
    </row>
    <row r="10" spans="1:27" ht="27.75" customHeight="1" thickBot="1">
      <c r="A10" s="240"/>
      <c r="B10" s="469"/>
      <c r="C10" s="470"/>
      <c r="D10" s="471"/>
      <c r="E10" s="472"/>
      <c r="F10" s="472"/>
      <c r="G10" s="476"/>
      <c r="H10" s="477"/>
      <c r="I10" s="478"/>
      <c r="J10" s="479" t="s">
        <v>64</v>
      </c>
      <c r="K10" s="479"/>
      <c r="L10" s="480"/>
      <c r="M10" s="250">
        <f>'[1]Soli_citud '!K5</f>
        <v>1</v>
      </c>
      <c r="N10" s="442" t="s">
        <v>65</v>
      </c>
      <c r="O10" s="443"/>
      <c r="P10" s="433"/>
      <c r="Q10" s="434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2" t="s">
        <v>69</v>
      </c>
      <c r="D11" s="413"/>
      <c r="E11" s="413"/>
      <c r="F11" s="414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5" t="s">
        <v>24</v>
      </c>
      <c r="M11" s="416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MA1701-1</v>
      </c>
      <c r="C12" s="409" t="str">
        <f>IFERROR(IF('Soli_citud '!D10="","",'Soli_citud '!D10),"")</f>
        <v xml:space="preserve">CUERO TALA #2
</v>
      </c>
      <c r="D12" s="409"/>
      <c r="E12" s="409"/>
      <c r="F12" s="409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13</v>
      </c>
      <c r="I12" s="214">
        <v>45952</v>
      </c>
      <c r="J12" s="215">
        <v>13</v>
      </c>
      <c r="K12" s="197" t="str" cm="1">
        <f t="array" ref="K12">IFERROR(_xlfn.IFS(H12="","",J12=H12,"Cumplido",J12&lt;H12,H12-J12,J12&gt;H12,"Revisar"),"")</f>
        <v>Cumplido</v>
      </c>
      <c r="L12" s="410"/>
      <c r="M12" s="411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MA1701-1</v>
      </c>
      <c r="C13" s="409" t="str">
        <f>IFERROR(IF('Soli_citud '!D11="","",'Soli_citud '!D11),"")</f>
        <v xml:space="preserve">AGUJAS CAPOTERA CON PUNTA #5
</v>
      </c>
      <c r="D13" s="409"/>
      <c r="E13" s="409"/>
      <c r="F13" s="409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26</v>
      </c>
      <c r="I13" s="214">
        <v>45952</v>
      </c>
      <c r="J13" s="216">
        <v>0</v>
      </c>
      <c r="K13" s="197" cm="1">
        <f t="array" ref="K13">IFERROR(_xlfn.IFS(H13="","",J13=H13,"Cumplido",J13&lt;H13,H13-J13,J13&gt;H13,"Revisar"),"")</f>
        <v>26</v>
      </c>
      <c r="L13" s="410" t="s">
        <v>1391</v>
      </c>
      <c r="M13" s="411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MA1701-1</v>
      </c>
      <c r="C14" s="409" t="str">
        <f>IFERROR(IF('Soli_citud '!D12="","",'Soli_citud '!D12),"")</f>
        <v>CINTA DE ENMASCARAR  2 "</v>
      </c>
      <c r="D14" s="409"/>
      <c r="E14" s="409"/>
      <c r="F14" s="409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2.6</v>
      </c>
      <c r="I14" s="214">
        <v>45952</v>
      </c>
      <c r="J14" s="216">
        <v>1</v>
      </c>
      <c r="K14" s="197" cm="1">
        <f t="array" ref="K14">IFERROR(_xlfn.IFS(H14="","",J14=H14,"Cumplido",J14&lt;H14,H14-J14,J14&gt;H14,"Revisar"),"")</f>
        <v>1.6</v>
      </c>
      <c r="L14" s="410"/>
      <c r="M14" s="411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MA1701-1</v>
      </c>
      <c r="C15" s="409" t="str">
        <f>IFERROR(IF('Soli_citud '!D13="","",'Soli_citud '!D13),"")</f>
        <v>LLAVE METÁLICA DESLIZADOR   #6 PARA CREMALLERA - CREMA</v>
      </c>
      <c r="D15" s="409"/>
      <c r="E15" s="409"/>
      <c r="F15" s="409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26</v>
      </c>
      <c r="I15" s="214">
        <v>45952</v>
      </c>
      <c r="J15" s="216">
        <v>26</v>
      </c>
      <c r="K15" s="197" t="str" cm="1">
        <f t="array" ref="K15">IFERROR(_xlfn.IFS(H15="","",J15=H15,"Cumplido",J15&lt;H15,H15-J15,J15&gt;H15,"Revisar"),"")</f>
        <v>Cumplido</v>
      </c>
      <c r="L15" s="410"/>
      <c r="M15" s="411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MA1701-1</v>
      </c>
      <c r="C16" s="409" t="str">
        <f>IFERROR(IF('Soli_citud '!D14="","",'Soli_citud '!D14),"")</f>
        <v>CREMALLERA POLIÉSTER #6</v>
      </c>
      <c r="D16" s="409"/>
      <c r="E16" s="409"/>
      <c r="F16" s="409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910</v>
      </c>
      <c r="I16" s="214">
        <v>45952</v>
      </c>
      <c r="J16" s="216">
        <v>910</v>
      </c>
      <c r="K16" s="197" t="str" cm="1">
        <f t="array" ref="K16">IFERROR(_xlfn.IFS(H16="","",J16=H16,"Cumplido",J16&lt;H16,H16-J16,J16&gt;H16,"Revisar"),"")</f>
        <v>Cumplido</v>
      </c>
      <c r="L16" s="410"/>
      <c r="M16" s="411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MA1701-1</v>
      </c>
      <c r="C17" s="409" t="str">
        <f>IFERROR(IF('Soli_citud '!D15="","",'Soli_citud '!D15),"")</f>
        <v>CINTA FALLA  25 mm beige _ rollo</v>
      </c>
      <c r="D17" s="409"/>
      <c r="E17" s="409"/>
      <c r="F17" s="409"/>
      <c r="G17" s="213" t="str">
        <f>IF('Soli_citud '!O15="","",'Soli_citud '!O15)</f>
        <v>cm</v>
      </c>
      <c r="H17" s="213" cm="1">
        <f t="array" ref="H17">_xlfn.IFS('Soli_citud '!S15="","",'Soli_citud '!S15&lt;=0,"",'Soli_citud '!S15&gt;0,'Soli_citud '!S15)</f>
        <v>1560</v>
      </c>
      <c r="I17" s="214">
        <v>45952</v>
      </c>
      <c r="J17" s="216"/>
      <c r="K17" s="197" cm="1">
        <f t="array" ref="K17">IFERROR(_xlfn.IFS(H17="","",J17=H17,"Cumplido",J17&lt;H17,H17-J17,J17&gt;H17,"Revisar"),"")</f>
        <v>1560</v>
      </c>
      <c r="L17" s="410" t="s">
        <v>1392</v>
      </c>
      <c r="M17" s="411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MA1701-1</v>
      </c>
      <c r="C18" s="409" t="str">
        <f>IFERROR(IF('Soli_citud '!D16="","",'Soli_citud '!D16),"")</f>
        <v xml:space="preserve">HILO NYLON #40
</v>
      </c>
      <c r="D18" s="409"/>
      <c r="E18" s="409"/>
      <c r="F18" s="409"/>
      <c r="G18" s="213" t="str">
        <f>IF('Soli_citud '!O16="","",'Soli_citud '!O16)</f>
        <v>Cono</v>
      </c>
      <c r="H18" s="213" cm="1">
        <f t="array" ref="H18">_xlfn.IFS('Soli_citud '!S16="","",'Soli_citud '!S16&lt;=0,"",'Soli_citud '!S16&gt;0,'Soli_citud '!S16)</f>
        <v>2.08</v>
      </c>
      <c r="I18" s="214">
        <v>45952</v>
      </c>
      <c r="J18" s="216">
        <v>2.08</v>
      </c>
      <c r="K18" s="197" t="str" cm="1">
        <f t="array" ref="K18">IFERROR(_xlfn.IFS(H18="","",J18=H18,"Cumplido",J18&lt;H18,H18-J18,J18&gt;H18,"Revisar"),"")</f>
        <v>Cumplido</v>
      </c>
      <c r="L18" s="410"/>
      <c r="M18" s="411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MA1701-1</v>
      </c>
      <c r="C19" s="409" t="str">
        <f>IFERROR(IF('Soli_citud '!D17="","",'Soli_citud '!D17),"")</f>
        <v>YUMBOLON 4mm (CM²)</v>
      </c>
      <c r="D19" s="409"/>
      <c r="E19" s="409"/>
      <c r="F19" s="409"/>
      <c r="G19" s="213" t="str">
        <f>IF('Soli_citud '!O17="","",'Soli_citud '!O17)</f>
        <v>cm2</v>
      </c>
      <c r="H19" s="213" cm="1">
        <f t="array" ref="H19">_xlfn.IFS('Soli_citud '!S17="","",'Soli_citud '!S17&lt;=0,"",'Soli_citud '!S17&gt;0,'Soli_citud '!S17)</f>
        <v>8450</v>
      </c>
      <c r="I19" s="214">
        <v>45952</v>
      </c>
      <c r="J19" s="216">
        <v>8450</v>
      </c>
      <c r="K19" s="197" t="str" cm="1">
        <f t="array" ref="K19">IFERROR(_xlfn.IFS(H19="","",J19=H19,"Cumplido",J19&lt;H19,H19-J19,J19&gt;H19,"Revisar"),"")</f>
        <v>Cumplido</v>
      </c>
      <c r="L19" s="410"/>
      <c r="M19" s="411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MA1701-1</v>
      </c>
      <c r="C20" s="409" t="str">
        <f>IFERROR(IF('Soli_citud '!D18="","",'Soli_citud '!D18),"")</f>
        <v>SEDA TAFETA 100% POLIESTER</v>
      </c>
      <c r="D20" s="409"/>
      <c r="E20" s="409"/>
      <c r="F20" s="409"/>
      <c r="G20" s="213" t="str">
        <f>IF('Soli_citud '!O18="","",'Soli_citud '!O18)</f>
        <v>cm2</v>
      </c>
      <c r="H20" s="213" cm="1">
        <f t="array" ref="H20">_xlfn.IFS('Soli_citud '!S18="","",'Soli_citud '!S18&lt;=0,"",'Soli_citud '!S18&gt;0,'Soli_citud '!S18)</f>
        <v>27300</v>
      </c>
      <c r="I20" s="214">
        <v>45952</v>
      </c>
      <c r="J20" s="216">
        <v>25000</v>
      </c>
      <c r="K20" s="197" cm="1">
        <f t="array" ref="K20">IFERROR(_xlfn.IFS(H20="","",J20=H20,"Cumplido",J20&lt;H20,H20-J20,J20&gt;H20,"Revisar"),"")</f>
        <v>2300</v>
      </c>
      <c r="L20" s="410"/>
      <c r="M20" s="411"/>
      <c r="N20" s="215">
        <v>140</v>
      </c>
      <c r="O20" s="198">
        <f t="shared" si="3"/>
        <v>195</v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39.75" customHeight="1">
      <c r="A21" s="74">
        <v>11</v>
      </c>
      <c r="B21" s="243" t="str">
        <f t="shared" si="1"/>
        <v>MA1701-1</v>
      </c>
      <c r="C21" s="409" t="str">
        <f>IFERROR(IF('Soli_citud '!D19="","",'Soli_citud '!D19),"")</f>
        <v xml:space="preserve">PEGANTE CEMENTO DE CONTACTO BASE CLOROPRENO
</v>
      </c>
      <c r="D21" s="409"/>
      <c r="E21" s="409"/>
      <c r="F21" s="409"/>
      <c r="G21" s="213" t="str">
        <f>IF('Soli_citud '!O19="","",'Soli_citud '!O19)</f>
        <v>ml</v>
      </c>
      <c r="H21" s="213" cm="1">
        <f t="array" ref="H21">_xlfn.IFS('Soli_citud '!S19="","",'Soli_citud '!S19&lt;=0,"",'Soli_citud '!S19&gt;0,'Soli_citud '!S19)</f>
        <v>390</v>
      </c>
      <c r="I21" s="214">
        <v>45952</v>
      </c>
      <c r="J21" s="216">
        <v>390</v>
      </c>
      <c r="K21" s="197" t="str" cm="1">
        <f t="array" ref="K21">IFERROR(_xlfn.IFS(H21="","",J21=H21,"Cumplido",J21&lt;H21,H21-J21,J21&gt;H21,"Revisar"),"")</f>
        <v>Cumplido</v>
      </c>
      <c r="L21" s="410"/>
      <c r="M21" s="411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9" t="str">
        <f>IFERROR(IF('Soli_citud '!D20="","",'Soli_citud '!D20),"")</f>
        <v/>
      </c>
      <c r="D22" s="409"/>
      <c r="E22" s="409"/>
      <c r="F22" s="409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10"/>
      <c r="M22" s="411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9" t="str">
        <f>IFERROR(IF('Soli_citud '!D21="","",'Soli_citud '!D21),"")</f>
        <v/>
      </c>
      <c r="D23" s="409"/>
      <c r="E23" s="409"/>
      <c r="F23" s="409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10"/>
      <c r="M23" s="411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9" t="str">
        <f>IFERROR(IF('Soli_citud '!D22="","",'Soli_citud '!D22),"")</f>
        <v/>
      </c>
      <c r="D24" s="409"/>
      <c r="E24" s="409"/>
      <c r="F24" s="409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10"/>
      <c r="M24" s="411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9" t="str">
        <f>IFERROR(IF('Soli_citud '!D23="","",'Soli_citud '!D23),"")</f>
        <v/>
      </c>
      <c r="D25" s="409"/>
      <c r="E25" s="409"/>
      <c r="F25" s="409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10"/>
      <c r="M25" s="411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9" t="str">
        <f>IFERROR(IF('Soli_citud '!D24="","",'Soli_citud '!D24),"")</f>
        <v/>
      </c>
      <c r="D26" s="409"/>
      <c r="E26" s="409"/>
      <c r="F26" s="409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10"/>
      <c r="M26" s="411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9" t="str">
        <f>IFERROR(IF('Soli_citud '!D25="","",'Soli_citud '!D25),"")</f>
        <v/>
      </c>
      <c r="D27" s="409"/>
      <c r="E27" s="409"/>
      <c r="F27" s="409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10"/>
      <c r="M27" s="411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9" t="str">
        <f>IFERROR(IF('Soli_citud '!D26="","",'Soli_citud '!D26),"")</f>
        <v/>
      </c>
      <c r="D28" s="409"/>
      <c r="E28" s="409"/>
      <c r="F28" s="409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10"/>
      <c r="M28" s="411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9" t="str">
        <f>IFERROR(IF('Soli_citud '!D27="","",'Soli_citud '!D27),"")</f>
        <v/>
      </c>
      <c r="D29" s="409"/>
      <c r="E29" s="409"/>
      <c r="F29" s="409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10"/>
      <c r="M29" s="411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9" t="str">
        <f>IFERROR(IF('Soli_citud '!D28="","",'Soli_citud '!D28),"")</f>
        <v/>
      </c>
      <c r="D30" s="409"/>
      <c r="E30" s="409"/>
      <c r="F30" s="409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10"/>
      <c r="M30" s="411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9" t="str">
        <f>IFERROR(IF('Soli_citud '!D29="","",'Soli_citud '!D29),"")</f>
        <v/>
      </c>
      <c r="D31" s="409"/>
      <c r="E31" s="409"/>
      <c r="F31" s="409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10"/>
      <c r="M31" s="411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9" t="str">
        <f>IFERROR(IF('Soli_citud '!D30="","",'Soli_citud '!D30),"")</f>
        <v/>
      </c>
      <c r="D32" s="409"/>
      <c r="E32" s="409"/>
      <c r="F32" s="409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10"/>
      <c r="M32" s="411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4"/>
      <c r="B1" s="504"/>
      <c r="C1" s="504"/>
      <c r="D1" s="504"/>
      <c r="E1" s="507" t="s">
        <v>81</v>
      </c>
      <c r="F1" s="507"/>
      <c r="H1" s="278" t="s">
        <v>82</v>
      </c>
      <c r="Z1" s="241" t="s">
        <v>83</v>
      </c>
    </row>
    <row r="2" spans="1:26" ht="18.75" customHeight="1">
      <c r="A2" s="504"/>
      <c r="B2" s="504"/>
      <c r="C2" s="504"/>
      <c r="D2" s="504"/>
      <c r="E2" s="507"/>
      <c r="F2" s="507"/>
    </row>
    <row r="3" spans="1:26" ht="24" customHeight="1">
      <c r="A3" s="504"/>
      <c r="B3" s="504"/>
      <c r="C3" s="504"/>
      <c r="D3" s="504"/>
      <c r="E3" s="508">
        <f>SUM(Total_AdhySol,Total_SECUNDARIO_MEDULAR,Total_Cuero,Total_Herrajes,Total_Sint_y_Tex,Total_Suelas,Total_Herramientas,Total_Ins_Compl)</f>
        <v>860</v>
      </c>
      <c r="F3" s="508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5"/>
      <c r="D6" s="506"/>
      <c r="H6" s="503" t="s">
        <v>85</v>
      </c>
      <c r="I6" s="503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9"/>
      <c r="D612" s="499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0"/>
      <c r="D658" s="501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9"/>
      <c r="D1107" s="499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2"/>
      <c r="D1166" s="501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9"/>
      <c r="D1275" s="499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9"/>
      <c r="D1331" s="499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9"/>
      <c r="D1416" s="499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9"/>
      <c r="D1510" s="499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29" activePane="bottomLeft" state="frozen"/>
      <selection activeCell="D13" sqref="D13:N13"/>
      <selection pane="bottomLeft" activeCell="H33" sqref="H3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14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9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ht="26.25" outlineLevel="1">
      <c r="H30" s="296" t="s">
        <v>1387</v>
      </c>
      <c r="I30" s="4">
        <v>27082270</v>
      </c>
    </row>
    <row r="31" spans="1:9" outlineLevel="1">
      <c r="H31" s="296" t="s">
        <v>1388</v>
      </c>
      <c r="I31" s="4">
        <v>11111111</v>
      </c>
    </row>
    <row r="32" spans="1:9" outlineLevel="1">
      <c r="H32" s="211" t="s">
        <v>1389</v>
      </c>
      <c r="I32" s="211">
        <v>22788941</v>
      </c>
    </row>
    <row r="33" outlineLevel="1"/>
    <row r="34" outlineLevel="1"/>
    <row r="35" outlineLevel="1"/>
    <row r="36" outlineLevel="1"/>
    <row r="37" outlineLevel="1"/>
  </sheetData>
  <sheetProtection algorithmName="SHA-512" hashValue="KCuVgaQ1kI9h1S4PbgzYwXPnTbBtg8P2vxFK5ugkQI4FMnY8bx03/HdG66OzyqCT9x0cGndgQvEuNXFSyX5voQ==" saltValue="8H2L5wngOQ2sSuc7XLC3J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2025-11-20T19:32:29Z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2025-09-15T19:52:49Z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32d5ea86-0f10-41a5-ad98-2ff93c61970f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