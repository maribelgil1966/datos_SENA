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marum\Documents\UdeA\2026-2\metas por centro\necesidades de materia prima para cada vigencia del cetro\2023\"/>
    </mc:Choice>
  </mc:AlternateContent>
  <xr:revisionPtr revIDLastSave="0" documentId="8_{25360917-1BE6-4DCE-9039-F5463AAFF094}" xr6:coauthVersionLast="47" xr6:coauthVersionMax="47" xr10:uidLastSave="{00000000-0000-0000-0000-000000000000}"/>
  <bookViews>
    <workbookView xWindow="-108" yWindow="-108" windowWidth="23256" windowHeight="12456" xr2:uid="{00000000-000D-0000-FFFF-FFFF00000000}"/>
  </bookViews>
  <sheets>
    <sheet name="Hoja1" sheetId="1" r:id="rId1"/>
    <sheet name="Hoja2" sheetId="2" r:id="rId2"/>
    <sheet name="Hoja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3" i="1"/>
  <c r="J98"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3" i="1"/>
  <c r="G4" i="1" l="1"/>
  <c r="H4" i="1" s="1"/>
  <c r="I4" i="1" s="1"/>
  <c r="G5" i="1"/>
  <c r="G6" i="1"/>
  <c r="G7" i="1"/>
  <c r="G8" i="1"/>
  <c r="H8" i="1" s="1"/>
  <c r="I8" i="1" s="1"/>
  <c r="G9" i="1"/>
  <c r="H9" i="1" s="1"/>
  <c r="I9" i="1" s="1"/>
  <c r="G10" i="1"/>
  <c r="H10" i="1" s="1"/>
  <c r="I10" i="1" s="1"/>
  <c r="G11" i="1"/>
  <c r="G12" i="1"/>
  <c r="H12" i="1" s="1"/>
  <c r="I12" i="1" s="1"/>
  <c r="G13" i="1"/>
  <c r="G14" i="1"/>
  <c r="G15" i="1"/>
  <c r="G16" i="1"/>
  <c r="H16" i="1" s="1"/>
  <c r="I16" i="1" s="1"/>
  <c r="G17" i="1"/>
  <c r="H17" i="1" s="1"/>
  <c r="I17" i="1" s="1"/>
  <c r="G18" i="1"/>
  <c r="H18" i="1" s="1"/>
  <c r="I18" i="1" s="1"/>
  <c r="G19" i="1"/>
  <c r="G20" i="1"/>
  <c r="H20" i="1" s="1"/>
  <c r="I20" i="1" s="1"/>
  <c r="G21" i="1"/>
  <c r="G22" i="1"/>
  <c r="G23" i="1"/>
  <c r="G24" i="1"/>
  <c r="H24" i="1" s="1"/>
  <c r="I24" i="1" s="1"/>
  <c r="G25" i="1"/>
  <c r="H25" i="1" s="1"/>
  <c r="I25" i="1" s="1"/>
  <c r="G26" i="1"/>
  <c r="H26" i="1" s="1"/>
  <c r="I26" i="1" s="1"/>
  <c r="G27" i="1"/>
  <c r="G28" i="1"/>
  <c r="H28" i="1" s="1"/>
  <c r="I28" i="1" s="1"/>
  <c r="G29" i="1"/>
  <c r="G30" i="1"/>
  <c r="G31" i="1"/>
  <c r="G32" i="1"/>
  <c r="H32" i="1" s="1"/>
  <c r="I32" i="1" s="1"/>
  <c r="G33" i="1"/>
  <c r="H33" i="1" s="1"/>
  <c r="I33" i="1" s="1"/>
  <c r="G34" i="1"/>
  <c r="H34" i="1" s="1"/>
  <c r="I34" i="1" s="1"/>
  <c r="G35" i="1"/>
  <c r="G36" i="1"/>
  <c r="H36" i="1" s="1"/>
  <c r="I36" i="1" s="1"/>
  <c r="G37" i="1"/>
  <c r="G38" i="1"/>
  <c r="G39" i="1"/>
  <c r="G40" i="1"/>
  <c r="H40" i="1" s="1"/>
  <c r="I40" i="1" s="1"/>
  <c r="G41" i="1"/>
  <c r="H41" i="1" s="1"/>
  <c r="I41" i="1" s="1"/>
  <c r="G42" i="1"/>
  <c r="G43" i="1"/>
  <c r="H43" i="1" s="1"/>
  <c r="I43" i="1" s="1"/>
  <c r="G44" i="1"/>
  <c r="H44" i="1" s="1"/>
  <c r="I44" i="1" s="1"/>
  <c r="G45" i="1"/>
  <c r="G46" i="1"/>
  <c r="G47" i="1"/>
  <c r="G48" i="1"/>
  <c r="H48" i="1" s="1"/>
  <c r="I48" i="1" s="1"/>
  <c r="G49" i="1"/>
  <c r="H49" i="1" s="1"/>
  <c r="I49" i="1" s="1"/>
  <c r="G50" i="1"/>
  <c r="H50" i="1" s="1"/>
  <c r="I50" i="1" s="1"/>
  <c r="G51" i="1"/>
  <c r="H51" i="1" s="1"/>
  <c r="I51" i="1" s="1"/>
  <c r="G52" i="1"/>
  <c r="H52" i="1" s="1"/>
  <c r="I52" i="1" s="1"/>
  <c r="G53" i="1"/>
  <c r="G54" i="1"/>
  <c r="G55" i="1"/>
  <c r="G56" i="1"/>
  <c r="H56" i="1" s="1"/>
  <c r="I56" i="1" s="1"/>
  <c r="G57" i="1"/>
  <c r="H57" i="1" s="1"/>
  <c r="I57" i="1" s="1"/>
  <c r="G58" i="1"/>
  <c r="G59" i="1"/>
  <c r="H59" i="1" s="1"/>
  <c r="I59" i="1" s="1"/>
  <c r="G60" i="1"/>
  <c r="H60" i="1" s="1"/>
  <c r="I60" i="1" s="1"/>
  <c r="G61" i="1"/>
  <c r="G62" i="1"/>
  <c r="G63" i="1"/>
  <c r="G64" i="1"/>
  <c r="H64" i="1" s="1"/>
  <c r="I64" i="1" s="1"/>
  <c r="G65" i="1"/>
  <c r="H65" i="1" s="1"/>
  <c r="I65" i="1" s="1"/>
  <c r="G66" i="1"/>
  <c r="H66" i="1" s="1"/>
  <c r="I66" i="1" s="1"/>
  <c r="G67" i="1"/>
  <c r="H67" i="1" s="1"/>
  <c r="I67" i="1" s="1"/>
  <c r="G68" i="1"/>
  <c r="H68" i="1" s="1"/>
  <c r="I68" i="1" s="1"/>
  <c r="G69" i="1"/>
  <c r="G70" i="1"/>
  <c r="G71" i="1"/>
  <c r="G72" i="1"/>
  <c r="H72" i="1" s="1"/>
  <c r="I72" i="1" s="1"/>
  <c r="G73" i="1"/>
  <c r="H73" i="1" s="1"/>
  <c r="I73" i="1" s="1"/>
  <c r="G74" i="1"/>
  <c r="G75" i="1"/>
  <c r="H75" i="1" s="1"/>
  <c r="I75" i="1" s="1"/>
  <c r="G76" i="1"/>
  <c r="H76" i="1" s="1"/>
  <c r="I76" i="1" s="1"/>
  <c r="G77" i="1"/>
  <c r="G78" i="1"/>
  <c r="G79" i="1"/>
  <c r="G80" i="1"/>
  <c r="H80" i="1" s="1"/>
  <c r="I80" i="1" s="1"/>
  <c r="G81" i="1"/>
  <c r="H81" i="1" s="1"/>
  <c r="I81" i="1" s="1"/>
  <c r="G82" i="1"/>
  <c r="H82" i="1" s="1"/>
  <c r="I82" i="1" s="1"/>
  <c r="G83" i="1"/>
  <c r="H83" i="1" s="1"/>
  <c r="I83" i="1" s="1"/>
  <c r="G84" i="1"/>
  <c r="H84" i="1" s="1"/>
  <c r="I84" i="1" s="1"/>
  <c r="G85" i="1"/>
  <c r="G86" i="1"/>
  <c r="G87" i="1"/>
  <c r="G88" i="1"/>
  <c r="G89" i="1"/>
  <c r="G90" i="1"/>
  <c r="H90" i="1" s="1"/>
  <c r="I90" i="1" s="1"/>
  <c r="G91" i="1"/>
  <c r="H91" i="1" s="1"/>
  <c r="I91" i="1" s="1"/>
  <c r="G92" i="1"/>
  <c r="H92" i="1" s="1"/>
  <c r="I92" i="1" s="1"/>
  <c r="G93" i="1"/>
  <c r="G94" i="1"/>
  <c r="H94" i="1" s="1"/>
  <c r="I94" i="1" s="1"/>
  <c r="G95" i="1"/>
  <c r="G96" i="1"/>
  <c r="H96" i="1" s="1"/>
  <c r="I96" i="1" s="1"/>
  <c r="G97" i="1"/>
  <c r="H97" i="1" s="1"/>
  <c r="I97" i="1" s="1"/>
  <c r="G3" i="1"/>
  <c r="H3" i="1" s="1"/>
  <c r="I3" i="1" s="1"/>
  <c r="H5" i="1"/>
  <c r="I5" i="1" s="1"/>
  <c r="H6" i="1"/>
  <c r="I6" i="1" s="1"/>
  <c r="H7" i="1"/>
  <c r="H11" i="1"/>
  <c r="I11" i="1" s="1"/>
  <c r="H13" i="1"/>
  <c r="I13" i="1" s="1"/>
  <c r="H14" i="1"/>
  <c r="I14" i="1" s="1"/>
  <c r="H15" i="1"/>
  <c r="I15" i="1" s="1"/>
  <c r="H19" i="1"/>
  <c r="I19" i="1" s="1"/>
  <c r="H21" i="1"/>
  <c r="I21" i="1" s="1"/>
  <c r="H22" i="1"/>
  <c r="I22" i="1" s="1"/>
  <c r="H23" i="1"/>
  <c r="I23" i="1" s="1"/>
  <c r="H27" i="1"/>
  <c r="I27" i="1" s="1"/>
  <c r="H29" i="1"/>
  <c r="I29" i="1" s="1"/>
  <c r="H30" i="1"/>
  <c r="I30" i="1" s="1"/>
  <c r="H31" i="1"/>
  <c r="I31" i="1" s="1"/>
  <c r="H35" i="1"/>
  <c r="I35" i="1" s="1"/>
  <c r="H37" i="1"/>
  <c r="I37" i="1" s="1"/>
  <c r="H38" i="1"/>
  <c r="I38" i="1" s="1"/>
  <c r="H39" i="1"/>
  <c r="I39" i="1" s="1"/>
  <c r="H42" i="1"/>
  <c r="I42" i="1" s="1"/>
  <c r="H45" i="1"/>
  <c r="I45" i="1" s="1"/>
  <c r="H46" i="1"/>
  <c r="I46" i="1" s="1"/>
  <c r="H47" i="1"/>
  <c r="I47" i="1" s="1"/>
  <c r="H53" i="1"/>
  <c r="I53" i="1" s="1"/>
  <c r="H54" i="1"/>
  <c r="I54" i="1" s="1"/>
  <c r="H55" i="1"/>
  <c r="I55" i="1" s="1"/>
  <c r="H58" i="1"/>
  <c r="I58" i="1" s="1"/>
  <c r="H61" i="1"/>
  <c r="I61" i="1" s="1"/>
  <c r="H62" i="1"/>
  <c r="I62" i="1" s="1"/>
  <c r="H63" i="1"/>
  <c r="I63" i="1" s="1"/>
  <c r="H69" i="1"/>
  <c r="I69" i="1" s="1"/>
  <c r="H70" i="1"/>
  <c r="I70" i="1" s="1"/>
  <c r="H71" i="1"/>
  <c r="I71" i="1" s="1"/>
  <c r="H74" i="1"/>
  <c r="I74" i="1" s="1"/>
  <c r="H77" i="1"/>
  <c r="I77" i="1" s="1"/>
  <c r="H78" i="1"/>
  <c r="I78" i="1" s="1"/>
  <c r="H79" i="1"/>
  <c r="I79" i="1" s="1"/>
  <c r="H85" i="1"/>
  <c r="I85" i="1" s="1"/>
  <c r="H86" i="1"/>
  <c r="I86" i="1" s="1"/>
  <c r="H87" i="1"/>
  <c r="I87" i="1" s="1"/>
  <c r="H88" i="1"/>
  <c r="I88" i="1" s="1"/>
  <c r="H89" i="1"/>
  <c r="I89" i="1" s="1"/>
  <c r="H93" i="1"/>
  <c r="I93" i="1" s="1"/>
  <c r="H95" i="1"/>
  <c r="I95" i="1" s="1"/>
  <c r="I98" i="1" l="1"/>
</calcChain>
</file>

<file path=xl/sharedStrings.xml><?xml version="1.0" encoding="utf-8"?>
<sst xmlns="http://schemas.openxmlformats.org/spreadsheetml/2006/main" count="212" uniqueCount="210">
  <si>
    <t>OFERTA ECONOMICA AJUSTADA
LOTE 3 PELETERIA</t>
  </si>
  <si>
    <t>ítem</t>
  </si>
  <si>
    <t>Código UNSPSC</t>
  </si>
  <si>
    <t>Producto</t>
  </si>
  <si>
    <t>Descripción</t>
  </si>
  <si>
    <t>CANTIDD</t>
  </si>
  <si>
    <t xml:space="preserve">Valor Unitario sin IVA </t>
  </si>
  <si>
    <t>Valor del IVA (%)</t>
  </si>
  <si>
    <t xml:space="preserve">Valor Unitario con IVA </t>
  </si>
  <si>
    <t>Valor Total  con IVA</t>
  </si>
  <si>
    <t>codigo</t>
  </si>
  <si>
    <t>Observaciones</t>
  </si>
  <si>
    <t>Cuero Tala #2</t>
  </si>
  <si>
    <t>Cuero con curtición vegetal, plena flor, toque liso  #2</t>
  </si>
  <si>
    <t>Faltan 595dcm Facturan 5142</t>
  </si>
  <si>
    <t>Cuero botas de seguridad</t>
  </si>
  <si>
    <t>Cuero mocasin liso, calibre 1.8-2.0mm. con caracterìsticas de resistencia, flexión e impermeabilidad ajustándose a estándares vigentes para calzado de trabajo de acuerdo la norma NTC 2038</t>
  </si>
  <si>
    <t>Faltan 627dcm Facturan 11373</t>
  </si>
  <si>
    <t>Cuero napa pigmentado</t>
  </si>
  <si>
    <t>Cuero vacuno curtición mineral. Calibre: 12-14 Curtido: mineral
Acabado: Pintado Placa: (entregar catálogo para elegir). Brillo: Medio
Tacto: sedoso. Uso: calzado y marroquinería. Colores: negro, gris, café (de acuerdo a tendencias 2024)</t>
  </si>
  <si>
    <t>Sintético de PVC -Delgado</t>
  </si>
  <si>
    <t>Material elaborado con dos capas, la capa superficie es un recubrimiento de cloruro de polivinilo y la segunda capa es tela de respaldo en tejido poliéster. Material durable, tiene excelente resistencia mecánica al impacto y resistencia al agua. Rollo x 50 mts. (Colores según catálogo de última colección)</t>
  </si>
  <si>
    <t>Sintético de PVC -Grueso</t>
  </si>
  <si>
    <t>Material elaborado con dos capas, la capa superficie es un recubrimiento de cloruro de polivinilo y la segunda capa es tela de respaldo en tejido poliéster. Material durable, tiene excelente resistencia mecánica al impacto y resistencia al agua. Rollo x 50 metros. (Colores según catálogo de última colección)</t>
  </si>
  <si>
    <t>Lona Ecológica</t>
  </si>
  <si>
    <t>Lona Ecológica Material Reciclado (Tela Pet): Tela Ecológica cuyo material de fabricación se encuentra compuesto de un porcentaje de botellas pet- postconsumo y un porcentaje de retal de confección 100% colombianos. Tela ecologica elaborada en el área metropolitana. Composicion 30% pet post- consumo y 70% algodon retal de empresas de confeccion, 7 al 10% de encogimiento al momento del estampado. peso 190gr/mt2 y ancho 1,60m. colores variados, acabado en crudo, tejido taffetan. Rollo x 50 metros.</t>
  </si>
  <si>
    <t>Textil Bondeado  para Forro</t>
  </si>
  <si>
    <t>Tela Poliéster de Malla Piqué, Terry, Monza, Malla Sandwich: Tela PK 100% de punto de poliéster de malla de piqué de tela para los zapatos deportivos y casuales. Rollos de 140 x 50 mts;  tejido de punto, forro piqué de alta tenacidad bondeado con una manta de poliéster que lo hace respirable colores : gris y negro. Rollo por 50 metros.</t>
  </si>
  <si>
    <t>Seda 30-100</t>
  </si>
  <si>
    <t>Es un textil grueso, con cuerpo, resistentete e impermeable impidiendo las filtraciones liquidas. Es de construcción robusta y sensación rústica al taco. Composición 100%poliéster. Tejido plano. Peso 130gr/m2. (Color:Beige) Rollo x 50 metros.</t>
  </si>
  <si>
    <t>Puntera y Contrafuerte Termoplástica</t>
  </si>
  <si>
    <t>Polímeros Termoplásticos: Calibre de 0.4 a 2  mm, área hojas de  1 a 1.5 m, Se utiliza para los avìos (trompa y contrafuerte) en el montaje del calzado.</t>
  </si>
  <si>
    <t>Interlón 850</t>
  </si>
  <si>
    <t>Es un tipo de tela producida al formar una red con fibras que se unen por procedimientos químicos, pero sin ser tejidas, sin pasar por un telar.
Físicamente se siente como papel tela. Es una lámina, de fibras flexibles y porosas, sin trama. Composición: Poliéster aglomerado.  Color: Blanco. Rollo por 50 metros.</t>
  </si>
  <si>
    <t>Cambrel 100 gr</t>
  </si>
  <si>
    <t>Cambrel o Politex a base100% (Polipropileno). Es un Térmoplastico cristalino obtenido por polimerización de polipropileno derivado del petróleo que se compone de microfibras unidas no tejidas, se encuentra en gran variedad de colores. Calibre 100 gr. Color: Negro. Rollo por 50 metros.</t>
  </si>
  <si>
    <t>Espuma</t>
  </si>
  <si>
    <t>Espuma flexible de celda abierta con capacidad de carga de 20 k/m3 lamina de 100 x 200 cm espesor de 10mm</t>
  </si>
  <si>
    <t>Lambrilla No.3</t>
  </si>
  <si>
    <t>Polímero termoplástico, moldeable a altas temperaturas conformado por unidades repetitivas de etileno y acetato de vinilo, conocido como "EVA" (Ethylene Vinyl Acetate).   Color: negro, calibre No.3. Presentación: Rollo por 50 metros.</t>
  </si>
  <si>
    <t>Velcro sujetador felfa y gancho 1"</t>
  </si>
  <si>
    <t>Sistema práctico de sujeción de cierre y apertura que se realiza por medio de la unión de dos cintas textiles, un lado con “ganchos” rígidos, como los cardos, y el otro con “felpa” suave. Ancho: 25mm
colores : Negro y Beige</t>
  </si>
  <si>
    <t>Velcro sujetador felfa y gancho 1,5"</t>
  </si>
  <si>
    <t>Sistema práctico de sujeción de cierre y apertura que se realiza por medio de la unión de dos cintas textiles, un lado con “ganchos” rígidos, como los cardos, y el otro con “felpa” suave. Ancho: 37,5mm
colores : Negro</t>
  </si>
  <si>
    <t>Elástico para Calzado 3cm</t>
  </si>
  <si>
    <t>Elasticos planos (Resorte) de poliester, 3cm de ancho, para calzado, color negro</t>
  </si>
  <si>
    <t>Elástico para Calzado 5cm</t>
  </si>
  <si>
    <t>Elasticos planos (Resorte) de poliester, 5cm de ancho, para calzado, color negro</t>
  </si>
  <si>
    <t>Elástico para Calzado 8cm</t>
  </si>
  <si>
    <t>Elasticos planos (Resorte) de poliester, 8cm de ancho, para calzado, color negro</t>
  </si>
  <si>
    <t>Elástico para Calzado 10cm</t>
  </si>
  <si>
    <t>Elasticos planos (Resorte) de poliester, 10cm de ancho, para calzado, color negro</t>
  </si>
  <si>
    <t>Ribete cinta falla 1"</t>
  </si>
  <si>
    <t>Cinta falla industrial para ribetear de 25 mm, con apresto, fabricada 100% poliester, cinta acanalada de excelente resistencia y calidad al ribetear. Rollo de 100mt. Colores:  Verde Militar-Beige-Negro y Gris.</t>
  </si>
  <si>
    <t>Reata de algodón 1"</t>
  </si>
  <si>
    <t>Pieza de fibra de algodón entre tejida, con formas de tiras, se puede teñir, para elaborar cinturones y correas para morrales.
Presentación: Rollo por 50 metros. Ancho: 25 mm. Calibre: Hasta 3mm. Colores: de acuerdo a tendencias de moda.</t>
  </si>
  <si>
    <t>Reata de algodón 1 1/2"</t>
  </si>
  <si>
    <t>Pieza de fibra de algodón entre tejidas, con formas de tiras, se puede teñir, para elaborar cinturones y correas para morrales. Presentación: Rollo por 50 metros. Ancho: 38 mm. Calibre: Hasta 3mm. Colores: de acuerdo a tendencias de moda.</t>
  </si>
  <si>
    <t>Reata de multifilamento o polopropileno  1"</t>
  </si>
  <si>
    <t>Tipo de Material:el polopropileno es resistente a los ácidos, los álcalis, los aceites, los disolventes orgánicos y los alcoholes .
Composicion: Multifilamento de polipropileno 100%. Anchos: (1") 25mm Elaborado en Multifilamento de polipropileno 100%. Color Negro. Presentación: Rollo por 50 metros.</t>
  </si>
  <si>
    <t>Falta 263.25 Facturan  236.75</t>
  </si>
  <si>
    <t>Reata de multifilamento o polopropileno  1 1/2"</t>
  </si>
  <si>
    <t>Tipo de Material:el polopropileno es resistente a los ácidos, los álcalis, los aceites, los disolventes orgánicos y los alcoholes .
Composicion: Multifilamento de polipropileno 100%. Anchos: (1"") 38 mm Elaborado en Multifilamento de polipropileno 100%. Color Negro. Presentación: Rollo por 50 metros.</t>
  </si>
  <si>
    <t>Reata Nylon</t>
  </si>
  <si>
    <t>Composición 100% Nylon.  Suave al tacto con sensación sedosa. Textura acanalada de bajo relieve. Satinada, de alta calidad. Medida: 38mm.
Color: Negro. Presentación: Rollo x 50 metros.</t>
  </si>
  <si>
    <t>Cordón Redondo</t>
  </si>
  <si>
    <t>Cordón textiles de seccion circular (tubular) de poliester y algodón encerado de 5 mm de ancho x  150 cm de largo. Alta resistencia a la friccion.  Color negro</t>
  </si>
  <si>
    <t>Punteras de Seguridad Composite-Talla 38</t>
  </si>
  <si>
    <t>Punteras de seguridad en material composite (material compuesto) con resistencia al impacto de minimo 200 J y resistencia a la compresion de minimo 15 kN, de acuerdo a la norma EN 12568; con resistencia dieletrica de acuerdo norma ASTM F2412  ASTM F2413. Talla 38.</t>
  </si>
  <si>
    <t>Punteras de Seguridad Composite-Talla 39</t>
  </si>
  <si>
    <t>Punteras de seguridad En material composite (material compuesto) con resistencia al impacto de minimo 200 J y resistencia a la compresion de minimo 15 kN, de acuerdo a la norma EN 12568; con resistencia dieletrica de acuerdo norma ASTM F2412  ASTM F2413. Talla 39.</t>
  </si>
  <si>
    <t>Punteras de Seguridad Composite-Talla 40</t>
  </si>
  <si>
    <t>Punteras de seguridad en material composite (material compuesto) con resistencia al impacto de minimo 200 J y resistencia a la compresion de minimo 15 kN, de acuerdo a la norma EN 12568; con resistencia dieletrica de acuerdo norma ASTM F2412  ASTM F2413. Talla 40.</t>
  </si>
  <si>
    <t>Punteras de Seguridad Composite-Talla 41</t>
  </si>
  <si>
    <t>Punteras de seguridad en material composite (material compuesto) con resistencia al impacto de minimo 200 J y resistencia a la compresion de minimo 15 kN, de acuerdo a la norma EN 12568; con resistencia dieletrica de acuerdo norma ASTM F2412  ASTM F2413. Talla 41.</t>
  </si>
  <si>
    <t>Punteras de Seguridad Composite-Talla 42</t>
  </si>
  <si>
    <t>Punteras de seguridad en material composite (material compuesto) con resistencia al impacto de minimo 200 J y resistencia a la compresion de minimo 15 kN, de acuerdo a la norma EN 12568; con resistencia dieletrica de acuerdo norma ASTM F2412  ASTM F2413. Talla 42.</t>
  </si>
  <si>
    <t>Punteras de Seguridad Composite-Talla 43</t>
  </si>
  <si>
    <t>Punteras de seguridad En material composite (material compuesto) con resistencia al impacto de minimo 200 J y resistencia a la compresion de minimo 15 kN, de acuerdo a la norma EN 12568; con resistencia dieletrica de acuerdo norma ASTM F2412  ASTM F2413 TALLA 43</t>
  </si>
  <si>
    <t>Punteras de Seguridad Composite-Talla 44</t>
  </si>
  <si>
    <t>Punteras de seguridad En material composite (material compuesto) con resistencia al impacto de minimo 200 J y resistencia a la compresion de minimo 15 kN, de acuerdo a la norma EN 12568; con resistencia dieletrica de acuerdo norma ASTM F2412  ASTM F2413. Talla 44.</t>
  </si>
  <si>
    <t>Suela en Poliuretano-Talla 38</t>
  </si>
  <si>
    <t>Suela elaborada por inyeccion de poliuretano PU-PU, impermeable, liviana, aislante termica, resistencia a Hidrocarburos (R.H) y Dielèctrica (D.E). Con resistencia al deslizamiento bajo la norma ASTM F2913. Talla 38.</t>
  </si>
  <si>
    <t>Suela en Poliuretano-Talla 39</t>
  </si>
  <si>
    <t>Suela elaborada por inyeccion de poliuretano PU-PU, impermeable, liviana, aislante termica, resistencia a Hidrocarburos (R.H) y Dielèctrica (D.E). Con resistencia al deslizamiento bajo la norma ASTM F2913. Talla 39.</t>
  </si>
  <si>
    <t>Suela en Poliuretano-Talla 40</t>
  </si>
  <si>
    <t>Suela elaborada por inyeccion de poliuretano PU-PU, impermeable, liviana, aislante termica, resistencia a Hidrocarburos (R.H) y Dielèctrica (D.E). Con resistencia al deslizamiento bajo la norma ASTM F2913. Talla 40.</t>
  </si>
  <si>
    <t>Suela en Poliuretano-Talla 41</t>
  </si>
  <si>
    <t>Suela elaborada por inyeccion de poliuretano PU-PU, impermeable, liviana, aislante termica, resistencia a Hidrocarburos (R.H) y Dielèctrica (D.E). Con resistencia al deslizamiento bajo la norma ASTM F2913. Talla 41.</t>
  </si>
  <si>
    <t>Falta 1</t>
  </si>
  <si>
    <t>Suela en Poliuretano-Talla 42</t>
  </si>
  <si>
    <t>Suela elaborada por inyeccion de poliuretano PU-PU, impermeable, liviana, aislante termica, resistencia a Hidrocarburos (R.H) y Dielèctrica (D.E). Con resistencia al deslizamiento bajo la norma ASTM F2913. Talla 42.</t>
  </si>
  <si>
    <t>Suela en Poliuretano-Talla 43</t>
  </si>
  <si>
    <t>Suela elaborada por inyeccion de poliuretano PU-PU, impermeable, liviana, aislante termica, resistencia a Hidrocarburos (R.H) y Dielèctrica (D.E). Con resistencia al deslizamiento bajo la norma ASTM F2913. Talla 43.</t>
  </si>
  <si>
    <t>Suela en Poliuretano-Talla 44</t>
  </si>
  <si>
    <t>Suela elaborada por inyeccion de poliuretano PU-PU, impermeable, liviana, aislante termica, resistencia a Hidrocarburos (R.H) y Dielèctrica (D.E). Con resistencia al deslizamiento bajo la norma ASTM F2913. Talla 44.</t>
  </si>
  <si>
    <t>Sobre Plantilla EVA- Talla 38</t>
  </si>
  <si>
    <t>Sobreplantilla de caucho expandido Etil Vinil Acetato (EVA). Anatòmica, forrada en material textil, que aseguren confort y comodidad. Talla 38.</t>
  </si>
  <si>
    <t>Sobre Plantilla Eva-Talla 39</t>
  </si>
  <si>
    <t>Sobreplantilla de caucho expandido Etil Vinil Acetato (EVA). Anatòmica, forrada en material textil, que aseguren confort y comodidad. Talla 39.</t>
  </si>
  <si>
    <t>Sobre Plantilla Eva-Talla 40</t>
  </si>
  <si>
    <t>Sobreplantilla de caucho expandido Etil Vinil Acetato (EVA). Anatòmica, forrada en material textil, que aseguren confort y comodidad. Talla 40.</t>
  </si>
  <si>
    <t>Sobre Plantilla Eva-Talla 41</t>
  </si>
  <si>
    <t>Sobreplantilla de caucho expandido Etil Vinil Acetato (EVA). Anatòmica, forrada en material textil, que aseguren confort y comodidad. Talla 41.</t>
  </si>
  <si>
    <t>Sobre Plantilla Eva-Talla 42</t>
  </si>
  <si>
    <t>Sobreplantilla de caucho expandido Etil Vinil Acetato (EVA). Anatòmica, forrada en material textil, que aseguren confort y comodidad. Talla 42.</t>
  </si>
  <si>
    <t>Sobre Plantilla Eva-Talla 43</t>
  </si>
  <si>
    <t>Sobreplantilla de caucho expandido Etil Vinil Acetato (EVA). Anatòmica, forrada en material textil, que aseguren confort y comodidad. Talla 43.</t>
  </si>
  <si>
    <t>Sobre Plantilla Eva-Talla 44</t>
  </si>
  <si>
    <t>Sobreplantilla de caucho expandido Etil Vinil Acetato (EVA). Anatòmica, forrada en material textil, que aseguren confort y comodidad. Talla 44.</t>
  </si>
  <si>
    <t>Plantilla de armado-Talla 38</t>
  </si>
  <si>
    <t>Plantilla de armado preformada e inyectada cambrion, Altura 1.5. Talla 38.</t>
  </si>
  <si>
    <t>Plantilla de armado-Talla 39</t>
  </si>
  <si>
    <t>Plantilla de armado preformada e inyectada cambrion, Altura 1.5. Talla 39.</t>
  </si>
  <si>
    <t>Plantilla de armado-Talla 40</t>
  </si>
  <si>
    <t>Plantilla de armado preformada e inyectada cambrion, Altura 1.5. Talla 40.</t>
  </si>
  <si>
    <t>Plantilla de armado-Talla 41</t>
  </si>
  <si>
    <t>Plantilla de armado preformada e inyectada cambrion, Altura 1.5. Talla 41.</t>
  </si>
  <si>
    <t>Plantilla de armado-Talla 42</t>
  </si>
  <si>
    <t>Plantilla de armado preformada e inyectada cambrion, Altura 1.5. Talla 42.</t>
  </si>
  <si>
    <t>Plantilla de armado-Talla 43</t>
  </si>
  <si>
    <t>Plantilla de armado preformada e inyectada cambrion, Altura 1.5. Talla 43.</t>
  </si>
  <si>
    <t>Plantilla de armado-Talla 44</t>
  </si>
  <si>
    <t>Plantilla de armado preformada e inyectada cambrion, Altura 1.5. Talla 44.</t>
  </si>
  <si>
    <t>Ojaletes</t>
  </si>
  <si>
    <t>Ojaletes en material polimerico en Acetal no conductor de electricidad, 3/16</t>
  </si>
  <si>
    <t>Hebilla sencilla con coscojo-Niquel</t>
  </si>
  <si>
    <t>Hebilla sencilla sin pasador, un solo hebijón, se caracteriza por su forma cuadrada, con un rodillo o coscojo incorporado en la parte superior. Elaborada en acero de gran calidad. Acabado: baño níquel. Tamaño:25mm.</t>
  </si>
  <si>
    <t>Hebilla sencilla con coscojo-Pabon</t>
  </si>
  <si>
    <t>Hebilla sencilla sin pasador, un solo hebijón, se caracteriza por su forma cuadrada, con un rodillo o coscojo incorporado en la parte superior. Elaborada en acero de gran calidad. Acabado: baño pabon. Tamaño:25mm.</t>
  </si>
  <si>
    <t>Broche imán grande- Pabón</t>
  </si>
  <si>
    <t>Dispositivo metálico con imán de encastre rápido. Consta de cuatro partes: 1 broche (imán) pieza hembra plana
1 broche (contrapieza) con saliente macho 2 discos de refuerzo
Tamaño: grande. Acabado: Pabonado</t>
  </si>
  <si>
    <t>Broche imán grande- Niquel</t>
  </si>
  <si>
    <t>"Dispositivo metálico con imán de encastre rápido. Consta de cuatro partes: 1 broche (imán) pieza hembra plana
1 broche (contrapieza) con saliente macho 2 discos de refuerzo
Tamaño: grande. Acabado: Niquel</t>
  </si>
  <si>
    <t>Broche imán cazuela- Pabón</t>
  </si>
  <si>
    <t>Cierre magnético de Ø 18 mm, aptos para fijarlos en cuero y tejidos. Consta de dos partes, un macho con reborde que encaja en la hembra de encastre rápido Se compone de  cuatro piezas:
1 broche (imán) pieza hembra plana
1 broche (contrapieza) con saliente macho y cavidad de encaje 2 discos de refuerzo. Acabado: Pabonado</t>
  </si>
  <si>
    <t>Llave sencilla níquel para cierre nylon  No. 6</t>
  </si>
  <si>
    <t>Deslizador metálico para cadena continua No.6, sin bloqueo, libre con facilidad para abrir y cerrar porque no dispone de mecanismos de cierre.
Acabado níquel. Tamaño No.6.</t>
  </si>
  <si>
    <t>Llave sencilla pabon para cierre nylon  No. 6</t>
  </si>
  <si>
    <t>Deslizador metálico para cadena continua No.6, sin bloqueo, libre con facilidad para abrir y cerrar porque no dispone de mecanismos de cierre.
Acabado pabón. Tamaño No.6</t>
  </si>
  <si>
    <t>Llave sencilla níquel para cierre nylon No. 4</t>
  </si>
  <si>
    <t>Deslizador metálico para cadena continua No.4, sin bloqueo, libre con facilidad para abrir y cerrar porque no dispone de mecanismos de cierre.
Acabado niquel. Tamaño No.4.</t>
  </si>
  <si>
    <t>Llave sencilla pabón para cierre nylon No. 4</t>
  </si>
  <si>
    <t>Deslizador metálico para cadena continua No.4, sin bloqueo, libre con facilidad para abrir y cerrar porque no dispone de mecanismos de cierre.
Acabado pabón. Tamaño No.4</t>
  </si>
  <si>
    <t>Llave sencilla níquel para cierre nylon No. 3</t>
  </si>
  <si>
    <t>Deslizador metálico para cadena continua No.3, sin bloqueo, libre con facilidad para abrir y cerrar porque no dispone de mecanismos de cierre.
Acabado níquel. Tamaño No.3.</t>
  </si>
  <si>
    <t>Llave sencilla pabón para cierre nylon No. 3</t>
  </si>
  <si>
    <t>Deslizador metálico para cadena continua No.3, sin bloqueo, libre con facilidad para abrir y cerrar porque no dispone de mecanismos de cierre.
Acabado pabón. Tamaño No.3.</t>
  </si>
  <si>
    <t>Aguja larga cabo grueso punta redonda</t>
  </si>
  <si>
    <t>Agujas de coser a máquina elaboradas en acero con revestimiento de cromo para evitar el óxido y dar más resistencia. La punta de las agujas redondas es circular, es decir, estas agujas tienen una punta en forma de cono y no corta el material cuando lo atraviesa, son usada para coser textiles.
Sistema de la aguja: 134-35. Punta: R (redonda) Calibres de aguja: 110,120,125,130,140</t>
  </si>
  <si>
    <t>Aguja larga cabo grueso punta cortante</t>
  </si>
  <si>
    <t>Agujas de coser a máquina elaboradas en acero con revestimiento de cromo para evitar el óxido y dar más resistencia. La punta de las agujas redondas es circular, es decir, estas agujas tienen una punta en forma de cono y no corta el material cuando lo atraviesa, son usada para coser textiles.
Sistema de la aguja: 134-35
Punta: LR. Calibres de aguja: Nm 110,120,125,130,140</t>
  </si>
  <si>
    <t>Adhesivo cemento de contacto base agua</t>
  </si>
  <si>
    <t>Adhesivo acuoso de alto desempeño a base de dispersiones cloropreno,resinas y aditivos. Contiene una alta concentración de ingredientes activos que garantizan excelente fuerza de adhesión. Diseñado para unir espumas, fibras y telas. Pegue definitivo marroquinería RQ12. Puede utilizarse en una amplia variedad de aplicaciones en materiales como madera y plástico.Viscosidad Brookfield (70 ± 50) cP.Contenidos de sólidos (49 ± 2) %. Densidad (4.1 – 4.3) Kg/galón, pH (25°C) 9.5 ± 0.5 Rendimiento De 3 a 4 veces más que un cemento de contacto base solvente. Apariencia Húmedo: líquido blanco. Presentación: kilo</t>
  </si>
  <si>
    <t>Adhesivo cemento de contacto cloropreno alto desempeño</t>
  </si>
  <si>
    <t>Adhesivo de contacto de alto desempeño, fabricado con cauchos de cloropreno, resinas fenólicas de excelente calidad. Tiene un alto contenido de sólidos lo  cual hace que desarrolle una alta fuerza de adhesión. Sin tolueno. Además, posee una alta viscosidad y un amplio tiempo abierto. De color amarillo claro y olor característico a solventes orgánicos. Se puede aplicar con brocha, llana, espátula, cepillo o mecánicamente. Presentación: Galón x 3000cc</t>
  </si>
  <si>
    <t>Faltan 2 Facturan 48</t>
  </si>
  <si>
    <t>Adhesivo solución de caucho</t>
  </si>
  <si>
    <t>Solución corriente es un adhesivo base solvente basado en caucho natural y resinas sintéticas de excelente calidad. Es de color blanco y presenta olor característico a solventes orgánicos. Se puede aplicar con brocha, llana, espátula, cepillo o mecánicamente. Para uniones temporales de piezas de cuero, carnaza, espuma y textiles, antes de coserlas durante la fabricación de calzado, bolsos, cinturones, muebles, entre otras aplicaciones. También pega papel y cartón, y en general en procesos donde no se requiera de gran resistencia al desgarre o esfuerzos de tracción. Galón x 3000cc</t>
  </si>
  <si>
    <t>Limpiador AT-20</t>
  </si>
  <si>
    <t>AT-20 Producto elaborado con base en hidrocarburos alifáticos y aromáticos, miscible con la mayoría de solventes orgánicos utilizados a nivel industrial e insoluble en agua. Es un líquido de aspecto transparente con olor característico. Usos: Recomendado para remover grasas, aceites, plastificantes,  desmoldantes y demás materiales presentes en las superficies a pegar como cauchos, TR, PVC, poliuretano, EVA, neolite, cueros grasos y semigrasos etc. Presentación: Galón x 3600cc</t>
  </si>
  <si>
    <t>Falta 1  Factura 24</t>
  </si>
  <si>
    <t>Limpiador para acabados VZ-40</t>
  </si>
  <si>
    <t>VZ40 producto elaborado con base en hidrocarburos, miscible con la mayoría de solventes utilizados a nivel industrial y poco soluble en agua. Es un líquido de aspecto transparente y con olor característico. Recomendado en el proceso de terminado de calzado para la limpieza de materiales sintéticos, cueros naturales, y otros materiales del calzado con residuos de adhesivos e impurezas del proceso de armado.Galón x 3600cc</t>
  </si>
  <si>
    <t>Falta 1 No FActura</t>
  </si>
  <si>
    <t>Limpiador a base de agua de acetato de isobutilo para cuero</t>
  </si>
  <si>
    <t>Limpidor especial para cueros  base agua. Componente: Acetato de isobutilo
Estado fisico : liquido cremoso Color:  incoloro
CL-429. Presentación:  Frasco x 1 Litro</t>
  </si>
  <si>
    <t>Tinta a base de agua</t>
  </si>
  <si>
    <t>Aditivo acuoso que puede ser utilizado en lacas, acabados o formulaciones para cuero y sintéticos. Aplicar a pistola.
Componente: ácido oleico , resina y anilina. Capa final acuosa. Estado fisico : liquido
Colores : Neutro, Chestnut, negro, Navy, Vine, camel,  Darkgreen, Graffito Presentacion Frasco x 1 Litro. EASY CRUST TAN</t>
  </si>
  <si>
    <t>Solución de Teñido</t>
  </si>
  <si>
    <t>Solución de Teñido intenso, base Solvente, recomendable para lustrados de alto brillo. Se utiliza en las etapas del tratamiento del cuero para la fabricación de calzados y marroquinería.
Colores: Tan, Chestnut, Cafe, Moka, Negro y Caoba Presentacion : Frasco x 1Kilo
SL-859</t>
  </si>
  <si>
    <t>Pasta Antique</t>
  </si>
  <si>
    <t>Pasta Antique de Teñido intenso recomendable para lustrados de alto brillo, base acuosa, crema para sellar
Color: netro, negro. MIRIUM
presentacion:  Frasco x 1Kilo</t>
  </si>
  <si>
    <t>Top de cera cuero base agua</t>
  </si>
  <si>
    <t>Aditivo acuoso que puede ser utilizado en lacas, acabados o formulaciones. Aplicar a pistola.
Capa final acuosa Presentacion:  Frasco x 1Litro HF-7500</t>
  </si>
  <si>
    <t>Resina acrílica acuosa</t>
  </si>
  <si>
    <t>Aglutinante acrílico a base de agua para su uso en revestimientos, acabados o formulaciones. Producto para el tratamiento del cuero y otros materiales flexibles. Presentación: Kit por 8 colores de 100 ml por cada envase, total kit: 800 ml</t>
  </si>
  <si>
    <t>Sellador de cantos</t>
  </si>
  <si>
    <t>Base de alto poder de relleno y preparador a base acuosa, especial para la elaboración de bordes y cantos de cuero y sintéticos. Se usa como fondo de fácil aplicación que no necesita cepillado y da un efecto excepcionalmente abombado , cuerposo y pleno en la primera aplicacion. Se puede aplicar manualmente o con máquina de entintar.  Permite usar maquina alisadora a calor (temperatura de 200°C a 350°C)). Color: Neutro.
Presentacion: Frasco x 1 litro.PRIMER COAT</t>
  </si>
  <si>
    <t>Tinta de bordes</t>
  </si>
  <si>
    <t>Es un producto de alta viscosidad que se puede aplicar a mano y a máquina para dar color a los bordes o cantos de artículos en cuero y sintético.
Excelente adherencia y flexibilidad. Capa de color mate.
Los colores se pueden combinar con la gama de pigmentos de PPE. Recomendación: utilizar 5% de pigmento en la capa de color.
Base agua. Presentacion: Frasco x 1 litro Colores : amarillo, azul, rojo, negro, y rojo. Leon Paint</t>
  </si>
  <si>
    <t>Hilo Terlenka</t>
  </si>
  <si>
    <t>Hilo terlenka cuerda, 100% poliéster ideal para trabajos artesanales, marroquineria y calzado.
INFORMACIÓN ADICIONAL
Color: Negro 14.
Presentacion: Madej x 1.30 metros. Calibre: #15</t>
  </si>
  <si>
    <t>Mina Borrable Al Calor</t>
  </si>
  <si>
    <t>Recambio repuesto mina Pilot Frixion esfero borrable clicker</t>
  </si>
  <si>
    <t>Cuerda de hilo encerado de lino</t>
  </si>
  <si>
    <t>100% hilo encerado de lino para accesorios DIY, hilo de alta tenacidad. Presentación:  Cono x  100 metros.
Diámetro: 0,8mm</t>
  </si>
  <si>
    <t>Hilo nylon filamento continuo preestabilizado</t>
  </si>
  <si>
    <t>Hilo de nylon lubricado hecho de nylon 6.6 de filamento continuo preestabilizado, Cuando se utiliza la tensión de costura correcta, se evita el derrame de agua a través del orificio de la aguja. Calibre 40. Color negro. Presentación: Cono por 500 mts.</t>
  </si>
  <si>
    <t>Tachuela "Mosca" para montaje de calzado</t>
  </si>
  <si>
    <t>Tachuela Mosca ( Zapateria ) # 2.1/2  //  7/16, fabricadas en acero. Caja por 450 gramos.</t>
  </si>
  <si>
    <t>Tijeras para marroquinería tipo mariposa grande</t>
  </si>
  <si>
    <t>Cuchillas de acero inoxidable súper afiladas para cortar cuero liviano u otro material. Cuerpo completo en acero inoxidable. Las asas son extra grandes para mayor comodidad. Tamaño: Grande.</t>
  </si>
  <si>
    <t>Cinta métrica profesional para calzado</t>
  </si>
  <si>
    <t>Cinta métrica de zapatería estilo Ingles.
Por una cara lleva la medida inglesa y francesa del pie para fabricar el calzado. Por la otra cara lleva la medida estándar de cm y milímetros.
Esta cinta es utilizada para determinar la longitud, el ancho, el contorno y el volumen del pie, utilizada por zapateros profesionales  y artesanales que fabrican calzado sobre medidas.</t>
  </si>
  <si>
    <t>Calibrador Análogo de espesores</t>
  </si>
  <si>
    <t>El medidor de espesor mide 0 a 0.05 «con graduaciones de 0.0001» y una precisión de ± 0.0002 «, para medir el espesor de elementos delgados como el papel. Indicador de esfera con cara blanca con graduaciones finas, para mediciones precisas y legibles en pulgadas. El punto de contacto y el yunque plano son cerámicos para resistencia a la corrosión.
Empuñadura de agarre, gatillo para el pulgar y husillo con resorte para mediciones precisas.  Fuerza de medición de 1.4N o menos.</t>
  </si>
  <si>
    <t>Galga Calibradora Metálica Pulgadas</t>
  </si>
  <si>
    <t>Calibrador de pulgadas en acero inoxidable, mide desde 1/16 de pulgada hasta 1/2 pulgada. Galga para confección y diseño.</t>
  </si>
  <si>
    <t>Pinzas con mazo de montaje de calzado</t>
  </si>
  <si>
    <t>Pinza alicate de pico con maso para montaje de calzado, Fabricadas en acero forjado, los alicates tienen mordazas estrechas dentadas afiladas, dobladas hacia abajo. Medidas: 20.5 x 5.5 x 1.5 cm. Empuñaduras de goma en el mango.</t>
  </si>
  <si>
    <t>Martillo de montaje de calzado</t>
  </si>
  <si>
    <t>Martillo para montaje de calzado con cabeza ancha y redondeada. Longitud del mango: 18 cm
Longitud de la cabeza: 10 cm Material: acero inoxidable + madera Color: plata + madera</t>
  </si>
  <si>
    <t>Saca clavos (tachuela- mosca) para montaje de calzado</t>
  </si>
  <si>
    <t>Herramienta para quitar los clavos, cuerpo en acero, mango en madera.</t>
  </si>
  <si>
    <t>Juego de Perforadores de hebijón</t>
  </si>
  <si>
    <t>Juego de punzones huecos con punta de corte de forma redonda para perforar, elaborado en acero templado de alta calidad, con una cabidad lateral para que salga el residuo del corte, no se oxidan, superficie pulida y mantiene el filo, apto para cortar o perforar diferentes materiales como  caucho, cuero, fieltro, plástico, corcho, tela, etc.
Tamaños: #3 - #4 - #5 - #6 - #7 - #9 - #10 - #12</t>
  </si>
  <si>
    <t>Dados para perforar 5/16</t>
  </si>
  <si>
    <t>Piezas metálicas compuestas de dos partes, una es la hembra o matriz  y el macho, que se utilizan en la confección para diferentes procesos.
Dado para fijar broche imán grande con remache.
Solicitar las especificaciones de la máquina antes de realizar la compra Material: Acero. Presentación: Unidad</t>
  </si>
  <si>
    <t>V/TOTAL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</si>
</sst>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0_-;\-&quot;$&quot;* #,##0_-;_-&quot;$&quot;* &quot;-&quot;_-;_-@_-"/>
    <numFmt numFmtId="165" formatCode="_-&quot;$&quot;* #,##0.00_-;\-&quot;$&quot;* #,##0.00_-;_-&quot;$&quot;* &quot;-&quot;??_-;_-@_-"/>
    <numFmt numFmtId="166" formatCode="_-&quot;$&quot;* #,##0.00_-;\-&quot;$&quot;* #,##0.00_-;_-&quot;$&quot;* &quot;-&quot;_-;_-@_-"/>
  </numFmts>
  <fonts count="8" x14ac:knownFonts="1">
    <font>
      <sz val="11"/>
      <color theme="1"/>
      <name val="Calibri"/>
      <family val="2"/>
      <scheme val="minor"/>
    </font>
    <font>
      <sz val="11"/>
      <color theme="1"/>
      <name val="Calibri"/>
      <family val="2"/>
      <scheme val="minor"/>
    </font>
    <font>
      <sz val="10"/>
      <color rgb="FF000000"/>
      <name val="Times New Roman"/>
      <family val="1"/>
    </font>
    <font>
      <b/>
      <sz val="12"/>
      <color theme="1"/>
      <name val="Calibri"/>
      <family val="2"/>
      <scheme val="minor"/>
    </font>
    <font>
      <sz val="12"/>
      <color theme="1"/>
      <name val="Calibri"/>
      <family val="2"/>
      <scheme val="minor"/>
    </font>
    <font>
      <b/>
      <sz val="12"/>
      <name val="Calibri"/>
      <family val="2"/>
      <scheme val="minor"/>
    </font>
    <font>
      <sz val="12"/>
      <name val="Calibri"/>
      <family val="2"/>
      <scheme val="minor"/>
    </font>
    <font>
      <b/>
      <sz val="11"/>
      <color theme="1"/>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164" fontId="1" fillId="0" borderId="0" applyFont="0" applyFill="0" applyBorder="0" applyAlignment="0" applyProtection="0"/>
    <xf numFmtId="0" fontId="2" fillId="0" borderId="0"/>
  </cellStyleXfs>
  <cellXfs count="26">
    <xf numFmtId="0" fontId="0" fillId="0" borderId="0" xfId="0"/>
    <xf numFmtId="0" fontId="1" fillId="0" borderId="0" xfId="0" applyFont="1"/>
    <xf numFmtId="0" fontId="3" fillId="0" borderId="5" xfId="0" applyFont="1" applyFill="1" applyBorder="1" applyAlignment="1">
      <alignment horizontal="center" vertical="center" wrapText="1"/>
    </xf>
    <xf numFmtId="0" fontId="4" fillId="0" borderId="5" xfId="0" applyFont="1" applyFill="1" applyBorder="1" applyAlignment="1">
      <alignment horizontal="center" vertical="center"/>
    </xf>
    <xf numFmtId="0" fontId="4" fillId="0" borderId="0" xfId="0" applyFont="1" applyFill="1"/>
    <xf numFmtId="0" fontId="1" fillId="0" borderId="0" xfId="0" applyFont="1" applyFill="1"/>
    <xf numFmtId="0" fontId="5" fillId="0" borderId="1" xfId="2" applyFont="1" applyFill="1" applyBorder="1" applyAlignment="1">
      <alignment horizontal="left" vertical="top"/>
    </xf>
    <xf numFmtId="166" fontId="5" fillId="0" borderId="1" xfId="1" applyNumberFormat="1" applyFont="1" applyFill="1" applyBorder="1" applyAlignment="1">
      <alignment horizontal="left" vertical="top"/>
    </xf>
    <xf numFmtId="0" fontId="7" fillId="0" borderId="6" xfId="0" applyFont="1" applyFill="1" applyBorder="1"/>
    <xf numFmtId="1" fontId="5" fillId="0" borderId="1" xfId="2" applyNumberFormat="1" applyFont="1" applyFill="1" applyBorder="1" applyAlignment="1">
      <alignment horizontal="left" vertical="top" shrinkToFit="1"/>
    </xf>
    <xf numFmtId="1" fontId="6" fillId="0" borderId="1" xfId="2" applyNumberFormat="1" applyFont="1" applyFill="1" applyBorder="1" applyAlignment="1">
      <alignment horizontal="left" vertical="top" shrinkToFit="1"/>
    </xf>
    <xf numFmtId="0" fontId="6" fillId="0" borderId="1" xfId="2" applyFont="1" applyFill="1" applyBorder="1" applyAlignment="1">
      <alignment horizontal="left" vertical="top"/>
    </xf>
    <xf numFmtId="166" fontId="6" fillId="0" borderId="1" xfId="1" applyNumberFormat="1" applyFont="1" applyFill="1" applyBorder="1" applyAlignment="1">
      <alignment horizontal="left" vertical="top"/>
    </xf>
    <xf numFmtId="44" fontId="4" fillId="0" borderId="0" xfId="0" applyNumberFormat="1" applyFont="1" applyFill="1"/>
    <xf numFmtId="0" fontId="1" fillId="0" borderId="7" xfId="0" applyFont="1" applyFill="1" applyBorder="1"/>
    <xf numFmtId="0" fontId="6" fillId="0" borderId="1" xfId="0" applyFont="1" applyFill="1" applyBorder="1" applyAlignment="1">
      <alignment horizontal="left" vertical="top"/>
    </xf>
    <xf numFmtId="0" fontId="0" fillId="0" borderId="0" xfId="0" applyFill="1"/>
    <xf numFmtId="0" fontId="6" fillId="0" borderId="1" xfId="2" applyFont="1" applyFill="1" applyBorder="1" applyAlignment="1">
      <alignment horizontal="left" vertical="top" wrapText="1"/>
    </xf>
    <xf numFmtId="0" fontId="6" fillId="0" borderId="2" xfId="0" applyFont="1" applyFill="1" applyBorder="1" applyAlignment="1">
      <alignment horizontal="left" vertical="top"/>
    </xf>
    <xf numFmtId="0" fontId="6" fillId="0" borderId="3" xfId="0" applyFont="1" applyFill="1" applyBorder="1" applyAlignment="1">
      <alignment horizontal="left" vertical="top"/>
    </xf>
    <xf numFmtId="0" fontId="6" fillId="0" borderId="4" xfId="0" applyFont="1" applyFill="1" applyBorder="1" applyAlignment="1">
      <alignment horizontal="left" vertical="top"/>
    </xf>
    <xf numFmtId="0" fontId="1" fillId="0" borderId="8" xfId="0" applyFont="1" applyFill="1" applyBorder="1"/>
    <xf numFmtId="166" fontId="4" fillId="0" borderId="0" xfId="0" applyNumberFormat="1" applyFont="1" applyFill="1"/>
    <xf numFmtId="164" fontId="4" fillId="0" borderId="0" xfId="1" applyFont="1" applyFill="1" applyAlignment="1"/>
    <xf numFmtId="165" fontId="4" fillId="0" borderId="0" xfId="0" applyNumberFormat="1" applyFont="1" applyFill="1"/>
    <xf numFmtId="166" fontId="1" fillId="0" borderId="0" xfId="0" applyNumberFormat="1" applyFont="1" applyFill="1"/>
  </cellXfs>
  <cellStyles count="3">
    <cellStyle name="Moneda [0]" xfId="1" builtinId="7"/>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99</xdr:row>
      <xdr:rowOff>0</xdr:rowOff>
    </xdr:from>
    <xdr:to>
      <xdr:col>5</xdr:col>
      <xdr:colOff>663274</xdr:colOff>
      <xdr:row>106</xdr:row>
      <xdr:rowOff>130054</xdr:rowOff>
    </xdr:to>
    <xdr:pic>
      <xdr:nvPicPr>
        <xdr:cNvPr id="3" name="Imagen 2">
          <a:extLst>
            <a:ext uri="{FF2B5EF4-FFF2-40B4-BE49-F238E27FC236}">
              <a16:creationId xmlns:a16="http://schemas.microsoft.com/office/drawing/2014/main" id="{6263D314-448E-F62E-B9F2-252FF4FF933A}"/>
            </a:ext>
          </a:extLst>
        </xdr:cNvPr>
        <xdr:cNvPicPr>
          <a:picLocks noChangeAspect="1"/>
        </xdr:cNvPicPr>
      </xdr:nvPicPr>
      <xdr:blipFill>
        <a:blip xmlns:r="http://schemas.openxmlformats.org/officeDocument/2006/relationships" r:embed="rId1"/>
        <a:stretch>
          <a:fillRect/>
        </a:stretch>
      </xdr:blipFill>
      <xdr:spPr>
        <a:xfrm>
          <a:off x="0" y="18669000"/>
          <a:ext cx="8254699" cy="15302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7"/>
  <sheetViews>
    <sheetView tabSelected="1" zoomScaleNormal="100" workbookViewId="0">
      <selection sqref="A1:I1"/>
    </sheetView>
  </sheetViews>
  <sheetFormatPr baseColWidth="10" defaultColWidth="11.44140625" defaultRowHeight="14.4" x14ac:dyDescent="0.3"/>
  <cols>
    <col min="1" max="1" width="9.109375" style="5" customWidth="1"/>
    <col min="2" max="2" width="11.44140625" style="5" customWidth="1"/>
    <col min="3" max="3" width="36.5546875" style="5" customWidth="1"/>
    <col min="4" max="4" width="47.6640625" style="5" customWidth="1"/>
    <col min="5" max="5" width="9" style="5" customWidth="1"/>
    <col min="6" max="6" width="16" style="25" customWidth="1"/>
    <col min="7" max="8" width="12.5546875" style="5" hidden="1" customWidth="1"/>
    <col min="9" max="9" width="19.44140625" style="5" customWidth="1"/>
    <col min="10" max="10" width="20.5546875" style="5" customWidth="1"/>
    <col min="11" max="12" width="11.44140625" style="5"/>
    <col min="13" max="13" width="0" style="5" hidden="1" customWidth="1"/>
    <col min="14" max="14" width="27.5546875" style="5" bestFit="1" customWidth="1"/>
    <col min="15" max="16384" width="11.44140625" style="1"/>
  </cols>
  <sheetData>
    <row r="1" spans="1:14" ht="69" customHeight="1" x14ac:dyDescent="0.3">
      <c r="A1" s="2" t="s">
        <v>0</v>
      </c>
      <c r="B1" s="3"/>
      <c r="C1" s="3"/>
      <c r="D1" s="3"/>
      <c r="E1" s="3"/>
      <c r="F1" s="3"/>
      <c r="G1" s="3"/>
      <c r="H1" s="3"/>
      <c r="I1" s="3"/>
      <c r="J1" s="4"/>
      <c r="K1" s="4"/>
    </row>
    <row r="2" spans="1:14" ht="15.6" x14ac:dyDescent="0.3">
      <c r="A2" s="6" t="s">
        <v>1</v>
      </c>
      <c r="B2" s="6" t="s">
        <v>2</v>
      </c>
      <c r="C2" s="6" t="s">
        <v>3</v>
      </c>
      <c r="D2" s="6" t="s">
        <v>4</v>
      </c>
      <c r="E2" s="6" t="s">
        <v>5</v>
      </c>
      <c r="F2" s="7" t="s">
        <v>6</v>
      </c>
      <c r="G2" s="7" t="s">
        <v>7</v>
      </c>
      <c r="H2" s="7" t="s">
        <v>8</v>
      </c>
      <c r="I2" s="7" t="s">
        <v>9</v>
      </c>
      <c r="J2" s="4"/>
      <c r="K2" s="4" t="s">
        <v>10</v>
      </c>
      <c r="L2" s="4" t="s">
        <v>10</v>
      </c>
      <c r="N2" s="8" t="s">
        <v>11</v>
      </c>
    </row>
    <row r="3" spans="1:14" ht="15.6" x14ac:dyDescent="0.3">
      <c r="A3" s="9">
        <v>1</v>
      </c>
      <c r="B3" s="10">
        <v>11131508</v>
      </c>
      <c r="C3" s="11" t="s">
        <v>12</v>
      </c>
      <c r="D3" s="11" t="s">
        <v>13</v>
      </c>
      <c r="E3" s="10">
        <v>5737</v>
      </c>
      <c r="F3" s="12">
        <v>1083.8699999999999</v>
      </c>
      <c r="G3" s="12">
        <f>F3*19%</f>
        <v>205.93529999999998</v>
      </c>
      <c r="H3" s="12">
        <f>G3+F3</f>
        <v>1289.8053</v>
      </c>
      <c r="I3" s="12">
        <f>H3*E3</f>
        <v>7399613.0060999999</v>
      </c>
      <c r="J3" s="13">
        <f>E3*H3</f>
        <v>7399613.0060999999</v>
      </c>
      <c r="K3" s="4">
        <v>239368</v>
      </c>
      <c r="L3" s="5">
        <v>239368</v>
      </c>
      <c r="M3" s="5">
        <f>K3-L3</f>
        <v>0</v>
      </c>
      <c r="N3" s="14" t="s">
        <v>14</v>
      </c>
    </row>
    <row r="4" spans="1:14" ht="15.6" x14ac:dyDescent="0.3">
      <c r="A4" s="9">
        <v>2</v>
      </c>
      <c r="B4" s="10">
        <v>11162305</v>
      </c>
      <c r="C4" s="11" t="s">
        <v>15</v>
      </c>
      <c r="D4" s="11" t="s">
        <v>16</v>
      </c>
      <c r="E4" s="15">
        <v>12000</v>
      </c>
      <c r="F4" s="12">
        <v>701.7</v>
      </c>
      <c r="G4" s="12">
        <f t="shared" ref="G4:G67" si="0">F4*19%</f>
        <v>133.32300000000001</v>
      </c>
      <c r="H4" s="12">
        <f t="shared" ref="H4:H67" si="1">G4+F4</f>
        <v>835.02300000000002</v>
      </c>
      <c r="I4" s="12">
        <f t="shared" ref="I4:I67" si="2">H4*E4</f>
        <v>10020276</v>
      </c>
      <c r="J4" s="13">
        <f t="shared" ref="J4:J67" si="3">E4*H4</f>
        <v>10020276</v>
      </c>
      <c r="K4" s="4">
        <v>246901</v>
      </c>
      <c r="L4" s="5">
        <v>246901</v>
      </c>
      <c r="M4" s="5">
        <f t="shared" ref="M4:M67" si="4">K4-L4</f>
        <v>0</v>
      </c>
      <c r="N4" s="14" t="s">
        <v>17</v>
      </c>
    </row>
    <row r="5" spans="1:14" ht="15.6" x14ac:dyDescent="0.3">
      <c r="A5" s="9">
        <v>3</v>
      </c>
      <c r="B5" s="10">
        <v>11162305</v>
      </c>
      <c r="C5" s="11" t="s">
        <v>18</v>
      </c>
      <c r="D5" s="11" t="s">
        <v>19</v>
      </c>
      <c r="E5" s="15">
        <v>8000</v>
      </c>
      <c r="F5" s="12">
        <v>699.71</v>
      </c>
      <c r="G5" s="12">
        <f t="shared" si="0"/>
        <v>132.94490000000002</v>
      </c>
      <c r="H5" s="12">
        <f t="shared" si="1"/>
        <v>832.6549</v>
      </c>
      <c r="I5" s="12">
        <f t="shared" si="2"/>
        <v>6661239.2000000002</v>
      </c>
      <c r="J5" s="13">
        <f t="shared" si="3"/>
        <v>6661239.2000000002</v>
      </c>
      <c r="K5" s="4">
        <v>246901</v>
      </c>
      <c r="L5" s="5">
        <v>246901</v>
      </c>
      <c r="M5" s="5">
        <f t="shared" si="4"/>
        <v>0</v>
      </c>
      <c r="N5" s="14"/>
    </row>
    <row r="6" spans="1:14" ht="15.6" x14ac:dyDescent="0.3">
      <c r="A6" s="9">
        <v>4</v>
      </c>
      <c r="B6" s="10">
        <v>11162307</v>
      </c>
      <c r="C6" s="11" t="s">
        <v>20</v>
      </c>
      <c r="D6" s="11" t="s">
        <v>21</v>
      </c>
      <c r="E6" s="15">
        <v>200</v>
      </c>
      <c r="F6" s="12">
        <v>16442.38</v>
      </c>
      <c r="G6" s="12">
        <f t="shared" si="0"/>
        <v>3124.0522000000001</v>
      </c>
      <c r="H6" s="12">
        <f t="shared" si="1"/>
        <v>19566.432200000003</v>
      </c>
      <c r="I6" s="12">
        <f t="shared" si="2"/>
        <v>3913286.4400000004</v>
      </c>
      <c r="J6" s="13">
        <f t="shared" si="3"/>
        <v>3913286.4400000004</v>
      </c>
      <c r="K6" s="4">
        <v>287447</v>
      </c>
      <c r="L6" s="16">
        <v>287447</v>
      </c>
      <c r="M6" s="5">
        <f t="shared" si="4"/>
        <v>0</v>
      </c>
      <c r="N6" s="14"/>
    </row>
    <row r="7" spans="1:14" ht="15.6" x14ac:dyDescent="0.3">
      <c r="A7" s="9">
        <v>5</v>
      </c>
      <c r="B7" s="10">
        <v>11162307</v>
      </c>
      <c r="C7" s="11" t="s">
        <v>22</v>
      </c>
      <c r="D7" s="11" t="s">
        <v>23</v>
      </c>
      <c r="E7" s="15">
        <v>200</v>
      </c>
      <c r="F7" s="12">
        <v>26352.11</v>
      </c>
      <c r="G7" s="12">
        <f t="shared" si="0"/>
        <v>5006.9009000000005</v>
      </c>
      <c r="H7" s="12">
        <f t="shared" si="1"/>
        <v>31359.010900000001</v>
      </c>
      <c r="I7" s="12">
        <f>H7*E7</f>
        <v>6271802.1800000006</v>
      </c>
      <c r="J7" s="13">
        <f t="shared" si="3"/>
        <v>6271802.1800000006</v>
      </c>
      <c r="K7" s="4">
        <v>287447</v>
      </c>
      <c r="L7" s="16">
        <v>287447</v>
      </c>
      <c r="M7" s="5">
        <f t="shared" si="4"/>
        <v>0</v>
      </c>
      <c r="N7" s="14"/>
    </row>
    <row r="8" spans="1:14" ht="15.6" x14ac:dyDescent="0.3">
      <c r="A8" s="9">
        <v>6</v>
      </c>
      <c r="B8" s="10">
        <v>11162307</v>
      </c>
      <c r="C8" s="11" t="s">
        <v>24</v>
      </c>
      <c r="D8" s="11" t="s">
        <v>25</v>
      </c>
      <c r="E8" s="15">
        <v>50</v>
      </c>
      <c r="F8" s="12">
        <v>23277.86</v>
      </c>
      <c r="G8" s="12">
        <f t="shared" si="0"/>
        <v>4422.7934000000005</v>
      </c>
      <c r="H8" s="12">
        <f t="shared" si="1"/>
        <v>27700.653400000003</v>
      </c>
      <c r="I8" s="12">
        <f t="shared" si="2"/>
        <v>1385032.6700000002</v>
      </c>
      <c r="J8" s="13">
        <f t="shared" si="3"/>
        <v>1385032.6700000002</v>
      </c>
      <c r="K8" s="4">
        <v>281775</v>
      </c>
      <c r="L8" s="16">
        <v>281775</v>
      </c>
      <c r="M8" s="5">
        <f t="shared" si="4"/>
        <v>0</v>
      </c>
      <c r="N8" s="14"/>
    </row>
    <row r="9" spans="1:14" ht="15.6" x14ac:dyDescent="0.3">
      <c r="A9" s="9">
        <v>7</v>
      </c>
      <c r="B9" s="10">
        <v>11161801</v>
      </c>
      <c r="C9" s="11" t="s">
        <v>26</v>
      </c>
      <c r="D9" s="11" t="s">
        <v>27</v>
      </c>
      <c r="E9" s="15">
        <v>100</v>
      </c>
      <c r="F9" s="12">
        <v>8646.51</v>
      </c>
      <c r="G9" s="12">
        <f t="shared" si="0"/>
        <v>1642.8369</v>
      </c>
      <c r="H9" s="12">
        <f t="shared" si="1"/>
        <v>10289.3469</v>
      </c>
      <c r="I9" s="12">
        <f t="shared" si="2"/>
        <v>1028934.6900000001</v>
      </c>
      <c r="J9" s="13">
        <f t="shared" si="3"/>
        <v>1028934.6900000001</v>
      </c>
      <c r="K9" s="4">
        <v>250738</v>
      </c>
      <c r="L9" s="16">
        <v>250738</v>
      </c>
      <c r="M9" s="5">
        <f t="shared" si="4"/>
        <v>0</v>
      </c>
      <c r="N9" s="14"/>
    </row>
    <row r="10" spans="1:14" ht="15.6" x14ac:dyDescent="0.3">
      <c r="A10" s="9">
        <v>8</v>
      </c>
      <c r="B10" s="10">
        <v>11162112</v>
      </c>
      <c r="C10" s="11" t="s">
        <v>28</v>
      </c>
      <c r="D10" s="11" t="s">
        <v>29</v>
      </c>
      <c r="E10" s="15">
        <v>50</v>
      </c>
      <c r="F10" s="12">
        <v>6807.05</v>
      </c>
      <c r="G10" s="12">
        <f t="shared" si="0"/>
        <v>1293.3395</v>
      </c>
      <c r="H10" s="12">
        <f t="shared" si="1"/>
        <v>8100.3895000000002</v>
      </c>
      <c r="I10" s="12">
        <f t="shared" si="2"/>
        <v>405019.47500000003</v>
      </c>
      <c r="J10" s="13">
        <f t="shared" si="3"/>
        <v>405019.47500000003</v>
      </c>
      <c r="K10" s="4">
        <v>282790</v>
      </c>
      <c r="L10" s="16">
        <v>282790</v>
      </c>
      <c r="M10" s="5">
        <f t="shared" si="4"/>
        <v>0</v>
      </c>
      <c r="N10" s="14"/>
    </row>
    <row r="11" spans="1:14" ht="15.6" x14ac:dyDescent="0.3">
      <c r="A11" s="9">
        <v>9</v>
      </c>
      <c r="B11" s="10">
        <v>11162307</v>
      </c>
      <c r="C11" s="11" t="s">
        <v>30</v>
      </c>
      <c r="D11" s="11" t="s">
        <v>31</v>
      </c>
      <c r="E11" s="15">
        <v>50</v>
      </c>
      <c r="F11" s="12">
        <v>63810.52</v>
      </c>
      <c r="G11" s="12">
        <f t="shared" si="0"/>
        <v>12123.998799999999</v>
      </c>
      <c r="H11" s="12">
        <f t="shared" si="1"/>
        <v>75934.518799999991</v>
      </c>
      <c r="I11" s="12">
        <f t="shared" si="2"/>
        <v>3796725.9399999995</v>
      </c>
      <c r="J11" s="13">
        <f t="shared" si="3"/>
        <v>3796725.9399999995</v>
      </c>
      <c r="K11" s="4">
        <v>246876</v>
      </c>
      <c r="L11" s="16">
        <v>246876</v>
      </c>
      <c r="M11" s="5">
        <f t="shared" si="4"/>
        <v>0</v>
      </c>
      <c r="N11" s="14"/>
    </row>
    <row r="12" spans="1:14" ht="15.6" x14ac:dyDescent="0.3">
      <c r="A12" s="9">
        <v>10</v>
      </c>
      <c r="B12" s="10">
        <v>11162201</v>
      </c>
      <c r="C12" s="11" t="s">
        <v>32</v>
      </c>
      <c r="D12" s="11" t="s">
        <v>33</v>
      </c>
      <c r="E12" s="15">
        <v>1</v>
      </c>
      <c r="F12" s="12">
        <v>416456.45</v>
      </c>
      <c r="G12" s="12">
        <f t="shared" si="0"/>
        <v>79126.7255</v>
      </c>
      <c r="H12" s="12">
        <f t="shared" si="1"/>
        <v>495583.17550000001</v>
      </c>
      <c r="I12" s="12">
        <f t="shared" si="2"/>
        <v>495583.17550000001</v>
      </c>
      <c r="J12" s="13">
        <f t="shared" si="3"/>
        <v>495583.17550000001</v>
      </c>
      <c r="K12" s="4">
        <v>272688</v>
      </c>
      <c r="L12" s="16">
        <v>272688</v>
      </c>
      <c r="M12" s="5">
        <f t="shared" si="4"/>
        <v>0</v>
      </c>
      <c r="N12" s="14"/>
    </row>
    <row r="13" spans="1:14" ht="15.6" x14ac:dyDescent="0.3">
      <c r="A13" s="9">
        <v>11</v>
      </c>
      <c r="B13" s="10">
        <v>11162201</v>
      </c>
      <c r="C13" s="11" t="s">
        <v>34</v>
      </c>
      <c r="D13" s="11" t="s">
        <v>35</v>
      </c>
      <c r="E13" s="15">
        <v>1</v>
      </c>
      <c r="F13" s="12">
        <v>326665.24</v>
      </c>
      <c r="G13" s="12">
        <f t="shared" si="0"/>
        <v>62066.395599999996</v>
      </c>
      <c r="H13" s="12">
        <f t="shared" si="1"/>
        <v>388731.63559999998</v>
      </c>
      <c r="I13" s="12">
        <f t="shared" si="2"/>
        <v>388731.63559999998</v>
      </c>
      <c r="J13" s="13">
        <f t="shared" si="3"/>
        <v>388731.63559999998</v>
      </c>
      <c r="K13" s="4">
        <v>246874</v>
      </c>
      <c r="L13" s="16">
        <v>246874</v>
      </c>
      <c r="M13" s="5">
        <f t="shared" si="4"/>
        <v>0</v>
      </c>
      <c r="N13" s="14"/>
    </row>
    <row r="14" spans="1:14" ht="15.6" x14ac:dyDescent="0.3">
      <c r="A14" s="9">
        <v>12</v>
      </c>
      <c r="B14" s="10">
        <v>13111307</v>
      </c>
      <c r="C14" s="11" t="s">
        <v>36</v>
      </c>
      <c r="D14" s="11" t="s">
        <v>37</v>
      </c>
      <c r="E14" s="15">
        <v>20</v>
      </c>
      <c r="F14" s="12">
        <v>11836.4</v>
      </c>
      <c r="G14" s="12">
        <f t="shared" si="0"/>
        <v>2248.9160000000002</v>
      </c>
      <c r="H14" s="12">
        <f t="shared" si="1"/>
        <v>14085.315999999999</v>
      </c>
      <c r="I14" s="12">
        <f t="shared" si="2"/>
        <v>281706.31999999995</v>
      </c>
      <c r="J14" s="13">
        <f t="shared" si="3"/>
        <v>281706.31999999995</v>
      </c>
      <c r="K14" s="4">
        <v>272687</v>
      </c>
      <c r="L14" s="16">
        <v>272687</v>
      </c>
      <c r="M14" s="5">
        <f t="shared" si="4"/>
        <v>0</v>
      </c>
      <c r="N14" s="14"/>
    </row>
    <row r="15" spans="1:14" ht="15.6" x14ac:dyDescent="0.3">
      <c r="A15" s="9">
        <v>13</v>
      </c>
      <c r="B15" s="10">
        <v>13102003</v>
      </c>
      <c r="C15" s="11" t="s">
        <v>38</v>
      </c>
      <c r="D15" s="11" t="s">
        <v>39</v>
      </c>
      <c r="E15" s="15">
        <v>2</v>
      </c>
      <c r="F15" s="12">
        <v>564115.5</v>
      </c>
      <c r="G15" s="12">
        <f t="shared" si="0"/>
        <v>107181.94500000001</v>
      </c>
      <c r="H15" s="12">
        <f t="shared" si="1"/>
        <v>671297.44500000007</v>
      </c>
      <c r="I15" s="12">
        <f t="shared" si="2"/>
        <v>1342594.8900000001</v>
      </c>
      <c r="J15" s="13">
        <f t="shared" si="3"/>
        <v>1342594.8900000001</v>
      </c>
      <c r="K15" s="4">
        <v>239816</v>
      </c>
      <c r="L15" s="16">
        <v>239816</v>
      </c>
      <c r="M15" s="5">
        <f t="shared" si="4"/>
        <v>0</v>
      </c>
      <c r="N15" s="14"/>
    </row>
    <row r="16" spans="1:14" ht="15.6" x14ac:dyDescent="0.3">
      <c r="A16" s="9">
        <v>14</v>
      </c>
      <c r="B16" s="10">
        <v>11162114</v>
      </c>
      <c r="C16" s="11" t="s">
        <v>40</v>
      </c>
      <c r="D16" s="11" t="s">
        <v>41</v>
      </c>
      <c r="E16" s="15">
        <v>70</v>
      </c>
      <c r="F16" s="12">
        <v>1422.95</v>
      </c>
      <c r="G16" s="12">
        <f t="shared" si="0"/>
        <v>270.3605</v>
      </c>
      <c r="H16" s="12">
        <f t="shared" si="1"/>
        <v>1693.3105</v>
      </c>
      <c r="I16" s="12">
        <f t="shared" si="2"/>
        <v>118531.735</v>
      </c>
      <c r="J16" s="13">
        <f t="shared" si="3"/>
        <v>118531.735</v>
      </c>
      <c r="K16" s="4">
        <v>237705</v>
      </c>
      <c r="L16" s="16">
        <v>237705</v>
      </c>
      <c r="M16" s="5">
        <f t="shared" si="4"/>
        <v>0</v>
      </c>
      <c r="N16" s="14"/>
    </row>
    <row r="17" spans="1:14" ht="15.6" x14ac:dyDescent="0.3">
      <c r="A17" s="9">
        <v>15</v>
      </c>
      <c r="B17" s="10">
        <v>11162114</v>
      </c>
      <c r="C17" s="11" t="s">
        <v>42</v>
      </c>
      <c r="D17" s="11" t="s">
        <v>43</v>
      </c>
      <c r="E17" s="15">
        <v>20</v>
      </c>
      <c r="F17" s="12">
        <v>3557.38</v>
      </c>
      <c r="G17" s="12">
        <f t="shared" si="0"/>
        <v>675.90219999999999</v>
      </c>
      <c r="H17" s="12">
        <f t="shared" si="1"/>
        <v>4233.2821999999996</v>
      </c>
      <c r="I17" s="12">
        <f t="shared" si="2"/>
        <v>84665.644</v>
      </c>
      <c r="J17" s="13">
        <f t="shared" si="3"/>
        <v>84665.644</v>
      </c>
      <c r="K17" s="4">
        <v>237705</v>
      </c>
      <c r="L17" s="16">
        <v>237705</v>
      </c>
      <c r="M17" s="5">
        <f t="shared" si="4"/>
        <v>0</v>
      </c>
      <c r="N17" s="14"/>
    </row>
    <row r="18" spans="1:14" ht="15.6" x14ac:dyDescent="0.3">
      <c r="A18" s="9">
        <v>16</v>
      </c>
      <c r="B18" s="10">
        <v>60123203</v>
      </c>
      <c r="C18" s="11" t="s">
        <v>44</v>
      </c>
      <c r="D18" s="11" t="s">
        <v>45</v>
      </c>
      <c r="E18" s="15">
        <v>20</v>
      </c>
      <c r="F18" s="12">
        <v>1242.6300000000001</v>
      </c>
      <c r="G18" s="12">
        <f t="shared" si="0"/>
        <v>236.09970000000001</v>
      </c>
      <c r="H18" s="12">
        <f t="shared" si="1"/>
        <v>1478.7297000000001</v>
      </c>
      <c r="I18" s="12">
        <f t="shared" si="2"/>
        <v>29574.594000000001</v>
      </c>
      <c r="J18" s="13">
        <f t="shared" si="3"/>
        <v>29574.594000000001</v>
      </c>
      <c r="K18" s="4">
        <v>245231</v>
      </c>
      <c r="L18" s="16">
        <v>245231</v>
      </c>
      <c r="M18" s="5">
        <f t="shared" si="4"/>
        <v>0</v>
      </c>
      <c r="N18" s="14"/>
    </row>
    <row r="19" spans="1:14" ht="15.6" x14ac:dyDescent="0.3">
      <c r="A19" s="9">
        <v>17</v>
      </c>
      <c r="B19" s="10">
        <v>60123203</v>
      </c>
      <c r="C19" s="11" t="s">
        <v>46</v>
      </c>
      <c r="D19" s="11" t="s">
        <v>47</v>
      </c>
      <c r="E19" s="15">
        <v>20</v>
      </c>
      <c r="F19" s="12">
        <v>2284.37</v>
      </c>
      <c r="G19" s="12">
        <f t="shared" si="0"/>
        <v>434.03030000000001</v>
      </c>
      <c r="H19" s="12">
        <f t="shared" si="1"/>
        <v>2718.4002999999998</v>
      </c>
      <c r="I19" s="12">
        <f t="shared" si="2"/>
        <v>54368.005999999994</v>
      </c>
      <c r="J19" s="13">
        <f t="shared" si="3"/>
        <v>54368.005999999994</v>
      </c>
      <c r="K19" s="4">
        <v>245237</v>
      </c>
      <c r="L19" s="16">
        <v>245237</v>
      </c>
      <c r="M19" s="5">
        <f t="shared" si="4"/>
        <v>0</v>
      </c>
      <c r="N19" s="14"/>
    </row>
    <row r="20" spans="1:14" ht="15.6" x14ac:dyDescent="0.3">
      <c r="A20" s="9">
        <v>18</v>
      </c>
      <c r="B20" s="10">
        <v>60123203</v>
      </c>
      <c r="C20" s="11" t="s">
        <v>48</v>
      </c>
      <c r="D20" s="11" t="s">
        <v>49</v>
      </c>
      <c r="E20" s="15">
        <v>20</v>
      </c>
      <c r="F20" s="12">
        <v>4782.38</v>
      </c>
      <c r="G20" s="12">
        <f t="shared" si="0"/>
        <v>908.65219999999999</v>
      </c>
      <c r="H20" s="12">
        <f t="shared" si="1"/>
        <v>5691.0321999999996</v>
      </c>
      <c r="I20" s="12">
        <f t="shared" si="2"/>
        <v>113820.644</v>
      </c>
      <c r="J20" s="13">
        <f t="shared" si="3"/>
        <v>113820.644</v>
      </c>
      <c r="K20" s="4">
        <v>246889</v>
      </c>
      <c r="L20" s="16">
        <v>246889</v>
      </c>
      <c r="M20" s="5">
        <f t="shared" si="4"/>
        <v>0</v>
      </c>
      <c r="N20" s="14"/>
    </row>
    <row r="21" spans="1:14" ht="15.6" x14ac:dyDescent="0.3">
      <c r="A21" s="9">
        <v>19</v>
      </c>
      <c r="B21" s="10">
        <v>60123203</v>
      </c>
      <c r="C21" s="11" t="s">
        <v>50</v>
      </c>
      <c r="D21" s="11" t="s">
        <v>51</v>
      </c>
      <c r="E21" s="15">
        <v>20</v>
      </c>
      <c r="F21" s="12">
        <v>4920.5600000000004</v>
      </c>
      <c r="G21" s="12">
        <f t="shared" si="0"/>
        <v>934.90640000000008</v>
      </c>
      <c r="H21" s="12">
        <f t="shared" si="1"/>
        <v>5855.4664000000002</v>
      </c>
      <c r="I21" s="12">
        <f t="shared" si="2"/>
        <v>117109.32800000001</v>
      </c>
      <c r="J21" s="13">
        <f t="shared" si="3"/>
        <v>117109.32800000001</v>
      </c>
      <c r="K21" s="4">
        <v>246889</v>
      </c>
      <c r="L21" s="16">
        <v>246889</v>
      </c>
      <c r="M21" s="5">
        <f t="shared" si="4"/>
        <v>0</v>
      </c>
      <c r="N21" s="14"/>
    </row>
    <row r="22" spans="1:14" ht="15.6" x14ac:dyDescent="0.3">
      <c r="A22" s="9">
        <v>20</v>
      </c>
      <c r="B22" s="10">
        <v>60123203</v>
      </c>
      <c r="C22" s="11" t="s">
        <v>52</v>
      </c>
      <c r="D22" s="11" t="s">
        <v>53</v>
      </c>
      <c r="E22" s="15">
        <v>1000</v>
      </c>
      <c r="F22" s="12">
        <v>246.95</v>
      </c>
      <c r="G22" s="12">
        <f t="shared" si="0"/>
        <v>46.920499999999997</v>
      </c>
      <c r="H22" s="12">
        <f t="shared" si="1"/>
        <v>293.87049999999999</v>
      </c>
      <c r="I22" s="12">
        <f t="shared" si="2"/>
        <v>293870.5</v>
      </c>
      <c r="J22" s="13">
        <f t="shared" si="3"/>
        <v>293870.5</v>
      </c>
      <c r="K22" s="4">
        <v>286811</v>
      </c>
      <c r="L22" s="16">
        <v>286811</v>
      </c>
      <c r="M22" s="5">
        <f t="shared" si="4"/>
        <v>0</v>
      </c>
      <c r="N22" s="14"/>
    </row>
    <row r="23" spans="1:14" ht="15.6" x14ac:dyDescent="0.3">
      <c r="A23" s="9">
        <v>21</v>
      </c>
      <c r="B23" s="10">
        <v>11162125</v>
      </c>
      <c r="C23" s="11" t="s">
        <v>54</v>
      </c>
      <c r="D23" s="11" t="s">
        <v>55</v>
      </c>
      <c r="E23" s="15">
        <v>500</v>
      </c>
      <c r="F23" s="12">
        <v>1846.31</v>
      </c>
      <c r="G23" s="12">
        <f t="shared" si="0"/>
        <v>350.7989</v>
      </c>
      <c r="H23" s="12">
        <f t="shared" si="1"/>
        <v>2197.1089000000002</v>
      </c>
      <c r="I23" s="12">
        <f t="shared" si="2"/>
        <v>1098554.4500000002</v>
      </c>
      <c r="J23" s="13">
        <f t="shared" si="3"/>
        <v>1098554.4500000002</v>
      </c>
      <c r="K23" s="4">
        <v>255625</v>
      </c>
      <c r="L23" s="16">
        <v>255625</v>
      </c>
      <c r="M23" s="5">
        <f t="shared" si="4"/>
        <v>0</v>
      </c>
      <c r="N23" s="14"/>
    </row>
    <row r="24" spans="1:14" ht="15.6" x14ac:dyDescent="0.3">
      <c r="A24" s="9">
        <v>22</v>
      </c>
      <c r="B24" s="10">
        <v>11162125</v>
      </c>
      <c r="C24" s="11" t="s">
        <v>56</v>
      </c>
      <c r="D24" s="11" t="s">
        <v>57</v>
      </c>
      <c r="E24" s="15">
        <v>500</v>
      </c>
      <c r="F24" s="12">
        <v>3536.8</v>
      </c>
      <c r="G24" s="12">
        <f t="shared" si="0"/>
        <v>671.99200000000008</v>
      </c>
      <c r="H24" s="12">
        <f t="shared" si="1"/>
        <v>4208.7920000000004</v>
      </c>
      <c r="I24" s="12">
        <f t="shared" si="2"/>
        <v>2104396</v>
      </c>
      <c r="J24" s="13">
        <f t="shared" si="3"/>
        <v>2104396</v>
      </c>
      <c r="K24" s="4">
        <v>255625</v>
      </c>
      <c r="L24" s="16">
        <v>255625</v>
      </c>
      <c r="M24" s="5">
        <f t="shared" si="4"/>
        <v>0</v>
      </c>
      <c r="N24" s="14"/>
    </row>
    <row r="25" spans="1:14" ht="15.6" x14ac:dyDescent="0.3">
      <c r="A25" s="9">
        <v>23</v>
      </c>
      <c r="B25" s="10">
        <v>11162125</v>
      </c>
      <c r="C25" s="11" t="s">
        <v>58</v>
      </c>
      <c r="D25" s="11" t="s">
        <v>59</v>
      </c>
      <c r="E25" s="15">
        <v>500</v>
      </c>
      <c r="F25" s="12">
        <v>783.99</v>
      </c>
      <c r="G25" s="12">
        <f t="shared" si="0"/>
        <v>148.9581</v>
      </c>
      <c r="H25" s="12">
        <f t="shared" si="1"/>
        <v>932.94810000000007</v>
      </c>
      <c r="I25" s="12">
        <f t="shared" si="2"/>
        <v>466474.05000000005</v>
      </c>
      <c r="J25" s="13">
        <f t="shared" si="3"/>
        <v>466474.05000000005</v>
      </c>
      <c r="K25" s="4">
        <v>255625</v>
      </c>
      <c r="L25" s="16">
        <v>255625</v>
      </c>
      <c r="M25" s="5">
        <f t="shared" si="4"/>
        <v>0</v>
      </c>
      <c r="N25" s="14" t="s">
        <v>60</v>
      </c>
    </row>
    <row r="26" spans="1:14" ht="15.6" x14ac:dyDescent="0.3">
      <c r="A26" s="9">
        <v>24</v>
      </c>
      <c r="B26" s="10">
        <v>11162125</v>
      </c>
      <c r="C26" s="11" t="s">
        <v>61</v>
      </c>
      <c r="D26" s="11" t="s">
        <v>62</v>
      </c>
      <c r="E26" s="15">
        <v>500</v>
      </c>
      <c r="F26" s="12">
        <v>1144.6300000000001</v>
      </c>
      <c r="G26" s="12">
        <f t="shared" si="0"/>
        <v>217.47970000000004</v>
      </c>
      <c r="H26" s="12">
        <f t="shared" si="1"/>
        <v>1362.1097000000002</v>
      </c>
      <c r="I26" s="12">
        <f t="shared" si="2"/>
        <v>681054.85000000009</v>
      </c>
      <c r="J26" s="13">
        <f t="shared" si="3"/>
        <v>681054.85000000009</v>
      </c>
      <c r="K26" s="4">
        <v>255625</v>
      </c>
      <c r="L26" s="16">
        <v>255625</v>
      </c>
      <c r="M26" s="5">
        <f t="shared" si="4"/>
        <v>0</v>
      </c>
      <c r="N26" s="14"/>
    </row>
    <row r="27" spans="1:14" ht="15.6" x14ac:dyDescent="0.3">
      <c r="A27" s="9">
        <v>25</v>
      </c>
      <c r="B27" s="10">
        <v>25172126</v>
      </c>
      <c r="C27" s="11" t="s">
        <v>63</v>
      </c>
      <c r="D27" s="11" t="s">
        <v>64</v>
      </c>
      <c r="E27" s="15">
        <v>1000</v>
      </c>
      <c r="F27" s="12">
        <v>1959.99</v>
      </c>
      <c r="G27" s="12">
        <f t="shared" si="0"/>
        <v>372.3981</v>
      </c>
      <c r="H27" s="12">
        <f t="shared" si="1"/>
        <v>2332.3881000000001</v>
      </c>
      <c r="I27" s="12">
        <f t="shared" si="2"/>
        <v>2332388.1</v>
      </c>
      <c r="J27" s="13">
        <f t="shared" si="3"/>
        <v>2332388.1</v>
      </c>
      <c r="K27" s="4">
        <v>255625</v>
      </c>
      <c r="L27" s="16">
        <v>255625</v>
      </c>
      <c r="M27" s="5">
        <f t="shared" si="4"/>
        <v>0</v>
      </c>
      <c r="N27" s="14"/>
    </row>
    <row r="28" spans="1:14" ht="15.6" x14ac:dyDescent="0.3">
      <c r="A28" s="9">
        <v>26</v>
      </c>
      <c r="B28" s="10">
        <v>53112002</v>
      </c>
      <c r="C28" s="11" t="s">
        <v>65</v>
      </c>
      <c r="D28" s="11" t="s">
        <v>66</v>
      </c>
      <c r="E28" s="15">
        <v>3</v>
      </c>
      <c r="F28" s="12">
        <v>59540.67</v>
      </c>
      <c r="G28" s="12">
        <f t="shared" si="0"/>
        <v>11312.7273</v>
      </c>
      <c r="H28" s="12">
        <f t="shared" si="1"/>
        <v>70853.397299999997</v>
      </c>
      <c r="I28" s="12">
        <f t="shared" si="2"/>
        <v>212560.19189999998</v>
      </c>
      <c r="J28" s="13">
        <f t="shared" si="3"/>
        <v>212560.19189999998</v>
      </c>
      <c r="K28" s="4">
        <v>259150</v>
      </c>
      <c r="L28" s="16">
        <v>259150</v>
      </c>
      <c r="M28" s="5">
        <f t="shared" si="4"/>
        <v>0</v>
      </c>
      <c r="N28" s="14"/>
    </row>
    <row r="29" spans="1:14" ht="15.6" x14ac:dyDescent="0.3">
      <c r="A29" s="9">
        <v>27</v>
      </c>
      <c r="B29" s="10">
        <v>31141701</v>
      </c>
      <c r="C29" s="11" t="s">
        <v>67</v>
      </c>
      <c r="D29" s="11" t="s">
        <v>68</v>
      </c>
      <c r="E29" s="15">
        <v>45</v>
      </c>
      <c r="F29" s="12">
        <v>3458.4</v>
      </c>
      <c r="G29" s="12">
        <f t="shared" si="0"/>
        <v>657.096</v>
      </c>
      <c r="H29" s="12">
        <f t="shared" si="1"/>
        <v>4115.4960000000001</v>
      </c>
      <c r="I29" s="12">
        <f t="shared" si="2"/>
        <v>185197.32</v>
      </c>
      <c r="J29" s="13">
        <f t="shared" si="3"/>
        <v>185197.32</v>
      </c>
      <c r="K29" s="4">
        <v>246876</v>
      </c>
      <c r="L29" s="16">
        <v>246876</v>
      </c>
      <c r="M29" s="5">
        <f t="shared" si="4"/>
        <v>0</v>
      </c>
      <c r="N29" s="14"/>
    </row>
    <row r="30" spans="1:14" ht="15.6" x14ac:dyDescent="0.3">
      <c r="A30" s="9">
        <v>28</v>
      </c>
      <c r="B30" s="10">
        <v>31141701</v>
      </c>
      <c r="C30" s="11" t="s">
        <v>69</v>
      </c>
      <c r="D30" s="11" t="s">
        <v>70</v>
      </c>
      <c r="E30" s="15">
        <v>65</v>
      </c>
      <c r="F30" s="12">
        <v>3458.4</v>
      </c>
      <c r="G30" s="12">
        <f t="shared" si="0"/>
        <v>657.096</v>
      </c>
      <c r="H30" s="12">
        <f t="shared" si="1"/>
        <v>4115.4960000000001</v>
      </c>
      <c r="I30" s="12">
        <f t="shared" si="2"/>
        <v>267507.24</v>
      </c>
      <c r="J30" s="13">
        <f t="shared" si="3"/>
        <v>267507.24</v>
      </c>
      <c r="K30" s="4">
        <v>246876</v>
      </c>
      <c r="L30" s="16">
        <v>246876</v>
      </c>
      <c r="M30" s="5">
        <f t="shared" si="4"/>
        <v>0</v>
      </c>
      <c r="N30" s="14"/>
    </row>
    <row r="31" spans="1:14" ht="15.6" x14ac:dyDescent="0.3">
      <c r="A31" s="9">
        <v>29</v>
      </c>
      <c r="B31" s="10">
        <v>31141701</v>
      </c>
      <c r="C31" s="11" t="s">
        <v>71</v>
      </c>
      <c r="D31" s="11" t="s">
        <v>72</v>
      </c>
      <c r="E31" s="15">
        <v>85</v>
      </c>
      <c r="F31" s="12">
        <v>3458.4</v>
      </c>
      <c r="G31" s="12">
        <f t="shared" si="0"/>
        <v>657.096</v>
      </c>
      <c r="H31" s="12">
        <f t="shared" si="1"/>
        <v>4115.4960000000001</v>
      </c>
      <c r="I31" s="12">
        <f t="shared" si="2"/>
        <v>349817.16000000003</v>
      </c>
      <c r="J31" s="13">
        <f t="shared" si="3"/>
        <v>349817.16000000003</v>
      </c>
      <c r="K31" s="4">
        <v>246876</v>
      </c>
      <c r="L31" s="16">
        <v>246876</v>
      </c>
      <c r="M31" s="5">
        <f t="shared" si="4"/>
        <v>0</v>
      </c>
      <c r="N31" s="14"/>
    </row>
    <row r="32" spans="1:14" ht="15.6" x14ac:dyDescent="0.3">
      <c r="A32" s="9">
        <v>30</v>
      </c>
      <c r="B32" s="10">
        <v>31141701</v>
      </c>
      <c r="C32" s="11" t="s">
        <v>73</v>
      </c>
      <c r="D32" s="11" t="s">
        <v>74</v>
      </c>
      <c r="E32" s="15">
        <v>45</v>
      </c>
      <c r="F32" s="12">
        <v>3458.4</v>
      </c>
      <c r="G32" s="12">
        <f t="shared" si="0"/>
        <v>657.096</v>
      </c>
      <c r="H32" s="12">
        <f t="shared" si="1"/>
        <v>4115.4960000000001</v>
      </c>
      <c r="I32" s="12">
        <f t="shared" si="2"/>
        <v>185197.32</v>
      </c>
      <c r="J32" s="13">
        <f t="shared" si="3"/>
        <v>185197.32</v>
      </c>
      <c r="K32" s="4">
        <v>246876</v>
      </c>
      <c r="L32" s="16">
        <v>246876</v>
      </c>
      <c r="M32" s="5">
        <f t="shared" si="4"/>
        <v>0</v>
      </c>
      <c r="N32" s="14"/>
    </row>
    <row r="33" spans="1:14" ht="15.6" x14ac:dyDescent="0.3">
      <c r="A33" s="9">
        <v>31</v>
      </c>
      <c r="B33" s="10">
        <v>31141701</v>
      </c>
      <c r="C33" s="11" t="s">
        <v>75</v>
      </c>
      <c r="D33" s="11" t="s">
        <v>76</v>
      </c>
      <c r="E33" s="15">
        <v>85</v>
      </c>
      <c r="F33" s="12">
        <v>3458.4</v>
      </c>
      <c r="G33" s="12">
        <f t="shared" si="0"/>
        <v>657.096</v>
      </c>
      <c r="H33" s="12">
        <f t="shared" si="1"/>
        <v>4115.4960000000001</v>
      </c>
      <c r="I33" s="12">
        <f t="shared" si="2"/>
        <v>349817.16000000003</v>
      </c>
      <c r="J33" s="13">
        <f t="shared" si="3"/>
        <v>349817.16000000003</v>
      </c>
      <c r="K33" s="4">
        <v>246876</v>
      </c>
      <c r="L33" s="16">
        <v>246876</v>
      </c>
      <c r="M33" s="5">
        <f t="shared" si="4"/>
        <v>0</v>
      </c>
      <c r="N33" s="14"/>
    </row>
    <row r="34" spans="1:14" ht="15.6" x14ac:dyDescent="0.3">
      <c r="A34" s="9">
        <v>32</v>
      </c>
      <c r="B34" s="10">
        <v>31141701</v>
      </c>
      <c r="C34" s="11" t="s">
        <v>77</v>
      </c>
      <c r="D34" s="11" t="s">
        <v>78</v>
      </c>
      <c r="E34" s="15">
        <v>40</v>
      </c>
      <c r="F34" s="12">
        <v>3458.4</v>
      </c>
      <c r="G34" s="12">
        <f t="shared" si="0"/>
        <v>657.096</v>
      </c>
      <c r="H34" s="12">
        <f t="shared" si="1"/>
        <v>4115.4960000000001</v>
      </c>
      <c r="I34" s="12">
        <f t="shared" si="2"/>
        <v>164619.84</v>
      </c>
      <c r="J34" s="13">
        <f t="shared" si="3"/>
        <v>164619.84</v>
      </c>
      <c r="K34" s="4">
        <v>246876</v>
      </c>
      <c r="L34" s="16">
        <v>246876</v>
      </c>
      <c r="M34" s="5">
        <f t="shared" si="4"/>
        <v>0</v>
      </c>
      <c r="N34" s="14"/>
    </row>
    <row r="35" spans="1:14" ht="15.6" x14ac:dyDescent="0.3">
      <c r="A35" s="9">
        <v>33</v>
      </c>
      <c r="B35" s="10">
        <v>31141701</v>
      </c>
      <c r="C35" s="11" t="s">
        <v>79</v>
      </c>
      <c r="D35" s="11" t="s">
        <v>80</v>
      </c>
      <c r="E35" s="15">
        <v>35</v>
      </c>
      <c r="F35" s="12">
        <v>3458.4</v>
      </c>
      <c r="G35" s="12">
        <f t="shared" si="0"/>
        <v>657.096</v>
      </c>
      <c r="H35" s="12">
        <f t="shared" si="1"/>
        <v>4115.4960000000001</v>
      </c>
      <c r="I35" s="12">
        <f t="shared" si="2"/>
        <v>144042.36000000002</v>
      </c>
      <c r="J35" s="13">
        <f t="shared" si="3"/>
        <v>144042.36000000002</v>
      </c>
      <c r="K35" s="4">
        <v>246876</v>
      </c>
      <c r="L35" s="16">
        <v>246876</v>
      </c>
      <c r="M35" s="5">
        <f t="shared" si="4"/>
        <v>0</v>
      </c>
      <c r="N35" s="14"/>
    </row>
    <row r="36" spans="1:14" ht="15.6" x14ac:dyDescent="0.3">
      <c r="A36" s="9">
        <v>34</v>
      </c>
      <c r="B36" s="10">
        <v>13102029</v>
      </c>
      <c r="C36" s="11" t="s">
        <v>81</v>
      </c>
      <c r="D36" s="11" t="s">
        <v>82</v>
      </c>
      <c r="E36" s="15">
        <v>45</v>
      </c>
      <c r="F36" s="12">
        <v>15927.88</v>
      </c>
      <c r="G36" s="12">
        <f t="shared" si="0"/>
        <v>3026.2972</v>
      </c>
      <c r="H36" s="12">
        <f t="shared" si="1"/>
        <v>18954.177199999998</v>
      </c>
      <c r="I36" s="12">
        <f t="shared" si="2"/>
        <v>852937.97399999993</v>
      </c>
      <c r="J36" s="13">
        <f t="shared" si="3"/>
        <v>852937.97399999993</v>
      </c>
      <c r="K36" s="4">
        <v>246893</v>
      </c>
      <c r="L36" s="16">
        <v>246893</v>
      </c>
      <c r="M36" s="5">
        <f t="shared" si="4"/>
        <v>0</v>
      </c>
      <c r="N36" s="14"/>
    </row>
    <row r="37" spans="1:14" ht="15.6" x14ac:dyDescent="0.3">
      <c r="A37" s="9">
        <v>35</v>
      </c>
      <c r="B37" s="10">
        <v>13102029</v>
      </c>
      <c r="C37" s="11" t="s">
        <v>83</v>
      </c>
      <c r="D37" s="11" t="s">
        <v>84</v>
      </c>
      <c r="E37" s="15">
        <v>65</v>
      </c>
      <c r="F37" s="12">
        <v>15927.88</v>
      </c>
      <c r="G37" s="12">
        <f t="shared" si="0"/>
        <v>3026.2972</v>
      </c>
      <c r="H37" s="12">
        <f t="shared" si="1"/>
        <v>18954.177199999998</v>
      </c>
      <c r="I37" s="12">
        <f t="shared" si="2"/>
        <v>1232021.5179999999</v>
      </c>
      <c r="J37" s="13">
        <f t="shared" si="3"/>
        <v>1232021.5179999999</v>
      </c>
      <c r="K37" s="4">
        <v>246893</v>
      </c>
      <c r="L37" s="16">
        <v>246893</v>
      </c>
      <c r="M37" s="5">
        <f t="shared" si="4"/>
        <v>0</v>
      </c>
      <c r="N37" s="14"/>
    </row>
    <row r="38" spans="1:14" ht="15.6" x14ac:dyDescent="0.3">
      <c r="A38" s="9">
        <v>36</v>
      </c>
      <c r="B38" s="10">
        <v>13102029</v>
      </c>
      <c r="C38" s="11" t="s">
        <v>85</v>
      </c>
      <c r="D38" s="11" t="s">
        <v>86</v>
      </c>
      <c r="E38" s="15">
        <v>85</v>
      </c>
      <c r="F38" s="12">
        <v>15927.88</v>
      </c>
      <c r="G38" s="12">
        <f t="shared" si="0"/>
        <v>3026.2972</v>
      </c>
      <c r="H38" s="12">
        <f t="shared" si="1"/>
        <v>18954.177199999998</v>
      </c>
      <c r="I38" s="12">
        <f t="shared" si="2"/>
        <v>1611105.0619999999</v>
      </c>
      <c r="J38" s="13">
        <f t="shared" si="3"/>
        <v>1611105.0619999999</v>
      </c>
      <c r="K38" s="4">
        <v>246893</v>
      </c>
      <c r="L38" s="16">
        <v>246893</v>
      </c>
      <c r="M38" s="5">
        <f t="shared" si="4"/>
        <v>0</v>
      </c>
      <c r="N38" s="14"/>
    </row>
    <row r="39" spans="1:14" ht="15.6" x14ac:dyDescent="0.3">
      <c r="A39" s="9">
        <v>37</v>
      </c>
      <c r="B39" s="10">
        <v>13102029</v>
      </c>
      <c r="C39" s="11" t="s">
        <v>87</v>
      </c>
      <c r="D39" s="11" t="s">
        <v>88</v>
      </c>
      <c r="E39" s="15">
        <v>45</v>
      </c>
      <c r="F39" s="12">
        <v>15927.88</v>
      </c>
      <c r="G39" s="12">
        <f t="shared" si="0"/>
        <v>3026.2972</v>
      </c>
      <c r="H39" s="12">
        <f t="shared" si="1"/>
        <v>18954.177199999998</v>
      </c>
      <c r="I39" s="12">
        <f t="shared" si="2"/>
        <v>852937.97399999993</v>
      </c>
      <c r="J39" s="13">
        <f t="shared" si="3"/>
        <v>852937.97399999993</v>
      </c>
      <c r="K39" s="4">
        <v>246893</v>
      </c>
      <c r="L39" s="16">
        <v>246893</v>
      </c>
      <c r="M39" s="5">
        <f t="shared" si="4"/>
        <v>0</v>
      </c>
      <c r="N39" s="14" t="s">
        <v>89</v>
      </c>
    </row>
    <row r="40" spans="1:14" ht="15.6" x14ac:dyDescent="0.3">
      <c r="A40" s="9">
        <v>38</v>
      </c>
      <c r="B40" s="10">
        <v>13102029</v>
      </c>
      <c r="C40" s="11" t="s">
        <v>90</v>
      </c>
      <c r="D40" s="11" t="s">
        <v>91</v>
      </c>
      <c r="E40" s="15">
        <v>85</v>
      </c>
      <c r="F40" s="12">
        <v>15927.88</v>
      </c>
      <c r="G40" s="12">
        <f t="shared" si="0"/>
        <v>3026.2972</v>
      </c>
      <c r="H40" s="12">
        <f t="shared" si="1"/>
        <v>18954.177199999998</v>
      </c>
      <c r="I40" s="12">
        <f t="shared" si="2"/>
        <v>1611105.0619999999</v>
      </c>
      <c r="J40" s="13">
        <f t="shared" si="3"/>
        <v>1611105.0619999999</v>
      </c>
      <c r="K40" s="4">
        <v>246893</v>
      </c>
      <c r="L40" s="16">
        <v>246893</v>
      </c>
      <c r="M40" s="5">
        <f t="shared" si="4"/>
        <v>0</v>
      </c>
      <c r="N40" s="14"/>
    </row>
    <row r="41" spans="1:14" ht="15.6" x14ac:dyDescent="0.3">
      <c r="A41" s="9">
        <v>39</v>
      </c>
      <c r="B41" s="10">
        <v>13102029</v>
      </c>
      <c r="C41" s="11" t="s">
        <v>92</v>
      </c>
      <c r="D41" s="11" t="s">
        <v>93</v>
      </c>
      <c r="E41" s="15">
        <v>40</v>
      </c>
      <c r="F41" s="12">
        <v>15927.88</v>
      </c>
      <c r="G41" s="12">
        <f t="shared" si="0"/>
        <v>3026.2972</v>
      </c>
      <c r="H41" s="12">
        <f t="shared" si="1"/>
        <v>18954.177199999998</v>
      </c>
      <c r="I41" s="12">
        <f t="shared" si="2"/>
        <v>758167.08799999999</v>
      </c>
      <c r="J41" s="13">
        <f t="shared" si="3"/>
        <v>758167.08799999999</v>
      </c>
      <c r="K41" s="4">
        <v>246893</v>
      </c>
      <c r="L41" s="16">
        <v>246893</v>
      </c>
      <c r="M41" s="5">
        <f t="shared" si="4"/>
        <v>0</v>
      </c>
      <c r="N41" s="14"/>
    </row>
    <row r="42" spans="1:14" ht="15.6" x14ac:dyDescent="0.3">
      <c r="A42" s="9">
        <v>40</v>
      </c>
      <c r="B42" s="10">
        <v>13102029</v>
      </c>
      <c r="C42" s="11" t="s">
        <v>94</v>
      </c>
      <c r="D42" s="11" t="s">
        <v>95</v>
      </c>
      <c r="E42" s="15">
        <v>35</v>
      </c>
      <c r="F42" s="12">
        <v>15927.88</v>
      </c>
      <c r="G42" s="12">
        <f t="shared" si="0"/>
        <v>3026.2972</v>
      </c>
      <c r="H42" s="12">
        <f t="shared" si="1"/>
        <v>18954.177199999998</v>
      </c>
      <c r="I42" s="12">
        <f t="shared" si="2"/>
        <v>663396.20199999993</v>
      </c>
      <c r="J42" s="13">
        <f t="shared" si="3"/>
        <v>663396.20199999993</v>
      </c>
      <c r="K42" s="4">
        <v>246893</v>
      </c>
      <c r="L42" s="16">
        <v>246893</v>
      </c>
      <c r="M42" s="5">
        <f t="shared" si="4"/>
        <v>0</v>
      </c>
      <c r="N42" s="14"/>
    </row>
    <row r="43" spans="1:14" ht="15.6" x14ac:dyDescent="0.3">
      <c r="A43" s="9">
        <v>41</v>
      </c>
      <c r="B43" s="10">
        <v>13111045</v>
      </c>
      <c r="C43" s="11" t="s">
        <v>96</v>
      </c>
      <c r="D43" s="11" t="s">
        <v>97</v>
      </c>
      <c r="E43" s="15">
        <v>45</v>
      </c>
      <c r="F43" s="12">
        <v>11528.68</v>
      </c>
      <c r="G43" s="12">
        <f t="shared" si="0"/>
        <v>2190.4492</v>
      </c>
      <c r="H43" s="12">
        <f t="shared" si="1"/>
        <v>13719.129199999999</v>
      </c>
      <c r="I43" s="12">
        <f t="shared" si="2"/>
        <v>617360.81400000001</v>
      </c>
      <c r="J43" s="13">
        <f t="shared" si="3"/>
        <v>617360.81400000001</v>
      </c>
      <c r="K43" s="4">
        <v>246870</v>
      </c>
      <c r="L43" s="16">
        <v>246870</v>
      </c>
      <c r="M43" s="5">
        <f t="shared" si="4"/>
        <v>0</v>
      </c>
      <c r="N43" s="14"/>
    </row>
    <row r="44" spans="1:14" ht="15.6" x14ac:dyDescent="0.3">
      <c r="A44" s="9">
        <v>42</v>
      </c>
      <c r="B44" s="10">
        <v>13111045</v>
      </c>
      <c r="C44" s="11" t="s">
        <v>98</v>
      </c>
      <c r="D44" s="11" t="s">
        <v>99</v>
      </c>
      <c r="E44" s="15">
        <v>65</v>
      </c>
      <c r="F44" s="12">
        <v>11528.68</v>
      </c>
      <c r="G44" s="12">
        <f t="shared" si="0"/>
        <v>2190.4492</v>
      </c>
      <c r="H44" s="12">
        <f t="shared" si="1"/>
        <v>13719.129199999999</v>
      </c>
      <c r="I44" s="12">
        <f t="shared" si="2"/>
        <v>891743.39799999993</v>
      </c>
      <c r="J44" s="13">
        <f t="shared" si="3"/>
        <v>891743.39799999993</v>
      </c>
      <c r="K44" s="4">
        <v>246870</v>
      </c>
      <c r="L44" s="16">
        <v>246870</v>
      </c>
      <c r="M44" s="5">
        <f t="shared" si="4"/>
        <v>0</v>
      </c>
      <c r="N44" s="14"/>
    </row>
    <row r="45" spans="1:14" ht="15.6" x14ac:dyDescent="0.3">
      <c r="A45" s="9">
        <v>43</v>
      </c>
      <c r="B45" s="10">
        <v>13111045</v>
      </c>
      <c r="C45" s="11" t="s">
        <v>100</v>
      </c>
      <c r="D45" s="11" t="s">
        <v>101</v>
      </c>
      <c r="E45" s="15">
        <v>85</v>
      </c>
      <c r="F45" s="12">
        <v>11528.68</v>
      </c>
      <c r="G45" s="12">
        <f t="shared" si="0"/>
        <v>2190.4492</v>
      </c>
      <c r="H45" s="12">
        <f t="shared" si="1"/>
        <v>13719.129199999999</v>
      </c>
      <c r="I45" s="12">
        <f t="shared" si="2"/>
        <v>1166125.9819999998</v>
      </c>
      <c r="J45" s="13">
        <f t="shared" si="3"/>
        <v>1166125.9819999998</v>
      </c>
      <c r="K45" s="4">
        <v>246870</v>
      </c>
      <c r="L45" s="16">
        <v>246870</v>
      </c>
      <c r="M45" s="5">
        <f t="shared" si="4"/>
        <v>0</v>
      </c>
      <c r="N45" s="14"/>
    </row>
    <row r="46" spans="1:14" ht="15.6" x14ac:dyDescent="0.3">
      <c r="A46" s="9">
        <v>44</v>
      </c>
      <c r="B46" s="10">
        <v>13111045</v>
      </c>
      <c r="C46" s="11" t="s">
        <v>102</v>
      </c>
      <c r="D46" s="11" t="s">
        <v>103</v>
      </c>
      <c r="E46" s="15">
        <v>45</v>
      </c>
      <c r="F46" s="12">
        <v>11528.68</v>
      </c>
      <c r="G46" s="12">
        <f t="shared" si="0"/>
        <v>2190.4492</v>
      </c>
      <c r="H46" s="12">
        <f t="shared" si="1"/>
        <v>13719.129199999999</v>
      </c>
      <c r="I46" s="12">
        <f t="shared" si="2"/>
        <v>617360.81400000001</v>
      </c>
      <c r="J46" s="13">
        <f t="shared" si="3"/>
        <v>617360.81400000001</v>
      </c>
      <c r="K46" s="4">
        <v>246870</v>
      </c>
      <c r="L46" s="16">
        <v>246870</v>
      </c>
      <c r="M46" s="5">
        <f t="shared" si="4"/>
        <v>0</v>
      </c>
      <c r="N46" s="14"/>
    </row>
    <row r="47" spans="1:14" ht="15.6" x14ac:dyDescent="0.3">
      <c r="A47" s="9">
        <v>45</v>
      </c>
      <c r="B47" s="10">
        <v>13111045</v>
      </c>
      <c r="C47" s="11" t="s">
        <v>104</v>
      </c>
      <c r="D47" s="11" t="s">
        <v>105</v>
      </c>
      <c r="E47" s="15">
        <v>85</v>
      </c>
      <c r="F47" s="12">
        <v>11528.68</v>
      </c>
      <c r="G47" s="12">
        <f t="shared" si="0"/>
        <v>2190.4492</v>
      </c>
      <c r="H47" s="12">
        <f t="shared" si="1"/>
        <v>13719.129199999999</v>
      </c>
      <c r="I47" s="12">
        <f t="shared" si="2"/>
        <v>1166125.9819999998</v>
      </c>
      <c r="J47" s="13">
        <f t="shared" si="3"/>
        <v>1166125.9819999998</v>
      </c>
      <c r="K47" s="4">
        <v>246870</v>
      </c>
      <c r="L47" s="16">
        <v>246870</v>
      </c>
      <c r="M47" s="5">
        <f t="shared" si="4"/>
        <v>0</v>
      </c>
      <c r="N47" s="14"/>
    </row>
    <row r="48" spans="1:14" ht="15.6" x14ac:dyDescent="0.3">
      <c r="A48" s="9">
        <v>46</v>
      </c>
      <c r="B48" s="10">
        <v>13111045</v>
      </c>
      <c r="C48" s="11" t="s">
        <v>106</v>
      </c>
      <c r="D48" s="11" t="s">
        <v>107</v>
      </c>
      <c r="E48" s="15">
        <v>40</v>
      </c>
      <c r="F48" s="12">
        <v>11528.68</v>
      </c>
      <c r="G48" s="12">
        <f t="shared" si="0"/>
        <v>2190.4492</v>
      </c>
      <c r="H48" s="12">
        <f t="shared" si="1"/>
        <v>13719.129199999999</v>
      </c>
      <c r="I48" s="12">
        <f t="shared" si="2"/>
        <v>548765.16799999995</v>
      </c>
      <c r="J48" s="13">
        <f t="shared" si="3"/>
        <v>548765.16799999995</v>
      </c>
      <c r="K48" s="4">
        <v>246870</v>
      </c>
      <c r="L48" s="16">
        <v>246870</v>
      </c>
      <c r="M48" s="5">
        <f t="shared" si="4"/>
        <v>0</v>
      </c>
      <c r="N48" s="14"/>
    </row>
    <row r="49" spans="1:14" ht="15.6" x14ac:dyDescent="0.3">
      <c r="A49" s="9">
        <v>47</v>
      </c>
      <c r="B49" s="10">
        <v>13111045</v>
      </c>
      <c r="C49" s="11" t="s">
        <v>108</v>
      </c>
      <c r="D49" s="11" t="s">
        <v>109</v>
      </c>
      <c r="E49" s="15">
        <v>35</v>
      </c>
      <c r="F49" s="12">
        <v>11528.68</v>
      </c>
      <c r="G49" s="12">
        <f t="shared" si="0"/>
        <v>2190.4492</v>
      </c>
      <c r="H49" s="12">
        <f t="shared" si="1"/>
        <v>13719.129199999999</v>
      </c>
      <c r="I49" s="12">
        <f t="shared" si="2"/>
        <v>480169.522</v>
      </c>
      <c r="J49" s="13">
        <f t="shared" si="3"/>
        <v>480169.522</v>
      </c>
      <c r="K49" s="4">
        <v>246870</v>
      </c>
      <c r="L49" s="16">
        <v>246870</v>
      </c>
      <c r="M49" s="5">
        <f t="shared" si="4"/>
        <v>0</v>
      </c>
      <c r="N49" s="14"/>
    </row>
    <row r="50" spans="1:14" ht="15.6" x14ac:dyDescent="0.3">
      <c r="A50" s="9">
        <v>48</v>
      </c>
      <c r="B50" s="10">
        <v>14121503</v>
      </c>
      <c r="C50" s="11" t="s">
        <v>110</v>
      </c>
      <c r="D50" s="11" t="s">
        <v>111</v>
      </c>
      <c r="E50" s="15">
        <v>45</v>
      </c>
      <c r="F50" s="12">
        <v>5146.9426701461798</v>
      </c>
      <c r="G50" s="12">
        <f t="shared" si="0"/>
        <v>977.91910732777421</v>
      </c>
      <c r="H50" s="12">
        <f t="shared" si="1"/>
        <v>6124.8617774739541</v>
      </c>
      <c r="I50" s="12">
        <f t="shared" si="2"/>
        <v>275618.77998632792</v>
      </c>
      <c r="J50" s="13">
        <f t="shared" si="3"/>
        <v>275618.77998632792</v>
      </c>
      <c r="K50" s="4">
        <v>246870</v>
      </c>
      <c r="L50" s="16">
        <v>246870</v>
      </c>
      <c r="M50" s="5">
        <f t="shared" si="4"/>
        <v>0</v>
      </c>
      <c r="N50" s="14"/>
    </row>
    <row r="51" spans="1:14" ht="15.6" x14ac:dyDescent="0.3">
      <c r="A51" s="9">
        <v>49</v>
      </c>
      <c r="B51" s="10">
        <v>14121503</v>
      </c>
      <c r="C51" s="11" t="s">
        <v>112</v>
      </c>
      <c r="D51" s="11" t="s">
        <v>113</v>
      </c>
      <c r="E51" s="15">
        <v>65</v>
      </c>
      <c r="F51" s="12">
        <v>5146.9399999999996</v>
      </c>
      <c r="G51" s="12">
        <f t="shared" si="0"/>
        <v>977.91859999999997</v>
      </c>
      <c r="H51" s="12">
        <f t="shared" si="1"/>
        <v>6124.8585999999996</v>
      </c>
      <c r="I51" s="12">
        <f t="shared" si="2"/>
        <v>398115.80899999995</v>
      </c>
      <c r="J51" s="13">
        <f t="shared" si="3"/>
        <v>398115.80899999995</v>
      </c>
      <c r="K51" s="4">
        <v>246870</v>
      </c>
      <c r="L51" s="16">
        <v>246870</v>
      </c>
      <c r="M51" s="5">
        <f t="shared" si="4"/>
        <v>0</v>
      </c>
      <c r="N51" s="14"/>
    </row>
    <row r="52" spans="1:14" ht="15.6" x14ac:dyDescent="0.3">
      <c r="A52" s="9">
        <v>50</v>
      </c>
      <c r="B52" s="10">
        <v>14121503</v>
      </c>
      <c r="C52" s="11" t="s">
        <v>114</v>
      </c>
      <c r="D52" s="11" t="s">
        <v>115</v>
      </c>
      <c r="E52" s="15">
        <v>85</v>
      </c>
      <c r="F52" s="12">
        <v>5146.9399999999996</v>
      </c>
      <c r="G52" s="12">
        <f t="shared" si="0"/>
        <v>977.91859999999997</v>
      </c>
      <c r="H52" s="12">
        <f t="shared" si="1"/>
        <v>6124.8585999999996</v>
      </c>
      <c r="I52" s="12">
        <f t="shared" si="2"/>
        <v>520612.98099999997</v>
      </c>
      <c r="J52" s="13">
        <f t="shared" si="3"/>
        <v>520612.98099999997</v>
      </c>
      <c r="K52" s="4">
        <v>246870</v>
      </c>
      <c r="L52" s="16">
        <v>246870</v>
      </c>
      <c r="M52" s="5">
        <f t="shared" si="4"/>
        <v>0</v>
      </c>
      <c r="N52" s="14"/>
    </row>
    <row r="53" spans="1:14" ht="15.6" x14ac:dyDescent="0.3">
      <c r="A53" s="9">
        <v>51</v>
      </c>
      <c r="B53" s="10">
        <v>14121503</v>
      </c>
      <c r="C53" s="11" t="s">
        <v>116</v>
      </c>
      <c r="D53" s="11" t="s">
        <v>117</v>
      </c>
      <c r="E53" s="15">
        <v>45</v>
      </c>
      <c r="F53" s="12">
        <v>5146.9399999999996</v>
      </c>
      <c r="G53" s="12">
        <f t="shared" si="0"/>
        <v>977.91859999999997</v>
      </c>
      <c r="H53" s="12">
        <f t="shared" si="1"/>
        <v>6124.8585999999996</v>
      </c>
      <c r="I53" s="12">
        <f t="shared" si="2"/>
        <v>275618.63699999999</v>
      </c>
      <c r="J53" s="13">
        <f t="shared" si="3"/>
        <v>275618.63699999999</v>
      </c>
      <c r="K53" s="4">
        <v>246870</v>
      </c>
      <c r="L53" s="16">
        <v>246870</v>
      </c>
      <c r="M53" s="5">
        <f t="shared" si="4"/>
        <v>0</v>
      </c>
      <c r="N53" s="14"/>
    </row>
    <row r="54" spans="1:14" ht="15.6" x14ac:dyDescent="0.3">
      <c r="A54" s="9">
        <v>52</v>
      </c>
      <c r="B54" s="10">
        <v>14121503</v>
      </c>
      <c r="C54" s="11" t="s">
        <v>118</v>
      </c>
      <c r="D54" s="11" t="s">
        <v>119</v>
      </c>
      <c r="E54" s="15">
        <v>85</v>
      </c>
      <c r="F54" s="12">
        <v>5146.9399999999996</v>
      </c>
      <c r="G54" s="12">
        <f t="shared" si="0"/>
        <v>977.91859999999997</v>
      </c>
      <c r="H54" s="12">
        <f t="shared" si="1"/>
        <v>6124.8585999999996</v>
      </c>
      <c r="I54" s="12">
        <f t="shared" si="2"/>
        <v>520612.98099999997</v>
      </c>
      <c r="J54" s="13">
        <f t="shared" si="3"/>
        <v>520612.98099999997</v>
      </c>
      <c r="K54" s="4">
        <v>246870</v>
      </c>
      <c r="L54" s="16">
        <v>246870</v>
      </c>
      <c r="M54" s="5">
        <f t="shared" si="4"/>
        <v>0</v>
      </c>
      <c r="N54" s="14"/>
    </row>
    <row r="55" spans="1:14" ht="15.6" x14ac:dyDescent="0.3">
      <c r="A55" s="9">
        <v>53</v>
      </c>
      <c r="B55" s="10">
        <v>14121503</v>
      </c>
      <c r="C55" s="11" t="s">
        <v>120</v>
      </c>
      <c r="D55" s="11" t="s">
        <v>121</v>
      </c>
      <c r="E55" s="15">
        <v>40</v>
      </c>
      <c r="F55" s="12">
        <v>5146.9399999999996</v>
      </c>
      <c r="G55" s="12">
        <f t="shared" si="0"/>
        <v>977.91859999999997</v>
      </c>
      <c r="H55" s="12">
        <f t="shared" si="1"/>
        <v>6124.8585999999996</v>
      </c>
      <c r="I55" s="12">
        <f t="shared" si="2"/>
        <v>244994.34399999998</v>
      </c>
      <c r="J55" s="13">
        <f t="shared" si="3"/>
        <v>244994.34399999998</v>
      </c>
      <c r="K55" s="4">
        <v>246870</v>
      </c>
      <c r="L55" s="16">
        <v>246870</v>
      </c>
      <c r="M55" s="5">
        <f t="shared" si="4"/>
        <v>0</v>
      </c>
      <c r="N55" s="14"/>
    </row>
    <row r="56" spans="1:14" ht="15.6" x14ac:dyDescent="0.3">
      <c r="A56" s="9">
        <v>54</v>
      </c>
      <c r="B56" s="10">
        <v>14121503</v>
      </c>
      <c r="C56" s="11" t="s">
        <v>122</v>
      </c>
      <c r="D56" s="11" t="s">
        <v>123</v>
      </c>
      <c r="E56" s="15">
        <v>35</v>
      </c>
      <c r="F56" s="12">
        <v>5146.9399999999996</v>
      </c>
      <c r="G56" s="12">
        <f t="shared" si="0"/>
        <v>977.91859999999997</v>
      </c>
      <c r="H56" s="12">
        <f t="shared" si="1"/>
        <v>6124.8585999999996</v>
      </c>
      <c r="I56" s="12">
        <f t="shared" si="2"/>
        <v>214370.05099999998</v>
      </c>
      <c r="J56" s="13">
        <f t="shared" si="3"/>
        <v>214370.05099999998</v>
      </c>
      <c r="K56" s="4">
        <v>246870</v>
      </c>
      <c r="L56" s="16">
        <v>246870</v>
      </c>
      <c r="M56" s="5">
        <f t="shared" si="4"/>
        <v>0</v>
      </c>
      <c r="N56" s="14"/>
    </row>
    <row r="57" spans="1:14" ht="15.6" x14ac:dyDescent="0.3">
      <c r="A57" s="9">
        <v>55</v>
      </c>
      <c r="B57" s="10">
        <v>13102003</v>
      </c>
      <c r="C57" s="11" t="s">
        <v>124</v>
      </c>
      <c r="D57" s="11" t="s">
        <v>125</v>
      </c>
      <c r="E57" s="15">
        <v>8000</v>
      </c>
      <c r="F57" s="12">
        <v>63.69</v>
      </c>
      <c r="G57" s="12">
        <f t="shared" si="0"/>
        <v>12.101099999999999</v>
      </c>
      <c r="H57" s="12">
        <f t="shared" si="1"/>
        <v>75.7911</v>
      </c>
      <c r="I57" s="12">
        <f t="shared" si="2"/>
        <v>606328.80000000005</v>
      </c>
      <c r="J57" s="13">
        <f t="shared" si="3"/>
        <v>606328.80000000005</v>
      </c>
      <c r="K57" s="4">
        <v>262631</v>
      </c>
      <c r="L57" s="16">
        <v>262631</v>
      </c>
      <c r="M57" s="5">
        <f t="shared" si="4"/>
        <v>0</v>
      </c>
      <c r="N57" s="14"/>
    </row>
    <row r="58" spans="1:14" ht="15.6" x14ac:dyDescent="0.3">
      <c r="A58" s="9">
        <v>56</v>
      </c>
      <c r="B58" s="10">
        <v>11101706</v>
      </c>
      <c r="C58" s="11" t="s">
        <v>126</v>
      </c>
      <c r="D58" s="11" t="s">
        <v>127</v>
      </c>
      <c r="E58" s="15">
        <v>50</v>
      </c>
      <c r="F58" s="12">
        <v>493.91</v>
      </c>
      <c r="G58" s="12">
        <f t="shared" si="0"/>
        <v>93.8429</v>
      </c>
      <c r="H58" s="12">
        <f t="shared" si="1"/>
        <v>587.75290000000007</v>
      </c>
      <c r="I58" s="12">
        <f t="shared" si="2"/>
        <v>29387.645000000004</v>
      </c>
      <c r="J58" s="13">
        <f t="shared" si="3"/>
        <v>29387.645000000004</v>
      </c>
      <c r="K58" s="4">
        <v>262632</v>
      </c>
      <c r="L58" s="16">
        <v>262632</v>
      </c>
      <c r="M58" s="5">
        <f t="shared" si="4"/>
        <v>0</v>
      </c>
      <c r="N58" s="14"/>
    </row>
    <row r="59" spans="1:14" ht="15.6" x14ac:dyDescent="0.3">
      <c r="A59" s="9">
        <v>57</v>
      </c>
      <c r="B59" s="10">
        <v>11101706</v>
      </c>
      <c r="C59" s="11" t="s">
        <v>128</v>
      </c>
      <c r="D59" s="11" t="s">
        <v>129</v>
      </c>
      <c r="E59" s="15">
        <v>50</v>
      </c>
      <c r="F59" s="12">
        <v>493.91</v>
      </c>
      <c r="G59" s="12">
        <f t="shared" si="0"/>
        <v>93.8429</v>
      </c>
      <c r="H59" s="12">
        <f t="shared" si="1"/>
        <v>587.75290000000007</v>
      </c>
      <c r="I59" s="12">
        <f t="shared" si="2"/>
        <v>29387.645000000004</v>
      </c>
      <c r="J59" s="13">
        <f t="shared" si="3"/>
        <v>29387.645000000004</v>
      </c>
      <c r="K59" s="4">
        <v>262632</v>
      </c>
      <c r="L59" s="16">
        <v>262632</v>
      </c>
      <c r="M59" s="5">
        <f t="shared" si="4"/>
        <v>0</v>
      </c>
      <c r="N59" s="14"/>
    </row>
    <row r="60" spans="1:14" ht="15.6" x14ac:dyDescent="0.3">
      <c r="A60" s="9">
        <v>58</v>
      </c>
      <c r="B60" s="10">
        <v>53141507</v>
      </c>
      <c r="C60" s="11" t="s">
        <v>130</v>
      </c>
      <c r="D60" s="11" t="s">
        <v>131</v>
      </c>
      <c r="E60" s="15">
        <v>150</v>
      </c>
      <c r="F60" s="12">
        <v>308.69</v>
      </c>
      <c r="G60" s="12">
        <f t="shared" si="0"/>
        <v>58.6511</v>
      </c>
      <c r="H60" s="12">
        <f t="shared" si="1"/>
        <v>367.34109999999998</v>
      </c>
      <c r="I60" s="12">
        <f t="shared" si="2"/>
        <v>55101.165000000001</v>
      </c>
      <c r="J60" s="13">
        <f t="shared" si="3"/>
        <v>55101.165000000001</v>
      </c>
      <c r="K60" s="4">
        <v>234380</v>
      </c>
      <c r="L60" s="16">
        <v>234380</v>
      </c>
      <c r="M60" s="5">
        <f t="shared" si="4"/>
        <v>0</v>
      </c>
      <c r="N60" s="14"/>
    </row>
    <row r="61" spans="1:14" ht="15.6" x14ac:dyDescent="0.3">
      <c r="A61" s="9">
        <v>59</v>
      </c>
      <c r="B61" s="10">
        <v>53141507</v>
      </c>
      <c r="C61" s="11" t="s">
        <v>132</v>
      </c>
      <c r="D61" s="11" t="s">
        <v>133</v>
      </c>
      <c r="E61" s="15">
        <v>150</v>
      </c>
      <c r="F61" s="12">
        <v>308.69</v>
      </c>
      <c r="G61" s="12">
        <f t="shared" si="0"/>
        <v>58.6511</v>
      </c>
      <c r="H61" s="12">
        <f t="shared" si="1"/>
        <v>367.34109999999998</v>
      </c>
      <c r="I61" s="12">
        <f t="shared" si="2"/>
        <v>55101.165000000001</v>
      </c>
      <c r="J61" s="13">
        <f t="shared" si="3"/>
        <v>55101.165000000001</v>
      </c>
      <c r="K61" s="4">
        <v>234380</v>
      </c>
      <c r="L61" s="16">
        <v>234380</v>
      </c>
      <c r="M61" s="5">
        <f t="shared" si="4"/>
        <v>0</v>
      </c>
      <c r="N61" s="14"/>
    </row>
    <row r="62" spans="1:14" ht="15.6" x14ac:dyDescent="0.3">
      <c r="A62" s="9">
        <v>60</v>
      </c>
      <c r="B62" s="10">
        <v>53141507</v>
      </c>
      <c r="C62" s="11" t="s">
        <v>134</v>
      </c>
      <c r="D62" s="11" t="s">
        <v>135</v>
      </c>
      <c r="E62" s="15">
        <v>150</v>
      </c>
      <c r="F62" s="12">
        <v>964.31675312715902</v>
      </c>
      <c r="G62" s="12">
        <f t="shared" si="0"/>
        <v>183.22018309416021</v>
      </c>
      <c r="H62" s="12">
        <f t="shared" si="1"/>
        <v>1147.5369362213191</v>
      </c>
      <c r="I62" s="12">
        <f t="shared" si="2"/>
        <v>172130.54043319786</v>
      </c>
      <c r="J62" s="13">
        <f t="shared" si="3"/>
        <v>172130.54043319786</v>
      </c>
      <c r="K62" s="4">
        <v>234380</v>
      </c>
      <c r="L62" s="16">
        <v>234380</v>
      </c>
      <c r="M62" s="5">
        <f t="shared" si="4"/>
        <v>0</v>
      </c>
      <c r="N62" s="14"/>
    </row>
    <row r="63" spans="1:14" ht="15.6" x14ac:dyDescent="0.3">
      <c r="A63" s="9">
        <v>61</v>
      </c>
      <c r="B63" s="10">
        <v>11101719</v>
      </c>
      <c r="C63" s="11" t="s">
        <v>136</v>
      </c>
      <c r="D63" s="11" t="s">
        <v>137</v>
      </c>
      <c r="E63" s="15">
        <v>1000</v>
      </c>
      <c r="F63" s="12">
        <v>384.15</v>
      </c>
      <c r="G63" s="12">
        <f t="shared" si="0"/>
        <v>72.988500000000002</v>
      </c>
      <c r="H63" s="12">
        <f t="shared" si="1"/>
        <v>457.13849999999996</v>
      </c>
      <c r="I63" s="12">
        <f t="shared" si="2"/>
        <v>457138.49999999994</v>
      </c>
      <c r="J63" s="13">
        <f t="shared" si="3"/>
        <v>457138.49999999994</v>
      </c>
      <c r="K63" s="4">
        <v>247526</v>
      </c>
      <c r="L63" s="16">
        <v>247526</v>
      </c>
      <c r="M63" s="5">
        <f t="shared" si="4"/>
        <v>0</v>
      </c>
      <c r="N63" s="14"/>
    </row>
    <row r="64" spans="1:14" ht="15.6" x14ac:dyDescent="0.3">
      <c r="A64" s="9">
        <v>62</v>
      </c>
      <c r="B64" s="10">
        <v>11101719</v>
      </c>
      <c r="C64" s="11" t="s">
        <v>138</v>
      </c>
      <c r="D64" s="11" t="s">
        <v>139</v>
      </c>
      <c r="E64" s="15">
        <v>500</v>
      </c>
      <c r="F64" s="12">
        <v>398.85</v>
      </c>
      <c r="G64" s="12">
        <f t="shared" si="0"/>
        <v>75.781500000000008</v>
      </c>
      <c r="H64" s="12">
        <f t="shared" si="1"/>
        <v>474.63150000000002</v>
      </c>
      <c r="I64" s="12">
        <f t="shared" si="2"/>
        <v>237315.75</v>
      </c>
      <c r="J64" s="13">
        <f t="shared" si="3"/>
        <v>237315.75</v>
      </c>
      <c r="K64" s="4">
        <v>247526</v>
      </c>
      <c r="L64" s="16">
        <v>247526</v>
      </c>
      <c r="M64" s="5">
        <f t="shared" si="4"/>
        <v>0</v>
      </c>
      <c r="N64" s="14"/>
    </row>
    <row r="65" spans="1:14" ht="15.6" x14ac:dyDescent="0.3">
      <c r="A65" s="9">
        <v>63</v>
      </c>
      <c r="B65" s="10">
        <v>11101719</v>
      </c>
      <c r="C65" s="11" t="s">
        <v>140</v>
      </c>
      <c r="D65" s="11" t="s">
        <v>141</v>
      </c>
      <c r="E65" s="15">
        <v>250</v>
      </c>
      <c r="F65" s="12">
        <v>246.95</v>
      </c>
      <c r="G65" s="12">
        <f t="shared" si="0"/>
        <v>46.920499999999997</v>
      </c>
      <c r="H65" s="12">
        <f t="shared" si="1"/>
        <v>293.87049999999999</v>
      </c>
      <c r="I65" s="12">
        <f t="shared" si="2"/>
        <v>73467.625</v>
      </c>
      <c r="J65" s="13">
        <f t="shared" si="3"/>
        <v>73467.625</v>
      </c>
      <c r="K65" s="4">
        <v>247526</v>
      </c>
      <c r="L65" s="16">
        <v>247526</v>
      </c>
      <c r="M65" s="5">
        <f t="shared" si="4"/>
        <v>0</v>
      </c>
      <c r="N65" s="14"/>
    </row>
    <row r="66" spans="1:14" ht="15.6" x14ac:dyDescent="0.3">
      <c r="A66" s="9">
        <v>64</v>
      </c>
      <c r="B66" s="10">
        <v>11101719</v>
      </c>
      <c r="C66" s="11" t="s">
        <v>142</v>
      </c>
      <c r="D66" s="11" t="s">
        <v>143</v>
      </c>
      <c r="E66" s="15">
        <v>250</v>
      </c>
      <c r="F66" s="12">
        <v>308.69</v>
      </c>
      <c r="G66" s="12">
        <f t="shared" si="0"/>
        <v>58.6511</v>
      </c>
      <c r="H66" s="12">
        <f t="shared" si="1"/>
        <v>367.34109999999998</v>
      </c>
      <c r="I66" s="12">
        <f t="shared" si="2"/>
        <v>91835.274999999994</v>
      </c>
      <c r="J66" s="13">
        <f t="shared" si="3"/>
        <v>91835.274999999994</v>
      </c>
      <c r="K66" s="4">
        <v>247526</v>
      </c>
      <c r="L66" s="16">
        <v>247526</v>
      </c>
      <c r="M66" s="5">
        <f t="shared" si="4"/>
        <v>0</v>
      </c>
      <c r="N66" s="14"/>
    </row>
    <row r="67" spans="1:14" ht="15.6" x14ac:dyDescent="0.3">
      <c r="A67" s="9">
        <v>65</v>
      </c>
      <c r="B67" s="10">
        <v>11101719</v>
      </c>
      <c r="C67" s="11" t="s">
        <v>144</v>
      </c>
      <c r="D67" s="11" t="s">
        <v>145</v>
      </c>
      <c r="E67" s="15">
        <v>1000</v>
      </c>
      <c r="F67" s="12">
        <v>170.51</v>
      </c>
      <c r="G67" s="12">
        <f t="shared" si="0"/>
        <v>32.396899999999995</v>
      </c>
      <c r="H67" s="12">
        <f t="shared" si="1"/>
        <v>202.90689999999998</v>
      </c>
      <c r="I67" s="12">
        <f t="shared" si="2"/>
        <v>202906.89999999997</v>
      </c>
      <c r="J67" s="13">
        <f t="shared" si="3"/>
        <v>202906.89999999997</v>
      </c>
      <c r="K67" s="4">
        <v>247526</v>
      </c>
      <c r="L67" s="16">
        <v>247526</v>
      </c>
      <c r="M67" s="5">
        <f t="shared" si="4"/>
        <v>0</v>
      </c>
      <c r="N67" s="14"/>
    </row>
    <row r="68" spans="1:14" ht="15.6" x14ac:dyDescent="0.3">
      <c r="A68" s="9">
        <v>66</v>
      </c>
      <c r="B68" s="10">
        <v>11101719</v>
      </c>
      <c r="C68" s="11" t="s">
        <v>146</v>
      </c>
      <c r="D68" s="11" t="s">
        <v>147</v>
      </c>
      <c r="E68" s="15">
        <v>500</v>
      </c>
      <c r="F68" s="12">
        <v>181.29</v>
      </c>
      <c r="G68" s="12">
        <f t="shared" ref="G68:G97" si="5">F68*19%</f>
        <v>34.445099999999996</v>
      </c>
      <c r="H68" s="12">
        <f t="shared" ref="H68:H97" si="6">G68+F68</f>
        <v>215.73509999999999</v>
      </c>
      <c r="I68" s="12">
        <f t="shared" ref="I68:I97" si="7">H68*E68</f>
        <v>107867.54999999999</v>
      </c>
      <c r="J68" s="13">
        <f t="shared" ref="J68:J97" si="8">E68*H68</f>
        <v>107867.54999999999</v>
      </c>
      <c r="K68" s="4">
        <v>247526</v>
      </c>
      <c r="L68" s="16">
        <v>247526</v>
      </c>
      <c r="M68" s="5">
        <f t="shared" ref="M68:M97" si="9">K68-L68</f>
        <v>0</v>
      </c>
      <c r="N68" s="14"/>
    </row>
    <row r="69" spans="1:14" ht="15.6" x14ac:dyDescent="0.3">
      <c r="A69" s="9">
        <v>67</v>
      </c>
      <c r="B69" s="10">
        <v>23121612</v>
      </c>
      <c r="C69" s="11" t="s">
        <v>148</v>
      </c>
      <c r="D69" s="11" t="s">
        <v>149</v>
      </c>
      <c r="E69" s="15">
        <v>700</v>
      </c>
      <c r="F69" s="12">
        <v>843.77</v>
      </c>
      <c r="G69" s="12">
        <f t="shared" si="5"/>
        <v>160.31630000000001</v>
      </c>
      <c r="H69" s="12">
        <f t="shared" si="6"/>
        <v>1004.0862999999999</v>
      </c>
      <c r="I69" s="12">
        <f t="shared" si="7"/>
        <v>702860.40999999992</v>
      </c>
      <c r="J69" s="13">
        <f t="shared" si="8"/>
        <v>702860.40999999992</v>
      </c>
      <c r="K69" s="4">
        <v>246897</v>
      </c>
      <c r="L69" s="16">
        <v>246897</v>
      </c>
      <c r="M69" s="5">
        <f t="shared" si="9"/>
        <v>0</v>
      </c>
      <c r="N69" s="14"/>
    </row>
    <row r="70" spans="1:14" ht="15.6" x14ac:dyDescent="0.3">
      <c r="A70" s="9">
        <v>68</v>
      </c>
      <c r="B70" s="10">
        <v>23121612</v>
      </c>
      <c r="C70" s="11" t="s">
        <v>150</v>
      </c>
      <c r="D70" s="11" t="s">
        <v>151</v>
      </c>
      <c r="E70" s="15">
        <v>1000</v>
      </c>
      <c r="F70" s="12">
        <v>843.77</v>
      </c>
      <c r="G70" s="12">
        <f t="shared" si="5"/>
        <v>160.31630000000001</v>
      </c>
      <c r="H70" s="12">
        <f t="shared" si="6"/>
        <v>1004.0862999999999</v>
      </c>
      <c r="I70" s="12">
        <f t="shared" si="7"/>
        <v>1004086.2999999999</v>
      </c>
      <c r="J70" s="13">
        <f t="shared" si="8"/>
        <v>1004086.2999999999</v>
      </c>
      <c r="K70" s="4">
        <v>246897</v>
      </c>
      <c r="L70" s="16">
        <v>246897</v>
      </c>
      <c r="M70" s="5">
        <f t="shared" si="9"/>
        <v>0</v>
      </c>
      <c r="N70" s="14"/>
    </row>
    <row r="71" spans="1:14" ht="15.6" x14ac:dyDescent="0.3">
      <c r="A71" s="9">
        <v>69</v>
      </c>
      <c r="B71" s="10">
        <v>31201623</v>
      </c>
      <c r="C71" s="11" t="s">
        <v>152</v>
      </c>
      <c r="D71" s="11" t="s">
        <v>153</v>
      </c>
      <c r="E71" s="15">
        <v>1</v>
      </c>
      <c r="F71" s="12">
        <v>43634.38</v>
      </c>
      <c r="G71" s="12">
        <f t="shared" si="5"/>
        <v>8290.5321999999996</v>
      </c>
      <c r="H71" s="12">
        <f t="shared" si="6"/>
        <v>51924.912199999999</v>
      </c>
      <c r="I71" s="12">
        <f t="shared" si="7"/>
        <v>51924.912199999999</v>
      </c>
      <c r="J71" s="13">
        <f t="shared" si="8"/>
        <v>51924.912199999999</v>
      </c>
      <c r="K71" s="4">
        <v>255614</v>
      </c>
      <c r="L71" s="16">
        <v>255614</v>
      </c>
      <c r="M71" s="5">
        <f t="shared" si="9"/>
        <v>0</v>
      </c>
      <c r="N71" s="14"/>
    </row>
    <row r="72" spans="1:14" ht="15.6" x14ac:dyDescent="0.3">
      <c r="A72" s="9">
        <v>70</v>
      </c>
      <c r="B72" s="10">
        <v>31201623</v>
      </c>
      <c r="C72" s="11" t="s">
        <v>154</v>
      </c>
      <c r="D72" s="11" t="s">
        <v>155</v>
      </c>
      <c r="E72" s="15">
        <v>50</v>
      </c>
      <c r="F72" s="12">
        <v>57257.279999999999</v>
      </c>
      <c r="G72" s="12">
        <f t="shared" si="5"/>
        <v>10878.8832</v>
      </c>
      <c r="H72" s="12">
        <f t="shared" si="6"/>
        <v>68136.163199999995</v>
      </c>
      <c r="I72" s="12">
        <f t="shared" si="7"/>
        <v>3406808.1599999997</v>
      </c>
      <c r="J72" s="13">
        <f t="shared" si="8"/>
        <v>3406808.1599999997</v>
      </c>
      <c r="K72" s="4">
        <v>255614</v>
      </c>
      <c r="L72" s="16">
        <v>255614</v>
      </c>
      <c r="M72" s="5">
        <f t="shared" si="9"/>
        <v>0</v>
      </c>
      <c r="N72" s="14" t="s">
        <v>156</v>
      </c>
    </row>
    <row r="73" spans="1:14" ht="15.6" x14ac:dyDescent="0.3">
      <c r="A73" s="9">
        <v>71</v>
      </c>
      <c r="B73" s="10">
        <v>12352315</v>
      </c>
      <c r="C73" s="11" t="s">
        <v>157</v>
      </c>
      <c r="D73" s="11" t="s">
        <v>158</v>
      </c>
      <c r="E73" s="15">
        <v>50</v>
      </c>
      <c r="F73" s="12">
        <v>40326.86</v>
      </c>
      <c r="G73" s="12">
        <f t="shared" si="5"/>
        <v>7662.1034</v>
      </c>
      <c r="H73" s="12">
        <f t="shared" si="6"/>
        <v>47988.963400000001</v>
      </c>
      <c r="I73" s="12">
        <f t="shared" si="7"/>
        <v>2399448.17</v>
      </c>
      <c r="J73" s="13">
        <f t="shared" si="8"/>
        <v>2399448.17</v>
      </c>
      <c r="K73" s="4">
        <v>255614</v>
      </c>
      <c r="L73" s="16">
        <v>255614</v>
      </c>
      <c r="M73" s="5">
        <f t="shared" si="9"/>
        <v>0</v>
      </c>
      <c r="N73" s="14" t="s">
        <v>156</v>
      </c>
    </row>
    <row r="74" spans="1:14" ht="15.6" x14ac:dyDescent="0.3">
      <c r="A74" s="9">
        <v>72</v>
      </c>
      <c r="B74" s="10">
        <v>12191502</v>
      </c>
      <c r="C74" s="11" t="s">
        <v>159</v>
      </c>
      <c r="D74" s="11" t="s">
        <v>160</v>
      </c>
      <c r="E74" s="15">
        <v>25</v>
      </c>
      <c r="F74" s="12">
        <v>37370.21</v>
      </c>
      <c r="G74" s="12">
        <f t="shared" si="5"/>
        <v>7100.3398999999999</v>
      </c>
      <c r="H74" s="12">
        <f t="shared" si="6"/>
        <v>44470.549899999998</v>
      </c>
      <c r="I74" s="12">
        <f t="shared" si="7"/>
        <v>1111763.7475000001</v>
      </c>
      <c r="J74" s="13">
        <f t="shared" si="8"/>
        <v>1111763.7475000001</v>
      </c>
      <c r="K74" s="4">
        <v>241243</v>
      </c>
      <c r="L74" s="16">
        <v>241243</v>
      </c>
      <c r="M74" s="5">
        <f t="shared" si="9"/>
        <v>0</v>
      </c>
      <c r="N74" s="14" t="s">
        <v>161</v>
      </c>
    </row>
    <row r="75" spans="1:14" ht="15.6" x14ac:dyDescent="0.3">
      <c r="A75" s="9">
        <v>73</v>
      </c>
      <c r="B75" s="10">
        <v>12191502</v>
      </c>
      <c r="C75" s="11" t="s">
        <v>162</v>
      </c>
      <c r="D75" s="11" t="s">
        <v>163</v>
      </c>
      <c r="E75" s="15">
        <v>25</v>
      </c>
      <c r="F75" s="12">
        <v>33527.64</v>
      </c>
      <c r="G75" s="12">
        <f t="shared" si="5"/>
        <v>6370.2515999999996</v>
      </c>
      <c r="H75" s="12">
        <f t="shared" si="6"/>
        <v>39897.891600000003</v>
      </c>
      <c r="I75" s="12">
        <f t="shared" si="7"/>
        <v>997447.29</v>
      </c>
      <c r="J75" s="13">
        <f t="shared" si="8"/>
        <v>997447.29</v>
      </c>
      <c r="K75" s="4">
        <v>241243</v>
      </c>
      <c r="L75" s="16">
        <v>241243</v>
      </c>
      <c r="M75" s="5">
        <f t="shared" si="9"/>
        <v>0</v>
      </c>
      <c r="N75" s="14" t="s">
        <v>164</v>
      </c>
    </row>
    <row r="76" spans="1:14" ht="15.6" x14ac:dyDescent="0.3">
      <c r="A76" s="9">
        <v>74</v>
      </c>
      <c r="B76" s="10">
        <v>47131809</v>
      </c>
      <c r="C76" s="11" t="s">
        <v>165</v>
      </c>
      <c r="D76" s="11" t="s">
        <v>166</v>
      </c>
      <c r="E76" s="15">
        <v>10</v>
      </c>
      <c r="F76" s="12">
        <v>47088.84</v>
      </c>
      <c r="G76" s="12">
        <f t="shared" si="5"/>
        <v>8946.8796000000002</v>
      </c>
      <c r="H76" s="12">
        <f t="shared" si="6"/>
        <v>56035.719599999997</v>
      </c>
      <c r="I76" s="12">
        <f t="shared" si="7"/>
        <v>560357.196</v>
      </c>
      <c r="J76" s="13">
        <f t="shared" si="8"/>
        <v>560357.196</v>
      </c>
      <c r="K76" s="4">
        <v>241243</v>
      </c>
      <c r="L76" s="16">
        <v>241243</v>
      </c>
      <c r="M76" s="5">
        <f t="shared" si="9"/>
        <v>0</v>
      </c>
      <c r="N76" s="14"/>
    </row>
    <row r="77" spans="1:14" ht="15.6" x14ac:dyDescent="0.3">
      <c r="A77" s="9">
        <v>75</v>
      </c>
      <c r="B77" s="10">
        <v>60121804</v>
      </c>
      <c r="C77" s="11" t="s">
        <v>167</v>
      </c>
      <c r="D77" s="11" t="s">
        <v>168</v>
      </c>
      <c r="E77" s="15">
        <v>10</v>
      </c>
      <c r="F77" s="12">
        <v>73500.73</v>
      </c>
      <c r="G77" s="12">
        <f t="shared" si="5"/>
        <v>13965.1387</v>
      </c>
      <c r="H77" s="12">
        <f t="shared" si="6"/>
        <v>87465.868699999992</v>
      </c>
      <c r="I77" s="12">
        <f t="shared" si="7"/>
        <v>874658.68699999992</v>
      </c>
      <c r="J77" s="13">
        <f t="shared" si="8"/>
        <v>874658.68699999992</v>
      </c>
      <c r="K77" s="4">
        <v>271805</v>
      </c>
      <c r="L77" s="16">
        <v>271805</v>
      </c>
      <c r="M77" s="5">
        <f t="shared" si="9"/>
        <v>0</v>
      </c>
      <c r="N77" s="14"/>
    </row>
    <row r="78" spans="1:14" ht="15.6" x14ac:dyDescent="0.3">
      <c r="A78" s="9">
        <v>76</v>
      </c>
      <c r="B78" s="10">
        <v>12191502</v>
      </c>
      <c r="C78" s="11" t="s">
        <v>169</v>
      </c>
      <c r="D78" s="11" t="s">
        <v>170</v>
      </c>
      <c r="E78" s="15">
        <v>10</v>
      </c>
      <c r="F78" s="12">
        <v>64306.400000000001</v>
      </c>
      <c r="G78" s="12">
        <f t="shared" si="5"/>
        <v>12218.216</v>
      </c>
      <c r="H78" s="12">
        <f t="shared" si="6"/>
        <v>76524.616000000009</v>
      </c>
      <c r="I78" s="12">
        <f t="shared" si="7"/>
        <v>765246.16000000015</v>
      </c>
      <c r="J78" s="13">
        <f t="shared" si="8"/>
        <v>765246.16000000015</v>
      </c>
      <c r="K78" s="4">
        <v>298869</v>
      </c>
      <c r="L78" s="16">
        <v>298869</v>
      </c>
      <c r="M78" s="5">
        <f t="shared" si="9"/>
        <v>0</v>
      </c>
      <c r="N78" s="14"/>
    </row>
    <row r="79" spans="1:14" ht="15.6" x14ac:dyDescent="0.3">
      <c r="A79" s="9">
        <v>77</v>
      </c>
      <c r="B79" s="10">
        <v>60105810</v>
      </c>
      <c r="C79" s="11" t="s">
        <v>171</v>
      </c>
      <c r="D79" s="11" t="s">
        <v>172</v>
      </c>
      <c r="E79" s="15">
        <v>10</v>
      </c>
      <c r="F79" s="12">
        <v>57107.34</v>
      </c>
      <c r="G79" s="12">
        <f t="shared" si="5"/>
        <v>10850.3946</v>
      </c>
      <c r="H79" s="12">
        <f t="shared" si="6"/>
        <v>67957.734599999996</v>
      </c>
      <c r="I79" s="12">
        <f t="shared" si="7"/>
        <v>679577.3459999999</v>
      </c>
      <c r="J79" s="13">
        <f t="shared" si="8"/>
        <v>679577.3459999999</v>
      </c>
      <c r="K79" s="4">
        <v>246880</v>
      </c>
      <c r="L79" s="16">
        <v>246880</v>
      </c>
      <c r="M79" s="5">
        <f t="shared" si="9"/>
        <v>0</v>
      </c>
      <c r="N79" s="14"/>
    </row>
    <row r="80" spans="1:14" ht="15.6" x14ac:dyDescent="0.3">
      <c r="A80" s="9">
        <v>78</v>
      </c>
      <c r="B80" s="10">
        <v>12181502</v>
      </c>
      <c r="C80" s="11" t="s">
        <v>173</v>
      </c>
      <c r="D80" s="11" t="s">
        <v>174</v>
      </c>
      <c r="E80" s="15">
        <v>10</v>
      </c>
      <c r="F80" s="12">
        <v>62335.63</v>
      </c>
      <c r="G80" s="12">
        <f t="shared" si="5"/>
        <v>11843.769699999999</v>
      </c>
      <c r="H80" s="12">
        <f t="shared" si="6"/>
        <v>74179.399699999994</v>
      </c>
      <c r="I80" s="12">
        <f t="shared" si="7"/>
        <v>741793.99699999997</v>
      </c>
      <c r="J80" s="13">
        <f t="shared" si="8"/>
        <v>741793.99699999997</v>
      </c>
      <c r="K80" s="4">
        <v>284802</v>
      </c>
      <c r="L80" s="16">
        <v>284802</v>
      </c>
      <c r="M80" s="5">
        <f t="shared" si="9"/>
        <v>0</v>
      </c>
      <c r="N80" s="14"/>
    </row>
    <row r="81" spans="1:14" ht="15.6" x14ac:dyDescent="0.3">
      <c r="A81" s="9">
        <v>79</v>
      </c>
      <c r="B81" s="10">
        <v>13111064</v>
      </c>
      <c r="C81" s="11" t="s">
        <v>175</v>
      </c>
      <c r="D81" s="11" t="s">
        <v>176</v>
      </c>
      <c r="E81" s="15">
        <v>4000</v>
      </c>
      <c r="F81" s="12">
        <v>625.23</v>
      </c>
      <c r="G81" s="12">
        <f t="shared" si="5"/>
        <v>118.7937</v>
      </c>
      <c r="H81" s="12">
        <f t="shared" si="6"/>
        <v>744.02369999999996</v>
      </c>
      <c r="I81" s="12">
        <f t="shared" si="7"/>
        <v>2976094.8</v>
      </c>
      <c r="J81" s="13">
        <f t="shared" si="8"/>
        <v>2976094.8</v>
      </c>
      <c r="K81" s="4">
        <v>255077</v>
      </c>
      <c r="L81" s="16">
        <v>255077</v>
      </c>
      <c r="M81" s="5">
        <f t="shared" si="9"/>
        <v>0</v>
      </c>
      <c r="N81" s="14"/>
    </row>
    <row r="82" spans="1:14" ht="15.6" x14ac:dyDescent="0.3">
      <c r="A82" s="9">
        <v>80</v>
      </c>
      <c r="B82" s="10">
        <v>1217170</v>
      </c>
      <c r="C82" s="11" t="s">
        <v>177</v>
      </c>
      <c r="D82" s="11" t="s">
        <v>178</v>
      </c>
      <c r="E82" s="15">
        <v>7</v>
      </c>
      <c r="F82" s="12">
        <v>155083.5</v>
      </c>
      <c r="G82" s="12">
        <f t="shared" si="5"/>
        <v>29465.865000000002</v>
      </c>
      <c r="H82" s="12">
        <f t="shared" si="6"/>
        <v>184549.36499999999</v>
      </c>
      <c r="I82" s="12">
        <f t="shared" si="7"/>
        <v>1291845.5549999999</v>
      </c>
      <c r="J82" s="13">
        <f t="shared" si="8"/>
        <v>1291845.5549999999</v>
      </c>
      <c r="K82" s="4">
        <v>242056</v>
      </c>
      <c r="L82" s="16">
        <v>242056</v>
      </c>
      <c r="M82" s="5">
        <f t="shared" si="9"/>
        <v>0</v>
      </c>
      <c r="N82" s="14"/>
    </row>
    <row r="83" spans="1:14" ht="15.6" x14ac:dyDescent="0.3">
      <c r="A83" s="9">
        <v>81</v>
      </c>
      <c r="B83" s="10">
        <v>1217170</v>
      </c>
      <c r="C83" s="11" t="s">
        <v>179</v>
      </c>
      <c r="D83" s="11" t="s">
        <v>180</v>
      </c>
      <c r="E83" s="15">
        <v>7</v>
      </c>
      <c r="F83" s="12">
        <v>154114.29</v>
      </c>
      <c r="G83" s="12">
        <f t="shared" si="5"/>
        <v>29281.715100000001</v>
      </c>
      <c r="H83" s="12">
        <f t="shared" si="6"/>
        <v>183396.00510000001</v>
      </c>
      <c r="I83" s="12">
        <f t="shared" si="7"/>
        <v>1283772.0357000001</v>
      </c>
      <c r="J83" s="13">
        <f t="shared" si="8"/>
        <v>1283772.0357000001</v>
      </c>
      <c r="K83" s="4">
        <v>271805</v>
      </c>
      <c r="L83" s="16">
        <v>271805</v>
      </c>
      <c r="M83" s="5">
        <f t="shared" si="9"/>
        <v>0</v>
      </c>
      <c r="N83" s="14"/>
    </row>
    <row r="84" spans="1:14" ht="78" x14ac:dyDescent="0.3">
      <c r="A84" s="9">
        <v>82</v>
      </c>
      <c r="B84" s="10">
        <v>11151716</v>
      </c>
      <c r="C84" s="11" t="s">
        <v>181</v>
      </c>
      <c r="D84" s="17" t="s">
        <v>182</v>
      </c>
      <c r="E84" s="15">
        <v>30</v>
      </c>
      <c r="F84" s="12">
        <v>1811.18</v>
      </c>
      <c r="G84" s="12">
        <f t="shared" si="5"/>
        <v>344.12420000000003</v>
      </c>
      <c r="H84" s="12">
        <f t="shared" si="6"/>
        <v>2155.3042</v>
      </c>
      <c r="I84" s="12">
        <f t="shared" si="7"/>
        <v>64659.126000000004</v>
      </c>
      <c r="J84" s="13">
        <f t="shared" si="8"/>
        <v>64659.126000000004</v>
      </c>
      <c r="K84" s="4">
        <v>242356</v>
      </c>
      <c r="L84" s="16">
        <v>242356</v>
      </c>
      <c r="M84" s="5">
        <f t="shared" si="9"/>
        <v>0</v>
      </c>
      <c r="N84" s="14"/>
    </row>
    <row r="85" spans="1:14" ht="15.6" x14ac:dyDescent="0.3">
      <c r="A85" s="9">
        <v>83</v>
      </c>
      <c r="B85" s="10">
        <v>44121720</v>
      </c>
      <c r="C85" s="11" t="s">
        <v>183</v>
      </c>
      <c r="D85" s="11" t="s">
        <v>184</v>
      </c>
      <c r="E85" s="15">
        <v>90</v>
      </c>
      <c r="F85" s="12">
        <v>1811.03</v>
      </c>
      <c r="G85" s="12">
        <f t="shared" si="5"/>
        <v>344.09570000000002</v>
      </c>
      <c r="H85" s="12">
        <f t="shared" si="6"/>
        <v>2155.1257000000001</v>
      </c>
      <c r="I85" s="12">
        <f t="shared" si="7"/>
        <v>193961.31299999999</v>
      </c>
      <c r="J85" s="13">
        <f t="shared" si="8"/>
        <v>193961.31299999999</v>
      </c>
      <c r="K85" s="4">
        <v>246898</v>
      </c>
      <c r="L85" s="16">
        <v>246898</v>
      </c>
      <c r="M85" s="5">
        <f t="shared" si="9"/>
        <v>0</v>
      </c>
      <c r="N85" s="14"/>
    </row>
    <row r="86" spans="1:14" ht="15.6" x14ac:dyDescent="0.3">
      <c r="A86" s="9">
        <v>84</v>
      </c>
      <c r="B86" s="10">
        <v>11151709</v>
      </c>
      <c r="C86" s="11" t="s">
        <v>185</v>
      </c>
      <c r="D86" s="11" t="s">
        <v>186</v>
      </c>
      <c r="E86" s="15">
        <v>15</v>
      </c>
      <c r="F86" s="12">
        <v>139961.16</v>
      </c>
      <c r="G86" s="12">
        <f t="shared" si="5"/>
        <v>26592.6204</v>
      </c>
      <c r="H86" s="12">
        <f t="shared" si="6"/>
        <v>166553.78039999999</v>
      </c>
      <c r="I86" s="12">
        <f t="shared" si="7"/>
        <v>2498306.7059999998</v>
      </c>
      <c r="J86" s="13">
        <f t="shared" si="8"/>
        <v>2498306.7059999998</v>
      </c>
      <c r="K86" s="4">
        <v>282970</v>
      </c>
      <c r="L86" s="16">
        <v>282970</v>
      </c>
      <c r="M86" s="5">
        <f t="shared" si="9"/>
        <v>0</v>
      </c>
      <c r="N86" s="14"/>
    </row>
    <row r="87" spans="1:14" ht="15.6" x14ac:dyDescent="0.3">
      <c r="A87" s="9">
        <v>85</v>
      </c>
      <c r="B87" s="10">
        <v>11151709</v>
      </c>
      <c r="C87" s="11" t="s">
        <v>187</v>
      </c>
      <c r="D87" s="11" t="s">
        <v>188</v>
      </c>
      <c r="E87" s="15">
        <v>30</v>
      </c>
      <c r="F87" s="12">
        <v>7246.09</v>
      </c>
      <c r="G87" s="12">
        <f t="shared" si="5"/>
        <v>1376.7571</v>
      </c>
      <c r="H87" s="12">
        <f t="shared" si="6"/>
        <v>8622.8471000000009</v>
      </c>
      <c r="I87" s="12">
        <f t="shared" si="7"/>
        <v>258685.41300000003</v>
      </c>
      <c r="J87" s="13">
        <f t="shared" si="8"/>
        <v>258685.41300000003</v>
      </c>
      <c r="K87" s="4">
        <v>271666</v>
      </c>
      <c r="L87" s="16">
        <v>271666</v>
      </c>
      <c r="M87" s="5">
        <f t="shared" si="9"/>
        <v>0</v>
      </c>
      <c r="N87" s="14"/>
    </row>
    <row r="88" spans="1:14" ht="15.6" x14ac:dyDescent="0.3">
      <c r="A88" s="9">
        <v>86</v>
      </c>
      <c r="B88" s="10">
        <v>44122122</v>
      </c>
      <c r="C88" s="11" t="s">
        <v>189</v>
      </c>
      <c r="D88" s="11" t="s">
        <v>190</v>
      </c>
      <c r="E88" s="15">
        <v>15</v>
      </c>
      <c r="F88" s="12">
        <v>8440.7199999999993</v>
      </c>
      <c r="G88" s="12">
        <f t="shared" si="5"/>
        <v>1603.7367999999999</v>
      </c>
      <c r="H88" s="12">
        <f t="shared" si="6"/>
        <v>10044.4568</v>
      </c>
      <c r="I88" s="12">
        <f t="shared" si="7"/>
        <v>150666.85200000001</v>
      </c>
      <c r="J88" s="13">
        <f t="shared" si="8"/>
        <v>150666.85200000001</v>
      </c>
      <c r="K88" s="4">
        <v>239387</v>
      </c>
      <c r="L88" s="16">
        <v>239387</v>
      </c>
      <c r="M88" s="5">
        <f t="shared" si="9"/>
        <v>0</v>
      </c>
      <c r="N88" s="14"/>
    </row>
    <row r="89" spans="1:14" ht="15.6" x14ac:dyDescent="0.3">
      <c r="A89" s="9">
        <v>87</v>
      </c>
      <c r="B89" s="10">
        <v>27111533</v>
      </c>
      <c r="C89" s="11" t="s">
        <v>191</v>
      </c>
      <c r="D89" s="11" t="s">
        <v>192</v>
      </c>
      <c r="E89" s="15">
        <v>30</v>
      </c>
      <c r="F89" s="12">
        <v>68406.710000000006</v>
      </c>
      <c r="G89" s="12">
        <f t="shared" si="5"/>
        <v>12997.274900000002</v>
      </c>
      <c r="H89" s="12">
        <f t="shared" si="6"/>
        <v>81403.98490000001</v>
      </c>
      <c r="I89" s="12">
        <f t="shared" si="7"/>
        <v>2442119.5470000003</v>
      </c>
      <c r="J89" s="13">
        <f t="shared" si="8"/>
        <v>2442119.5470000003</v>
      </c>
      <c r="K89" s="4">
        <v>282370</v>
      </c>
      <c r="L89" s="16">
        <v>282370</v>
      </c>
      <c r="M89" s="5">
        <f t="shared" si="9"/>
        <v>0</v>
      </c>
      <c r="N89" s="14"/>
    </row>
    <row r="90" spans="1:14" ht="15.6" x14ac:dyDescent="0.3">
      <c r="A90" s="9">
        <v>88</v>
      </c>
      <c r="B90" s="10">
        <v>41111600</v>
      </c>
      <c r="C90" s="11" t="s">
        <v>193</v>
      </c>
      <c r="D90" s="11" t="s">
        <v>194</v>
      </c>
      <c r="E90" s="15">
        <v>60</v>
      </c>
      <c r="F90" s="12">
        <v>7349.98</v>
      </c>
      <c r="G90" s="12">
        <f t="shared" si="5"/>
        <v>1396.4962</v>
      </c>
      <c r="H90" s="12">
        <f t="shared" si="6"/>
        <v>8746.4761999999992</v>
      </c>
      <c r="I90" s="12">
        <f t="shared" si="7"/>
        <v>524788.57199999993</v>
      </c>
      <c r="J90" s="13">
        <f t="shared" si="8"/>
        <v>524788.57199999993</v>
      </c>
      <c r="K90" s="4">
        <v>237649</v>
      </c>
      <c r="L90" s="16">
        <v>237649</v>
      </c>
      <c r="M90" s="5">
        <f t="shared" si="9"/>
        <v>0</v>
      </c>
      <c r="N90" s="14"/>
    </row>
    <row r="91" spans="1:14" ht="15.6" x14ac:dyDescent="0.3">
      <c r="A91" s="9">
        <v>89</v>
      </c>
      <c r="B91" s="10">
        <v>41111621</v>
      </c>
      <c r="C91" s="11" t="s">
        <v>195</v>
      </c>
      <c r="D91" s="11" t="s">
        <v>196</v>
      </c>
      <c r="E91" s="15">
        <v>30</v>
      </c>
      <c r="F91" s="12">
        <v>146724.12</v>
      </c>
      <c r="G91" s="12">
        <f t="shared" si="5"/>
        <v>27877.5828</v>
      </c>
      <c r="H91" s="12">
        <f t="shared" si="6"/>
        <v>174601.7028</v>
      </c>
      <c r="I91" s="12">
        <f t="shared" si="7"/>
        <v>5238051.0839999998</v>
      </c>
      <c r="J91" s="13">
        <f t="shared" si="8"/>
        <v>5238051.0839999998</v>
      </c>
      <c r="K91" s="4">
        <v>279591</v>
      </c>
      <c r="L91" s="16">
        <v>279591</v>
      </c>
      <c r="M91" s="5">
        <f t="shared" si="9"/>
        <v>0</v>
      </c>
      <c r="N91" s="14"/>
    </row>
    <row r="92" spans="1:14" ht="15.6" x14ac:dyDescent="0.3">
      <c r="A92" s="9">
        <v>90</v>
      </c>
      <c r="B92" s="10">
        <v>41111621</v>
      </c>
      <c r="C92" s="11" t="s">
        <v>197</v>
      </c>
      <c r="D92" s="11" t="s">
        <v>198</v>
      </c>
      <c r="E92" s="15">
        <v>30</v>
      </c>
      <c r="F92" s="12">
        <v>11405.2</v>
      </c>
      <c r="G92" s="12">
        <f t="shared" si="5"/>
        <v>2166.9880000000003</v>
      </c>
      <c r="H92" s="12">
        <f t="shared" si="6"/>
        <v>13572.188000000002</v>
      </c>
      <c r="I92" s="12">
        <f t="shared" si="7"/>
        <v>407165.64000000007</v>
      </c>
      <c r="J92" s="13">
        <f t="shared" si="8"/>
        <v>407165.64000000007</v>
      </c>
      <c r="K92" s="4">
        <v>282384</v>
      </c>
      <c r="L92" s="16">
        <v>282384</v>
      </c>
      <c r="M92" s="5">
        <f t="shared" si="9"/>
        <v>0</v>
      </c>
      <c r="N92" s="14"/>
    </row>
    <row r="93" spans="1:14" ht="15.6" x14ac:dyDescent="0.3">
      <c r="A93" s="9">
        <v>91</v>
      </c>
      <c r="B93" s="10">
        <v>27112103</v>
      </c>
      <c r="C93" s="11" t="s">
        <v>199</v>
      </c>
      <c r="D93" s="11" t="s">
        <v>200</v>
      </c>
      <c r="E93" s="15">
        <v>30</v>
      </c>
      <c r="F93" s="12">
        <v>70510.759999999995</v>
      </c>
      <c r="G93" s="12">
        <f t="shared" si="5"/>
        <v>13397.044399999999</v>
      </c>
      <c r="H93" s="12">
        <f t="shared" si="6"/>
        <v>83907.804399999994</v>
      </c>
      <c r="I93" s="12">
        <f t="shared" si="7"/>
        <v>2517234.1319999998</v>
      </c>
      <c r="J93" s="13">
        <f t="shared" si="8"/>
        <v>2517234.1319999998</v>
      </c>
      <c r="K93" s="4">
        <v>280064</v>
      </c>
      <c r="L93" s="16">
        <v>280064</v>
      </c>
      <c r="M93" s="5">
        <f t="shared" si="9"/>
        <v>0</v>
      </c>
      <c r="N93" s="14"/>
    </row>
    <row r="94" spans="1:14" ht="15.6" x14ac:dyDescent="0.3">
      <c r="A94" s="9">
        <v>92</v>
      </c>
      <c r="B94" s="10">
        <v>20111603</v>
      </c>
      <c r="C94" s="11" t="s">
        <v>201</v>
      </c>
      <c r="D94" s="11" t="s">
        <v>202</v>
      </c>
      <c r="E94" s="15">
        <v>30</v>
      </c>
      <c r="F94" s="12">
        <v>67249.36</v>
      </c>
      <c r="G94" s="12">
        <f t="shared" si="5"/>
        <v>12777.3784</v>
      </c>
      <c r="H94" s="12">
        <f t="shared" si="6"/>
        <v>80026.738400000002</v>
      </c>
      <c r="I94" s="12">
        <f t="shared" si="7"/>
        <v>2400802.1520000002</v>
      </c>
      <c r="J94" s="13">
        <f t="shared" si="8"/>
        <v>2400802.1520000002</v>
      </c>
      <c r="K94" s="4">
        <v>280030</v>
      </c>
      <c r="L94" s="16">
        <v>280030</v>
      </c>
      <c r="M94" s="5">
        <f t="shared" si="9"/>
        <v>0</v>
      </c>
      <c r="N94" s="14"/>
    </row>
    <row r="95" spans="1:14" ht="15.6" x14ac:dyDescent="0.3">
      <c r="A95" s="9">
        <v>93</v>
      </c>
      <c r="B95" s="10">
        <v>27112507</v>
      </c>
      <c r="C95" s="11" t="s">
        <v>203</v>
      </c>
      <c r="D95" s="11" t="s">
        <v>204</v>
      </c>
      <c r="E95" s="15">
        <v>30</v>
      </c>
      <c r="F95" s="12">
        <v>14612.74</v>
      </c>
      <c r="G95" s="12">
        <f t="shared" si="5"/>
        <v>2776.4205999999999</v>
      </c>
      <c r="H95" s="12">
        <f t="shared" si="6"/>
        <v>17389.160599999999</v>
      </c>
      <c r="I95" s="12">
        <f t="shared" si="7"/>
        <v>521674.81799999997</v>
      </c>
      <c r="J95" s="13">
        <f t="shared" si="8"/>
        <v>521674.81799999997</v>
      </c>
      <c r="K95" s="4">
        <v>280268</v>
      </c>
      <c r="L95" s="16">
        <v>280268</v>
      </c>
      <c r="M95" s="5">
        <f t="shared" si="9"/>
        <v>0</v>
      </c>
      <c r="N95" s="14"/>
    </row>
    <row r="96" spans="1:14" ht="15.6" x14ac:dyDescent="0.3">
      <c r="A96" s="9">
        <v>94</v>
      </c>
      <c r="B96" s="10">
        <v>27112507</v>
      </c>
      <c r="C96" s="11" t="s">
        <v>205</v>
      </c>
      <c r="D96" s="11" t="s">
        <v>206</v>
      </c>
      <c r="E96" s="15">
        <v>18</v>
      </c>
      <c r="F96" s="12">
        <v>27588.880000000001</v>
      </c>
      <c r="G96" s="12">
        <f t="shared" si="5"/>
        <v>5241.8872000000001</v>
      </c>
      <c r="H96" s="12">
        <f t="shared" si="6"/>
        <v>32830.767200000002</v>
      </c>
      <c r="I96" s="12">
        <f t="shared" si="7"/>
        <v>590953.80960000004</v>
      </c>
      <c r="J96" s="13">
        <f t="shared" si="8"/>
        <v>590953.80960000004</v>
      </c>
      <c r="K96" s="4">
        <v>246892</v>
      </c>
      <c r="L96" s="16">
        <v>246892</v>
      </c>
      <c r="M96" s="5">
        <f t="shared" si="9"/>
        <v>0</v>
      </c>
      <c r="N96" s="14"/>
    </row>
    <row r="97" spans="1:14" ht="15.6" x14ac:dyDescent="0.3">
      <c r="A97" s="9">
        <v>95</v>
      </c>
      <c r="B97" s="10">
        <v>27112847</v>
      </c>
      <c r="C97" s="11" t="s">
        <v>207</v>
      </c>
      <c r="D97" s="11" t="s">
        <v>208</v>
      </c>
      <c r="E97" s="15">
        <v>1</v>
      </c>
      <c r="F97" s="12">
        <v>45293.48</v>
      </c>
      <c r="G97" s="12">
        <f t="shared" si="5"/>
        <v>8605.7612000000008</v>
      </c>
      <c r="H97" s="12">
        <f t="shared" si="6"/>
        <v>53899.241200000004</v>
      </c>
      <c r="I97" s="12">
        <f t="shared" si="7"/>
        <v>53899.241200000004</v>
      </c>
      <c r="J97" s="13">
        <f t="shared" si="8"/>
        <v>53899.241200000004</v>
      </c>
      <c r="K97" s="4">
        <v>282383</v>
      </c>
      <c r="L97" s="16">
        <v>282383</v>
      </c>
      <c r="M97" s="5">
        <f t="shared" si="9"/>
        <v>0</v>
      </c>
      <c r="N97" s="14"/>
    </row>
    <row r="98" spans="1:14" ht="15.6" x14ac:dyDescent="0.3">
      <c r="A98" s="18" t="s">
        <v>209</v>
      </c>
      <c r="B98" s="19"/>
      <c r="C98" s="19"/>
      <c r="D98" s="19"/>
      <c r="E98" s="19"/>
      <c r="F98" s="19"/>
      <c r="G98" s="19"/>
      <c r="H98" s="20"/>
      <c r="I98" s="12">
        <f>SUM(I3:I97)</f>
        <v>107091999.99071953</v>
      </c>
      <c r="J98" s="13">
        <f>SUM(J3:J97)</f>
        <v>107091999.99071953</v>
      </c>
      <c r="K98" s="4"/>
      <c r="N98" s="21"/>
    </row>
    <row r="99" spans="1:14" ht="15.6" x14ac:dyDescent="0.3">
      <c r="A99" s="4"/>
      <c r="B99" s="4"/>
      <c r="C99" s="4"/>
      <c r="D99" s="4"/>
      <c r="E99" s="4"/>
      <c r="F99" s="22"/>
      <c r="G99" s="4"/>
      <c r="H99" s="4"/>
      <c r="I99" s="4"/>
      <c r="J99" s="4"/>
      <c r="K99" s="4"/>
    </row>
    <row r="100" spans="1:14" ht="15.6" x14ac:dyDescent="0.3">
      <c r="A100" s="4"/>
      <c r="B100" s="4"/>
      <c r="C100" s="4"/>
      <c r="D100" s="4"/>
      <c r="E100" s="4"/>
      <c r="F100" s="22"/>
      <c r="G100" s="4"/>
      <c r="H100" s="4"/>
      <c r="I100" s="23"/>
      <c r="J100" s="4"/>
      <c r="K100" s="4"/>
    </row>
    <row r="101" spans="1:14" ht="15.6" x14ac:dyDescent="0.3">
      <c r="A101" s="4"/>
      <c r="B101" s="4"/>
      <c r="C101" s="4"/>
      <c r="D101" s="4"/>
      <c r="E101" s="4"/>
      <c r="F101" s="22"/>
      <c r="G101" s="4"/>
      <c r="H101" s="4"/>
      <c r="I101" s="24"/>
      <c r="J101" s="4"/>
      <c r="K101" s="4"/>
    </row>
    <row r="102" spans="1:14" ht="15.6" x14ac:dyDescent="0.3">
      <c r="A102" s="4"/>
      <c r="B102" s="4"/>
      <c r="C102" s="4"/>
      <c r="D102" s="4"/>
      <c r="E102" s="4"/>
      <c r="F102" s="22"/>
      <c r="G102" s="4"/>
      <c r="H102" s="4"/>
      <c r="I102" s="4"/>
      <c r="J102" s="4"/>
      <c r="K102" s="4"/>
    </row>
    <row r="103" spans="1:14" ht="15.6" x14ac:dyDescent="0.3">
      <c r="A103" s="4"/>
      <c r="B103" s="4"/>
      <c r="C103" s="4"/>
      <c r="D103" s="4"/>
      <c r="E103" s="4"/>
      <c r="F103" s="22"/>
      <c r="G103" s="4"/>
      <c r="H103" s="4"/>
      <c r="I103" s="4"/>
      <c r="J103" s="4"/>
      <c r="K103" s="4"/>
    </row>
    <row r="104" spans="1:14" ht="15.6" x14ac:dyDescent="0.3">
      <c r="A104" s="4"/>
      <c r="B104" s="4"/>
      <c r="C104" s="4"/>
      <c r="D104" s="4"/>
      <c r="E104" s="4"/>
      <c r="F104" s="22"/>
      <c r="G104" s="4"/>
      <c r="H104" s="4"/>
      <c r="I104" s="4"/>
      <c r="J104" s="4"/>
      <c r="K104" s="4"/>
    </row>
    <row r="105" spans="1:14" ht="15.6" x14ac:dyDescent="0.3">
      <c r="A105" s="4"/>
      <c r="B105" s="4"/>
      <c r="C105" s="4"/>
      <c r="D105" s="4"/>
      <c r="E105" s="4"/>
      <c r="F105" s="22"/>
      <c r="G105" s="4"/>
      <c r="H105" s="4"/>
      <c r="I105" s="4"/>
      <c r="J105" s="4"/>
      <c r="K105" s="4"/>
    </row>
    <row r="106" spans="1:14" ht="15.6" x14ac:dyDescent="0.3">
      <c r="A106" s="4"/>
      <c r="B106" s="4"/>
      <c r="C106" s="4"/>
      <c r="D106" s="4"/>
      <c r="E106" s="4"/>
      <c r="F106" s="22"/>
      <c r="G106" s="4"/>
      <c r="H106" s="4"/>
      <c r="I106" s="4"/>
      <c r="J106" s="4"/>
      <c r="K106" s="4"/>
    </row>
    <row r="107" spans="1:14" ht="15.6" x14ac:dyDescent="0.3">
      <c r="A107" s="4"/>
      <c r="B107" s="4"/>
      <c r="C107" s="4"/>
      <c r="D107" s="4"/>
      <c r="E107" s="4"/>
      <c r="F107" s="22"/>
      <c r="G107" s="4"/>
      <c r="H107" s="4"/>
      <c r="I107" s="4"/>
      <c r="J107" s="4"/>
      <c r="K107" s="4"/>
    </row>
  </sheetData>
  <mergeCells count="2">
    <mergeCell ref="A98:H98"/>
    <mergeCell ref="A1:I1"/>
  </mergeCells>
  <pageMargins left="0.31496062992125984" right="0.31496062992125984" top="0.35433070866141736" bottom="0.35433070866141736" header="0.31496062992125984" footer="0.31496062992125984"/>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11.44140625"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11.4414062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VENTAS</dc:creator>
  <cp:keywords/>
  <dc:description/>
  <cp:lastModifiedBy>Maribel Gil</cp:lastModifiedBy>
  <cp:revision/>
  <dcterms:created xsi:type="dcterms:W3CDTF">2023-06-26T20:38:56Z</dcterms:created>
  <dcterms:modified xsi:type="dcterms:W3CDTF">2026-10-24T00:56:05Z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2023-07-11T20:40:17Z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2b84b690-3408-4685-bfa9-18473723dd9d</vt:lpwstr>
  </property>
  <property fmtid="{D5CDD505-2E9C-101B-9397-08002B2CF9AE}" pid="8" name="MSIP_Label_1299739c-ad3d-4908-806e-4d91151a6e13_ContentBits">
    <vt:lpwstr>0</vt:lpwstr>
  </property>
</Properties>
</file>