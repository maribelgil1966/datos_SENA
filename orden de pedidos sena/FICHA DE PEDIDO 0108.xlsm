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13" documentId="8_{7ED4C640-9D91-466D-ACA3-CEAAD5B6008A}" xr6:coauthVersionLast="47" xr6:coauthVersionMax="47" xr10:uidLastSave="{188006D6-45B4-4B3E-A4F1-1128139458A1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<sst xmlns="http://schemas.openxmlformats.org/spreadsheetml/2006/main" count="5062" uniqueCount="1395">
  <si>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</si>
  <si>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</si>
  <si>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</si>
  <si>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</si>
  <si>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</si>
  <si>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</si>
  <si>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</si>
  <si>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</si>
  <si>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</si>
  <si>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FICHA(#)</t>
  </si>
  <si>
    <t>CELDA DE PRODUCCION</t>
  </si>
  <si>
    <t>NOMBRE DEL PRODUCTO</t>
  </si>
  <si>
    <t>COSMETIQUERA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</si>
  <si>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</si>
  <si>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</si>
  <si>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</si>
  <si>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</si>
  <si>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</si>
  <si>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</si>
  <si>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</si>
  <si>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</si>
  <si>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</si>
  <si>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</si>
  <si>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</si>
  <si>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</si>
  <si>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</si>
  <si>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</si>
  <si>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</si>
  <si>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</si>
  <si>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ADHESIVOS_Solventes</t>
  </si>
  <si>
    <t xml:space="preserve">AQUAPREN GUARNECIDA
</t>
  </si>
  <si>
    <t>SECUNDARIO_MEDULAR</t>
  </si>
  <si>
    <t xml:space="preserve">HILO NYLON #40
</t>
  </si>
  <si>
    <t xml:space="preserve">HILO NYLON #60
</t>
  </si>
  <si>
    <t xml:space="preserve">VIVO PLASTICO </t>
  </si>
  <si>
    <t>EMBONO PLASTICO NEGRO DELGADO</t>
  </si>
  <si>
    <t>PAPELERIA_P</t>
  </si>
  <si>
    <t>CARTULINA  BRISTOL (PLANA)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</si>
  <si>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</si>
  <si>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</si>
  <si>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</si>
  <si>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</si>
  <si>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</si>
  <si>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</si>
  <si>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</si>
  <si>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</si>
  <si>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</si>
  <si>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</si>
  <si>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</si>
  <si>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</si>
  <si>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</si>
  <si>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</si>
  <si>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</si>
  <si>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</si>
  <si>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</si>
  <si>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</si>
  <si>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</si>
  <si>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</si>
  <si>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</si>
  <si>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</si>
  <si>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</si>
  <si>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</si>
  <si>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</si>
  <si>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</si>
  <si>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</si>
  <si>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</si>
  <si>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</si>
  <si>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</si>
  <si>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</si>
  <si>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</si>
  <si>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</si>
  <si>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</si>
  <si>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</si>
  <si>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</si>
  <si>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</si>
  <si>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</si>
  <si>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</si>
  <si>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</si>
  <si>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</si>
  <si>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</si>
  <si>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</si>
  <si>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</si>
  <si>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</si>
  <si>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</si>
  <si>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</si>
  <si>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</si>
  <si>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</si>
  <si>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</si>
  <si>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</si>
  <si>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</si>
  <si>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</si>
  <si>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</si>
  <si>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remplaza por lona de ejercicios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</si>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</sst>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238125</xdr:colOff>
      <xdr:row>0</xdr:row>
      <xdr:rowOff>142875</xdr:rowOff>
    </xdr:from>
    <xdr:to>
      <xdr:col>24</xdr:col>
      <xdr:colOff>85725</xdr:colOff>
      <xdr:row>6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1DE631E-03FC-0CC2-D085-D8F1E2EE2571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53300" y="142875"/>
          <a:ext cx="2352675" cy="184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7" sqref="U17:V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ER0001-1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/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32142539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/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 t="s">
        <v>10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250459.75225671512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250459.75225671512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500</v>
      </c>
      <c r="R10" s="314"/>
      <c r="S10" s="315">
        <f>IFERROR(IF(Q10="Unidad","1",(Q10*$K$5)),"")</f>
        <v>500</v>
      </c>
      <c r="T10" s="316"/>
      <c r="U10" s="317"/>
      <c r="V10" s="323"/>
      <c r="W10" s="318">
        <f ca="1">IFERROR(IF(D10="","",INDEX(Tabla_Completa,MATCH('Soli_citud '!D10,Materiales,0),7)*S10),"")</f>
        <v>343.9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500</v>
      </c>
      <c r="R11" s="314"/>
      <c r="S11" s="315">
        <f t="shared" ref="S11:S31" si="1">IFERROR(IF(Q11="Unidad","1",(Q11*$K$5)),"")</f>
        <v>500</v>
      </c>
      <c r="T11" s="316"/>
      <c r="U11" s="317"/>
      <c r="V11" s="317"/>
      <c r="W11" s="318">
        <f ca="1">IFERROR(IF(D11="","",INDEX(Tabla_Completa,MATCH('Soli_citud '!D11,Materiales,0),7)*S11),"")</f>
        <v>118.33333333333333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ml</v>
      </c>
      <c r="P12" s="312"/>
      <c r="Q12" s="313">
        <v>1000</v>
      </c>
      <c r="R12" s="314"/>
      <c r="S12" s="315">
        <f t="shared" si="1"/>
        <v>1000</v>
      </c>
      <c r="T12" s="316"/>
      <c r="U12" s="317"/>
      <c r="V12" s="317"/>
      <c r="W12" s="318">
        <f ca="1">IFERROR(IF(D12="","",INDEX(Tabla_Completa,MATCH('Soli_citud '!D12,Materiales,0),7)*S12),"")</f>
        <v>61207.793923381774</v>
      </c>
      <c r="X12" s="318"/>
      <c r="Y12" s="318"/>
    </row>
    <row r="13" spans="1:28" ht="15.75" customHeight="1">
      <c r="A13" s="305" t="s">
        <v>31</v>
      </c>
      <c r="B13" s="306"/>
      <c r="C13" s="307"/>
      <c r="D13" s="322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Cono</v>
      </c>
      <c r="P13" s="312"/>
      <c r="Q13" s="313">
        <v>5</v>
      </c>
      <c r="R13" s="314"/>
      <c r="S13" s="315">
        <f t="shared" si="1"/>
        <v>5</v>
      </c>
      <c r="T13" s="316"/>
      <c r="U13" s="317"/>
      <c r="V13" s="317"/>
      <c r="W13" s="318">
        <f ca="1">IFERROR(IF(D13="","",INDEX(Tabla_Completa,MATCH('Soli_citud '!D13,Materiales,0),7)*S13),"")</f>
        <v>36333.333333333336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Cono</v>
      </c>
      <c r="P14" s="312"/>
      <c r="Q14" s="313">
        <v>5</v>
      </c>
      <c r="R14" s="314"/>
      <c r="S14" s="315">
        <f t="shared" si="1"/>
        <v>5</v>
      </c>
      <c r="T14" s="316"/>
      <c r="U14" s="317"/>
      <c r="V14" s="317"/>
      <c r="W14" s="318">
        <f ca="1">IFERROR(IF(D14="","",INDEX(Tabla_Completa,MATCH('Soli_citud '!D14,Materiales,0),7)*S14),"")</f>
        <v>36333.324999999997</v>
      </c>
      <c r="X14" s="318"/>
      <c r="Y14" s="318"/>
    </row>
    <row r="15" spans="1:28" ht="15.75" customHeight="1">
      <c r="A15" s="305" t="s">
        <v>31</v>
      </c>
      <c r="B15" s="306"/>
      <c r="C15" s="307"/>
      <c r="D15" s="319" t="s">
        <v>34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</v>
      </c>
      <c r="P15" s="312"/>
      <c r="Q15" s="313">
        <v>1000</v>
      </c>
      <c r="R15" s="314"/>
      <c r="S15" s="315">
        <f t="shared" si="1"/>
        <v>1000</v>
      </c>
      <c r="T15" s="316"/>
      <c r="U15" s="317"/>
      <c r="V15" s="317"/>
      <c r="W15" s="318">
        <f ca="1">IFERROR(IF(D15="","",INDEX(Tabla_Completa,MATCH('Soli_citud '!D15,Materiales,0),7)*S15),"")</f>
        <v>84000</v>
      </c>
      <c r="X15" s="318"/>
      <c r="Y15" s="318"/>
    </row>
    <row r="16" spans="1:28" ht="15.75" customHeight="1">
      <c r="A16" s="305" t="s">
        <v>31</v>
      </c>
      <c r="B16" s="306"/>
      <c r="C16" s="307"/>
      <c r="D16" s="319" t="s">
        <v>35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m</v>
      </c>
      <c r="P16" s="312"/>
      <c r="Q16" s="313">
        <v>5</v>
      </c>
      <c r="R16" s="314"/>
      <c r="S16" s="315">
        <f t="shared" si="1"/>
        <v>5</v>
      </c>
      <c r="T16" s="316"/>
      <c r="U16" s="317"/>
      <c r="V16" s="317"/>
      <c r="W16" s="318">
        <f ca="1">IFERROR(IF(D16="","",INDEX(Tabla_Completa,MATCH('Soli_citud '!D16,Materiales,0),7)*S16),"")</f>
        <v>460</v>
      </c>
      <c r="X16" s="318"/>
      <c r="Y16" s="318"/>
    </row>
    <row r="17" spans="1:25" ht="15.75" customHeight="1">
      <c r="A17" s="305" t="s">
        <v>36</v>
      </c>
      <c r="B17" s="306"/>
      <c r="C17" s="307"/>
      <c r="D17" s="319" t="s">
        <v>37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Pliego</v>
      </c>
      <c r="P17" s="312"/>
      <c r="Q17" s="313">
        <v>20</v>
      </c>
      <c r="R17" s="314"/>
      <c r="S17" s="315">
        <f t="shared" si="1"/>
        <v>20</v>
      </c>
      <c r="T17" s="316"/>
      <c r="U17" s="317"/>
      <c r="V17" s="317"/>
      <c r="W17" s="318">
        <f ca="1">IFERROR(IF(D17="","",INDEX(Tabla_Completa,MATCH('Soli_citud '!D17,Materiales,0),7)*S17),"")</f>
        <v>31663.066666666669</v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38</v>
      </c>
      <c r="B39" s="399"/>
      <c r="C39" s="399"/>
      <c r="D39" s="400" t="s">
        <v>39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41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42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29</v>
      </c>
      <c r="O44" s="389"/>
      <c r="P44" s="389"/>
      <c r="Q44" s="389"/>
      <c r="R44" s="395" t="s">
        <v>43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44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45</v>
      </c>
      <c r="O45" s="389"/>
      <c r="P45" s="389"/>
      <c r="Q45" s="389"/>
      <c r="R45" s="396" t="s">
        <v>46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47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48</v>
      </c>
      <c r="O46" s="389"/>
      <c r="P46" s="389"/>
      <c r="Q46" s="389"/>
      <c r="R46" s="388" t="s">
        <v>49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50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51</v>
      </c>
      <c r="O47" s="389"/>
      <c r="P47" s="389"/>
      <c r="Q47" s="389"/>
      <c r="R47" s="388" t="s">
        <v>52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54</v>
      </c>
      <c r="O48" s="389"/>
      <c r="P48" s="389"/>
      <c r="Q48" s="389"/>
      <c r="R48" s="388" t="s">
        <v>55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57</v>
      </c>
      <c r="O49" s="390"/>
      <c r="P49" s="390"/>
      <c r="Q49" s="390"/>
      <c r="R49" s="396" t="s">
        <v>58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36</v>
      </c>
      <c r="O50" s="389"/>
      <c r="P50" s="389"/>
      <c r="Q50" s="389"/>
      <c r="R50" s="388" t="s">
        <v>59</v>
      </c>
      <c r="S50" s="388"/>
      <c r="T50" s="388"/>
      <c r="U50" s="388"/>
      <c r="V50" s="388"/>
      <c r="W50" s="388"/>
      <c r="X50" s="388"/>
    </row>
    <row r="51" spans="1:24" ht="15.75">
      <c r="N51" s="389" t="s">
        <v>26</v>
      </c>
      <c r="O51" s="389"/>
      <c r="P51" s="389"/>
      <c r="Q51" s="389"/>
      <c r="R51" s="388" t="s">
        <v>60</v>
      </c>
      <c r="S51" s="388"/>
      <c r="T51" s="388"/>
      <c r="U51" s="388"/>
      <c r="V51" s="388"/>
      <c r="W51" s="388"/>
      <c r="X51" s="388"/>
    </row>
    <row r="52" spans="1:24" ht="15.75">
      <c r="N52" s="389" t="s">
        <v>61</v>
      </c>
      <c r="O52" s="389"/>
      <c r="P52" s="389"/>
      <c r="Q52" s="389"/>
      <c r="R52" s="388" t="s">
        <v>52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N15" sqref="N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62</v>
      </c>
      <c r="E1" s="472"/>
      <c r="F1" s="472"/>
      <c r="G1" s="472"/>
      <c r="H1" s="472"/>
      <c r="I1" s="472"/>
      <c r="J1" s="477" t="s">
        <v>63</v>
      </c>
      <c r="K1" s="478"/>
      <c r="L1" s="478"/>
      <c r="M1" s="479"/>
      <c r="N1" s="473" t="str">
        <f>IF('Soli_citud '!O1="","",'Soli_citud '!O1)</f>
        <v/>
      </c>
      <c r="O1" s="474"/>
      <c r="P1" s="407" t="s">
        <v>64</v>
      </c>
      <c r="Q1" s="408"/>
      <c r="R1" s="403" t="str">
        <f>IF('Soli_citud '!D4="","",'Soli_citud '!D4)</f>
        <v>COSMETIQUERA</v>
      </c>
      <c r="S1" s="404"/>
      <c r="Z1" t="s">
        <v>65</v>
      </c>
      <c r="AA1" s="252" t="s">
        <v>65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66</v>
      </c>
      <c r="K2" s="455"/>
      <c r="L2" s="455"/>
      <c r="M2" s="456"/>
      <c r="N2" s="475" t="str">
        <f>'Soli_citud '!F1</f>
        <v>ER0001-1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67</v>
      </c>
      <c r="K3" s="476"/>
      <c r="L3" s="476"/>
      <c r="M3" s="476"/>
      <c r="N3" s="463" t="str">
        <f>IF('Soli_citud '!O3="","",'Soli_citud '!O3)</f>
        <v>CELDA DE PRODUCCION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68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69</v>
      </c>
      <c r="C6" s="449"/>
      <c r="D6" s="450"/>
      <c r="E6" s="465" t="s">
        <v>70</v>
      </c>
      <c r="F6" s="465"/>
      <c r="G6" s="465"/>
      <c r="H6" s="465"/>
      <c r="I6" s="466"/>
      <c r="J6" s="439" t="s">
        <v>71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250459.75225671512</v>
      </c>
      <c r="C8" s="427"/>
      <c r="D8" s="428"/>
      <c r="E8" s="445" t="s">
        <v>72</v>
      </c>
      <c r="F8" s="446"/>
      <c r="G8" s="446"/>
      <c r="H8" s="446"/>
      <c r="I8" s="447"/>
      <c r="J8" s="441" t="str">
        <f>IF('Soli_citud '!E2="","",'Soli_citud '!E2)</f>
        <v>Emely Rivera Delgado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73</v>
      </c>
      <c r="C9" s="430"/>
      <c r="D9" s="422"/>
      <c r="E9" s="421" t="s">
        <v>74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75</v>
      </c>
      <c r="K10" s="461"/>
      <c r="L10" s="462"/>
      <c r="M10" s="242">
        <f>'Soli_citud '!K5</f>
        <v>1</v>
      </c>
      <c r="N10" s="443" t="s">
        <v>76</v>
      </c>
      <c r="O10" s="444"/>
      <c r="P10" s="411"/>
      <c r="Q10" s="412"/>
      <c r="R10" s="243" t="s">
        <v>77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78</v>
      </c>
      <c r="B11" s="264" t="s">
        <v>79</v>
      </c>
      <c r="C11" s="423" t="s">
        <v>80</v>
      </c>
      <c r="D11" s="424"/>
      <c r="E11" s="424"/>
      <c r="F11" s="425"/>
      <c r="G11" s="112" t="s">
        <v>81</v>
      </c>
      <c r="H11" s="112" t="s">
        <v>82</v>
      </c>
      <c r="I11" s="237" t="s">
        <v>83</v>
      </c>
      <c r="J11" s="110" t="s">
        <v>84</v>
      </c>
      <c r="K11" s="223" t="s">
        <v>85</v>
      </c>
      <c r="L11" s="459" t="s">
        <v>24</v>
      </c>
      <c r="M11" s="460"/>
      <c r="N11" s="240" t="s">
        <v>86</v>
      </c>
      <c r="O11" s="240" t="s">
        <v>87</v>
      </c>
      <c r="P11" s="244" t="s">
        <v>88</v>
      </c>
      <c r="Q11" s="245" t="s">
        <v>89</v>
      </c>
      <c r="R11" s="236" t="s">
        <v>90</v>
      </c>
      <c r="S11" s="224" t="s">
        <v>91</v>
      </c>
    </row>
    <row r="12" spans="1:27" ht="19.5" customHeight="1">
      <c r="A12" s="78">
        <v>1</v>
      </c>
      <c r="B12" s="265" t="str">
        <f>IF(H12="","",$N$2)</f>
        <v>ER0001-1</v>
      </c>
      <c r="C12" s="420" t="str">
        <f>IFERROR(IF('Soli_citud '!D10="","",'Soli_citud '!D10),"")</f>
        <v>INTERLON</v>
      </c>
      <c r="D12" s="420"/>
      <c r="E12" s="420"/>
      <c r="F12" s="420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500</v>
      </c>
      <c r="I12" s="227">
        <v>45414</v>
      </c>
      <c r="J12" s="228">
        <v>500</v>
      </c>
      <c r="K12" s="207" t="str" cm="1">
        <f t="array" ref="K12">IFERROR(_xlfn.IFS(H12="","",J12=H12,"Cumplido",J12&lt;H12,H12-J12,J12&gt;H12,"Revisar"),"")</f>
        <v>Cumplido</v>
      </c>
      <c r="L12" s="457" t="s">
        <v>92</v>
      </c>
      <c r="M12" s="458"/>
      <c r="N12" s="228">
        <v>140</v>
      </c>
      <c r="O12" s="208">
        <f t="shared" ref="O12:O30" si="0">IFERROR(H12/N12,"")</f>
        <v>3.5714285714285716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ER0001-1</v>
      </c>
      <c r="C13" s="420" t="str">
        <f>IFERROR(IF('Soli_citud '!D11="","",'Soli_citud '!D11),"")</f>
        <v>POLITEX-KAMBREL 100 GR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500</v>
      </c>
      <c r="I13" s="227">
        <v>45414</v>
      </c>
      <c r="J13" s="229">
        <v>500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280</v>
      </c>
      <c r="O13" s="208">
        <f t="shared" si="0"/>
        <v>1.7857142857142858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ER0001-1</v>
      </c>
      <c r="C14" s="420" t="str">
        <f>IFERROR(IF('Soli_citud '!D12="","",'Soli_citud '!D12),"")</f>
        <v xml:space="preserve">AQUAPREN GUARNECIDA
</v>
      </c>
      <c r="D14" s="420"/>
      <c r="E14" s="420"/>
      <c r="F14" s="420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1000</v>
      </c>
      <c r="I14" s="230"/>
      <c r="J14" s="229"/>
      <c r="K14" s="207" cm="1">
        <f t="array" ref="K14">IFERROR(_xlfn.IFS(H14="","",J14=H14,"Cumplido",J14&lt;H14,H14-J14,J14&gt;H14,"Revisar"),"")</f>
        <v>1000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ER0001-1</v>
      </c>
      <c r="C15" s="420" t="str">
        <f>IFERROR(IF('Soli_citud '!D13="","",'Soli_citud '!D13),"")</f>
        <v xml:space="preserve">HILO NYLON #40
</v>
      </c>
      <c r="D15" s="420"/>
      <c r="E15" s="420"/>
      <c r="F15" s="420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5</v>
      </c>
      <c r="I15" s="230"/>
      <c r="J15" s="229"/>
      <c r="K15" s="207" cm="1">
        <f t="array" ref="K15">IFERROR(_xlfn.IFS(H15="","",J15=H15,"Cumplido",J15&lt;H15,H15-J15,J15&gt;H15,"Revisar"),"")</f>
        <v>5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ER0001-1</v>
      </c>
      <c r="C16" s="420" t="str">
        <f>IFERROR(IF('Soli_citud '!D14="","",'Soli_citud '!D14),"")</f>
        <v xml:space="preserve">HILO NYLON #60
</v>
      </c>
      <c r="D16" s="420"/>
      <c r="E16" s="420"/>
      <c r="F16" s="420"/>
      <c r="G16" s="226" t="str">
        <f ca="1">IF('Soli_citud '!O14="","",'Soli_citud '!O14)</f>
        <v>Cono</v>
      </c>
      <c r="H16" s="226" cm="1">
        <f t="array" ref="H16">_xlfn.IFS('Soli_citud '!S14="","",'Soli_citud '!S14&lt;=0,"",'Soli_citud '!S14&gt;0,'Soli_citud '!S14)</f>
        <v>5</v>
      </c>
      <c r="I16" s="230"/>
      <c r="J16" s="229"/>
      <c r="K16" s="207" cm="1">
        <f t="array" ref="K16">IFERROR(_xlfn.IFS(H16="","",J16=H16,"Cumplido",J16&lt;H16,H16-J16,J16&gt;H16,"Revisar"),"")</f>
        <v>5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ER0001-1</v>
      </c>
      <c r="C17" s="420" t="str">
        <f>IFERROR(IF('Soli_citud '!D15="","",'Soli_citud '!D15),"")</f>
        <v xml:space="preserve">VIVO PLASTICO </v>
      </c>
      <c r="D17" s="420"/>
      <c r="E17" s="420"/>
      <c r="F17" s="420"/>
      <c r="G17" s="226" t="str">
        <f ca="1">IF('Soli_citud '!O15="","",'Soli_citud '!O15)</f>
        <v>cm</v>
      </c>
      <c r="H17" s="226" cm="1">
        <f t="array" ref="H17">_xlfn.IFS('Soli_citud '!S15="","",'Soli_citud '!S15&lt;=0,"",'Soli_citud '!S15&gt;0,'Soli_citud '!S15)</f>
        <v>1000</v>
      </c>
      <c r="I17" s="230"/>
      <c r="J17" s="229"/>
      <c r="K17" s="207" cm="1">
        <f t="array" ref="K17">IFERROR(_xlfn.IFS(H17="","",J17=H17,"Cumplido",J17&lt;H17,H17-J17,J17&gt;H17,"Revisar"),"")</f>
        <v>1000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ER0001-1</v>
      </c>
      <c r="C18" s="420" t="str">
        <f>IFERROR(IF('Soli_citud '!D16="","",'Soli_citud '!D16),"")</f>
        <v>EMBONO PLASTICO NEGRO DELGADO</v>
      </c>
      <c r="D18" s="420"/>
      <c r="E18" s="420"/>
      <c r="F18" s="420"/>
      <c r="G18" s="226" t="str">
        <f ca="1">IF('Soli_citud '!O16="","",'Soli_citud '!O16)</f>
        <v>m</v>
      </c>
      <c r="H18" s="226" cm="1">
        <f t="array" ref="H18">_xlfn.IFS('Soli_citud '!S16="","",'Soli_citud '!S16&lt;=0,"",'Soli_citud '!S16&gt;0,'Soli_citud '!S16)</f>
        <v>5</v>
      </c>
      <c r="I18" s="230"/>
      <c r="J18" s="229"/>
      <c r="K18" s="207" cm="1">
        <f t="array" ref="K18">IFERROR(_xlfn.IFS(H18="","",J18=H18,"Cumplido",J18&lt;H18,H18-J18,J18&gt;H18,"Revisar"),"")</f>
        <v>5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ER0001-1</v>
      </c>
      <c r="C19" s="420" t="str">
        <f>IFERROR(IF('Soli_citud '!D17="","",'Soli_citud '!D17),"")</f>
        <v>CARTULINA  BRISTOL (PLANA)</v>
      </c>
      <c r="D19" s="420"/>
      <c r="E19" s="420"/>
      <c r="F19" s="420"/>
      <c r="G19" s="226" t="str">
        <f ca="1">IF('Soli_citud '!O17="","",'Soli_citud '!O17)</f>
        <v>Pliego</v>
      </c>
      <c r="H19" s="226" cm="1">
        <f t="array" ref="H19">_xlfn.IFS('Soli_citud '!S17="","",'Soli_citud '!S17&lt;=0,"",'Soli_citud '!S17&gt;0,'Soli_citud '!S17)</f>
        <v>20</v>
      </c>
      <c r="I19" s="227">
        <v>45414</v>
      </c>
      <c r="J19" s="229">
        <v>20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93</v>
      </c>
      <c r="F1" s="486"/>
      <c r="Z1" s="252" t="s">
        <v>65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94</v>
      </c>
      <c r="B6" s="304">
        <f>SUBTOTAL(3,(BD!$B$8:$B$20))</f>
        <v>13</v>
      </c>
      <c r="C6" s="482"/>
      <c r="D6" s="483"/>
      <c r="H6" s="480" t="s">
        <v>95</v>
      </c>
      <c r="I6" s="480"/>
    </row>
    <row r="7" spans="1:26" ht="47.25">
      <c r="A7" s="73" t="s">
        <v>78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29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29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30</v>
      </c>
      <c r="C10" s="140" t="s">
        <v>29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29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29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29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29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29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29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29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29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29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29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236</v>
      </c>
      <c r="C162" s="219" t="s">
        <v>31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31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31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31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31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31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31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31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31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31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31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31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31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31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31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31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31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31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31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31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31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31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31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31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31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31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31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31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31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31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31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31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31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31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31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31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31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31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31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31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31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31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31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31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31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31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31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31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31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31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31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31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31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31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31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31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31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31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31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31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31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31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31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31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31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31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31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31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31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9" t="s">
        <v>31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31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31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31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31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31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31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31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31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31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35</v>
      </c>
      <c r="C241" s="219" t="s">
        <v>31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320</v>
      </c>
      <c r="C242" s="219" t="s">
        <v>31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321</v>
      </c>
      <c r="C243" s="219" t="s">
        <v>31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322</v>
      </c>
      <c r="C244" s="219" t="s">
        <v>31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323</v>
      </c>
      <c r="C245" s="219" t="s">
        <v>31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324</v>
      </c>
      <c r="C246" s="276" t="s">
        <v>31</v>
      </c>
      <c r="D246" s="48" t="s">
        <v>241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6" t="s">
        <v>31</v>
      </c>
      <c r="D247" s="48" t="s">
        <v>240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327</v>
      </c>
      <c r="C248" s="276" t="s">
        <v>31</v>
      </c>
      <c r="D248" s="48" t="s">
        <v>111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</v>
      </c>
      <c r="C249" s="276" t="s">
        <v>31</v>
      </c>
      <c r="D249" s="48" t="s">
        <v>111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</v>
      </c>
      <c r="C250" s="276" t="s">
        <v>31</v>
      </c>
      <c r="D250" s="277" t="s">
        <v>111</v>
      </c>
      <c r="E250" s="141">
        <v>7266.665</v>
      </c>
      <c r="F250" s="278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328</v>
      </c>
      <c r="C251" s="276" t="s">
        <v>31</v>
      </c>
      <c r="D251" s="277" t="s">
        <v>240</v>
      </c>
      <c r="E251" s="141">
        <v>5000</v>
      </c>
      <c r="F251" s="278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329</v>
      </c>
      <c r="C252" s="276" t="s">
        <v>31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330</v>
      </c>
      <c r="C253" s="276" t="s">
        <v>31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331</v>
      </c>
      <c r="C254" s="276" t="s">
        <v>31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332</v>
      </c>
      <c r="C255" s="276" t="s">
        <v>31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333</v>
      </c>
      <c r="C256" s="276" t="s">
        <v>31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334</v>
      </c>
      <c r="C257" s="276" t="s">
        <v>31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335</v>
      </c>
      <c r="C258" s="276" t="s">
        <v>31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6" t="s">
        <v>31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6" t="s">
        <v>31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6" t="s">
        <v>31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6" t="s">
        <v>31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6" t="s">
        <v>31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6" t="s">
        <v>31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6" t="s">
        <v>31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6" t="s">
        <v>31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344</v>
      </c>
      <c r="C267" s="276" t="s">
        <v>31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345</v>
      </c>
      <c r="C268" s="276" t="s">
        <v>31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346</v>
      </c>
      <c r="C269" s="276" t="s">
        <v>31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6" t="s">
        <v>31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6" t="s">
        <v>31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6" t="s">
        <v>31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6" t="s">
        <v>31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6" t="s">
        <v>31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352</v>
      </c>
      <c r="C275" s="276" t="s">
        <v>31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353</v>
      </c>
      <c r="C276" s="276" t="s">
        <v>31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354</v>
      </c>
      <c r="C277" s="276" t="s">
        <v>31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355</v>
      </c>
      <c r="C278" s="276" t="s">
        <v>31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356</v>
      </c>
      <c r="C279" s="276" t="s">
        <v>31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357</v>
      </c>
      <c r="C280" s="276" t="s">
        <v>31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358</v>
      </c>
      <c r="C281" s="276" t="s">
        <v>31</v>
      </c>
      <c r="D281" s="277" t="s">
        <v>359</v>
      </c>
      <c r="E281" s="141"/>
      <c r="F281" s="277" t="s">
        <v>359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360</v>
      </c>
      <c r="C282" s="276" t="s">
        <v>31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361</v>
      </c>
      <c r="C283" s="276" t="s">
        <v>31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362</v>
      </c>
      <c r="C284" s="276" t="s">
        <v>31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363</v>
      </c>
      <c r="C285" s="276" t="s">
        <v>31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364</v>
      </c>
      <c r="C286" s="276" t="s">
        <v>31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365</v>
      </c>
      <c r="C287" s="276" t="s">
        <v>31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34</v>
      </c>
      <c r="C288" s="276" t="s">
        <v>31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6" t="s">
        <v>31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78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367</v>
      </c>
      <c r="C516" s="219" t="s">
        <v>48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9" t="s">
        <v>48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9" t="s">
        <v>48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9" t="s">
        <v>48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9" t="s">
        <v>48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9" t="s">
        <v>48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9" t="s">
        <v>48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9" t="s">
        <v>48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9" t="s">
        <v>48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48</v>
      </c>
      <c r="D525" s="215" t="s">
        <v>368</v>
      </c>
      <c r="E525" s="217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48</v>
      </c>
      <c r="D526" s="48" t="s">
        <v>368</v>
      </c>
      <c r="E526" s="216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48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48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48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48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48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48</v>
      </c>
      <c r="D532" s="214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48</v>
      </c>
      <c r="D533" s="214" t="s">
        <v>368</v>
      </c>
      <c r="E533" s="218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48</v>
      </c>
      <c r="D534" s="214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48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48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48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48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78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2" t="s">
        <v>391</v>
      </c>
      <c r="C562" s="219" t="s">
        <v>51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51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51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51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51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51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51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51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51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51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51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51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51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51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51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51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51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51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51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51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51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51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51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51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51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51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51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51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51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51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51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51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51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51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51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51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51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51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51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51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51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51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51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51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51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51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51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51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51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51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51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51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51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51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51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51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51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51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51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51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51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51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51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51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51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51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51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51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51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51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51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51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51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51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51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51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51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51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51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51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51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51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51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51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51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51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51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51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51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51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51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51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51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51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51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51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51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51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51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51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51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51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51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51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51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51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51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51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51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51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51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51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51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51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51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51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51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51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51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51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51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51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51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51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51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51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51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51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51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51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51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51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51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51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51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51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51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51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51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51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51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51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51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51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51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51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51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51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51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51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51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51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51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51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51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51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51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51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51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51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51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51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51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51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51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51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51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51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51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51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51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51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51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51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51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51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51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51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51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51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51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51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51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51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51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51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51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51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51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51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51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51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51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51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51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51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51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51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51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51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51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51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51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9" t="s">
        <v>51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51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51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51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51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51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51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51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51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51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51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51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51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51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51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51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51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51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51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51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51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51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51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19" t="s">
        <v>51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19" t="s">
        <v>51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19" t="s">
        <v>51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19" t="s">
        <v>51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19" t="s">
        <v>51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19" t="s">
        <v>51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19" t="s">
        <v>51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19" t="s">
        <v>51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19" t="s">
        <v>51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19" t="s">
        <v>51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19" t="s">
        <v>51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19" t="s">
        <v>51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9" t="s">
        <v>51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9" t="s">
        <v>51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9" t="s">
        <v>51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9" t="s">
        <v>51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9" t="s">
        <v>51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51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51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51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51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51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51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51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51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51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51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51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51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51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51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51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51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51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51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51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51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51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51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51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51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51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51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51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51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51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51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51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51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51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51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51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51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51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51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51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51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51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51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51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51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51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51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51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51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51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51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51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51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51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51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51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51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51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51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51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51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51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51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51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51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51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51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51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51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51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51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51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51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51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51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51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51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51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51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51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51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51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51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51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51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51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51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51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51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51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51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51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51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51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51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51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51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51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51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51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51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51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19" t="s">
        <v>51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19" t="s">
        <v>51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19" t="s">
        <v>51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19" t="s">
        <v>51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19" t="s">
        <v>51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19" t="s">
        <v>51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19" t="s">
        <v>51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19" t="s">
        <v>51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19" t="s">
        <v>51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19" t="s">
        <v>51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19" t="s">
        <v>51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19" t="s">
        <v>51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19" t="s">
        <v>51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19" t="s">
        <v>51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19" t="s">
        <v>51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19" t="s">
        <v>51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19" t="s">
        <v>51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19" t="s">
        <v>51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19" t="s">
        <v>51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19" t="s">
        <v>51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19" t="s">
        <v>51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19" t="s">
        <v>51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19" t="s">
        <v>51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19" t="s">
        <v>51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19" t="s">
        <v>51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19" t="s">
        <v>51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19" t="s">
        <v>51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19" t="s">
        <v>51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19" t="s">
        <v>51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19" t="s">
        <v>51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19" t="s">
        <v>51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19" t="s">
        <v>51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19" t="s">
        <v>51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19" t="s">
        <v>51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19" t="s">
        <v>51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19" t="s">
        <v>51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19" t="s">
        <v>51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19" t="s">
        <v>51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19" t="s">
        <v>51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19" t="s">
        <v>51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19" t="s">
        <v>51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19" t="s">
        <v>51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19" t="s">
        <v>51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19" t="s">
        <v>51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19" t="s">
        <v>51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19" t="s">
        <v>51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19" t="s">
        <v>51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782</v>
      </c>
      <c r="C953" s="219" t="s">
        <v>51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783</v>
      </c>
      <c r="C954" s="219" t="s">
        <v>51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784</v>
      </c>
      <c r="C955" s="219" t="s">
        <v>51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51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51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787</v>
      </c>
      <c r="C958" s="219" t="s">
        <v>51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788</v>
      </c>
      <c r="C959" s="219" t="s">
        <v>51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789</v>
      </c>
      <c r="C960" s="219" t="s">
        <v>51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790</v>
      </c>
      <c r="C961" s="219" t="s">
        <v>51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791</v>
      </c>
      <c r="C962" s="219" t="s">
        <v>51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792</v>
      </c>
      <c r="C963" s="219" t="s">
        <v>51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793</v>
      </c>
      <c r="C964" s="219" t="s">
        <v>51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51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795</v>
      </c>
      <c r="C966" s="219" t="s">
        <v>51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796</v>
      </c>
      <c r="C967" s="219" t="s">
        <v>51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797</v>
      </c>
      <c r="C968" s="219" t="s">
        <v>51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798</v>
      </c>
      <c r="C969" s="219" t="s">
        <v>51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799</v>
      </c>
      <c r="C970" s="219" t="s">
        <v>51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800</v>
      </c>
      <c r="C971" s="219" t="s">
        <v>51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801</v>
      </c>
      <c r="C972" s="219" t="s">
        <v>51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19" t="s">
        <v>51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19" t="s">
        <v>51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19" t="s">
        <v>51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19" t="s">
        <v>51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19" t="s">
        <v>51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19" t="s">
        <v>51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19" t="s">
        <v>51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19" t="s">
        <v>51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19" t="s">
        <v>51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19" t="s">
        <v>51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78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812</v>
      </c>
      <c r="C1011" s="160" t="s">
        <v>26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26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26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26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26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26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26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26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26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26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26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26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26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26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26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26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26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26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28</v>
      </c>
      <c r="C1030" s="160" t="s">
        <v>26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830</v>
      </c>
      <c r="C1031" s="160" t="s">
        <v>26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831</v>
      </c>
      <c r="C1032" s="160" t="s">
        <v>26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832</v>
      </c>
      <c r="C1033" s="160" t="s">
        <v>26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26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26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26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26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26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26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26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26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26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26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843</v>
      </c>
      <c r="C1067" s="219" t="s">
        <v>61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9" t="s">
        <v>61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61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9" t="s">
        <v>61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9" t="s">
        <v>61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9" t="s">
        <v>61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849</v>
      </c>
      <c r="C1073" s="219" t="s">
        <v>61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78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1017</v>
      </c>
      <c r="C1273" s="276" t="s">
        <v>851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1023</v>
      </c>
      <c r="C1278" s="276" t="s">
        <v>851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1024</v>
      </c>
      <c r="C1279" s="276" t="s">
        <v>851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1025</v>
      </c>
      <c r="C1280" s="276" t="s">
        <v>851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1028</v>
      </c>
      <c r="C1283" s="276" t="s">
        <v>851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1028</v>
      </c>
      <c r="C1284" s="276" t="s">
        <v>851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1033</v>
      </c>
      <c r="C1288" s="276" t="s">
        <v>851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1034</v>
      </c>
      <c r="C1289" s="276" t="s">
        <v>851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1035</v>
      </c>
      <c r="C1290" s="276" t="s">
        <v>851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78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359</v>
      </c>
      <c r="E1357" s="43"/>
      <c r="F1357" s="98" t="s">
        <v>359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359</v>
      </c>
      <c r="E1358" s="43"/>
      <c r="F1358" s="98" t="s">
        <v>359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1037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1037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216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359</v>
      </c>
      <c r="E1406" s="222"/>
      <c r="F1406" s="293" t="s">
        <v>359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359</v>
      </c>
      <c r="E1407" s="166"/>
      <c r="F1407" s="10" t="s">
        <v>359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359</v>
      </c>
      <c r="E1408" s="166"/>
      <c r="F1408" s="10" t="s">
        <v>359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359</v>
      </c>
      <c r="E1409" s="166"/>
      <c r="F1409" s="10" t="s">
        <v>359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359</v>
      </c>
      <c r="E1413" s="166"/>
      <c r="F1413" s="10" t="s">
        <v>359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359</v>
      </c>
      <c r="E1414" s="166"/>
      <c r="F1414" s="10" t="s">
        <v>359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359</v>
      </c>
      <c r="E1415" s="222"/>
      <c r="F1415" s="10" t="s">
        <v>359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78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1132</v>
      </c>
      <c r="C1428" s="219" t="s">
        <v>36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36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36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36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36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36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36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36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36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36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36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36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36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36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36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36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36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36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36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36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36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36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36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36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36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36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36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36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36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36</v>
      </c>
      <c r="D1457" s="48" t="s">
        <v>1068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36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36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36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36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36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36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36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36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36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36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36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36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36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36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36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36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36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36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36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36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36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36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36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36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36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36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36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36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36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36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36</v>
      </c>
      <c r="D1488" s="48" t="s">
        <v>1068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36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36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36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36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36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36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36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36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36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36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36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36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36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36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9" t="s">
        <v>36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9" t="s">
        <v>36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36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36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36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36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9" t="s">
        <v>36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78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29</v>
      </c>
    </row>
    <row r="3" spans="1:13" outlineLevel="1">
      <c r="A3" s="3" t="s">
        <v>1318</v>
      </c>
      <c r="B3" s="5" t="s">
        <v>216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48</v>
      </c>
    </row>
    <row r="4" spans="1:13" ht="30" outlineLevel="1">
      <c r="A4" s="2" t="s">
        <v>1323</v>
      </c>
      <c r="B4" s="5" t="s">
        <v>307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51</v>
      </c>
    </row>
    <row r="5" spans="1:13" ht="30" outlineLevel="1">
      <c r="A5" s="3" t="s">
        <v>1328</v>
      </c>
      <c r="B5" s="5" t="s">
        <v>1329</v>
      </c>
      <c r="D5" s="269" t="s">
        <v>14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851</v>
      </c>
    </row>
    <row r="6" spans="1:13" outlineLevel="1">
      <c r="A6" s="2" t="s">
        <v>325</v>
      </c>
      <c r="B6" s="5" t="s">
        <v>325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1037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31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26</v>
      </c>
    </row>
    <row r="9" spans="1:13" outlineLevel="1">
      <c r="A9" s="2" t="s">
        <v>1347</v>
      </c>
      <c r="B9" s="5" t="s">
        <v>1201</v>
      </c>
      <c r="F9" s="2" t="s">
        <v>1348</v>
      </c>
      <c r="H9" t="s">
        <v>1349</v>
      </c>
      <c r="I9">
        <v>70323724</v>
      </c>
      <c r="K9" t="s">
        <v>1350</v>
      </c>
      <c r="M9" s="79" t="s">
        <v>61</v>
      </c>
    </row>
    <row r="10" spans="1:13" outlineLevel="1">
      <c r="A10" s="2" t="s">
        <v>1351</v>
      </c>
      <c r="B10" s="5" t="s">
        <v>106</v>
      </c>
      <c r="F10" s="3" t="s">
        <v>1352</v>
      </c>
      <c r="H10" s="24" t="s">
        <v>6</v>
      </c>
      <c r="I10" s="20">
        <v>32142539</v>
      </c>
      <c r="K10" t="s">
        <v>1353</v>
      </c>
      <c r="M10" s="233" t="s">
        <v>122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36</v>
      </c>
    </row>
    <row r="12" spans="1:13" ht="30" outlineLevel="1">
      <c r="A12" s="3" t="s">
        <v>1359</v>
      </c>
      <c r="B12" s="5" t="s">
        <v>1030</v>
      </c>
      <c r="F12" s="302" t="s">
        <v>1360</v>
      </c>
      <c r="H12" s="27" t="s">
        <v>1361</v>
      </c>
      <c r="I12" s="28">
        <v>32184975</v>
      </c>
      <c r="M12" s="233" t="s">
        <v>1218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1228</v>
      </c>
      <c r="H14" s="24" t="s">
        <v>1365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238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359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1221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241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107</v>
      </c>
      <c r="H21" s="21" t="s">
        <v>1380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208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174</v>
      </c>
      <c r="H24" s="21" t="s">
        <v>1385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111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2024-10-24T19:57:28Z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