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0" documentId="13_ncr:1_{B42522B4-5E19-4CE8-BDEB-91DD260EED4B}" xr6:coauthVersionLast="47" xr6:coauthVersionMax="47" xr10:uidLastSave="{00000000-0000-0000-0000-000000000000}"/>
  <bookViews>
    <workbookView xWindow="0" yWindow="7770" windowWidth="28800" windowHeight="783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4764DA5E-A762-4F1F-8F06-8A16EB7AE9E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<sst xmlns="http://schemas.openxmlformats.org/spreadsheetml/2006/main" count="5059" uniqueCount="1393">
  <si>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</si>
  <si>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</si>
  <si>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</si>
  <si>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</si>
  <si>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</si>
  <si>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</si>
  <si>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Narly Cruz Mazo</t>
  </si>
  <si>
    <t>CÉDULA</t>
  </si>
  <si>
    <t>PROGRAMA</t>
  </si>
  <si>
    <t>COMPLEMENTARIO MARROQUINERIA</t>
  </si>
  <si>
    <t>FICHA(#)</t>
  </si>
  <si>
    <t>NOMBRE DEL PRODUCTO</t>
  </si>
  <si>
    <t>consumible proyecto productivo FYA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</si>
  <si>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</si>
  <si>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</si>
  <si>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</si>
  <si>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</si>
  <si>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</si>
  <si>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</si>
  <si>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</si>
  <si>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</si>
  <si>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</si>
  <si>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</si>
  <si>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</si>
  <si>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</si>
  <si>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</si>
  <si>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</si>
  <si>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</si>
  <si>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</si>
  <si>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INSUMOS_COMPL_</t>
  </si>
  <si>
    <t xml:space="preserve">CARTULINA PLANA </t>
  </si>
  <si>
    <t>QUÍMICOS</t>
  </si>
  <si>
    <t>Limpiador para acabados</t>
  </si>
  <si>
    <t>ADHESIVOS_Solventes</t>
  </si>
  <si>
    <t xml:space="preserve">PEGANTE CEMENTO DE CONTACTO BASE CLOROPRENO
</t>
  </si>
  <si>
    <t>SECUNDARIO_MEDULAR</t>
  </si>
  <si>
    <t>lAMBRILLA 3 mm ( EVA)</t>
  </si>
  <si>
    <t>HILO TERLENKA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</si>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</sst>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7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23</xdr:col>
      <xdr:colOff>324401</xdr:colOff>
      <xdr:row>7</xdr:row>
      <xdr:rowOff>16565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8AACC7D-307F-49A8-A5BC-0FEC2519F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2444749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K5" sqref="K5:L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NC1205-1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45058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1037584367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2487565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19215.998499339497</v>
      </c>
      <c r="E5" s="367"/>
      <c r="F5" s="368"/>
      <c r="G5" s="351" t="s">
        <v>16</v>
      </c>
      <c r="H5" s="369"/>
      <c r="I5" s="369"/>
      <c r="J5" s="352"/>
      <c r="K5" s="325">
        <v>12</v>
      </c>
      <c r="L5" s="325"/>
      <c r="M5" s="326" t="s">
        <v>17</v>
      </c>
      <c r="N5" s="326"/>
      <c r="O5" s="379">
        <f ca="1">IFERROR(IF(K5=0,"",D5*K5),"")</f>
        <v>230591.98199207397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8.3333333333333329E-2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10000</v>
      </c>
      <c r="R10" s="314"/>
      <c r="S10" s="315">
        <f>IFERROR(IF(Q10="Unidad","1",(Q10*$K$5)),"")</f>
        <v>120000</v>
      </c>
      <c r="T10" s="316"/>
      <c r="U10" s="317"/>
      <c r="V10" s="323"/>
      <c r="W10" s="318">
        <f ca="1">IFERROR(IF(D10="","",INDEX(Tabla_Completa,MATCH('Soli_citud '!D10,Materiales,0),7)*S10),"")</f>
        <v>82536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10000</v>
      </c>
      <c r="R11" s="314"/>
      <c r="S11" s="315">
        <f t="shared" ref="S11:S31" si="1">IFERROR(IF(Q11="Unidad","1",(Q11*$K$5)),"")</f>
        <v>120000</v>
      </c>
      <c r="T11" s="316"/>
      <c r="U11" s="317"/>
      <c r="V11" s="317"/>
      <c r="W11" s="318">
        <f ca="1">IFERROR(IF(D11="","",INDEX(Tabla_Completa,MATCH('Soli_citud '!D11,Materiales,0),7)*S11),"")</f>
        <v>28400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Pliego</v>
      </c>
      <c r="P12" s="312"/>
      <c r="Q12" s="313">
        <v>2</v>
      </c>
      <c r="R12" s="314"/>
      <c r="S12" s="315">
        <f t="shared" si="1"/>
        <v>24</v>
      </c>
      <c r="T12" s="316"/>
      <c r="U12" s="317"/>
      <c r="V12" s="317"/>
      <c r="W12" s="318">
        <f ca="1">IFERROR(IF(D12="","",INDEX(Tabla_Completa,MATCH('Soli_citud '!D12,Materiales,0),7)*S12),"")</f>
        <v>37995.68</v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gal</v>
      </c>
      <c r="P13" s="312"/>
      <c r="Q13" s="313">
        <v>250</v>
      </c>
      <c r="R13" s="314"/>
      <c r="S13" s="315">
        <f t="shared" si="1"/>
        <v>3000</v>
      </c>
      <c r="T13" s="316"/>
      <c r="U13" s="317"/>
      <c r="V13" s="317"/>
      <c r="W13" s="318">
        <f ca="1">IFERROR(IF(D13="","",INDEX(Tabla_Completa,MATCH('Soli_citud '!D13,Materiales,0),7)*S13),"")</f>
        <v>0</v>
      </c>
      <c r="X13" s="318"/>
      <c r="Y13" s="318"/>
    </row>
    <row r="14" spans="1:28" ht="17.25" customHeight="1">
      <c r="A14" s="305" t="s">
        <v>33</v>
      </c>
      <c r="B14" s="306"/>
      <c r="C14" s="307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ml</v>
      </c>
      <c r="P14" s="312"/>
      <c r="Q14" s="313">
        <v>250</v>
      </c>
      <c r="R14" s="314"/>
      <c r="S14" s="315">
        <f t="shared" si="1"/>
        <v>3000</v>
      </c>
      <c r="T14" s="316"/>
      <c r="U14" s="317"/>
      <c r="V14" s="317"/>
      <c r="W14" s="318">
        <f ca="1">IFERROR(IF(D14="","",INDEX(Tabla_Completa,MATCH('Soli_citud '!D14,Materiales,0),7)*S14),"")</f>
        <v>52397.357992073972</v>
      </c>
      <c r="X14" s="318"/>
      <c r="Y14" s="318"/>
    </row>
    <row r="15" spans="1:28" ht="15.75" customHeight="1">
      <c r="A15" s="305" t="s">
        <v>35</v>
      </c>
      <c r="B15" s="306"/>
      <c r="C15" s="307"/>
      <c r="D15" s="319" t="s">
        <v>36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cm2</v>
      </c>
      <c r="P15" s="312"/>
      <c r="Q15" s="313">
        <v>1960</v>
      </c>
      <c r="R15" s="314"/>
      <c r="S15" s="315">
        <f t="shared" si="1"/>
        <v>23520</v>
      </c>
      <c r="T15" s="316"/>
      <c r="U15" s="317"/>
      <c r="V15" s="317"/>
      <c r="W15" s="318">
        <f ca="1">IFERROR(IF(D15="","",INDEX(Tabla_Completa,MATCH('Soli_citud '!D15,Materiales,0),7)*S15),"")</f>
        <v>11262.944</v>
      </c>
      <c r="X15" s="318"/>
      <c r="Y15" s="318"/>
    </row>
    <row r="16" spans="1:28" ht="15.75" customHeight="1">
      <c r="A16" s="305" t="s">
        <v>29</v>
      </c>
      <c r="B16" s="306"/>
      <c r="C16" s="307"/>
      <c r="D16" s="319" t="s">
        <v>37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Cono</v>
      </c>
      <c r="P16" s="312"/>
      <c r="Q16" s="313">
        <v>0.3</v>
      </c>
      <c r="R16" s="314"/>
      <c r="S16" s="315">
        <f t="shared" si="1"/>
        <v>3.5999999999999996</v>
      </c>
      <c r="T16" s="316"/>
      <c r="U16" s="317"/>
      <c r="V16" s="317"/>
      <c r="W16" s="318">
        <f ca="1">IFERROR(IF(D16="","",INDEX(Tabla_Completa,MATCH('Soli_citud '!D16,Materiales,0),7)*S16),"")</f>
        <v>18000</v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38</v>
      </c>
      <c r="B39" s="399"/>
      <c r="C39" s="399"/>
      <c r="D39" s="400" t="s">
        <v>39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40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41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42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33</v>
      </c>
      <c r="O44" s="389"/>
      <c r="P44" s="389"/>
      <c r="Q44" s="389"/>
      <c r="R44" s="395" t="s">
        <v>43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44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45</v>
      </c>
      <c r="O45" s="389"/>
      <c r="P45" s="389"/>
      <c r="Q45" s="389"/>
      <c r="R45" s="396" t="s">
        <v>46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47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48</v>
      </c>
      <c r="O46" s="389"/>
      <c r="P46" s="389"/>
      <c r="Q46" s="389"/>
      <c r="R46" s="388" t="s">
        <v>49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50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51</v>
      </c>
      <c r="O47" s="389"/>
      <c r="P47" s="389"/>
      <c r="Q47" s="389"/>
      <c r="R47" s="388" t="s">
        <v>52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54</v>
      </c>
      <c r="O48" s="389"/>
      <c r="P48" s="389"/>
      <c r="Q48" s="389"/>
      <c r="R48" s="388" t="s">
        <v>55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57</v>
      </c>
      <c r="O49" s="390"/>
      <c r="P49" s="390"/>
      <c r="Q49" s="390"/>
      <c r="R49" s="396" t="s">
        <v>58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59</v>
      </c>
      <c r="O50" s="389"/>
      <c r="P50" s="389"/>
      <c r="Q50" s="389"/>
      <c r="R50" s="388" t="s">
        <v>60</v>
      </c>
      <c r="S50" s="388"/>
      <c r="T50" s="388"/>
      <c r="U50" s="388"/>
      <c r="V50" s="388"/>
      <c r="W50" s="388"/>
      <c r="X50" s="388"/>
    </row>
    <row r="51" spans="1:24" ht="15.75">
      <c r="N51" s="389" t="s">
        <v>26</v>
      </c>
      <c r="O51" s="389"/>
      <c r="P51" s="389"/>
      <c r="Q51" s="389"/>
      <c r="R51" s="388" t="s">
        <v>61</v>
      </c>
      <c r="S51" s="388"/>
      <c r="T51" s="388"/>
      <c r="U51" s="388"/>
      <c r="V51" s="388"/>
      <c r="W51" s="388"/>
      <c r="X51" s="388"/>
    </row>
    <row r="52" spans="1:24" ht="15.75">
      <c r="N52" s="389" t="s">
        <v>62</v>
      </c>
      <c r="O52" s="389"/>
      <c r="P52" s="389"/>
      <c r="Q52" s="389"/>
      <c r="R52" s="388" t="s">
        <v>52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7:Q33 D19:D33">
    <cfRule type="containsBlanks" dxfId="196" priority="23">
      <formula>LEN(TRIM(D17))=0</formula>
    </cfRule>
  </conditionalFormatting>
  <conditionalFormatting sqref="O1">
    <cfRule type="containsBlanks" dxfId="195" priority="22">
      <formula>LEN(TRIM(O1))=0</formula>
    </cfRule>
  </conditionalFormatting>
  <conditionalFormatting sqref="K5:L5">
    <cfRule type="containsBlanks" dxfId="194" priority="21">
      <formula>LEN(TRIM(K5))=0</formula>
    </cfRule>
  </conditionalFormatting>
  <conditionalFormatting sqref="O3">
    <cfRule type="containsBlanks" dxfId="193" priority="20">
      <formula>LEN(TRIM(O3))=0</formula>
    </cfRule>
  </conditionalFormatting>
  <conditionalFormatting sqref="O10:P33">
    <cfRule type="containsBlanks" dxfId="192" priority="19">
      <formula>LEN(TRIM(O10))=0</formula>
    </cfRule>
  </conditionalFormatting>
  <conditionalFormatting sqref="D4:K4">
    <cfRule type="containsBlanks" dxfId="191" priority="18">
      <formula>LEN(TRIM(D4))=0</formula>
    </cfRule>
  </conditionalFormatting>
  <conditionalFormatting sqref="A17:C33">
    <cfRule type="containsText" dxfId="190" priority="12" operator="containsText" text="Auxiliares">
      <formula>NOT(ISERROR(SEARCH("Auxiliares",A17)))</formula>
    </cfRule>
    <cfRule type="containsText" dxfId="189" priority="13" operator="containsText" text="Terminación">
      <formula>NOT(ISERROR(SEARCH("Terminación",A17)))</formula>
    </cfRule>
    <cfRule type="containsText" dxfId="188" priority="14" operator="containsText" text="Montaje y Ensuelado">
      <formula>NOT(ISERROR(SEARCH("Montaje y Ensuelado",A17)))</formula>
    </cfRule>
    <cfRule type="containsText" dxfId="187" priority="15" operator="containsText" text="Costura">
      <formula>NOT(ISERROR(SEARCH("Costura",A17)))</formula>
    </cfRule>
    <cfRule type="containsText" dxfId="186" priority="16" operator="containsText" text="Armado">
      <formula>NOT(ISERROR(SEARCH("Armado",A17)))</formula>
    </cfRule>
    <cfRule type="containsText" dxfId="185" priority="17" operator="containsText" text="Corte">
      <formula>NOT(ISERROR(SEARCH("Corte",A17)))</formula>
    </cfRule>
  </conditionalFormatting>
  <conditionalFormatting sqref="D17:D18">
    <cfRule type="containsBlanks" dxfId="184" priority="9">
      <formula>LEN(TRIM(D17))=0</formula>
    </cfRule>
  </conditionalFormatting>
  <conditionalFormatting sqref="A10 A11:C16">
    <cfRule type="containsText" dxfId="183" priority="3" operator="containsText" text="Auxiliares">
      <formula>NOT(ISERROR(SEARCH("Auxiliares",A10)))</formula>
    </cfRule>
    <cfRule type="containsText" dxfId="182" priority="4" operator="containsText" text="Terminación">
      <formula>NOT(ISERROR(SEARCH("Terminación",A10)))</formula>
    </cfRule>
    <cfRule type="containsText" dxfId="181" priority="5" operator="containsText" text="Montaje y Ensuelado">
      <formula>NOT(ISERROR(SEARCH("Montaje y Ensuelado",A10)))</formula>
    </cfRule>
    <cfRule type="containsText" dxfId="180" priority="6" operator="containsText" text="Costura">
      <formula>NOT(ISERROR(SEARCH("Costura",A10)))</formula>
    </cfRule>
    <cfRule type="containsText" dxfId="179" priority="7" operator="containsText" text="Armado">
      <formula>NOT(ISERROR(SEARCH("Armado",A10)))</formula>
    </cfRule>
    <cfRule type="containsText" dxfId="178" priority="8" operator="containsText" text="Corte">
      <formula>NOT(ISERROR(SEARCH("Corte",A10)))</formula>
    </cfRule>
  </conditionalFormatting>
  <conditionalFormatting sqref="D10:D16">
    <cfRule type="containsBlanks" dxfId="177" priority="2">
      <formula>LEN(TRIM(D10))=0</formula>
    </cfRule>
  </conditionalFormatting>
  <conditionalFormatting sqref="Q10:Q16">
    <cfRule type="containsBlanks" dxfId="176" priority="1">
      <formula>LEN(TRIM(Q10))=0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L15" sqref="L15:M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63</v>
      </c>
      <c r="E1" s="472"/>
      <c r="F1" s="472"/>
      <c r="G1" s="472"/>
      <c r="H1" s="472"/>
      <c r="I1" s="472"/>
      <c r="J1" s="477" t="s">
        <v>64</v>
      </c>
      <c r="K1" s="478"/>
      <c r="L1" s="478"/>
      <c r="M1" s="479"/>
      <c r="N1" s="473">
        <f>IF('Soli_citud '!O1="","",'Soli_citud '!O1)</f>
        <v>45058</v>
      </c>
      <c r="O1" s="474"/>
      <c r="P1" s="407" t="s">
        <v>65</v>
      </c>
      <c r="Q1" s="408"/>
      <c r="R1" s="403" t="str">
        <f>IF('Soli_citud '!D4="","",'Soli_citud '!D4)</f>
        <v>consumible proyecto productivo FYA</v>
      </c>
      <c r="S1" s="404"/>
      <c r="Z1" t="s">
        <v>66</v>
      </c>
      <c r="AA1" s="252" t="s">
        <v>66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67</v>
      </c>
      <c r="K2" s="455"/>
      <c r="L2" s="455"/>
      <c r="M2" s="456"/>
      <c r="N2" s="475" t="str">
        <f>'Soli_citud '!F1</f>
        <v>NC1205-1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68</v>
      </c>
      <c r="K3" s="476"/>
      <c r="L3" s="476"/>
      <c r="M3" s="476"/>
      <c r="N3" s="463">
        <f>IF('Soli_citud '!O3="","",'Soli_citud '!O3)</f>
        <v>2487565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69</v>
      </c>
      <c r="K4" s="468"/>
      <c r="L4" s="468"/>
      <c r="M4" s="469" t="str">
        <f>IF('Soli_citud '!O4="","",'Soli_citud '!O4)</f>
        <v>Calzado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70</v>
      </c>
      <c r="C6" s="449"/>
      <c r="D6" s="450"/>
      <c r="E6" s="465" t="s">
        <v>71</v>
      </c>
      <c r="F6" s="465"/>
      <c r="G6" s="465"/>
      <c r="H6" s="465"/>
      <c r="I6" s="466"/>
      <c r="J6" s="439" t="s">
        <v>72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19215.998499339497</v>
      </c>
      <c r="C8" s="427"/>
      <c r="D8" s="428"/>
      <c r="E8" s="445" t="s">
        <v>73</v>
      </c>
      <c r="F8" s="446"/>
      <c r="G8" s="446"/>
      <c r="H8" s="446"/>
      <c r="I8" s="447"/>
      <c r="J8" s="441" t="str">
        <f>IF('Soli_citud '!E2="","",'Soli_citud '!E2)</f>
        <v>Narly Cruz Mazo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74</v>
      </c>
      <c r="C9" s="430"/>
      <c r="D9" s="422"/>
      <c r="E9" s="421" t="s">
        <v>75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76</v>
      </c>
      <c r="K10" s="461"/>
      <c r="L10" s="462"/>
      <c r="M10" s="242">
        <f>'Soli_citud '!K5</f>
        <v>12</v>
      </c>
      <c r="N10" s="443" t="s">
        <v>77</v>
      </c>
      <c r="O10" s="444"/>
      <c r="P10" s="411"/>
      <c r="Q10" s="412"/>
      <c r="R10" s="243" t="s">
        <v>78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4" t="s">
        <v>80</v>
      </c>
      <c r="C11" s="423" t="s">
        <v>81</v>
      </c>
      <c r="D11" s="424"/>
      <c r="E11" s="424"/>
      <c r="F11" s="425"/>
      <c r="G11" s="112" t="s">
        <v>82</v>
      </c>
      <c r="H11" s="112" t="s">
        <v>83</v>
      </c>
      <c r="I11" s="237" t="s">
        <v>84</v>
      </c>
      <c r="J11" s="110" t="s">
        <v>85</v>
      </c>
      <c r="K11" s="223" t="s">
        <v>86</v>
      </c>
      <c r="L11" s="459" t="s">
        <v>24</v>
      </c>
      <c r="M11" s="460"/>
      <c r="N11" s="240" t="s">
        <v>87</v>
      </c>
      <c r="O11" s="240" t="s">
        <v>88</v>
      </c>
      <c r="P11" s="244" t="s">
        <v>89</v>
      </c>
      <c r="Q11" s="245" t="s">
        <v>90</v>
      </c>
      <c r="R11" s="236" t="s">
        <v>91</v>
      </c>
      <c r="S11" s="224" t="s">
        <v>92</v>
      </c>
    </row>
    <row r="12" spans="1:27" ht="19.5" customHeight="1">
      <c r="A12" s="78">
        <v>1</v>
      </c>
      <c r="B12" s="265" t="str">
        <f>IF(H12="","",$N$2)</f>
        <v>NC1205-1</v>
      </c>
      <c r="C12" s="420" t="str">
        <f>IFERROR(IF('Soli_citud '!D10="","",'Soli_citud '!D10),"")</f>
        <v>INTERLON</v>
      </c>
      <c r="D12" s="420"/>
      <c r="E12" s="420"/>
      <c r="F12" s="420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120000</v>
      </c>
      <c r="I12" s="227"/>
      <c r="J12" s="228">
        <v>120000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NC1205-1</v>
      </c>
      <c r="C13" s="420" t="str">
        <f>IFERROR(IF('Soli_citud '!D11="","",'Soli_citud '!D11),"")</f>
        <v>POLITEX-KAMBREL 100 GR</v>
      </c>
      <c r="D13" s="420"/>
      <c r="E13" s="420"/>
      <c r="F13" s="420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120000</v>
      </c>
      <c r="I13" s="227"/>
      <c r="J13" s="229">
        <v>120000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NC1205-1</v>
      </c>
      <c r="C14" s="420" t="str">
        <f>IFERROR(IF('Soli_citud '!D12="","",'Soli_citud '!D12),"")</f>
        <v xml:space="preserve">CARTULINA PLANA </v>
      </c>
      <c r="D14" s="420"/>
      <c r="E14" s="420"/>
      <c r="F14" s="420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24</v>
      </c>
      <c r="I14" s="230"/>
      <c r="J14" s="229">
        <v>24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NC1205-1</v>
      </c>
      <c r="C15" s="420" t="str">
        <f>IFERROR(IF('Soli_citud '!D13="","",'Soli_citud '!D13),"")</f>
        <v>Limpiador para acabados</v>
      </c>
      <c r="D15" s="420"/>
      <c r="E15" s="420"/>
      <c r="F15" s="420"/>
      <c r="G15" s="226" t="str">
        <f ca="1">IF('Soli_citud '!O13="","",'Soli_citud '!O13)</f>
        <v>gal</v>
      </c>
      <c r="H15" s="226" cm="1">
        <f t="array" ref="H15">_xlfn.IFS('Soli_citud '!S13="","",'Soli_citud '!S13&lt;=0,"",'Soli_citud '!S13&gt;0,'Soli_citud '!S13)</f>
        <v>3000</v>
      </c>
      <c r="I15" s="230"/>
      <c r="J15" s="229">
        <v>3000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NC1205-1</v>
      </c>
      <c r="C16" s="420" t="str">
        <f>IFERROR(IF('Soli_citud '!D14="","",'Soli_citud '!D14),"")</f>
        <v xml:space="preserve">PEGANTE CEMENTO DE CONTACTO BASE CLOROPRENO
</v>
      </c>
      <c r="D16" s="420"/>
      <c r="E16" s="420"/>
      <c r="F16" s="420"/>
      <c r="G16" s="226" t="str">
        <f ca="1">IF('Soli_citud '!O14="","",'Soli_citud '!O14)</f>
        <v>ml</v>
      </c>
      <c r="H16" s="226" cm="1">
        <f t="array" ref="H16">_xlfn.IFS('Soli_citud '!S14="","",'Soli_citud '!S14&lt;=0,"",'Soli_citud '!S14&gt;0,'Soli_citud '!S14)</f>
        <v>3000</v>
      </c>
      <c r="I16" s="230"/>
      <c r="J16" s="229">
        <v>3000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NC1205-1</v>
      </c>
      <c r="C17" s="420" t="str">
        <f>IFERROR(IF('Soli_citud '!D15="","",'Soli_citud '!D15),"")</f>
        <v>lAMBRILLA 3 mm ( EVA)</v>
      </c>
      <c r="D17" s="420"/>
      <c r="E17" s="420"/>
      <c r="F17" s="420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23520</v>
      </c>
      <c r="I17" s="230"/>
      <c r="J17" s="229">
        <v>23520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NC1205-1</v>
      </c>
      <c r="C18" s="420" t="str">
        <f>IFERROR(IF('Soli_citud '!D16="","",'Soli_citud '!D16),"")</f>
        <v>HILO TERLENKA</v>
      </c>
      <c r="D18" s="420"/>
      <c r="E18" s="420"/>
      <c r="F18" s="420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3.5999999999999996</v>
      </c>
      <c r="I18" s="230"/>
      <c r="J18" s="229">
        <v>3.5999999999999996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93</v>
      </c>
      <c r="F1" s="486"/>
      <c r="Z1" s="252" t="s">
        <v>66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94</v>
      </c>
      <c r="B6" s="304">
        <f>SUBTOTAL(3,(BD!$B$8:$B$20))</f>
        <v>13</v>
      </c>
      <c r="C6" s="482"/>
      <c r="D6" s="483"/>
      <c r="H6" s="480" t="s">
        <v>95</v>
      </c>
      <c r="I6" s="480"/>
    </row>
    <row r="7" spans="1:26" ht="47.25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33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33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33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33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33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33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33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34</v>
      </c>
      <c r="C15" s="140" t="s">
        <v>33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33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33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33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33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33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236</v>
      </c>
      <c r="C162" s="219" t="s">
        <v>35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35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35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35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35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35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35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35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35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35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35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35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35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35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35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35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35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35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35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35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35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35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35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35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35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35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35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35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35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35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35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35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35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35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35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35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35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35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35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35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35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35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35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35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35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35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35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35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35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35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35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35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35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35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35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35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35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35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35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35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35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35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35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35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35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35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9" t="s">
        <v>35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9" t="s">
        <v>35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309</v>
      </c>
      <c r="C230" s="219" t="s">
        <v>35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9" t="s">
        <v>35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35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35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35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35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35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35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35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9" t="s">
        <v>35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35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35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35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35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35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35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35</v>
      </c>
      <c r="D246" s="48" t="s">
        <v>241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35</v>
      </c>
      <c r="D247" s="48" t="s">
        <v>240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35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35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35</v>
      </c>
      <c r="D250" s="277" t="s">
        <v>112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37</v>
      </c>
      <c r="C251" s="276" t="s">
        <v>35</v>
      </c>
      <c r="D251" s="277" t="s">
        <v>240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36</v>
      </c>
      <c r="C252" s="276" t="s">
        <v>35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35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35</v>
      </c>
      <c r="D254" s="277" t="s">
        <v>112</v>
      </c>
      <c r="E254" s="141">
        <v>2866.6666666666665</v>
      </c>
      <c r="F254" s="278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35</v>
      </c>
      <c r="D255" s="277" t="s">
        <v>112</v>
      </c>
      <c r="E255" s="141">
        <v>2866.6666666666665</v>
      </c>
      <c r="F255" s="278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35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35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35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35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35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35</v>
      </c>
      <c r="D261" s="277" t="s">
        <v>206</v>
      </c>
      <c r="E261" s="141">
        <v>636792</v>
      </c>
      <c r="F261" s="278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35</v>
      </c>
      <c r="D262" s="277" t="s">
        <v>307</v>
      </c>
      <c r="E262" s="141">
        <v>28.18</v>
      </c>
      <c r="F262" s="278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35</v>
      </c>
      <c r="D263" s="277" t="s">
        <v>307</v>
      </c>
      <c r="E263" s="141">
        <v>2700</v>
      </c>
      <c r="F263" s="278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35</v>
      </c>
      <c r="D264" s="277" t="s">
        <v>307</v>
      </c>
      <c r="E264" s="141">
        <v>18.53</v>
      </c>
      <c r="F264" s="278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35</v>
      </c>
      <c r="D265" s="277" t="s">
        <v>241</v>
      </c>
      <c r="E265" s="141">
        <v>1800</v>
      </c>
      <c r="F265" s="278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35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35</v>
      </c>
      <c r="D267" s="277" t="s">
        <v>307</v>
      </c>
      <c r="E267" s="141">
        <v>18.53</v>
      </c>
      <c r="F267" s="278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35</v>
      </c>
      <c r="D268" s="277" t="s">
        <v>307</v>
      </c>
      <c r="E268" s="141">
        <v>22.8</v>
      </c>
      <c r="F268" s="278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35</v>
      </c>
      <c r="D269" s="277" t="s">
        <v>307</v>
      </c>
      <c r="E269" s="141">
        <v>22.8</v>
      </c>
      <c r="F269" s="278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35</v>
      </c>
      <c r="D270" s="277" t="s">
        <v>307</v>
      </c>
      <c r="E270" s="141">
        <v>14.73</v>
      </c>
      <c r="F270" s="278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35</v>
      </c>
      <c r="D271" s="277" t="s">
        <v>307</v>
      </c>
      <c r="E271" s="141">
        <v>14.73</v>
      </c>
      <c r="F271" s="278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35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35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35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35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35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35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35</v>
      </c>
      <c r="D278" s="277" t="s">
        <v>238</v>
      </c>
      <c r="E278" s="141"/>
      <c r="F278" s="278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35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35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35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35</v>
      </c>
      <c r="D282" s="277" t="s">
        <v>216</v>
      </c>
      <c r="E282" s="141">
        <v>4776.666666666667</v>
      </c>
      <c r="F282" s="278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35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35</v>
      </c>
      <c r="D284" s="277" t="s">
        <v>240</v>
      </c>
      <c r="E284" s="141">
        <v>700</v>
      </c>
      <c r="F284" s="278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35</v>
      </c>
      <c r="D285" s="277" t="s">
        <v>240</v>
      </c>
      <c r="E285" s="141">
        <v>1100</v>
      </c>
      <c r="F285" s="278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35</v>
      </c>
      <c r="D286" s="277" t="s">
        <v>307</v>
      </c>
      <c r="E286" s="141">
        <v>1000</v>
      </c>
      <c r="F286" s="278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35</v>
      </c>
      <c r="D287" s="277" t="s">
        <v>241</v>
      </c>
      <c r="E287" s="141">
        <v>700</v>
      </c>
      <c r="F287" s="278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35</v>
      </c>
      <c r="D288" s="48" t="s">
        <v>241</v>
      </c>
      <c r="E288" s="166">
        <v>84</v>
      </c>
      <c r="F288" s="278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35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369</v>
      </c>
      <c r="C516" s="219" t="s">
        <v>48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48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48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48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48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48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48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48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48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48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48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48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48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48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48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48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48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48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48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48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48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48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48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94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2" t="s">
        <v>393</v>
      </c>
      <c r="C562" s="219" t="s">
        <v>51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51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51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51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51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51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51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51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51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51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51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51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51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51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51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51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51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51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51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51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51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51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51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51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51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51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51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51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51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51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51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51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51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51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51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51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51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51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51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51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51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51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51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51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51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51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51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51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51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51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51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51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51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51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51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51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51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51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51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51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51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51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51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51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51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51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51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51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51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51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51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51</v>
      </c>
      <c r="D633" s="48" t="s">
        <v>112</v>
      </c>
      <c r="E633" s="55">
        <v>1000</v>
      </c>
      <c r="F633" s="194" t="s">
        <v>112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51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51</v>
      </c>
      <c r="D635" s="48" t="s">
        <v>112</v>
      </c>
      <c r="E635" s="55">
        <v>6957.9299999999994</v>
      </c>
      <c r="F635" s="194" t="s">
        <v>112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51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51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51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51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51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51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51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51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51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51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51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51</v>
      </c>
      <c r="D647" s="48" t="s">
        <v>112</v>
      </c>
      <c r="E647" s="43">
        <v>3700</v>
      </c>
      <c r="F647" s="188" t="s">
        <v>112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51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51</v>
      </c>
      <c r="D649" s="48" t="s">
        <v>112</v>
      </c>
      <c r="E649" s="55">
        <v>1200</v>
      </c>
      <c r="F649" s="194" t="s">
        <v>112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51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51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51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51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51</v>
      </c>
      <c r="D654" s="48" t="s">
        <v>112</v>
      </c>
      <c r="E654" s="55">
        <v>873.94</v>
      </c>
      <c r="F654" s="194" t="s">
        <v>112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51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51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51</v>
      </c>
      <c r="D657" s="48" t="s">
        <v>112</v>
      </c>
      <c r="E657" s="55">
        <v>1173.3399999999999</v>
      </c>
      <c r="F657" s="194" t="s">
        <v>112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51</v>
      </c>
      <c r="D658" s="48" t="s">
        <v>112</v>
      </c>
      <c r="E658" s="55">
        <v>998.41</v>
      </c>
      <c r="F658" s="194" t="s">
        <v>112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51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51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51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51</v>
      </c>
      <c r="D662" s="48" t="s">
        <v>112</v>
      </c>
      <c r="E662" s="55">
        <v>1173.3399999999999</v>
      </c>
      <c r="F662" s="194" t="s">
        <v>112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51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51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51</v>
      </c>
      <c r="D665" s="48" t="s">
        <v>112</v>
      </c>
      <c r="E665" s="55">
        <v>1173.3399999999999</v>
      </c>
      <c r="F665" s="194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51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51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51</v>
      </c>
      <c r="D668" s="48" t="s">
        <v>112</v>
      </c>
      <c r="E668" s="55">
        <v>1018.64</v>
      </c>
      <c r="F668" s="194" t="s">
        <v>112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51</v>
      </c>
      <c r="D669" s="48" t="s">
        <v>112</v>
      </c>
      <c r="E669" s="55">
        <v>1173.3399999999999</v>
      </c>
      <c r="F669" s="194" t="s">
        <v>112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51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51</v>
      </c>
      <c r="D671" s="48" t="s">
        <v>112</v>
      </c>
      <c r="E671" s="55">
        <v>1018.64</v>
      </c>
      <c r="F671" s="194" t="s">
        <v>112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51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51</v>
      </c>
      <c r="D673" s="48" t="s">
        <v>112</v>
      </c>
      <c r="E673" s="55">
        <v>2746.52</v>
      </c>
      <c r="F673" s="194" t="s">
        <v>112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51</v>
      </c>
      <c r="D674" s="48" t="s">
        <v>112</v>
      </c>
      <c r="E674" s="55">
        <v>1173.3399999999999</v>
      </c>
      <c r="F674" s="194" t="s">
        <v>112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51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51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51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51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51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51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51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51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51</v>
      </c>
      <c r="D683" s="48" t="s">
        <v>112</v>
      </c>
      <c r="E683" s="55">
        <v>2563</v>
      </c>
      <c r="F683" s="188" t="s">
        <v>112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51</v>
      </c>
      <c r="D684" s="48" t="s">
        <v>112</v>
      </c>
      <c r="E684" s="43">
        <v>2364.5299999999997</v>
      </c>
      <c r="F684" s="188" t="s">
        <v>112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51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51</v>
      </c>
      <c r="D686" s="48" t="s">
        <v>112</v>
      </c>
      <c r="E686" s="43">
        <v>2563</v>
      </c>
      <c r="F686" s="188" t="s">
        <v>112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51</v>
      </c>
      <c r="D687" s="48" t="s">
        <v>112</v>
      </c>
      <c r="E687" s="55">
        <v>2563</v>
      </c>
      <c r="F687" s="194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51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51</v>
      </c>
      <c r="D689" s="48" t="s">
        <v>112</v>
      </c>
      <c r="E689" s="43">
        <v>2440.69</v>
      </c>
      <c r="F689" s="188" t="s">
        <v>112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51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51</v>
      </c>
      <c r="D691" s="48" t="s">
        <v>112</v>
      </c>
      <c r="E691" s="55">
        <v>873.94</v>
      </c>
      <c r="F691" s="194" t="s">
        <v>112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51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51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51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51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51</v>
      </c>
      <c r="D696" s="48" t="s">
        <v>112</v>
      </c>
      <c r="E696" s="55">
        <v>1547</v>
      </c>
      <c r="F696" s="194" t="s">
        <v>112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51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51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51</v>
      </c>
      <c r="D699" s="48" t="s">
        <v>112</v>
      </c>
      <c r="E699" s="55">
        <v>1850</v>
      </c>
      <c r="F699" s="194" t="s">
        <v>112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51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51</v>
      </c>
      <c r="D701" s="48" t="s">
        <v>112</v>
      </c>
      <c r="E701" s="55">
        <v>4799.2700000000004</v>
      </c>
      <c r="F701" s="194" t="s">
        <v>112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51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51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51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51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51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51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51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51</v>
      </c>
      <c r="D709" s="48" t="s">
        <v>112</v>
      </c>
      <c r="E709" s="55">
        <v>1000</v>
      </c>
      <c r="F709" s="194" t="s">
        <v>112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51</v>
      </c>
      <c r="D710" s="48" t="s">
        <v>112</v>
      </c>
      <c r="E710" s="55">
        <v>8973.7900000000009</v>
      </c>
      <c r="F710" s="194" t="s">
        <v>112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51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51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51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51</v>
      </c>
      <c r="D714" s="48" t="s">
        <v>112</v>
      </c>
      <c r="E714" s="55">
        <v>3844.89</v>
      </c>
      <c r="F714" s="194" t="s">
        <v>112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51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51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51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51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51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51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51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51</v>
      </c>
      <c r="D722" s="48" t="s">
        <v>112</v>
      </c>
      <c r="E722" s="55">
        <v>1661.24</v>
      </c>
      <c r="F722" s="194" t="s">
        <v>112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51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51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51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51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51</v>
      </c>
      <c r="D727" s="48" t="s">
        <v>112</v>
      </c>
      <c r="E727" s="55">
        <v>690.75</v>
      </c>
      <c r="F727" s="194" t="s">
        <v>112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51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51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51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51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51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51</v>
      </c>
      <c r="D733" s="48" t="s">
        <v>112</v>
      </c>
      <c r="E733" s="43">
        <v>690.75</v>
      </c>
      <c r="F733" s="188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51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51</v>
      </c>
      <c r="D735" s="48" t="s">
        <v>112</v>
      </c>
      <c r="E735" s="55">
        <v>690.75</v>
      </c>
      <c r="F735" s="194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51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51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51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51</v>
      </c>
      <c r="D739" s="48" t="s">
        <v>112</v>
      </c>
      <c r="E739" s="43">
        <v>690.75</v>
      </c>
      <c r="F739" s="188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51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51</v>
      </c>
      <c r="D741" s="48" t="s">
        <v>112</v>
      </c>
      <c r="E741" s="55">
        <v>690.75</v>
      </c>
      <c r="F741" s="194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51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51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51</v>
      </c>
      <c r="D744" s="48" t="s">
        <v>112</v>
      </c>
      <c r="E744" s="43">
        <v>690.75</v>
      </c>
      <c r="F744" s="188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51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51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51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51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51</v>
      </c>
      <c r="D749" s="48" t="s">
        <v>112</v>
      </c>
      <c r="E749" s="43">
        <v>690.75</v>
      </c>
      <c r="F749" s="188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51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51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51</v>
      </c>
      <c r="D752" s="48" t="s">
        <v>112</v>
      </c>
      <c r="E752" s="55">
        <v>3850</v>
      </c>
      <c r="F752" s="194" t="s">
        <v>112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51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51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51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51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51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51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51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51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51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51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51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51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9" t="s">
        <v>51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51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51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51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51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51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51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51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51</v>
      </c>
      <c r="D773" s="48" t="s">
        <v>112</v>
      </c>
      <c r="E773" s="55">
        <v>8973.7900000000009</v>
      </c>
      <c r="F773" s="194" t="s">
        <v>112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51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51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51</v>
      </c>
      <c r="D776" s="48" t="s">
        <v>112</v>
      </c>
      <c r="E776" s="55">
        <v>1661.24</v>
      </c>
      <c r="F776" s="194" t="s">
        <v>112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51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51</v>
      </c>
      <c r="D778" s="48" t="s">
        <v>112</v>
      </c>
      <c r="E778" s="55">
        <v>690.75</v>
      </c>
      <c r="F778" s="194" t="s">
        <v>112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51</v>
      </c>
      <c r="D779" s="48" t="s">
        <v>112</v>
      </c>
      <c r="E779" s="56">
        <v>1505.04</v>
      </c>
      <c r="F779" s="188" t="s">
        <v>112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51</v>
      </c>
      <c r="D780" s="48" t="s">
        <v>112</v>
      </c>
      <c r="E780" s="56">
        <v>3628.57</v>
      </c>
      <c r="F780" s="188" t="s">
        <v>112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51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51</v>
      </c>
      <c r="D782" s="48" t="s">
        <v>112</v>
      </c>
      <c r="E782" s="55">
        <v>2898.84</v>
      </c>
      <c r="F782" s="194" t="s">
        <v>112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51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51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51</v>
      </c>
      <c r="D785" s="48" t="s">
        <v>112</v>
      </c>
      <c r="E785" s="55">
        <v>833</v>
      </c>
      <c r="F785" s="194" t="s">
        <v>112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51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51</v>
      </c>
      <c r="D787" s="48" t="s">
        <v>112</v>
      </c>
      <c r="E787" s="55">
        <v>1266.6666666666667</v>
      </c>
      <c r="F787" s="194" t="s">
        <v>112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9" t="s">
        <v>51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9" t="s">
        <v>51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9" t="s">
        <v>51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9" t="s">
        <v>51</v>
      </c>
      <c r="D791" s="48" t="s">
        <v>112</v>
      </c>
      <c r="E791" s="43">
        <v>1266.6666666666667</v>
      </c>
      <c r="F791" s="188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9" t="s">
        <v>51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9" t="s">
        <v>51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9" t="s">
        <v>51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9" t="s">
        <v>51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9" t="s">
        <v>51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9" t="s">
        <v>51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9" t="s">
        <v>51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630</v>
      </c>
      <c r="C799" s="219" t="s">
        <v>51</v>
      </c>
      <c r="D799" s="48" t="s">
        <v>112</v>
      </c>
      <c r="E799" s="55">
        <v>455.66624999999999</v>
      </c>
      <c r="F799" s="194" t="s">
        <v>112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631</v>
      </c>
      <c r="C800" s="219" t="s">
        <v>51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632</v>
      </c>
      <c r="C801" s="219" t="s">
        <v>51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633</v>
      </c>
      <c r="C802" s="219" t="s">
        <v>51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9" t="s">
        <v>51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9" t="s">
        <v>51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636</v>
      </c>
      <c r="C805" s="219" t="s">
        <v>51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637</v>
      </c>
      <c r="C806" s="219" t="s">
        <v>51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638</v>
      </c>
      <c r="C807" s="219" t="s">
        <v>51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639</v>
      </c>
      <c r="C808" s="219" t="s">
        <v>51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640</v>
      </c>
      <c r="C809" s="219" t="s">
        <v>51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641</v>
      </c>
      <c r="C810" s="219" t="s">
        <v>51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642</v>
      </c>
      <c r="C811" s="219" t="s">
        <v>51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643</v>
      </c>
      <c r="C812" s="219" t="s">
        <v>51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51</v>
      </c>
      <c r="D813" s="48" t="s">
        <v>112</v>
      </c>
      <c r="E813" s="43">
        <v>3356</v>
      </c>
      <c r="F813" s="188" t="s">
        <v>112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645</v>
      </c>
      <c r="C814" s="219" t="s">
        <v>51</v>
      </c>
      <c r="D814" s="48" t="s">
        <v>112</v>
      </c>
      <c r="E814" s="55">
        <v>1900</v>
      </c>
      <c r="F814" s="194" t="s">
        <v>112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646</v>
      </c>
      <c r="C815" s="219" t="s">
        <v>51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647</v>
      </c>
      <c r="C816" s="219" t="s">
        <v>51</v>
      </c>
      <c r="D816" s="48" t="s">
        <v>112</v>
      </c>
      <c r="E816" s="55">
        <v>23075</v>
      </c>
      <c r="F816" s="194" t="s">
        <v>112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648</v>
      </c>
      <c r="C817" s="219" t="s">
        <v>51</v>
      </c>
      <c r="D817" s="48" t="s">
        <v>112</v>
      </c>
      <c r="E817" s="55">
        <v>23075.289999999997</v>
      </c>
      <c r="F817" s="188" t="s">
        <v>112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649</v>
      </c>
      <c r="C818" s="219" t="s">
        <v>51</v>
      </c>
      <c r="D818" s="48" t="s">
        <v>112</v>
      </c>
      <c r="E818" s="55">
        <v>1018.64</v>
      </c>
      <c r="F818" s="194" t="s">
        <v>112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650</v>
      </c>
      <c r="C819" s="219" t="s">
        <v>51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51</v>
      </c>
      <c r="D820" s="48" t="s">
        <v>112</v>
      </c>
      <c r="E820" s="43">
        <v>3356</v>
      </c>
      <c r="F820" s="188" t="s">
        <v>112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652</v>
      </c>
      <c r="C821" s="219" t="s">
        <v>51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51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51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655</v>
      </c>
      <c r="C824" s="219" t="s">
        <v>51</v>
      </c>
      <c r="D824" s="48" t="s">
        <v>112</v>
      </c>
      <c r="E824" s="55">
        <v>3356</v>
      </c>
      <c r="F824" s="194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51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657</v>
      </c>
      <c r="C826" s="219" t="s">
        <v>51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658</v>
      </c>
      <c r="C827" s="219" t="s">
        <v>51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659</v>
      </c>
      <c r="C828" s="219" t="s">
        <v>51</v>
      </c>
      <c r="D828" s="48" t="s">
        <v>112</v>
      </c>
      <c r="E828" s="55">
        <v>198</v>
      </c>
      <c r="F828" s="194" t="s">
        <v>112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660</v>
      </c>
      <c r="C829" s="219" t="s">
        <v>51</v>
      </c>
      <c r="D829" s="48" t="s">
        <v>112</v>
      </c>
      <c r="E829" s="55">
        <v>3356</v>
      </c>
      <c r="F829" s="194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661</v>
      </c>
      <c r="C830" s="219" t="s">
        <v>51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662</v>
      </c>
      <c r="C831" s="219" t="s">
        <v>51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663</v>
      </c>
      <c r="C832" s="219" t="s">
        <v>51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664</v>
      </c>
      <c r="C833" s="219" t="s">
        <v>51</v>
      </c>
      <c r="D833" s="48" t="s">
        <v>112</v>
      </c>
      <c r="E833" s="43">
        <v>198</v>
      </c>
      <c r="F833" s="188" t="s">
        <v>112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665</v>
      </c>
      <c r="C834" s="219" t="s">
        <v>51</v>
      </c>
      <c r="D834" s="48" t="s">
        <v>112</v>
      </c>
      <c r="E834" s="55">
        <v>198</v>
      </c>
      <c r="F834" s="194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666</v>
      </c>
      <c r="C835" s="219" t="s">
        <v>51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667</v>
      </c>
      <c r="C836" s="219" t="s">
        <v>51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668</v>
      </c>
      <c r="C837" s="219" t="s">
        <v>51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669</v>
      </c>
      <c r="C838" s="219" t="s">
        <v>51</v>
      </c>
      <c r="D838" s="48" t="s">
        <v>112</v>
      </c>
      <c r="E838" s="55">
        <v>3356</v>
      </c>
      <c r="F838" s="194" t="s">
        <v>112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670</v>
      </c>
      <c r="C839" s="219" t="s">
        <v>51</v>
      </c>
      <c r="D839" s="48" t="s">
        <v>112</v>
      </c>
      <c r="E839" s="55">
        <v>1100</v>
      </c>
      <c r="F839" s="194" t="s">
        <v>112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671</v>
      </c>
      <c r="C840" s="219" t="s">
        <v>51</v>
      </c>
      <c r="D840" s="48" t="s">
        <v>112</v>
      </c>
      <c r="E840" s="55">
        <v>1350</v>
      </c>
      <c r="F840" s="194" t="s">
        <v>112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672</v>
      </c>
      <c r="C841" s="219" t="s">
        <v>51</v>
      </c>
      <c r="D841" s="48" t="s">
        <v>112</v>
      </c>
      <c r="E841" s="55">
        <v>925</v>
      </c>
      <c r="F841" s="194" t="s">
        <v>112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51</v>
      </c>
      <c r="D842" s="48" t="s">
        <v>112</v>
      </c>
      <c r="E842" s="43">
        <v>3373</v>
      </c>
      <c r="F842" s="188" t="s">
        <v>112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51</v>
      </c>
      <c r="D843" s="48" t="s">
        <v>112</v>
      </c>
      <c r="E843" s="56">
        <v>1275.68</v>
      </c>
      <c r="F843" s="188" t="s">
        <v>112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675</v>
      </c>
      <c r="C844" s="219" t="s">
        <v>51</v>
      </c>
      <c r="D844" s="48" t="s">
        <v>112</v>
      </c>
      <c r="E844" s="55">
        <v>3373</v>
      </c>
      <c r="F844" s="194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51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51</v>
      </c>
      <c r="D846" s="48" t="s">
        <v>112</v>
      </c>
      <c r="E846" s="43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678</v>
      </c>
      <c r="C847" s="219" t="s">
        <v>51</v>
      </c>
      <c r="D847" s="48" t="s">
        <v>112</v>
      </c>
      <c r="E847" s="55">
        <v>2746.52</v>
      </c>
      <c r="F847" s="194" t="s">
        <v>112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51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51</v>
      </c>
      <c r="D849" s="48" t="s">
        <v>112</v>
      </c>
      <c r="E849" s="43">
        <v>1225.7</v>
      </c>
      <c r="F849" s="188" t="s">
        <v>112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51</v>
      </c>
      <c r="D850" s="48" t="s">
        <v>112</v>
      </c>
      <c r="E850" s="43">
        <v>3881.78</v>
      </c>
      <c r="F850" s="188" t="s">
        <v>112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51</v>
      </c>
      <c r="D851" s="48" t="s">
        <v>112</v>
      </c>
      <c r="E851" s="43">
        <v>1275.68</v>
      </c>
      <c r="F851" s="188" t="s">
        <v>112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51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684</v>
      </c>
      <c r="C853" s="219" t="s">
        <v>51</v>
      </c>
      <c r="D853" s="48" t="s">
        <v>112</v>
      </c>
      <c r="E853" s="55">
        <v>1225.7</v>
      </c>
      <c r="F853" s="194" t="s">
        <v>112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51</v>
      </c>
      <c r="D854" s="48" t="s">
        <v>112</v>
      </c>
      <c r="E854" s="43">
        <v>1225.7</v>
      </c>
      <c r="F854" s="188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51</v>
      </c>
      <c r="D855" s="48" t="s">
        <v>112</v>
      </c>
      <c r="E855" s="43">
        <v>2400</v>
      </c>
      <c r="F855" s="188" t="s">
        <v>112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51</v>
      </c>
      <c r="D856" s="48" t="s">
        <v>112</v>
      </c>
      <c r="E856" s="43">
        <v>1275.68</v>
      </c>
      <c r="F856" s="188" t="s">
        <v>112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51</v>
      </c>
      <c r="D857" s="48" t="s">
        <v>112</v>
      </c>
      <c r="E857" s="43">
        <v>1225.7</v>
      </c>
      <c r="F857" s="188" t="s">
        <v>112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51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51</v>
      </c>
      <c r="D859" s="48" t="s">
        <v>112</v>
      </c>
      <c r="E859" s="43">
        <v>2400</v>
      </c>
      <c r="F859" s="188" t="s">
        <v>112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691</v>
      </c>
      <c r="C860" s="219" t="s">
        <v>51</v>
      </c>
      <c r="D860" s="48" t="s">
        <v>112</v>
      </c>
      <c r="E860" s="55">
        <v>873.94</v>
      </c>
      <c r="F860" s="194" t="s">
        <v>112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692</v>
      </c>
      <c r="C861" s="219" t="s">
        <v>51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693</v>
      </c>
      <c r="C862" s="219" t="s">
        <v>51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694</v>
      </c>
      <c r="C863" s="219" t="s">
        <v>51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51</v>
      </c>
      <c r="D864" s="48" t="s">
        <v>112</v>
      </c>
      <c r="E864" s="43">
        <v>131.97</v>
      </c>
      <c r="F864" s="188" t="s">
        <v>112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696</v>
      </c>
      <c r="C865" s="219" t="s">
        <v>51</v>
      </c>
      <c r="D865" s="48" t="s">
        <v>112</v>
      </c>
      <c r="E865" s="55">
        <v>5450</v>
      </c>
      <c r="F865" s="194" t="s">
        <v>112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697</v>
      </c>
      <c r="C866" s="219" t="s">
        <v>51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698</v>
      </c>
      <c r="C867" s="219" t="s">
        <v>51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699</v>
      </c>
      <c r="C868" s="219" t="s">
        <v>51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700</v>
      </c>
      <c r="C869" s="219" t="s">
        <v>51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701</v>
      </c>
      <c r="C870" s="219" t="s">
        <v>51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702</v>
      </c>
      <c r="C871" s="219" t="s">
        <v>51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703</v>
      </c>
      <c r="C872" s="219" t="s">
        <v>51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51</v>
      </c>
      <c r="D873" s="48" t="s">
        <v>112</v>
      </c>
      <c r="E873" s="43">
        <v>131.97</v>
      </c>
      <c r="F873" s="188" t="s">
        <v>112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51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51</v>
      </c>
      <c r="D875" s="48" t="s">
        <v>112</v>
      </c>
      <c r="E875" s="43">
        <v>249.9</v>
      </c>
      <c r="F875" s="188" t="s">
        <v>112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51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51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709</v>
      </c>
      <c r="C878" s="219" t="s">
        <v>51</v>
      </c>
      <c r="D878" s="48" t="s">
        <v>112</v>
      </c>
      <c r="E878" s="55">
        <v>131.97</v>
      </c>
      <c r="F878" s="194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51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51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51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51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51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51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51</v>
      </c>
      <c r="D885" s="48" t="s">
        <v>112</v>
      </c>
      <c r="E885" s="43">
        <v>131.97</v>
      </c>
      <c r="F885" s="194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51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51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51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720</v>
      </c>
      <c r="C889" s="219" t="s">
        <v>51</v>
      </c>
      <c r="D889" s="48" t="s">
        <v>112</v>
      </c>
      <c r="E889" s="55">
        <v>131.97</v>
      </c>
      <c r="F889" s="194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51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51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51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51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725</v>
      </c>
      <c r="C894" s="219" t="s">
        <v>51</v>
      </c>
      <c r="D894" s="48" t="s">
        <v>112</v>
      </c>
      <c r="E894" s="55">
        <v>131.97</v>
      </c>
      <c r="F894" s="194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726</v>
      </c>
      <c r="C895" s="219" t="s">
        <v>51</v>
      </c>
      <c r="D895" s="48" t="s">
        <v>112</v>
      </c>
      <c r="E895" s="55">
        <v>6957.9299999999994</v>
      </c>
      <c r="F895" s="194" t="s">
        <v>112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727</v>
      </c>
      <c r="C896" s="219" t="s">
        <v>51</v>
      </c>
      <c r="D896" s="48" t="s">
        <v>112</v>
      </c>
      <c r="E896" s="55">
        <v>2563</v>
      </c>
      <c r="F896" s="194" t="s">
        <v>112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728</v>
      </c>
      <c r="C897" s="219" t="s">
        <v>51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729</v>
      </c>
      <c r="C898" s="219" t="s">
        <v>51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730</v>
      </c>
      <c r="C899" s="219" t="s">
        <v>51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731</v>
      </c>
      <c r="C900" s="219" t="s">
        <v>51</v>
      </c>
      <c r="D900" s="48" t="s">
        <v>112</v>
      </c>
      <c r="E900" s="55">
        <v>2885.5</v>
      </c>
      <c r="F900" s="194" t="s">
        <v>112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732</v>
      </c>
      <c r="C901" s="219" t="s">
        <v>51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733</v>
      </c>
      <c r="C902" s="219" t="s">
        <v>51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734</v>
      </c>
      <c r="C903" s="219" t="s">
        <v>51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735</v>
      </c>
      <c r="C904" s="219" t="s">
        <v>51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736</v>
      </c>
      <c r="C905" s="219" t="s">
        <v>51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737</v>
      </c>
      <c r="C906" s="219" t="s">
        <v>51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738</v>
      </c>
      <c r="C907" s="219" t="s">
        <v>51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739</v>
      </c>
      <c r="C908" s="219" t="s">
        <v>51</v>
      </c>
      <c r="D908" s="48" t="s">
        <v>112</v>
      </c>
      <c r="E908" s="55">
        <v>2785.5</v>
      </c>
      <c r="F908" s="194" t="s">
        <v>112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740</v>
      </c>
      <c r="C909" s="219" t="s">
        <v>51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741</v>
      </c>
      <c r="C910" s="219" t="s">
        <v>51</v>
      </c>
      <c r="D910" s="48" t="s">
        <v>112</v>
      </c>
      <c r="E910" s="55">
        <v>1</v>
      </c>
      <c r="F910" s="194" t="s">
        <v>112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742</v>
      </c>
      <c r="C911" s="219" t="s">
        <v>51</v>
      </c>
      <c r="D911" s="48" t="s">
        <v>112</v>
      </c>
      <c r="E911" s="55">
        <v>1200</v>
      </c>
      <c r="F911" s="194" t="s">
        <v>112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743</v>
      </c>
      <c r="C912" s="219" t="s">
        <v>51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744</v>
      </c>
      <c r="C913" s="219" t="s">
        <v>51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745</v>
      </c>
      <c r="C914" s="219" t="s">
        <v>51</v>
      </c>
      <c r="D914" s="48" t="s">
        <v>112</v>
      </c>
      <c r="E914" s="55">
        <v>500</v>
      </c>
      <c r="F914" s="194" t="s">
        <v>112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746</v>
      </c>
      <c r="C915" s="219" t="s">
        <v>51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747</v>
      </c>
      <c r="C916" s="219" t="s">
        <v>51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748</v>
      </c>
      <c r="C917" s="219" t="s">
        <v>51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749</v>
      </c>
      <c r="C918" s="219" t="s">
        <v>51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750</v>
      </c>
      <c r="C919" s="219" t="s">
        <v>51</v>
      </c>
      <c r="D919" s="48" t="s">
        <v>112</v>
      </c>
      <c r="E919" s="55">
        <v>114.24</v>
      </c>
      <c r="F919" s="194" t="s">
        <v>112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751</v>
      </c>
      <c r="C920" s="219" t="s">
        <v>51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752</v>
      </c>
      <c r="C921" s="219" t="s">
        <v>51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753</v>
      </c>
      <c r="C922" s="219" t="s">
        <v>51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754</v>
      </c>
      <c r="C923" s="219" t="s">
        <v>51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755</v>
      </c>
      <c r="C924" s="219" t="s">
        <v>51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756</v>
      </c>
      <c r="C925" s="219" t="s">
        <v>51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757</v>
      </c>
      <c r="C926" s="219" t="s">
        <v>51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758</v>
      </c>
      <c r="C927" s="219" t="s">
        <v>51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759</v>
      </c>
      <c r="C928" s="219" t="s">
        <v>51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760</v>
      </c>
      <c r="C929" s="219" t="s">
        <v>51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761</v>
      </c>
      <c r="C930" s="219" t="s">
        <v>51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762</v>
      </c>
      <c r="C931" s="219" t="s">
        <v>51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763</v>
      </c>
      <c r="C932" s="219" t="s">
        <v>51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764</v>
      </c>
      <c r="C933" s="219" t="s">
        <v>51</v>
      </c>
      <c r="D933" s="48" t="s">
        <v>112</v>
      </c>
      <c r="E933" s="55">
        <v>1800</v>
      </c>
      <c r="F933" s="194" t="s">
        <v>112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765</v>
      </c>
      <c r="C934" s="219" t="s">
        <v>51</v>
      </c>
      <c r="D934" s="48" t="s">
        <v>112</v>
      </c>
      <c r="E934" s="55">
        <v>546</v>
      </c>
      <c r="F934" s="194" t="s">
        <v>112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766</v>
      </c>
      <c r="C935" s="219" t="s">
        <v>51</v>
      </c>
      <c r="D935" s="48" t="s">
        <v>112</v>
      </c>
      <c r="E935" s="55">
        <v>114.24</v>
      </c>
      <c r="F935" s="194" t="s">
        <v>112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767</v>
      </c>
      <c r="C936" s="219" t="s">
        <v>51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768</v>
      </c>
      <c r="C937" s="219" t="s">
        <v>51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769</v>
      </c>
      <c r="C938" s="219" t="s">
        <v>51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770</v>
      </c>
      <c r="C939" s="219" t="s">
        <v>51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771</v>
      </c>
      <c r="C940" s="219" t="s">
        <v>51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772</v>
      </c>
      <c r="C941" s="219" t="s">
        <v>51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773</v>
      </c>
      <c r="C942" s="219" t="s">
        <v>51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774</v>
      </c>
      <c r="C943" s="219" t="s">
        <v>51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775</v>
      </c>
      <c r="C944" s="219" t="s">
        <v>51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776</v>
      </c>
      <c r="C945" s="219" t="s">
        <v>51</v>
      </c>
      <c r="D945" s="48" t="s">
        <v>112</v>
      </c>
      <c r="E945" s="55">
        <v>1550</v>
      </c>
      <c r="F945" s="194" t="s">
        <v>112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777</v>
      </c>
      <c r="C946" s="219" t="s">
        <v>51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778</v>
      </c>
      <c r="C947" s="219" t="s">
        <v>51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779</v>
      </c>
      <c r="C948" s="219" t="s">
        <v>51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780</v>
      </c>
      <c r="C949" s="219" t="s">
        <v>51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781</v>
      </c>
      <c r="C950" s="219" t="s">
        <v>51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782</v>
      </c>
      <c r="C951" s="219" t="s">
        <v>51</v>
      </c>
      <c r="D951" s="48" t="s">
        <v>112</v>
      </c>
      <c r="E951" s="55">
        <v>952</v>
      </c>
      <c r="F951" s="194" t="s">
        <v>112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783</v>
      </c>
      <c r="C952" s="219" t="s">
        <v>51</v>
      </c>
      <c r="D952" s="48" t="s">
        <v>112</v>
      </c>
      <c r="E952" s="55">
        <v>925</v>
      </c>
      <c r="F952" s="194" t="s">
        <v>112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784</v>
      </c>
      <c r="C953" s="219" t="s">
        <v>51</v>
      </c>
      <c r="D953" s="48" t="s">
        <v>112</v>
      </c>
      <c r="E953" s="55">
        <v>1100</v>
      </c>
      <c r="F953" s="194" t="s">
        <v>112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785</v>
      </c>
      <c r="C954" s="219" t="s">
        <v>51</v>
      </c>
      <c r="D954" s="48" t="s">
        <v>112</v>
      </c>
      <c r="E954" s="55">
        <v>1350</v>
      </c>
      <c r="F954" s="194" t="s">
        <v>112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786</v>
      </c>
      <c r="C955" s="219" t="s">
        <v>51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51</v>
      </c>
      <c r="D956" s="48" t="s">
        <v>112</v>
      </c>
      <c r="E956" s="43">
        <v>2727.48</v>
      </c>
      <c r="F956" s="188" t="s">
        <v>112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51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789</v>
      </c>
      <c r="C958" s="219" t="s">
        <v>51</v>
      </c>
      <c r="D958" s="48" t="s">
        <v>112</v>
      </c>
      <c r="E958" s="55">
        <v>2727.48</v>
      </c>
      <c r="F958" s="194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790</v>
      </c>
      <c r="C959" s="219" t="s">
        <v>51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791</v>
      </c>
      <c r="C960" s="219" t="s">
        <v>51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792</v>
      </c>
      <c r="C961" s="219" t="s">
        <v>51</v>
      </c>
      <c r="D961" s="48" t="s">
        <v>112</v>
      </c>
      <c r="E961" s="55">
        <v>3111.85</v>
      </c>
      <c r="F961" s="194" t="s">
        <v>112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793</v>
      </c>
      <c r="C962" s="219" t="s">
        <v>51</v>
      </c>
      <c r="D962" s="48" t="s">
        <v>112</v>
      </c>
      <c r="E962" s="43">
        <v>1550</v>
      </c>
      <c r="F962" s="188" t="s">
        <v>112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794</v>
      </c>
      <c r="C963" s="219" t="s">
        <v>51</v>
      </c>
      <c r="D963" s="48" t="s">
        <v>112</v>
      </c>
      <c r="E963" s="55">
        <v>1550</v>
      </c>
      <c r="F963" s="194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795</v>
      </c>
      <c r="C964" s="219" t="s">
        <v>51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51</v>
      </c>
      <c r="D965" s="48" t="s">
        <v>112</v>
      </c>
      <c r="E965" s="43">
        <v>1550</v>
      </c>
      <c r="F965" s="188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797</v>
      </c>
      <c r="C966" s="219" t="s">
        <v>51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798</v>
      </c>
      <c r="C967" s="219" t="s">
        <v>51</v>
      </c>
      <c r="D967" s="48" t="s">
        <v>112</v>
      </c>
      <c r="E967" s="55">
        <v>3844</v>
      </c>
      <c r="F967" s="194" t="s">
        <v>112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799</v>
      </c>
      <c r="C968" s="219" t="s">
        <v>51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800</v>
      </c>
      <c r="C969" s="219" t="s">
        <v>51</v>
      </c>
      <c r="D969" s="48" t="s">
        <v>112</v>
      </c>
      <c r="E969" s="55">
        <v>998.41</v>
      </c>
      <c r="F969" s="194" t="s">
        <v>112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801</v>
      </c>
      <c r="C970" s="219" t="s">
        <v>51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802</v>
      </c>
      <c r="C971" s="219" t="s">
        <v>51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803</v>
      </c>
      <c r="C972" s="219" t="s">
        <v>51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804</v>
      </c>
      <c r="C973" s="219" t="s">
        <v>51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805</v>
      </c>
      <c r="C974" s="219" t="s">
        <v>51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806</v>
      </c>
      <c r="C975" s="219" t="s">
        <v>51</v>
      </c>
      <c r="D975" s="48" t="s">
        <v>112</v>
      </c>
      <c r="E975" s="55">
        <v>3844</v>
      </c>
      <c r="F975" s="194" t="s">
        <v>112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807</v>
      </c>
      <c r="C976" s="219" t="s">
        <v>51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808</v>
      </c>
      <c r="C977" s="219" t="s">
        <v>51</v>
      </c>
      <c r="D977" s="48" t="s">
        <v>112</v>
      </c>
      <c r="E977" s="55">
        <v>998.41</v>
      </c>
      <c r="F977" s="194" t="s">
        <v>112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809</v>
      </c>
      <c r="C978" s="219" t="s">
        <v>51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810</v>
      </c>
      <c r="C979" s="219" t="s">
        <v>51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811</v>
      </c>
      <c r="C980" s="219" t="s">
        <v>51</v>
      </c>
      <c r="D980" s="48" t="s">
        <v>112</v>
      </c>
      <c r="E980" s="55">
        <v>1173.3399999999999</v>
      </c>
      <c r="F980" s="194" t="s">
        <v>112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812</v>
      </c>
      <c r="C981" s="219" t="s">
        <v>51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813</v>
      </c>
      <c r="C982" s="219" t="s">
        <v>51</v>
      </c>
      <c r="D982" s="48" t="s">
        <v>112</v>
      </c>
      <c r="E982" s="55">
        <v>1200</v>
      </c>
      <c r="F982" s="194" t="s">
        <v>112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814</v>
      </c>
      <c r="C1011" s="160" t="s">
        <v>26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815</v>
      </c>
      <c r="C1012" s="160" t="s">
        <v>26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816</v>
      </c>
      <c r="C1013" s="160" t="s">
        <v>26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817</v>
      </c>
      <c r="C1014" s="160" t="s">
        <v>26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818</v>
      </c>
      <c r="C1015" s="160" t="s">
        <v>26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26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26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26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26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26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26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26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26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26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26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26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26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26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28</v>
      </c>
      <c r="C1030" s="160" t="s">
        <v>26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26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26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26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26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26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26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26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26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840</v>
      </c>
      <c r="C1039" s="160" t="s">
        <v>26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841</v>
      </c>
      <c r="C1040" s="160" t="s">
        <v>26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842</v>
      </c>
      <c r="C1041" s="160" t="s">
        <v>26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843</v>
      </c>
      <c r="C1042" s="160" t="s">
        <v>26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26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845</v>
      </c>
      <c r="C1067" s="219" t="s">
        <v>62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846</v>
      </c>
      <c r="C1068" s="219" t="s">
        <v>62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62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848</v>
      </c>
      <c r="C1070" s="219" t="s">
        <v>62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849</v>
      </c>
      <c r="C1071" s="219" t="s">
        <v>62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850</v>
      </c>
      <c r="C1072" s="219" t="s">
        <v>62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851</v>
      </c>
      <c r="C1073" s="219" t="s">
        <v>62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852</v>
      </c>
      <c r="C1107" s="37" t="s">
        <v>853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854</v>
      </c>
      <c r="C1108" s="37" t="s">
        <v>853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856</v>
      </c>
      <c r="C1110" s="37" t="s">
        <v>853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857</v>
      </c>
      <c r="C1111" s="37" t="s">
        <v>853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858</v>
      </c>
      <c r="C1112" s="37" t="s">
        <v>853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859</v>
      </c>
      <c r="C1113" s="37" t="s">
        <v>853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1019</v>
      </c>
      <c r="C1273" s="276" t="s">
        <v>853</v>
      </c>
      <c r="D1273" s="277" t="s">
        <v>112</v>
      </c>
      <c r="E1273" s="141">
        <v>44533.333333333336</v>
      </c>
      <c r="F1273" s="278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112</v>
      </c>
      <c r="E1274" s="141">
        <v>30900</v>
      </c>
      <c r="F1274" s="278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112</v>
      </c>
      <c r="E1276" s="141">
        <v>22370</v>
      </c>
      <c r="F1276" s="278" t="s">
        <v>112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112</v>
      </c>
      <c r="E1277" s="141">
        <v>184100</v>
      </c>
      <c r="F1277" s="278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1025</v>
      </c>
      <c r="C1278" s="276" t="s">
        <v>853</v>
      </c>
      <c r="D1278" s="277" t="s">
        <v>112</v>
      </c>
      <c r="E1278" s="141">
        <v>6333.3374999999996</v>
      </c>
      <c r="F1278" s="278" t="s">
        <v>112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1026</v>
      </c>
      <c r="C1279" s="276" t="s">
        <v>853</v>
      </c>
      <c r="D1279" s="277" t="s">
        <v>112</v>
      </c>
      <c r="E1279" s="141">
        <v>17266.599999999999</v>
      </c>
      <c r="F1279" s="278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1027</v>
      </c>
      <c r="C1280" s="276" t="s">
        <v>853</v>
      </c>
      <c r="D1280" s="277" t="s">
        <v>112</v>
      </c>
      <c r="E1280" s="141">
        <v>6796.7</v>
      </c>
      <c r="F1280" s="278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112</v>
      </c>
      <c r="E1281" s="141">
        <v>182666.66666666666</v>
      </c>
      <c r="F1281" s="278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1030</v>
      </c>
      <c r="C1283" s="276" t="s">
        <v>853</v>
      </c>
      <c r="D1283" s="277" t="s">
        <v>112</v>
      </c>
      <c r="E1283" s="141">
        <v>46996.6</v>
      </c>
      <c r="F1283" s="278" t="s">
        <v>112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1030</v>
      </c>
      <c r="C1284" s="276" t="s">
        <v>853</v>
      </c>
      <c r="D1284" s="277" t="s">
        <v>112</v>
      </c>
      <c r="E1284" s="141">
        <v>48330</v>
      </c>
      <c r="F1284" s="278" t="s">
        <v>112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112</v>
      </c>
      <c r="E1286" s="141">
        <v>104388.75</v>
      </c>
      <c r="F1286" s="278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112</v>
      </c>
      <c r="E1287" s="141">
        <v>79760</v>
      </c>
      <c r="F1287" s="278" t="s">
        <v>112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1035</v>
      </c>
      <c r="C1288" s="276" t="s">
        <v>853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1036</v>
      </c>
      <c r="C1289" s="276" t="s">
        <v>853</v>
      </c>
      <c r="D1289" s="277" t="s">
        <v>112</v>
      </c>
      <c r="E1289" s="141">
        <v>152500</v>
      </c>
      <c r="F1289" s="278" t="s">
        <v>112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1037</v>
      </c>
      <c r="C1290" s="276" t="s">
        <v>853</v>
      </c>
      <c r="D1290" s="277" t="s">
        <v>112</v>
      </c>
      <c r="E1290" s="141">
        <v>432050</v>
      </c>
      <c r="F1290" s="278" t="s">
        <v>112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1038</v>
      </c>
      <c r="C1328" s="37" t="s">
        <v>29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29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29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29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29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29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29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29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29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29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29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29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29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29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29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29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29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29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29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29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1058</v>
      </c>
      <c r="C1348" s="37" t="s">
        <v>29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1059</v>
      </c>
      <c r="C1349" s="37" t="s">
        <v>29</v>
      </c>
      <c r="D1349" s="48" t="s">
        <v>1060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29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29</v>
      </c>
      <c r="D1351" s="48" t="s">
        <v>1064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29</v>
      </c>
      <c r="D1352" s="48" t="s">
        <v>1062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29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30</v>
      </c>
      <c r="C1354" s="37" t="s">
        <v>29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29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29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29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29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29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29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29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29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29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29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29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29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29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29</v>
      </c>
      <c r="D1368" s="48" t="s">
        <v>1083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29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29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29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29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29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29</v>
      </c>
      <c r="D1374" s="290" t="s">
        <v>112</v>
      </c>
      <c r="E1374" s="62"/>
      <c r="F1374" s="191" t="s">
        <v>112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29</v>
      </c>
      <c r="D1375" s="290" t="s">
        <v>112</v>
      </c>
      <c r="E1375" s="62"/>
      <c r="F1375" s="191" t="s">
        <v>112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29</v>
      </c>
      <c r="D1376" s="290" t="s">
        <v>112</v>
      </c>
      <c r="E1376" s="62"/>
      <c r="F1376" s="191" t="s">
        <v>112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29</v>
      </c>
      <c r="D1377" s="290" t="s">
        <v>112</v>
      </c>
      <c r="E1377" s="62"/>
      <c r="F1377" s="191" t="s">
        <v>112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29</v>
      </c>
      <c r="D1378" s="290" t="s">
        <v>112</v>
      </c>
      <c r="E1378" s="62"/>
      <c r="F1378" s="191" t="s">
        <v>112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29</v>
      </c>
      <c r="D1379" s="291" t="s">
        <v>112</v>
      </c>
      <c r="E1379" s="43"/>
      <c r="F1379" s="188" t="s">
        <v>112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29</v>
      </c>
      <c r="D1380" s="292" t="s">
        <v>112</v>
      </c>
      <c r="E1380" s="166"/>
      <c r="F1380" s="192" t="s">
        <v>112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29</v>
      </c>
      <c r="D1381" s="292" t="s">
        <v>112</v>
      </c>
      <c r="E1381" s="166"/>
      <c r="F1381" s="192" t="s">
        <v>112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29</v>
      </c>
      <c r="D1382" s="293" t="s">
        <v>112</v>
      </c>
      <c r="E1382" s="222"/>
      <c r="F1382" s="193" t="s">
        <v>112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29</v>
      </c>
      <c r="D1383" s="10" t="s">
        <v>112</v>
      </c>
      <c r="E1383" s="222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29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29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29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29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29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29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29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29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29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29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29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29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29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29</v>
      </c>
      <c r="D1397" s="248" t="s">
        <v>1060</v>
      </c>
      <c r="E1397" s="166">
        <v>74866.666666666672</v>
      </c>
      <c r="F1397" s="193" t="s">
        <v>1060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29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29</v>
      </c>
      <c r="D1399" s="248" t="s">
        <v>112</v>
      </c>
      <c r="E1399" s="166">
        <v>19073</v>
      </c>
      <c r="F1399" s="193" t="s">
        <v>112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29</v>
      </c>
      <c r="D1400" s="248" t="s">
        <v>112</v>
      </c>
      <c r="E1400" s="166">
        <v>866.66499999999996</v>
      </c>
      <c r="F1400" s="193" t="s">
        <v>112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29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29</v>
      </c>
      <c r="D1402" s="248" t="s">
        <v>112</v>
      </c>
      <c r="E1402" s="166">
        <v>19000</v>
      </c>
      <c r="F1402" s="193" t="s">
        <v>112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29</v>
      </c>
      <c r="D1403" s="248" t="s">
        <v>112</v>
      </c>
      <c r="E1403" s="166">
        <v>3800</v>
      </c>
      <c r="F1403" s="193" t="s">
        <v>112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29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29</v>
      </c>
      <c r="D1405" s="248" t="s">
        <v>216</v>
      </c>
      <c r="E1405" s="166">
        <v>7200</v>
      </c>
      <c r="F1405" s="193" t="s">
        <v>1060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29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29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29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29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29</v>
      </c>
      <c r="D1410" s="248" t="s">
        <v>112</v>
      </c>
      <c r="E1410" s="166">
        <v>6013.33</v>
      </c>
      <c r="F1410" s="273" t="s">
        <v>112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29</v>
      </c>
      <c r="D1411" s="248" t="s">
        <v>112</v>
      </c>
      <c r="E1411" s="166">
        <v>1101.5</v>
      </c>
      <c r="F1411" s="273" t="s">
        <v>112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29</v>
      </c>
      <c r="D1412" s="248" t="s">
        <v>112</v>
      </c>
      <c r="E1412" s="166">
        <v>11100</v>
      </c>
      <c r="F1412" s="273" t="s">
        <v>112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29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29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29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1132</v>
      </c>
      <c r="C1428" s="219" t="s">
        <v>59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59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59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59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59</v>
      </c>
      <c r="D1457" s="48" t="s">
        <v>1068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59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59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9" t="s">
        <v>59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9" t="s">
        <v>59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59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59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59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59</v>
      </c>
      <c r="D1488" s="48" t="s">
        <v>1068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59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59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59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59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9" t="s">
        <v>59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9" t="s">
        <v>59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59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9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29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1218</v>
      </c>
      <c r="C1522" s="100" t="s">
        <v>31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31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31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31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31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31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31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31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31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31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31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31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31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31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31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31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31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31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31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31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31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31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31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31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31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31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31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31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31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31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31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31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31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31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31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31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32</v>
      </c>
      <c r="C1558" s="100" t="s">
        <v>31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31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31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31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31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31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31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31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31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31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31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31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31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31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31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31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31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31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31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31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31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31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31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31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31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31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31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31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31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31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31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31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31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31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31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31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31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31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31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31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31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31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31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31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31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31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31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31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31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31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33</v>
      </c>
    </row>
    <row r="3" spans="1:13" outlineLevel="1">
      <c r="A3" s="3" t="s">
        <v>1317</v>
      </c>
      <c r="B3" s="5" t="s">
        <v>216</v>
      </c>
      <c r="D3" s="266" t="s">
        <v>14</v>
      </c>
      <c r="F3" s="2" t="s">
        <v>9</v>
      </c>
      <c r="H3" s="18" t="s">
        <v>1318</v>
      </c>
      <c r="I3" s="19">
        <v>43687423</v>
      </c>
      <c r="K3" t="s">
        <v>1319</v>
      </c>
      <c r="M3" s="79" t="s">
        <v>48</v>
      </c>
    </row>
    <row r="4" spans="1:13" ht="30" outlineLevel="1">
      <c r="A4" s="2" t="s">
        <v>1320</v>
      </c>
      <c r="B4" s="5" t="s">
        <v>307</v>
      </c>
      <c r="D4" s="267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51</v>
      </c>
    </row>
    <row r="5" spans="1:13" ht="30" outlineLevel="1">
      <c r="A5" s="3" t="s">
        <v>1325</v>
      </c>
      <c r="B5" s="5" t="s">
        <v>1326</v>
      </c>
      <c r="D5" s="269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853</v>
      </c>
    </row>
    <row r="6" spans="1:13" outlineLevel="1">
      <c r="A6" s="2" t="s">
        <v>326</v>
      </c>
      <c r="B6" s="5" t="s">
        <v>326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29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35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26</v>
      </c>
    </row>
    <row r="9" spans="1:13" outlineLevel="1">
      <c r="A9" s="2" t="s">
        <v>1345</v>
      </c>
      <c r="B9" s="5" t="s">
        <v>1201</v>
      </c>
      <c r="F9" s="2" t="s">
        <v>1346</v>
      </c>
      <c r="H9" t="s">
        <v>1347</v>
      </c>
      <c r="I9">
        <v>70323724</v>
      </c>
      <c r="K9" t="s">
        <v>1348</v>
      </c>
      <c r="M9" s="79" t="s">
        <v>62</v>
      </c>
    </row>
    <row r="10" spans="1:13" outlineLevel="1">
      <c r="A10" s="2" t="s">
        <v>1349</v>
      </c>
      <c r="B10" s="5" t="s">
        <v>106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122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59</v>
      </c>
    </row>
    <row r="12" spans="1:13" ht="30" outlineLevel="1">
      <c r="A12" s="3" t="s">
        <v>1358</v>
      </c>
      <c r="B12" s="5" t="s">
        <v>1032</v>
      </c>
      <c r="F12" s="302" t="s">
        <v>1359</v>
      </c>
      <c r="H12" s="27" t="s">
        <v>1360</v>
      </c>
      <c r="I12" s="28">
        <v>32184975</v>
      </c>
      <c r="M12" s="233" t="s">
        <v>31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238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360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241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107</v>
      </c>
      <c r="H21" s="21" t="s">
        <v>1379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208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174</v>
      </c>
      <c r="H24" s="21" t="s">
        <v>1384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1385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112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2024-10-24T19:52:31Z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