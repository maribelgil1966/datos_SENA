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ALINA POSADA\SANTA BARBARA\"/>
    </mc:Choice>
  </mc:AlternateContent>
  <xr:revisionPtr revIDLastSave="0" documentId="13_ncr:1_{EA779E55-4D81-4C68-9A64-800AF67AAF4B}" xr6:coauthVersionLast="36" xr6:coauthVersionMax="47" xr10:uidLastSave="{00000000-0000-0000-0000-000000000000}"/>
  <bookViews>
    <workbookView xWindow="0" yWindow="0" windowWidth="20490" windowHeight="74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Listas!$H$2:$H$32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43" l="1"/>
  <c r="O10" i="43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/>
  <c r="P16" i="61" a="1"/>
  <c r="P16" i="61" s="1"/>
  <c r="P17" i="61" a="1"/>
  <c r="P17" i="61" s="1"/>
  <c r="P18" i="61" a="1"/>
  <c r="P18" i="6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/>
  <c r="P27" i="61" a="1"/>
  <c r="P27" i="61" s="1"/>
  <c r="P28" i="61" a="1"/>
  <c r="P28" i="61" s="1"/>
  <c r="P29" i="61" a="1"/>
  <c r="P29" i="61"/>
  <c r="P30" i="61" a="1"/>
  <c r="P30" i="61" s="1"/>
  <c r="P31" i="61" a="1"/>
  <c r="P31" i="61"/>
  <c r="P32" i="61" a="1"/>
  <c r="P32" i="61" s="1"/>
  <c r="P12" i="61" a="1"/>
  <c r="P12" i="61" s="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29" i="43" l="1"/>
  <c r="W11" i="43"/>
  <c r="D5" i="43" s="1"/>
  <c r="B8" i="61" s="1"/>
  <c r="K26" i="61" a="1"/>
  <c r="K26" i="61" s="1"/>
  <c r="O26" i="61"/>
  <c r="B26" i="61"/>
  <c r="K30" i="61" a="1"/>
  <c r="K30" i="61" s="1"/>
  <c r="O30" i="61"/>
  <c r="B30" i="61"/>
  <c r="K20" i="61" a="1"/>
  <c r="K20" i="61" s="1"/>
  <c r="B20" i="61"/>
  <c r="O20" i="61"/>
  <c r="K13" i="61" a="1"/>
  <c r="K13" i="61" s="1"/>
  <c r="O13" i="61"/>
  <c r="B13" i="61"/>
  <c r="K14" i="61" a="1"/>
  <c r="K14" i="61" s="1"/>
  <c r="B14" i="61"/>
  <c r="O14" i="61"/>
  <c r="K29" i="61" a="1"/>
  <c r="K29" i="61" s="1"/>
  <c r="O29" i="61"/>
  <c r="B29" i="61"/>
  <c r="K25" i="61" a="1"/>
  <c r="K25" i="61" s="1"/>
  <c r="B25" i="61"/>
  <c r="O25" i="61"/>
  <c r="K31" i="61" a="1"/>
  <c r="K31" i="61" s="1"/>
  <c r="B31" i="61"/>
  <c r="O31" i="61"/>
  <c r="K19" i="61" a="1"/>
  <c r="K19" i="61" s="1"/>
  <c r="B19" i="61"/>
  <c r="O19" i="61"/>
  <c r="K12" i="61" a="1"/>
  <c r="K12" i="61" s="1"/>
  <c r="O12" i="61"/>
  <c r="B12" i="61"/>
  <c r="K28" i="61" a="1"/>
  <c r="K28" i="61" s="1"/>
  <c r="O28" i="61"/>
  <c r="B28" i="61"/>
  <c r="K24" i="61" a="1"/>
  <c r="K24" i="61" s="1"/>
  <c r="B24" i="61"/>
  <c r="O24" i="61"/>
  <c r="K18" i="61" a="1"/>
  <c r="K18" i="61" s="1"/>
  <c r="B18" i="61"/>
  <c r="O18" i="61"/>
  <c r="K23" i="61" a="1"/>
  <c r="K23" i="61" s="1"/>
  <c r="O23" i="61"/>
  <c r="B23" i="61"/>
  <c r="K17" i="61" a="1"/>
  <c r="K17" i="61" s="1"/>
  <c r="O17" i="61"/>
  <c r="B17" i="61"/>
  <c r="K27" i="61" a="1"/>
  <c r="K27" i="61" s="1"/>
  <c r="O27" i="61"/>
  <c r="B27" i="61"/>
  <c r="K22" i="61" a="1"/>
  <c r="K22" i="61" s="1"/>
  <c r="B22" i="61"/>
  <c r="O22" i="61"/>
  <c r="K16" i="61" a="1"/>
  <c r="K16" i="61" s="1"/>
  <c r="O16" i="61"/>
  <c r="B16" i="61"/>
  <c r="K32" i="61" a="1"/>
  <c r="K32" i="61" s="1"/>
  <c r="O32" i="61"/>
  <c r="B32" i="61"/>
  <c r="B21" i="61"/>
  <c r="K21" i="61" a="1"/>
  <c r="K21" i="61" s="1"/>
  <c r="O21" i="61"/>
  <c r="K15" i="61" a="1"/>
  <c r="K15" i="61" s="1"/>
  <c r="B15" i="61"/>
  <c r="O15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<sst xmlns="http://schemas.openxmlformats.org/spreadsheetml/2006/main" count="5055" uniqueCount="1402">
  <si>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</si>
  <si>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</si>
  <si>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</si>
  <si>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</si>
  <si>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</si>
  <si>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</si>
  <si>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</si>
  <si>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</si>
  <si>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</si>
  <si>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</si>
  <si>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</si>
  <si>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</si>
  <si>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</si>
  <si>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</si>
  <si>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</si>
  <si>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</si>
  <si>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</si>
  <si>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</si>
  <si>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</si>
  <si>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</si>
  <si>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</si>
  <si>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</si>
  <si>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</si>
  <si>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</si>
  <si>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</si>
  <si>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</si>
  <si>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</si>
  <si>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</si>
  <si>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</si>
  <si>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</si>
  <si>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</si>
  <si>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</si>
  <si>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</si>
  <si>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</si>
  <si>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</si>
  <si>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</si>
  <si>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</si>
  <si>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</si>
  <si>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</si>
  <si>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</si>
  <si>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</si>
  <si>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</si>
  <si>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</si>
  <si>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</si>
  <si>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</si>
  <si>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</si>
  <si>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</si>
  <si>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</si>
  <si>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</si>
  <si>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</si>
  <si>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</si>
  <si>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</si>
  <si>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</si>
  <si>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</si>
  <si>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</si>
  <si>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</si>
  <si>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</si>
  <si>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</si>
  <si>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</si>
  <si>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</si>
  <si>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</si>
  <si>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</si>
  <si>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</si>
  <si>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</si>
  <si>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</si>
  <si>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</si>
  <si>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</si>
  <si>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</si>
  <si>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</si>
  <si>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</si>
  <si>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</si>
  <si>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</si>
  <si>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</si>
  <si>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</si>
  <si>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</si>
  <si>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</si>
  <si>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</si>
  <si>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</si>
  <si>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</si>
  <si>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</si>
  <si>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</si>
  <si>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</si>
  <si>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</si>
  <si>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</si>
  <si>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</si>
  <si>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</si>
  <si>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</si>
  <si>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</si>
  <si>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</si>
  <si>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</si>
  <si>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</si>
  <si>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</si>
  <si>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</si>
  <si>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</si>
  <si>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</si>
  <si>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</si>
  <si>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</si>
  <si>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</si>
  <si>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</si>
  <si>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</si>
  <si>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</si>
  <si>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</si>
  <si>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</si>
  <si>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</si>
  <si>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</si>
  <si>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</si>
  <si>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</si>
  <si>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</si>
  <si>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</si>
  <si>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</si>
  <si>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</si>
  <si>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</si>
  <si>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</si>
  <si>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</si>
  <si>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</si>
  <si>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</si>
  <si>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</si>
  <si>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</si>
  <si>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</si>
  <si>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</si>
  <si>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</si>
  <si>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</si>
  <si>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</si>
  <si>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</si>
  <si>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</si>
  <si>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</si>
  <si>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</si>
  <si>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</si>
  <si>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</si>
  <si>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</si>
  <si>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</si>
  <si>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</si>
  <si>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</si>
  <si>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</si>
  <si>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</si>
  <si>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</si>
  <si>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</si>
  <si>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</si>
  <si>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</si>
  <si>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</si>
  <si>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</si>
  <si>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</si>
  <si>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</si>
  <si>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</si>
  <si>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</si>
  <si>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</si>
  <si>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</si>
  <si>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</si>
  <si>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</si>
  <si>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</si>
  <si>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</si>
  <si>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</si>
  <si>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</si>
  <si>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</si>
  <si>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</si>
  <si>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</si>
  <si>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</si>
  <si>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</si>
  <si>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</si>
  <si>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</si>
  <si>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</si>
  <si>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</si>
  <si>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</si>
  <si>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</si>
  <si>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</si>
  <si>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</si>
  <si>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</si>
  <si>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</si>
  <si>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</si>
  <si>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</si>
  <si>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</si>
  <si>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</si>
  <si>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</si>
  <si>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</si>
  <si>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</si>
  <si>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</si>
  <si>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</si>
  <si>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</si>
  <si>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</si>
  <si>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</si>
  <si>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</si>
  <si>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</si>
  <si>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</si>
  <si>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</si>
  <si>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</si>
  <si>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</si>
  <si>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</si>
  <si>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</si>
  <si>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</si>
  <si>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</si>
  <si>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</si>
  <si>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</si>
  <si>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</si>
  <si>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</si>
  <si>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</si>
  <si>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</si>
  <si>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</si>
  <si>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</si>
  <si>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</si>
  <si>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</si>
  <si>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</si>
  <si>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</si>
  <si>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</si>
  <si>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</si>
  <si>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</si>
  <si>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</si>
  <si>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</si>
  <si>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</si>
  <si>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</si>
  <si>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</si>
  <si>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</si>
  <si>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</si>
  <si>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</si>
  <si>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</si>
  <si>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</si>
  <si>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</si>
  <si>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</si>
  <si>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</si>
  <si>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</si>
  <si>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</si>
  <si>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</si>
  <si>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</si>
  <si>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</si>
  <si>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</si>
  <si>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</si>
  <si>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</si>
  <si>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</si>
  <si>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</si>
  <si>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</si>
  <si>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</si>
  <si>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</si>
  <si>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</si>
  <si>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</si>
  <si>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</si>
  <si>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</si>
  <si>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</si>
  <si>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</si>
  <si>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</si>
  <si>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</si>
  <si>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</si>
  <si>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</si>
  <si>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</si>
  <si>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</si>
  <si>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</si>
  <si>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</si>
  <si>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</si>
  <si>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</si>
  <si>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</si>
  <si>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</si>
  <si>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</si>
  <si>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</si>
  <si>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</si>
  <si>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</si>
  <si>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</si>
  <si>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</si>
  <si>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</si>
  <si>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</si>
  <si>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</si>
  <si>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</si>
  <si>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</si>
  <si>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</si>
  <si>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</si>
  <si>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</si>
  <si>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</si>
  <si>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</si>
  <si>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</si>
  <si>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</si>
  <si>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</si>
  <si>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</si>
  <si>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</si>
  <si>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</si>
  <si>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</si>
  <si>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</si>
  <si>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</si>
  <si>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</si>
  <si>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</si>
  <si>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</si>
  <si>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</si>
  <si>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</si>
  <si>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</si>
  <si>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</si>
  <si>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</si>
  <si>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</si>
  <si>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</si>
  <si>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</si>
  <si>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</si>
  <si>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</si>
  <si>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</si>
  <si>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</si>
  <si>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</si>
  <si>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</si>
  <si>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</si>
  <si>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</si>
  <si>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</si>
  <si>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</si>
  <si>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</si>
  <si>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</si>
  <si>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</si>
  <si>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</si>
  <si>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</si>
  <si>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</si>
  <si>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</si>
  <si>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</si>
  <si>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</si>
  <si>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</si>
  <si>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</si>
  <si>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</si>
  <si>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</si>
  <si>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</si>
  <si>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</si>
  <si>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</si>
  <si>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</si>
  <si>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</si>
  <si>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</si>
  <si>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</si>
  <si>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</si>
  <si>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</si>
  <si>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</si>
  <si>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</si>
  <si>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</si>
  <si>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</si>
  <si>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</si>
  <si>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</si>
  <si>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</si>
  <si>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</si>
  <si>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</si>
  <si>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</si>
  <si>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</si>
  <si>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</si>
  <si>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</si>
  <si>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</si>
  <si>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</si>
  <si>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</si>
  <si>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</si>
  <si>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</si>
  <si>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</si>
  <si>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</si>
  <si>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</si>
  <si>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</si>
  <si>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</si>
  <si>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</si>
  <si>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</si>
  <si>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</si>
  <si>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</si>
  <si>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</si>
  <si>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</si>
  <si>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</si>
  <si>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</si>
  <si>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</si>
  <si>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</si>
  <si>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</si>
  <si>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</si>
  <si>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</si>
  <si>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</si>
  <si>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</si>
  <si>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</si>
  <si>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</si>
  <si>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</si>
  <si>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</si>
  <si>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</si>
  <si>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</si>
  <si>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</si>
  <si>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</si>
  <si>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</si>
  <si>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</si>
  <si>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</si>
  <si>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</si>
  <si>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</si>
  <si>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</si>
  <si>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</si>
  <si>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</si>
  <si>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</si>
  <si>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</si>
  <si>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</si>
  <si>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</si>
  <si>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</si>
  <si>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</si>
  <si>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</si>
  <si>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</si>
  <si>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</si>
  <si>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</si>
  <si>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</si>
  <si>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</si>
  <si>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</si>
  <si>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</si>
  <si>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</si>
  <si>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</si>
  <si>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</si>
  <si>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</si>
  <si>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</si>
  <si>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</si>
  <si>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</si>
  <si>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</si>
  <si>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</si>
  <si>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</si>
  <si>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</si>
  <si>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</si>
  <si>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</si>
  <si>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</si>
  <si>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</si>
  <si>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</si>
  <si>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</si>
  <si>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</si>
  <si>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</si>
  <si>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</si>
  <si>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</si>
  <si>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</si>
  <si>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</si>
  <si>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</si>
  <si>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</si>
  <si>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</si>
  <si>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</si>
  <si>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</si>
  <si>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</si>
  <si>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</si>
  <si>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</si>
  <si>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</si>
  <si>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</si>
  <si>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</si>
  <si>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</si>
  <si>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</si>
  <si>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</si>
  <si>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</si>
  <si>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</si>
  <si>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</si>
  <si>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</si>
  <si>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</si>
  <si>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</si>
  <si>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</si>
  <si>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</si>
  <si>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</si>
  <si>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</si>
  <si>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</si>
  <si>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</si>
  <si>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</si>
  <si>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</si>
  <si>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</si>
  <si>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</si>
  <si>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</si>
  <si>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</si>
  <si>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</si>
  <si>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</si>
  <si>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</si>
  <si>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</si>
  <si>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</si>
  <si>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</si>
  <si>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</si>
  <si>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</si>
  <si>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</si>
  <si>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</si>
  <si>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</si>
  <si>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</si>
  <si>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</si>
  <si>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</si>
  <si>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</si>
  <si>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</si>
  <si>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</si>
  <si>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</si>
  <si>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</si>
  <si>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</si>
  <si>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</si>
  <si>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</si>
  <si>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</si>
  <si>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</si>
  <si>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</si>
  <si>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</si>
  <si>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</si>
  <si>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</si>
  <si>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</si>
  <si>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</si>
  <si>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</si>
  <si>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</si>
  <si>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</si>
  <si>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</si>
  <si>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</si>
  <si>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</si>
  <si>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</si>
  <si>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</si>
  <si>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</si>
  <si>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</si>
  <si>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</si>
  <si>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</si>
  <si>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</si>
  <si>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</si>
  <si>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</si>
  <si>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</si>
  <si>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</si>
  <si>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</si>
  <si>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</si>
  <si>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</si>
  <si>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</si>
  <si>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</si>
  <si>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</si>
  <si>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</si>
  <si>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</si>
  <si>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</si>
  <si>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</si>
  <si>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</si>
  <si>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</si>
  <si>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</si>
  <si>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</si>
  <si>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</si>
  <si>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</si>
  <si>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</si>
  <si>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</si>
  <si>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</si>
  <si>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</si>
  <si>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</si>
  <si>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</si>
  <si>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</si>
  <si>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</si>
  <si>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</si>
  <si>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</si>
  <si>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</si>
  <si>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</si>
  <si>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</si>
  <si>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</si>
  <si>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</si>
  <si>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</si>
  <si>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</si>
  <si>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</si>
  <si>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</si>
  <si>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</si>
  <si>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</si>
  <si>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</si>
  <si>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</si>
  <si>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</si>
  <si>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</si>
  <si>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</si>
  <si>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</si>
  <si>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</si>
  <si>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</si>
  <si>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</si>
  <si>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</si>
  <si>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</si>
  <si>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</si>
  <si>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</si>
  <si>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</si>
  <si>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</si>
  <si>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</si>
  <si>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</si>
  <si>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</si>
  <si>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</si>
  <si>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</si>
  <si>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</si>
  <si>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</si>
  <si>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</si>
  <si>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</si>
  <si>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</si>
  <si>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</si>
  <si>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</si>
  <si>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</si>
  <si>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</si>
  <si>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</si>
  <si>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</si>
  <si>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</si>
  <si>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</si>
  <si>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</si>
  <si>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</si>
  <si>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</si>
  <si>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</si>
  <si>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</si>
  <si>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</si>
  <si>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</si>
  <si>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</si>
  <si>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</si>
  <si>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</si>
  <si>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</si>
  <si>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</si>
  <si>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</si>
  <si>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</si>
  <si>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</si>
  <si>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</si>
  <si>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</si>
  <si>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</si>
  <si>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</si>
  <si>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</si>
  <si>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</si>
  <si>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</si>
  <si>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</si>
  <si>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</si>
  <si>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</si>
  <si>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</si>
  <si>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</si>
  <si>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</si>
  <si>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</si>
  <si>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</si>
  <si>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</si>
  <si>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</si>
  <si>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</si>
  <si>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</si>
  <si>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</si>
  <si>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</si>
  <si>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</si>
  <si>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</si>
  <si>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</si>
  <si>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</si>
  <si>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</si>
  <si>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</si>
  <si>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</si>
  <si>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</si>
  <si>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</si>
  <si>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</si>
  <si>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</si>
  <si>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</si>
  <si>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</si>
  <si>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</si>
  <si>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</si>
  <si>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</si>
  <si>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</si>
  <si>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</si>
  <si>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</si>
  <si>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</si>
  <si>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</si>
  <si>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</si>
  <si>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</si>
  <si>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</si>
  <si>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</si>
  <si>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</si>
  <si>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</si>
  <si>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</si>
  <si>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</si>
  <si>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</si>
  <si>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</si>
  <si>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</si>
  <si>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</si>
  <si>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</si>
  <si>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</si>
  <si>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</si>
  <si>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</si>
  <si>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</si>
  <si>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</si>
  <si>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</si>
  <si>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</si>
  <si>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</si>
  <si>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</si>
  <si>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</si>
  <si>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</si>
  <si>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</si>
  <si>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</si>
  <si>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</si>
  <si>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</si>
  <si>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</si>
  <si>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</si>
  <si>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</si>
  <si>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</si>
  <si>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</si>
  <si>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</si>
  <si>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</si>
  <si>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</si>
  <si>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</si>
  <si>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</si>
  <si>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</si>
  <si>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</si>
  <si>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</si>
  <si>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</si>
  <si>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</si>
  <si>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</si>
  <si>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</si>
  <si>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</si>
  <si>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</si>
  <si>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</si>
  <si>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</si>
  <si>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</si>
  <si>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</si>
  <si>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</si>
  <si>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</si>
  <si>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</si>
  <si>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</si>
  <si>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</si>
  <si>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</si>
  <si>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</si>
  <si>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</si>
  <si>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</si>
  <si>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</si>
  <si>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</si>
  <si>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</si>
  <si>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</si>
  <si>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</si>
  <si>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</si>
  <si>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</si>
  <si>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</si>
  <si>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</si>
  <si>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</si>
  <si>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</si>
  <si>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</si>
  <si>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</si>
  <si>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</si>
  <si>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</si>
  <si>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</si>
  <si>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</si>
  <si>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</si>
  <si>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</si>
  <si>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</si>
  <si>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</si>
  <si>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</si>
  <si>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</si>
  <si>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</si>
  <si>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</si>
  <si>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</si>
  <si>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</si>
  <si>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</si>
  <si>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</si>
  <si>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</si>
  <si>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</si>
  <si>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</si>
  <si>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</si>
  <si>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</si>
  <si>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</si>
  <si>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</si>
  <si>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</si>
  <si>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</si>
  <si>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</si>
  <si>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</si>
  <si>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</si>
  <si>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</si>
  <si>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</si>
  <si>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</si>
  <si>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</si>
  <si>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</si>
  <si>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</si>
  <si>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</si>
  <si>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</si>
  <si>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</si>
  <si>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</si>
  <si>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</si>
  <si>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</si>
  <si>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</si>
  <si>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</si>
  <si>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</si>
  <si>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</si>
  <si>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</si>
  <si>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</si>
  <si>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</si>
  <si>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</si>
  <si>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</si>
  <si>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</si>
  <si>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</si>
  <si>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</si>
  <si>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</si>
  <si>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</si>
  <si>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</si>
  <si>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</si>
  <si>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</si>
  <si>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</si>
  <si>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</si>
  <si>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</si>
  <si>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</si>
  <si>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</si>
  <si>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</si>
  <si>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</si>
  <si>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</si>
  <si>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</si>
  <si>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</si>
  <si>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</si>
  <si>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</si>
  <si>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</si>
  <si>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</si>
  <si>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</si>
  <si>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</si>
  <si>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</si>
  <si>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</si>
  <si>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</si>
  <si>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</si>
  <si>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</si>
  <si>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</si>
  <si>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</si>
  <si>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</si>
  <si>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</si>
  <si>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</si>
  <si>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</si>
  <si>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</si>
  <si>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</si>
  <si>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</si>
  <si>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</si>
  <si>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</si>
  <si>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</si>
  <si>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</si>
  <si>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</si>
  <si>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</si>
  <si>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</si>
  <si>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</si>
  <si>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</si>
  <si>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</si>
  <si>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</si>
  <si>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</si>
  <si>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</si>
  <si>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</si>
  <si>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</si>
  <si>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</si>
  <si>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</si>
  <si>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</si>
  <si>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</si>
  <si>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</si>
  <si>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</si>
  <si>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</si>
  <si>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</si>
  <si>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</si>
  <si>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</si>
  <si>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</si>
  <si>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</si>
  <si>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</si>
  <si>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</si>
  <si>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</si>
  <si>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</si>
  <si>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</si>
  <si>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</si>
  <si>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</si>
  <si>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</si>
  <si>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</si>
  <si>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</si>
  <si>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</si>
  <si>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</si>
  <si>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</si>
  <si>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</si>
  <si>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</si>
  <si>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</si>
  <si>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</si>
  <si>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</si>
  <si>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</si>
  <si>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</si>
  <si>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</si>
  <si>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</si>
  <si>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</si>
  <si>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</si>
  <si>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</si>
  <si>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</si>
  <si>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</si>
  <si>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</si>
  <si>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</si>
  <si>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</si>
  <si>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</si>
  <si>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</si>
  <si>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</si>
  <si>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</si>
  <si>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</si>
  <si>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</si>
  <si>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</si>
  <si>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</si>
  <si>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</si>
  <si>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</si>
  <si>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</si>
  <si>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</si>
  <si>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</si>
  <si>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</si>
  <si>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</si>
  <si>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</si>
  <si>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</si>
  <si>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</si>
  <si>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</si>
  <si>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</si>
  <si>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</si>
  <si>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</si>
  <si>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</si>
  <si>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</si>
  <si>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</si>
  <si>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</si>
  <si>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</si>
  <si>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</si>
  <si>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</si>
  <si>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</si>
  <si>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</si>
  <si>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</si>
  <si>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</si>
  <si>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</si>
  <si>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</si>
  <si>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</si>
  <si>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</si>
  <si>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</si>
  <si>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</si>
  <si>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</si>
  <si>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</si>
  <si>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</si>
  <si>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</si>
  <si>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</si>
  <si>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</si>
  <si>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</si>
  <si>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</si>
  <si>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</si>
  <si>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</si>
  <si>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</si>
  <si>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</si>
  <si>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</si>
  <si>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</si>
  <si>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</si>
  <si>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</si>
  <si>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</si>
  <si>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</si>
  <si>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</si>
  <si>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</si>
  <si>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</si>
  <si>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</si>
  <si>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</si>
  <si>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</si>
  <si>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</si>
  <si>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</si>
  <si>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</si>
  <si>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</si>
  <si>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</si>
  <si>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</si>
  <si>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</si>
  <si>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</si>
  <si>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</si>
  <si>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</si>
  <si>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</si>
  <si>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</si>
  <si>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</si>
  <si>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</si>
  <si>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</si>
  <si>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</si>
  <si>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</si>
  <si>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</si>
  <si>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</si>
  <si>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</si>
  <si>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</si>
  <si>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</si>
  <si>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</si>
  <si>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</si>
  <si>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</si>
  <si>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</si>
  <si>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</si>
  <si>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</si>
  <si>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</si>
  <si>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</si>
  <si>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</si>
  <si>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</si>
  <si>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</si>
  <si>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</si>
  <si>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</si>
  <si>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</si>
  <si>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</si>
  <si>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</si>
  <si>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</si>
  <si>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</si>
  <si>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</si>
  <si>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</si>
  <si>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</si>
  <si>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</si>
  <si>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</si>
  <si>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</si>
  <si>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</si>
  <si>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</si>
  <si>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</si>
  <si>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</si>
  <si>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</si>
  <si>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</si>
  <si>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</si>
  <si>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</si>
  <si>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</si>
  <si>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</si>
  <si>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</si>
  <si>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</si>
  <si>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</si>
  <si>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</si>
  <si>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</si>
  <si>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</si>
  <si>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</si>
  <si>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</si>
  <si>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</si>
  <si>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</si>
  <si>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</si>
  <si>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</si>
  <si>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</si>
  <si>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</si>
  <si>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</si>
  <si>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</si>
  <si>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</si>
  <si>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</si>
  <si>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</si>
  <si>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</si>
  <si>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</si>
  <si>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</si>
  <si>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</si>
  <si>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</si>
  <si>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</si>
  <si>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</si>
  <si>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</si>
  <si>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</si>
  <si>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</si>
  <si>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</si>
  <si>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</si>
  <si>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</si>
  <si>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</si>
  <si>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</si>
  <si>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</si>
  <si>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</si>
  <si>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</si>
  <si>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</si>
  <si>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</si>
  <si>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</si>
  <si>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</si>
  <si>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</si>
  <si>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</si>
  <si>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</si>
  <si>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</si>
  <si>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</si>
  <si>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</si>
  <si>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</si>
  <si>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</si>
  <si>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</si>
  <si>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</si>
  <si>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</si>
  <si>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</si>
  <si>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</si>
  <si>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</si>
  <si>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</si>
  <si>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</si>
  <si>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</si>
  <si>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</si>
  <si>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</si>
  <si>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</si>
  <si>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</si>
  <si>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</si>
  <si>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</si>
  <si>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</si>
  <si>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</si>
  <si>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</si>
  <si>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</si>
  <si>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</si>
  <si>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</si>
  <si>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</si>
  <si>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</si>
  <si>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</si>
  <si>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</si>
  <si>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</si>
  <si>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</si>
  <si>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</si>
  <si>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</si>
  <si>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</si>
  <si>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</si>
  <si>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</si>
  <si>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</si>
  <si>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</si>
  <si>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</si>
  <si>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</si>
  <si>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</si>
  <si>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</si>
  <si>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</si>
  <si>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</si>
  <si>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</si>
  <si>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</si>
  <si>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</si>
  <si>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</si>
  <si>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</si>
  <si>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</si>
  <si>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</si>
  <si>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</si>
  <si>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</si>
  <si>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</si>
  <si>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</si>
  <si>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</si>
  <si>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</si>
  <si>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</si>
  <si>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</si>
  <si>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</si>
  <si>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</si>
  <si>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</si>
  <si>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</si>
  <si>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</si>
  <si>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</si>
  <si>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</si>
  <si>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</si>
  <si>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</si>
  <si>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</si>
  <si>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</si>
  <si>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</si>
  <si>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</si>
  <si>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</si>
  <si>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</si>
  <si>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</si>
  <si>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</si>
  <si>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</si>
  <si>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</si>
  <si>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</si>
  <si>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</si>
  <si>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</si>
  <si>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</si>
  <si>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</si>
  <si>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</si>
  <si>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</si>
  <si>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</si>
  <si>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</si>
  <si>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</si>
  <si>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</si>
  <si>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</si>
  <si>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</si>
  <si>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</si>
  <si>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</si>
  <si>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</si>
  <si>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</si>
  <si>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</si>
  <si>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</si>
  <si>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</si>
  <si>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</si>
  <si>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</si>
  <si>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</si>
  <si>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</si>
  <si>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</si>
  <si>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</si>
  <si>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</si>
  <si>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</si>
  <si>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</si>
  <si>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</si>
  <si>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</si>
  <si>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</si>
  <si>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</si>
  <si>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</si>
  <si>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</si>
  <si>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</si>
  <si>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</si>
  <si>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</si>
  <si>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</si>
  <si>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</si>
  <si>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</si>
  <si>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</si>
  <si>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</si>
  <si>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</si>
  <si>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</si>
  <si>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</si>
  <si>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</si>
  <si>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</si>
  <si>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</si>
  <si>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</si>
  <si>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</si>
  <si>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</si>
  <si>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</si>
  <si>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</si>
  <si>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</si>
  <si>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</si>
  <si>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</si>
  <si>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</si>
  <si>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</si>
  <si>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</si>
  <si>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</si>
  <si>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</si>
  <si>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</si>
  <si>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</si>
  <si>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</si>
  <si>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</si>
  <si>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</si>
  <si>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</si>
  <si>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</si>
  <si>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</si>
  <si>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</si>
  <si>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</si>
  <si>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</si>
  <si>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</si>
  <si>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</si>
  <si>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</si>
  <si>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</si>
  <si>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</si>
  <si>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</si>
  <si>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</si>
  <si>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</si>
  <si>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</si>
  <si>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</si>
  <si>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</si>
  <si>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</si>
  <si>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</si>
  <si>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</si>
  <si>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</si>
  <si>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</si>
  <si>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</si>
  <si>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</si>
  <si>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</si>
  <si>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</si>
  <si>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</si>
  <si>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</si>
  <si>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</si>
  <si>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</si>
  <si>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</si>
  <si>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</si>
  <si>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</si>
  <si>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</si>
  <si>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</si>
  <si>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</si>
  <si>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</si>
  <si>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</si>
  <si>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</si>
  <si>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</si>
  <si>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</si>
  <si>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</si>
  <si>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</si>
  <si>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</si>
  <si>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</si>
  <si>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</si>
  <si>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</si>
  <si>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</si>
  <si>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</si>
  <si>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</si>
  <si>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</si>
  <si>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</si>
  <si>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</si>
  <si>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</si>
  <si>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</si>
  <si>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</si>
  <si>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</si>
  <si>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</si>
  <si>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</si>
  <si>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</si>
  <si>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</si>
  <si>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</si>
  <si>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</si>
  <si>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</si>
  <si>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</si>
  <si>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</si>
  <si>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</si>
  <si>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</si>
  <si>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</si>
  <si>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</si>
  <si>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</si>
  <si>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</si>
  <si>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</si>
  <si>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</si>
  <si>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</si>
  <si>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</si>
  <si>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</si>
  <si>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</si>
  <si>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</si>
  <si>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</si>
  <si>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</si>
  <si>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</si>
  <si>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</si>
  <si>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</si>
  <si>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</si>
  <si>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</si>
  <si>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</si>
  <si>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</si>
  <si>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</si>
  <si>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</si>
  <si>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</si>
  <si>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</si>
  <si>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</si>
  <si>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</si>
  <si>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</si>
  <si>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</si>
  <si>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</si>
  <si>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</si>
  <si>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</si>
  <si>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</si>
  <si>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</si>
  <si>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</si>
  <si>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</si>
  <si>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</si>
  <si>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</si>
  <si>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</si>
  <si>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</si>
  <si>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</si>
  <si>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</si>
  <si>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</si>
  <si>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</si>
  <si>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</si>
  <si>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</si>
  <si>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</si>
  <si>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</si>
  <si>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</si>
  <si>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</si>
  <si>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</si>
  <si>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</si>
  <si>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</si>
  <si>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</si>
  <si>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</si>
  <si>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</si>
  <si>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</si>
  <si>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</si>
  <si>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</si>
  <si>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</si>
  <si>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</si>
  <si>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</si>
  <si>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</si>
  <si>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</si>
  <si>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</si>
  <si>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</si>
  <si>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</si>
  <si>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</si>
  <si>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</si>
  <si>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</si>
  <si>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</si>
  <si>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</si>
  <si>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</si>
  <si>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</si>
  <si>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</si>
  <si>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</si>
  <si>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</si>
  <si>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</si>
  <si>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</si>
  <si>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</si>
  <si>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</si>
  <si>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</si>
  <si>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</si>
  <si>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</si>
  <si>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</si>
  <si>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</si>
  <si>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</si>
  <si>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</si>
  <si>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</si>
  <si>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</si>
  <si>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</si>
  <si>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</si>
  <si>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</si>
  <si>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</si>
  <si>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</si>
  <si>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</si>
  <si>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</si>
  <si>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</si>
  <si>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</si>
  <si>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</si>
  <si>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</si>
  <si>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</si>
  <si>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</si>
  <si>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</si>
  <si>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</si>
  <si>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</si>
  <si>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</si>
  <si>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</si>
  <si>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</si>
  <si>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</si>
  <si>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</si>
  <si>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</si>
  <si>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</si>
  <si>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</si>
  <si>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</si>
  <si>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</si>
  <si>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</si>
  <si>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</si>
  <si>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</si>
  <si>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</si>
  <si>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</si>
  <si>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</si>
  <si>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</si>
  <si>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</si>
  <si>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</si>
  <si>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</si>
  <si>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</si>
  <si>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</si>
  <si>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</si>
  <si>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</si>
  <si>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</si>
  <si>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</si>
  <si>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</si>
  <si>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</si>
  <si>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</si>
  <si>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</si>
  <si>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</si>
  <si>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</si>
  <si>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</si>
  <si>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</si>
  <si>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</si>
  <si>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</si>
  <si>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</si>
  <si>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</si>
  <si>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</si>
  <si>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</si>
  <si>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</si>
  <si>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</si>
  <si>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</si>
  <si>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</si>
  <si>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</si>
  <si>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</si>
  <si>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</si>
  <si>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</si>
  <si>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</si>
  <si>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</si>
  <si>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</si>
  <si>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</si>
  <si>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</si>
  <si>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</si>
  <si>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</si>
  <si>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</si>
  <si>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</si>
  <si>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</si>
  <si>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</si>
  <si>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</si>
  <si>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</si>
  <si>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</si>
  <si>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</si>
  <si>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</si>
  <si>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</si>
  <si>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</si>
  <si>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</si>
  <si>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</si>
  <si>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</si>
  <si>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</si>
  <si>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</si>
  <si>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</si>
  <si>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</si>
  <si>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</si>
  <si>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>MONICA ANDREA BRAVO LEITON</t>
  </si>
  <si>
    <t>Orlando Bolaños Carlosama</t>
  </si>
  <si>
    <t>Ximena Patricia Villarreal C</t>
  </si>
  <si>
    <t xml:space="preserve"> sep 25</t>
  </si>
  <si>
    <t>ejercicios apropiacion</t>
  </si>
  <si>
    <t>10  grueso</t>
  </si>
  <si>
    <t>10 delgado</t>
  </si>
  <si>
    <t>campesena</t>
  </si>
  <si>
    <t>pendiente</t>
  </si>
  <si>
    <t xml:space="preserve"> Hilos uffalo</t>
  </si>
  <si>
    <t>Un galón</t>
  </si>
  <si>
    <t>2 metros</t>
  </si>
  <si>
    <t>Un metro</t>
  </si>
  <si>
    <t>Reclamar Donaciana - devuelve 3 conos 28/11</t>
  </si>
  <si>
    <t>33 mts le faltó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</si>
</sst>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rgb="FF000000"/>
      <name val="Aptos Narrow"/>
      <family val="2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11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82" fillId="0" borderId="68" xfId="0" applyFont="1" applyBorder="1" applyAlignment="1">
      <alignment wrapText="1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33" xfId="0" applyFill="1" applyBorder="1" applyAlignment="1" applyProtection="1">
      <alignment horizontal="center" vertical="center" wrapText="1"/>
      <protection locked="0"/>
    </xf>
    <xf numFmtId="0" fontId="0" fillId="0" borderId="13" xfId="0" applyFill="1" applyBorder="1" applyAlignment="1" applyProtection="1">
      <alignment horizontal="center" vertical="center" wrapText="1"/>
      <protection locked="0"/>
    </xf>
    <xf numFmtId="0" fontId="0" fillId="31" borderId="33" xfId="0" applyFill="1" applyBorder="1" applyAlignment="1" applyProtection="1">
      <alignment horizontal="center" vertical="center" wrapText="1"/>
      <protection locked="0"/>
    </xf>
    <xf numFmtId="0" fontId="0" fillId="31" borderId="13" xfId="0" applyFill="1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7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88674</xdr:colOff>
      <xdr:row>0</xdr:row>
      <xdr:rowOff>165529</xdr:rowOff>
    </xdr:from>
    <xdr:to>
      <xdr:col>24</xdr:col>
      <xdr:colOff>89649</xdr:colOff>
      <xdr:row>3</xdr:row>
      <xdr:rowOff>169132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CB75711-671F-01C5-4ADF-E24532A11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357301" y="-214157"/>
          <a:ext cx="989721" cy="1749093"/>
        </a:xfrm>
        <a:prstGeom prst="rect">
          <a:avLst/>
        </a:prstGeom>
      </xdr:spPr>
    </xdr:pic>
    <xdr:clientData/>
  </xdr:twoCellAnchor>
  <xdr:twoCellAnchor editAs="oneCell">
    <xdr:from>
      <xdr:col>20</xdr:col>
      <xdr:colOff>67235</xdr:colOff>
      <xdr:row>3</xdr:row>
      <xdr:rowOff>378838</xdr:rowOff>
    </xdr:from>
    <xdr:to>
      <xdr:col>21</xdr:col>
      <xdr:colOff>347382</xdr:colOff>
      <xdr:row>6</xdr:row>
      <xdr:rowOff>246529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A31E8E3-C9A2-FDD0-4064-D5F3A261B2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00" t="20166" r="10834" b="21500"/>
        <a:stretch>
          <a:fillRect/>
        </a:stretch>
      </xdr:blipFill>
      <xdr:spPr>
        <a:xfrm>
          <a:off x="7956176" y="1364956"/>
          <a:ext cx="773206" cy="652102"/>
        </a:xfrm>
        <a:prstGeom prst="rect">
          <a:avLst/>
        </a:prstGeom>
      </xdr:spPr>
    </xdr:pic>
    <xdr:clientData/>
  </xdr:twoCellAnchor>
  <xdr:twoCellAnchor editAs="oneCell">
    <xdr:from>
      <xdr:col>21</xdr:col>
      <xdr:colOff>440124</xdr:colOff>
      <xdr:row>3</xdr:row>
      <xdr:rowOff>299465</xdr:rowOff>
    </xdr:from>
    <xdr:to>
      <xdr:col>24</xdr:col>
      <xdr:colOff>461948</xdr:colOff>
      <xdr:row>6</xdr:row>
      <xdr:rowOff>293863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EEC9254-EC03-BA65-17A4-296FE07426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49" t="8746" r="11049" b="33184"/>
        <a:stretch>
          <a:fillRect/>
        </a:stretch>
      </xdr:blipFill>
      <xdr:spPr>
        <a:xfrm>
          <a:off x="8822124" y="1285583"/>
          <a:ext cx="1276883" cy="7788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2" totalsRowShown="0" headerRowDxfId="7" headerRowBorderDxfId="6" tableBorderDxfId="5" totalsRowBorderDxfId="4">
  <autoFilter ref="H1:I32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="85" zoomScaleNormal="85" workbookViewId="0">
      <pane ySplit="8" topLeftCell="A9" activePane="bottomLeft" state="frozen"/>
      <selection pane="bottomLeft" activeCell="D31" sqref="D31:N3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AP sep 25 sep 25-1</v>
      </c>
      <c r="G1" s="405"/>
      <c r="H1" s="406"/>
      <c r="I1" s="351" t="s">
        <v>1</v>
      </c>
      <c r="J1" s="352"/>
      <c r="K1" s="231"/>
      <c r="L1" s="353" t="s">
        <v>2</v>
      </c>
      <c r="M1" s="354"/>
      <c r="N1" s="354"/>
      <c r="O1" s="355" t="s">
        <v>1390</v>
      </c>
      <c r="P1" s="355"/>
      <c r="Q1" s="355"/>
      <c r="R1" s="356"/>
      <c r="S1" s="296" t="s">
        <v>3</v>
      </c>
      <c r="T1" s="297"/>
      <c r="U1" s="302"/>
      <c r="V1" s="303"/>
      <c r="W1" s="303"/>
      <c r="X1" s="303"/>
      <c r="Y1" s="304"/>
      <c r="Z1" s="384" t="s">
        <v>4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5</v>
      </c>
      <c r="D2" s="350"/>
      <c r="E2" s="369" t="s">
        <v>1317</v>
      </c>
      <c r="F2" s="370"/>
      <c r="G2" s="370"/>
      <c r="H2" s="370"/>
      <c r="I2" s="370"/>
      <c r="J2" s="370"/>
      <c r="K2" s="371"/>
      <c r="L2" s="392" t="s">
        <v>6</v>
      </c>
      <c r="M2" s="393"/>
      <c r="N2" s="353"/>
      <c r="O2" s="394">
        <f>IF(E2="","",INDEX(Listas!H2:I36,MATCH('Soli_citud '!E2,Intructores,0),2))</f>
        <v>43687423</v>
      </c>
      <c r="P2" s="394"/>
      <c r="Q2" s="394"/>
      <c r="R2" s="395"/>
      <c r="S2" s="298"/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7</v>
      </c>
      <c r="D3" s="340"/>
      <c r="E3" s="341" t="s">
        <v>1321</v>
      </c>
      <c r="F3" s="342"/>
      <c r="G3" s="342"/>
      <c r="H3" s="342"/>
      <c r="I3" s="342"/>
      <c r="J3" s="342"/>
      <c r="K3" s="343"/>
      <c r="L3" s="392" t="s">
        <v>9</v>
      </c>
      <c r="M3" s="393"/>
      <c r="N3" s="353"/>
      <c r="O3" s="316">
        <v>3338413</v>
      </c>
      <c r="P3" s="396"/>
      <c r="Q3" s="396"/>
      <c r="R3" s="396"/>
      <c r="S3" s="298" t="s">
        <v>10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11</v>
      </c>
      <c r="B4" s="362"/>
      <c r="C4" s="362"/>
      <c r="D4" s="357" t="s">
        <v>1391</v>
      </c>
      <c r="E4" s="358"/>
      <c r="F4" s="358"/>
      <c r="G4" s="358"/>
      <c r="H4" s="358"/>
      <c r="I4" s="358"/>
      <c r="J4" s="358"/>
      <c r="K4" s="358"/>
      <c r="L4" s="359" t="s">
        <v>12</v>
      </c>
      <c r="M4" s="359"/>
      <c r="N4" s="359"/>
      <c r="O4" s="360" t="s">
        <v>1394</v>
      </c>
      <c r="P4" s="361"/>
      <c r="Q4" s="361"/>
      <c r="R4" s="361"/>
      <c r="S4" s="298"/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14</v>
      </c>
      <c r="B5" s="344"/>
      <c r="C5" s="344"/>
      <c r="D5" s="345">
        <f>IF(K5="","",(SUM(W10:Y28)-(SUMIF(U10:V28,"Restar_Pedido",W10:Y28)))/$K$5)</f>
        <v>17177.560330250992</v>
      </c>
      <c r="E5" s="346"/>
      <c r="F5" s="347"/>
      <c r="G5" s="348" t="s">
        <v>15</v>
      </c>
      <c r="H5" s="349"/>
      <c r="I5" s="349"/>
      <c r="J5" s="350"/>
      <c r="K5" s="400">
        <v>20</v>
      </c>
      <c r="L5" s="400"/>
      <c r="M5" s="401" t="s">
        <v>16</v>
      </c>
      <c r="N5" s="401"/>
      <c r="O5" s="397">
        <f>IFERROR(IF(K5=0,"",D5*K5),"")</f>
        <v>343551.20660501986</v>
      </c>
      <c r="P5" s="398"/>
      <c r="Q5" s="398"/>
      <c r="R5" s="398"/>
      <c r="S5" s="300" t="s">
        <v>17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18</v>
      </c>
      <c r="B7" s="327"/>
      <c r="C7" s="328"/>
      <c r="D7" s="329" t="s">
        <v>19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20</v>
      </c>
      <c r="P7" s="336"/>
      <c r="Q7" s="337" t="s">
        <v>21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22</v>
      </c>
      <c r="T8" s="388"/>
      <c r="U8" s="389"/>
      <c r="V8" s="390">
        <f>IF(K5="","",1/K5)</f>
        <v>0.05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23</v>
      </c>
      <c r="T9" s="387"/>
      <c r="U9" s="336" t="s">
        <v>24</v>
      </c>
      <c r="V9" s="336"/>
      <c r="W9" s="336" t="s">
        <v>25</v>
      </c>
      <c r="X9" s="336"/>
      <c r="Y9" s="336"/>
    </row>
    <row r="10" spans="1:31" ht="17.25" customHeight="1">
      <c r="A10" s="309" t="s">
        <v>231</v>
      </c>
      <c r="B10" s="309"/>
      <c r="C10" s="310"/>
      <c r="D10" s="322" t="s">
        <v>241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cm</v>
      </c>
      <c r="P10" s="315"/>
      <c r="Q10" s="316">
        <v>80</v>
      </c>
      <c r="R10" s="317"/>
      <c r="S10" s="318">
        <f>IFERROR(IF(Q10="Unidad","1",(Q10*$K$5)),"")</f>
        <v>1600</v>
      </c>
      <c r="T10" s="319"/>
      <c r="U10" s="320"/>
      <c r="V10" s="326"/>
      <c r="W10" s="321">
        <f>IFERROR(IF(D10="","",INDEX(Tabla_Completa,MATCH('Soli_citud 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1057</v>
      </c>
      <c r="B11" s="309"/>
      <c r="C11" s="310"/>
      <c r="D11" s="322" t="s">
        <v>1056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U</v>
      </c>
      <c r="P11" s="315"/>
      <c r="Q11" s="316">
        <v>1</v>
      </c>
      <c r="R11" s="317"/>
      <c r="S11" s="318">
        <f t="shared" ref="S11:S31" si="1">IFERROR(IF(Q11="Unidad","1",(Q11*$K$5)),"")</f>
        <v>20</v>
      </c>
      <c r="T11" s="319"/>
      <c r="U11" s="320" t="s">
        <v>1392</v>
      </c>
      <c r="V11" s="320"/>
      <c r="W11" s="321">
        <f>IFERROR(IF(D11="","",INDEX(Tabla_Completa,MATCH('Soli_citud '!D11,Materiales,0),7)*S11),"")</f>
        <v>6866.5999999999995</v>
      </c>
      <c r="X11" s="321"/>
      <c r="Y11" s="321"/>
    </row>
    <row r="12" spans="1:31" ht="15.75" customHeight="1">
      <c r="A12" s="308" t="s">
        <v>1057</v>
      </c>
      <c r="B12" s="309"/>
      <c r="C12" s="310"/>
      <c r="D12" s="325" t="s">
        <v>1071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U</v>
      </c>
      <c r="P12" s="315"/>
      <c r="Q12" s="316">
        <v>1</v>
      </c>
      <c r="R12" s="317"/>
      <c r="S12" s="318">
        <f t="shared" si="1"/>
        <v>20</v>
      </c>
      <c r="T12" s="319"/>
      <c r="U12" s="320" t="s">
        <v>1393</v>
      </c>
      <c r="V12" s="320"/>
      <c r="W12" s="321">
        <f>IFERROR(IF(D12="","",INDEX(Tabla_Completa,MATCH('Soli_citud '!D12,Materiales,0),7)*S12),"")</f>
        <v>6866.5999999999995</v>
      </c>
      <c r="X12" s="321"/>
      <c r="Y12" s="321"/>
    </row>
    <row r="13" spans="1:31" ht="15.75" customHeight="1">
      <c r="A13" s="308" t="s">
        <v>1057</v>
      </c>
      <c r="B13" s="309"/>
      <c r="C13" s="310"/>
      <c r="D13" s="322" t="s">
        <v>1088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Pliego</v>
      </c>
      <c r="P13" s="315"/>
      <c r="Q13" s="316">
        <v>2</v>
      </c>
      <c r="R13" s="317"/>
      <c r="S13" s="318">
        <f t="shared" si="1"/>
        <v>40</v>
      </c>
      <c r="T13" s="319"/>
      <c r="U13" s="320"/>
      <c r="V13" s="320"/>
      <c r="W13" s="321" t="str">
        <f>IFERROR(IF(D13="","",INDEX(Tabla_Completa,MATCH('Soli_citud '!D13,Materiales,0),7)*S13),"")</f>
        <v/>
      </c>
      <c r="X13" s="321"/>
      <c r="Y13" s="321"/>
    </row>
    <row r="14" spans="1:31" ht="17.25" customHeight="1">
      <c r="A14" s="308" t="s">
        <v>1057</v>
      </c>
      <c r="B14" s="309"/>
      <c r="C14" s="310"/>
      <c r="D14" s="322" t="s">
        <v>1090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Rollo</v>
      </c>
      <c r="P14" s="315"/>
      <c r="Q14" s="316">
        <v>0.3</v>
      </c>
      <c r="R14" s="317"/>
      <c r="S14" s="318">
        <f t="shared" si="1"/>
        <v>6</v>
      </c>
      <c r="T14" s="319"/>
      <c r="U14" s="320"/>
      <c r="V14" s="320"/>
      <c r="W14" s="321">
        <f>IFERROR(IF(D14="","",INDEX(Tabla_Completa,MATCH('Soli_citud '!D14,Materiales,0),7)*S14),"")</f>
        <v>25080</v>
      </c>
      <c r="X14" s="321"/>
      <c r="Y14" s="321"/>
    </row>
    <row r="15" spans="1:31" ht="15.75" customHeight="1">
      <c r="A15" s="308" t="s">
        <v>231</v>
      </c>
      <c r="B15" s="309"/>
      <c r="C15" s="310"/>
      <c r="D15" s="322" t="s">
        <v>348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Cono</v>
      </c>
      <c r="P15" s="315"/>
      <c r="Q15" s="316">
        <v>0.5</v>
      </c>
      <c r="R15" s="317"/>
      <c r="S15" s="318">
        <f t="shared" si="1"/>
        <v>10</v>
      </c>
      <c r="T15" s="319"/>
      <c r="U15" s="320"/>
      <c r="V15" s="320"/>
      <c r="W15" s="321">
        <f>IFERROR(IF(D15="","",INDEX(Tabla_Completa,MATCH('Soli_citud '!D15,Materiales,0),7)*S15),"")</f>
        <v>72666.649999999994</v>
      </c>
      <c r="X15" s="321"/>
      <c r="Y15" s="321"/>
    </row>
    <row r="16" spans="1:31" ht="15.75" customHeight="1">
      <c r="A16" s="308" t="s">
        <v>231</v>
      </c>
      <c r="B16" s="309"/>
      <c r="C16" s="310"/>
      <c r="D16" s="322" t="s">
        <v>349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Cono</v>
      </c>
      <c r="P16" s="315"/>
      <c r="Q16" s="316">
        <v>0.2</v>
      </c>
      <c r="R16" s="317"/>
      <c r="S16" s="318">
        <f t="shared" si="1"/>
        <v>4</v>
      </c>
      <c r="T16" s="319"/>
      <c r="U16" s="320"/>
      <c r="V16" s="320"/>
      <c r="W16" s="321">
        <f>IFERROR(IF(D16="","",INDEX(Tabla_Completa,MATCH('Soli_citud '!D16,Materiales,0),7)*S16),"")</f>
        <v>20000</v>
      </c>
      <c r="X16" s="321"/>
      <c r="Y16" s="321"/>
    </row>
    <row r="17" spans="1:25" ht="15.75" customHeight="1">
      <c r="A17" s="308" t="s">
        <v>231</v>
      </c>
      <c r="B17" s="309"/>
      <c r="C17" s="310"/>
      <c r="D17" s="322" t="s">
        <v>379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cm2</v>
      </c>
      <c r="P17" s="315"/>
      <c r="Q17" s="316">
        <v>0.05</v>
      </c>
      <c r="R17" s="317"/>
      <c r="S17" s="318">
        <f t="shared" si="1"/>
        <v>1</v>
      </c>
      <c r="T17" s="319"/>
      <c r="U17" s="320"/>
      <c r="V17" s="320"/>
      <c r="W17" s="321">
        <f>IFERROR(IF(D17="","",INDEX(Tabla_Completa,MATCH('Soli_citud '!D17,Materiales,0),7)*S17),"")</f>
        <v>0.53333333333333333</v>
      </c>
      <c r="X17" s="321"/>
      <c r="Y17" s="321"/>
    </row>
    <row r="18" spans="1:25" ht="15.75" customHeight="1">
      <c r="A18" s="308" t="s">
        <v>30</v>
      </c>
      <c r="B18" s="309"/>
      <c r="C18" s="310"/>
      <c r="D18" s="322" t="s">
        <v>109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ml</v>
      </c>
      <c r="P18" s="315"/>
      <c r="Q18" s="316">
        <v>180</v>
      </c>
      <c r="R18" s="317"/>
      <c r="S18" s="318">
        <f t="shared" si="1"/>
        <v>3600</v>
      </c>
      <c r="T18" s="319"/>
      <c r="U18" s="320"/>
      <c r="V18" s="320"/>
      <c r="W18" s="321">
        <f>IFERROR(IF(D18="","",INDEX(Tabla_Completa,MATCH('Soli_citud '!D18,Materiales,0),7)*S18),"")</f>
        <v>27011.889035667107</v>
      </c>
      <c r="X18" s="321"/>
      <c r="Y18" s="321"/>
    </row>
    <row r="19" spans="1:25" ht="15.75">
      <c r="A19" s="308" t="s">
        <v>30</v>
      </c>
      <c r="B19" s="309"/>
      <c r="C19" s="310"/>
      <c r="D19" s="311" t="s">
        <v>100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ml</v>
      </c>
      <c r="P19" s="315"/>
      <c r="Q19" s="316">
        <v>20</v>
      </c>
      <c r="R19" s="317"/>
      <c r="S19" s="318">
        <f t="shared" si="1"/>
        <v>400</v>
      </c>
      <c r="T19" s="319"/>
      <c r="U19" s="320"/>
      <c r="V19" s="320"/>
      <c r="W19" s="321">
        <f>IFERROR(IF(D19="","",INDEX(Tabla_Completa,MATCH('Soli_citud '!D19,Materiales,0),7)*S19),"")</f>
        <v>24483.117569352708</v>
      </c>
      <c r="X19" s="321"/>
      <c r="Y19" s="321"/>
    </row>
    <row r="20" spans="1:25" ht="15.75">
      <c r="A20" s="308" t="s">
        <v>49</v>
      </c>
      <c r="B20" s="309"/>
      <c r="C20" s="310"/>
      <c r="D20" s="311" t="s">
        <v>903</v>
      </c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>cm2</v>
      </c>
      <c r="P20" s="315"/>
      <c r="Q20" s="316">
        <v>5000</v>
      </c>
      <c r="R20" s="317"/>
      <c r="S20" s="318">
        <f t="shared" si="1"/>
        <v>100000</v>
      </c>
      <c r="T20" s="319"/>
      <c r="U20" s="320"/>
      <c r="V20" s="320"/>
      <c r="W20" s="321">
        <f>IFERROR(IF(D20="","",INDEX(Tabla_Completa,MATCH('Soli_citud '!D20,Materiales,0),7)*S20),"")</f>
        <v>68780</v>
      </c>
      <c r="X20" s="321"/>
      <c r="Y20" s="321"/>
    </row>
    <row r="21" spans="1:25" ht="15.75">
      <c r="A21" s="308" t="s">
        <v>49</v>
      </c>
      <c r="B21" s="309"/>
      <c r="C21" s="310"/>
      <c r="D21" s="311" t="s">
        <v>949</v>
      </c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>cm2</v>
      </c>
      <c r="P21" s="315"/>
      <c r="Q21" s="316">
        <v>1400</v>
      </c>
      <c r="R21" s="317"/>
      <c r="S21" s="318">
        <f t="shared" si="1"/>
        <v>28000</v>
      </c>
      <c r="T21" s="319"/>
      <c r="U21" s="320"/>
      <c r="V21" s="320"/>
      <c r="W21" s="321">
        <f>IFERROR(IF(D21="","",INDEX(Tabla_Completa,MATCH('Soli_citud '!D21,Materiales,0),7)*S21),"")</f>
        <v>0</v>
      </c>
      <c r="X21" s="321"/>
      <c r="Y21" s="321"/>
    </row>
    <row r="22" spans="1:25" ht="15.75">
      <c r="A22" s="308" t="s">
        <v>49</v>
      </c>
      <c r="B22" s="309"/>
      <c r="C22" s="310"/>
      <c r="D22" s="311" t="s">
        <v>940</v>
      </c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>cm2</v>
      </c>
      <c r="P22" s="315"/>
      <c r="Q22" s="316">
        <v>1400</v>
      </c>
      <c r="R22" s="317"/>
      <c r="S22" s="318">
        <f t="shared" si="1"/>
        <v>28000</v>
      </c>
      <c r="T22" s="319"/>
      <c r="U22" s="320"/>
      <c r="V22" s="320"/>
      <c r="W22" s="321">
        <f>IFERROR(IF(D22="","",INDEX(Tabla_Completa,MATCH('Soli_citud '!D22,Materiales,0),7)*S22),"")</f>
        <v>17540.666666666668</v>
      </c>
      <c r="X22" s="321"/>
      <c r="Y22" s="321"/>
    </row>
    <row r="23" spans="1:25" ht="15.75">
      <c r="A23" s="308" t="s">
        <v>49</v>
      </c>
      <c r="B23" s="309"/>
      <c r="C23" s="310"/>
      <c r="D23" s="311" t="s">
        <v>945</v>
      </c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>cm2</v>
      </c>
      <c r="P23" s="315"/>
      <c r="Q23" s="316">
        <v>1400</v>
      </c>
      <c r="R23" s="317"/>
      <c r="S23" s="318">
        <f t="shared" si="1"/>
        <v>28000</v>
      </c>
      <c r="T23" s="319"/>
      <c r="U23" s="320"/>
      <c r="V23" s="320"/>
      <c r="W23" s="321">
        <f>IFERROR(IF(D23="","",INDEX(Tabla_Completa,MATCH('Soli_citud '!D23,Materiales,0),7)*S23),"")</f>
        <v>10388</v>
      </c>
      <c r="X23" s="321"/>
      <c r="Y23" s="321"/>
    </row>
    <row r="24" spans="1:25" ht="15.75">
      <c r="A24" s="308" t="s">
        <v>39</v>
      </c>
      <c r="B24" s="309"/>
      <c r="C24" s="310"/>
      <c r="D24" s="311" t="s">
        <v>869</v>
      </c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>U</v>
      </c>
      <c r="P24" s="315"/>
      <c r="Q24" s="316">
        <v>2.1</v>
      </c>
      <c r="R24" s="317"/>
      <c r="S24" s="318">
        <f t="shared" si="1"/>
        <v>42</v>
      </c>
      <c r="T24" s="319"/>
      <c r="U24" s="320"/>
      <c r="V24" s="320"/>
      <c r="W24" s="321">
        <f>IFERROR(IF(D24="","",INDEX(Tabla_Completa,MATCH('Soli_citud '!D24,Materiales,0),7)*S24),"")</f>
        <v>38850</v>
      </c>
      <c r="X24" s="321"/>
      <c r="Y24" s="321"/>
    </row>
    <row r="25" spans="1:25" ht="15.75">
      <c r="A25" s="308" t="s">
        <v>39</v>
      </c>
      <c r="B25" s="309"/>
      <c r="C25" s="310"/>
      <c r="D25" s="311" t="s">
        <v>718</v>
      </c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>U</v>
      </c>
      <c r="P25" s="315"/>
      <c r="Q25" s="316">
        <v>2</v>
      </c>
      <c r="R25" s="317"/>
      <c r="S25" s="318">
        <f t="shared" si="1"/>
        <v>40</v>
      </c>
      <c r="T25" s="319"/>
      <c r="U25" s="320"/>
      <c r="V25" s="320"/>
      <c r="W25" s="321">
        <f>IFERROR(IF(D25="","",INDEX(Tabla_Completa,MATCH('Soli_citud '!D25,Materiales,0),7)*S25),"")</f>
        <v>18226.650000000001</v>
      </c>
      <c r="X25" s="321"/>
      <c r="Y25" s="321"/>
    </row>
    <row r="26" spans="1:25" ht="15.75">
      <c r="A26" s="308" t="s">
        <v>231</v>
      </c>
      <c r="B26" s="309"/>
      <c r="C26" s="310"/>
      <c r="D26" s="311" t="s">
        <v>315</v>
      </c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>cm</v>
      </c>
      <c r="P26" s="315"/>
      <c r="Q26" s="316">
        <v>15</v>
      </c>
      <c r="R26" s="317"/>
      <c r="S26" s="318">
        <f t="shared" si="1"/>
        <v>300</v>
      </c>
      <c r="T26" s="319"/>
      <c r="U26" s="320"/>
      <c r="V26" s="320"/>
      <c r="W26" s="321">
        <f>IFERROR(IF(D26="","",INDEX(Tabla_Completa,MATCH('Soli_citud '!D26,Materiales,0),7)*S26),"")</f>
        <v>2830.5</v>
      </c>
      <c r="X26" s="321"/>
      <c r="Y26" s="321"/>
    </row>
    <row r="27" spans="1:25" ht="15.75">
      <c r="A27" s="308" t="s">
        <v>36</v>
      </c>
      <c r="B27" s="309"/>
      <c r="C27" s="310"/>
      <c r="D27" s="311" t="s">
        <v>476</v>
      </c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>kg</v>
      </c>
      <c r="P27" s="315"/>
      <c r="Q27" s="316">
        <v>2.5</v>
      </c>
      <c r="R27" s="317"/>
      <c r="S27" s="318">
        <f t="shared" si="1"/>
        <v>50</v>
      </c>
      <c r="T27" s="319"/>
      <c r="U27" s="320"/>
      <c r="V27" s="320"/>
      <c r="W27" s="321">
        <f>IFERROR(IF(D27="","",INDEX(Tabla_Completa,MATCH('Soli_citud '!D27,Materiales,0),7)*S27),"")</f>
        <v>0</v>
      </c>
      <c r="X27" s="321"/>
      <c r="Y27" s="321"/>
    </row>
    <row r="28" spans="1:25" ht="15.75">
      <c r="A28" s="308" t="s">
        <v>39</v>
      </c>
      <c r="B28" s="309"/>
      <c r="C28" s="310"/>
      <c r="D28" s="311" t="s">
        <v>753</v>
      </c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>U</v>
      </c>
      <c r="P28" s="315"/>
      <c r="Q28" s="316">
        <v>1</v>
      </c>
      <c r="R28" s="317"/>
      <c r="S28" s="318">
        <f t="shared" si="1"/>
        <v>20</v>
      </c>
      <c r="T28" s="319"/>
      <c r="U28" s="320"/>
      <c r="V28" s="320"/>
      <c r="W28" s="321">
        <f>IFERROR(IF(D28="","",INDEX(Tabla_Completa,MATCH('Soli_citud '!D28,Materiales,0),7)*S28),"")</f>
        <v>3960</v>
      </c>
      <c r="X28" s="321"/>
      <c r="Y28" s="321"/>
    </row>
    <row r="29" spans="1:25" ht="15.75">
      <c r="A29" s="308" t="s">
        <v>231</v>
      </c>
      <c r="B29" s="309"/>
      <c r="C29" s="310"/>
      <c r="D29" s="311" t="s">
        <v>413</v>
      </c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>cm</v>
      </c>
      <c r="P29" s="315"/>
      <c r="Q29" s="316">
        <v>170</v>
      </c>
      <c r="R29" s="317"/>
      <c r="S29" s="318">
        <f t="shared" si="1"/>
        <v>3400</v>
      </c>
      <c r="T29" s="319"/>
      <c r="U29" s="320"/>
      <c r="V29" s="320"/>
      <c r="W29" s="321">
        <f>IFERROR(IF(D29="","",INDEX(Tabla_Completa,MATCH('Soli_citud '!D29,Materiales,0),7)*S29),"")</f>
        <v>50082</v>
      </c>
      <c r="X29" s="321"/>
      <c r="Y29" s="321"/>
    </row>
    <row r="30" spans="1:25" ht="15.75">
      <c r="A30" s="308" t="s">
        <v>231</v>
      </c>
      <c r="B30" s="309"/>
      <c r="C30" s="310"/>
      <c r="D30" s="311" t="s">
        <v>369</v>
      </c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>cm2</v>
      </c>
      <c r="P30" s="315"/>
      <c r="Q30" s="316">
        <v>700</v>
      </c>
      <c r="R30" s="317"/>
      <c r="S30" s="318">
        <f t="shared" si="1"/>
        <v>14000</v>
      </c>
      <c r="T30" s="319"/>
      <c r="U30" s="320"/>
      <c r="V30" s="320"/>
      <c r="W30" s="321">
        <f>IFERROR(IF(D30="","",INDEX(Tabla_Completa,MATCH('Soli_citud '!D30,Materiales,0),7)*S30),"")</f>
        <v>6704.1333333333332</v>
      </c>
      <c r="X30" s="321"/>
      <c r="Y30" s="321"/>
    </row>
    <row r="31" spans="1:25" ht="15.75">
      <c r="A31" s="308" t="s">
        <v>39</v>
      </c>
      <c r="B31" s="309"/>
      <c r="C31" s="310"/>
      <c r="D31" s="311" t="s">
        <v>585</v>
      </c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>U</v>
      </c>
      <c r="P31" s="315"/>
      <c r="Q31" s="316">
        <v>3.5</v>
      </c>
      <c r="R31" s="317"/>
      <c r="S31" s="318">
        <f t="shared" si="1"/>
        <v>70</v>
      </c>
      <c r="T31" s="319"/>
      <c r="U31" s="320"/>
      <c r="V31" s="320"/>
      <c r="W31" s="321">
        <f>IFERROR(IF(D31="","",INDEX(Tabla_Completa,MATCH('Soli_citud '!D31,Materiales,0),7)*S31),"")</f>
        <v>71304.800000000003</v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26</v>
      </c>
      <c r="B39" s="376"/>
      <c r="C39" s="376"/>
      <c r="D39" s="377" t="s">
        <v>27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4" t="s">
        <v>28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86" t="s">
        <v>29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30</v>
      </c>
      <c r="O44" s="373"/>
      <c r="P44" s="373"/>
      <c r="Q44" s="373"/>
      <c r="R44" s="382" t="s">
        <v>31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32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33</v>
      </c>
      <c r="O45" s="373"/>
      <c r="P45" s="373"/>
      <c r="Q45" s="373"/>
      <c r="R45" s="383" t="s">
        <v>34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35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36</v>
      </c>
      <c r="O46" s="373"/>
      <c r="P46" s="373"/>
      <c r="Q46" s="373"/>
      <c r="R46" s="372" t="s">
        <v>37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38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39</v>
      </c>
      <c r="O47" s="373"/>
      <c r="P47" s="373"/>
      <c r="Q47" s="373"/>
      <c r="R47" s="372" t="s">
        <v>40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41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42</v>
      </c>
      <c r="O48" s="373"/>
      <c r="P48" s="373"/>
      <c r="Q48" s="373"/>
      <c r="R48" s="372" t="s">
        <v>43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44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45</v>
      </c>
      <c r="O49" s="374"/>
      <c r="P49" s="374"/>
      <c r="Q49" s="374"/>
      <c r="R49" s="383" t="s">
        <v>46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47</v>
      </c>
      <c r="O50" s="373"/>
      <c r="P50" s="373"/>
      <c r="Q50" s="373"/>
      <c r="R50" s="372" t="s">
        <v>48</v>
      </c>
      <c r="S50" s="372"/>
      <c r="T50" s="372"/>
      <c r="U50" s="372"/>
      <c r="V50" s="372"/>
      <c r="W50" s="372"/>
      <c r="X50" s="372"/>
    </row>
    <row r="51" spans="1:24" ht="15.75">
      <c r="N51" s="373" t="s">
        <v>49</v>
      </c>
      <c r="O51" s="373"/>
      <c r="P51" s="373"/>
      <c r="Q51" s="373"/>
      <c r="R51" s="372" t="s">
        <v>50</v>
      </c>
      <c r="S51" s="372"/>
      <c r="T51" s="372"/>
      <c r="U51" s="372"/>
      <c r="V51" s="372"/>
      <c r="W51" s="372"/>
      <c r="X51" s="372"/>
    </row>
    <row r="52" spans="1:24" ht="15.75">
      <c r="N52" s="373" t="s">
        <v>51</v>
      </c>
      <c r="O52" s="373"/>
      <c r="P52" s="373"/>
      <c r="Q52" s="373"/>
      <c r="R52" s="372" t="s">
        <v>40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Kr1p7tVX7x49TCtIW8QngIezOq1OZVwbH823icedA9NNXyHy3SjPxa9P/P9uS7mwYHR1s4NHOS7ktoI6FJKBMQ==" saltValue="qdnpm8jaj4IIktZH1N5DNg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33" activePane="bottomLeft" state="frozen"/>
      <selection activeCell="C1" sqref="C1"/>
      <selection pane="bottomLeft" activeCell="C38" sqref="C38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07"/>
      <c r="C1" s="408"/>
      <c r="D1" s="481" t="s">
        <v>52</v>
      </c>
      <c r="E1" s="482"/>
      <c r="F1" s="482"/>
      <c r="G1" s="482"/>
      <c r="H1" s="482"/>
      <c r="I1" s="483"/>
      <c r="J1" s="413" t="s">
        <v>53</v>
      </c>
      <c r="K1" s="414"/>
      <c r="L1" s="414"/>
      <c r="M1" s="415"/>
      <c r="N1" s="416" t="str">
        <f>IF('Soli_citud '!O1="","",'Soli_citud '!O1)</f>
        <v xml:space="preserve"> sep 25</v>
      </c>
      <c r="O1" s="417"/>
      <c r="P1" s="452" t="s">
        <v>54</v>
      </c>
      <c r="Q1" s="453"/>
      <c r="R1" s="458" t="str">
        <f>IF('Soli_citud '!D4="","",'Soli_citud '!D4)</f>
        <v>ejercicios apropiacion</v>
      </c>
      <c r="S1" s="459"/>
      <c r="Z1" t="s">
        <v>55</v>
      </c>
      <c r="AA1" s="240" t="s">
        <v>55</v>
      </c>
    </row>
    <row r="2" spans="1:27" ht="15.75" customHeight="1" thickBot="1">
      <c r="A2" s="239"/>
      <c r="B2" s="409"/>
      <c r="C2" s="410"/>
      <c r="D2" s="484"/>
      <c r="E2" s="485"/>
      <c r="F2" s="485"/>
      <c r="G2" s="485"/>
      <c r="H2" s="485"/>
      <c r="I2" s="486"/>
      <c r="J2" s="418" t="s">
        <v>56</v>
      </c>
      <c r="K2" s="419"/>
      <c r="L2" s="419"/>
      <c r="M2" s="420"/>
      <c r="N2" s="421" t="str">
        <f>'Soli_citud '!F1</f>
        <v>AP sep 25 sep 25-1</v>
      </c>
      <c r="O2" s="422"/>
      <c r="P2" s="454"/>
      <c r="Q2" s="455"/>
      <c r="R2" s="460"/>
      <c r="S2" s="461"/>
    </row>
    <row r="3" spans="1:27" ht="15.75" customHeight="1">
      <c r="A3" s="239"/>
      <c r="B3" s="409"/>
      <c r="C3" s="410"/>
      <c r="D3" s="484"/>
      <c r="E3" s="485"/>
      <c r="F3" s="485"/>
      <c r="G3" s="485"/>
      <c r="H3" s="485"/>
      <c r="I3" s="486"/>
      <c r="J3" s="423" t="s">
        <v>57</v>
      </c>
      <c r="K3" s="423"/>
      <c r="L3" s="423"/>
      <c r="M3" s="423"/>
      <c r="N3" s="424">
        <f>IF('Soli_citud '!O3="","",'Soli_citud '!O3)</f>
        <v>3338413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39"/>
      <c r="B4" s="411"/>
      <c r="C4" s="412"/>
      <c r="D4" s="487"/>
      <c r="E4" s="488"/>
      <c r="F4" s="488"/>
      <c r="G4" s="488"/>
      <c r="H4" s="488"/>
      <c r="I4" s="489"/>
      <c r="J4" s="467" t="s">
        <v>58</v>
      </c>
      <c r="K4" s="467"/>
      <c r="L4" s="467"/>
      <c r="M4" s="468" t="str">
        <f>IF('Soli_citud '!O4="","",'Soli_citud '!O4)</f>
        <v>campesena</v>
      </c>
      <c r="N4" s="468"/>
      <c r="O4" s="469"/>
      <c r="P4" s="454"/>
      <c r="Q4" s="455"/>
      <c r="R4" s="315"/>
      <c r="S4" s="464"/>
    </row>
    <row r="5" spans="1:27" ht="2.25" customHeight="1">
      <c r="A5" s="239"/>
      <c r="P5" s="454"/>
      <c r="Q5" s="455"/>
    </row>
    <row r="6" spans="1:27" ht="27" customHeight="1">
      <c r="A6" s="239"/>
      <c r="B6" s="470" t="s">
        <v>59</v>
      </c>
      <c r="C6" s="471"/>
      <c r="D6" s="472"/>
      <c r="E6" s="476" t="s">
        <v>60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39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39"/>
      <c r="B8" s="444">
        <f>IF('Soli_citud '!D5&lt;= 0,"",'Soli_citud '!D5)</f>
        <v>17177.560330250992</v>
      </c>
      <c r="C8" s="445"/>
      <c r="D8" s="446"/>
      <c r="E8" s="447" t="s">
        <v>61</v>
      </c>
      <c r="F8" s="448"/>
      <c r="G8" s="448"/>
      <c r="H8" s="448"/>
      <c r="I8" s="449"/>
      <c r="J8" s="450" t="str">
        <f>IF('Soli_citud '!E2="","",'Soli_citud '!E2)</f>
        <v>Alina Posada Villada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39"/>
      <c r="B9" s="426" t="s">
        <v>62</v>
      </c>
      <c r="C9" s="427"/>
      <c r="D9" s="430"/>
      <c r="E9" s="431" t="s">
        <v>63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39"/>
      <c r="B10" s="428"/>
      <c r="C10" s="429"/>
      <c r="D10" s="430"/>
      <c r="E10" s="431"/>
      <c r="F10" s="431"/>
      <c r="G10" s="435"/>
      <c r="H10" s="436"/>
      <c r="I10" s="437"/>
      <c r="J10" s="438" t="s">
        <v>64</v>
      </c>
      <c r="K10" s="438"/>
      <c r="L10" s="439"/>
      <c r="M10" s="249">
        <f>'[1]Soli_citud '!K5</f>
        <v>1</v>
      </c>
      <c r="N10" s="465" t="s">
        <v>65</v>
      </c>
      <c r="O10" s="466"/>
      <c r="P10" s="456"/>
      <c r="Q10" s="457"/>
      <c r="R10" s="228" t="s">
        <v>66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1" t="s">
        <v>68</v>
      </c>
      <c r="C11" s="490" t="s">
        <v>69</v>
      </c>
      <c r="D11" s="491"/>
      <c r="E11" s="491"/>
      <c r="F11" s="492"/>
      <c r="G11" s="108" t="s">
        <v>70</v>
      </c>
      <c r="H11" s="108" t="s">
        <v>71</v>
      </c>
      <c r="I11" s="223" t="s">
        <v>72</v>
      </c>
      <c r="J11" s="106" t="s">
        <v>73</v>
      </c>
      <c r="K11" s="209" t="s">
        <v>74</v>
      </c>
      <c r="L11" s="422" t="s">
        <v>24</v>
      </c>
      <c r="M11" s="493"/>
      <c r="N11" s="226" t="s">
        <v>75</v>
      </c>
      <c r="O11" s="226" t="s">
        <v>76</v>
      </c>
      <c r="P11" s="229" t="s">
        <v>77</v>
      </c>
      <c r="Q11" s="230" t="s">
        <v>78</v>
      </c>
      <c r="R11" s="222" t="s">
        <v>79</v>
      </c>
      <c r="S11" s="210" t="s">
        <v>80</v>
      </c>
    </row>
    <row r="12" spans="1:27" ht="19.5" customHeight="1">
      <c r="A12" s="74">
        <v>1</v>
      </c>
      <c r="B12" s="242" t="str">
        <f>IF(H12="","",$N$2)</f>
        <v>AP sep 25 sep 25-1</v>
      </c>
      <c r="C12" s="494" t="str">
        <f>IFERROR(IF('Soli_citud '!D10="","",'Soli_citud '!D10),"")</f>
        <v>CINTA FALLA  20 mm gris _ rollo</v>
      </c>
      <c r="D12" s="494"/>
      <c r="E12" s="494"/>
      <c r="F12" s="494"/>
      <c r="G12" s="213" t="str">
        <f>IF('Soli_citud '!O10="","",'Soli_citud '!O10)</f>
        <v>cm</v>
      </c>
      <c r="H12" s="213" cm="1">
        <f t="array" ref="H12">_xlfn.IFS('Soli_citud '!S10="","",'Soli_citud '!S10&lt;=0,"",'Soli_citud '!S10&gt;0,'Soli_citud '!S10)</f>
        <v>1600</v>
      </c>
      <c r="I12" s="214">
        <v>45936</v>
      </c>
      <c r="J12" s="215">
        <v>1600</v>
      </c>
      <c r="K12" s="197" t="str" cm="1">
        <f t="array" ref="K12">IFERROR(_xlfn.IFS(H12="","",J12=H12,"Cumplido",J12&lt;H12,H12-J12,J12&gt;H12,"Revisar"),"")</f>
        <v>Cumplido</v>
      </c>
      <c r="L12" s="495"/>
      <c r="M12" s="496"/>
      <c r="N12" s="215">
        <v>100</v>
      </c>
      <c r="O12" s="198">
        <f t="shared" ref="O12" si="0">IFERROR(H12/N12,"")</f>
        <v>16</v>
      </c>
      <c r="P12" s="85" t="str" cm="1">
        <f t="array" ref="P12">IFERROR(_xlfn.IFS(Q12&gt;0,"ENTREGADO",'Soli_citud '!A10="HERRAMIENTAS_","DEVOLUTIVO"),"")</f>
        <v/>
      </c>
      <c r="Q12" s="217"/>
      <c r="R12" s="217"/>
      <c r="S12" s="215"/>
    </row>
    <row r="13" spans="1:27" ht="21" customHeight="1">
      <c r="A13" s="73">
        <v>2</v>
      </c>
      <c r="B13" s="242" t="str">
        <f t="shared" ref="B13:B32" si="1">IF(H13="","",$N$2)</f>
        <v>AP sep 25 sep 25-1</v>
      </c>
      <c r="C13" s="494" t="str">
        <f>IFERROR(IF('Soli_citud '!D11="","",'Soli_citud '!D11),"")</f>
        <v>AGUJA CORTA CABO DELGADO 100</v>
      </c>
      <c r="D13" s="494"/>
      <c r="E13" s="494"/>
      <c r="F13" s="494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20</v>
      </c>
      <c r="I13" s="214">
        <v>45936</v>
      </c>
      <c r="J13" s="216">
        <v>20</v>
      </c>
      <c r="K13" s="197" t="str" cm="1">
        <f t="array" ref="K13">IFERROR(_xlfn.IFS(H13="","",J13=H13,"Cumplido",J13&lt;H13,H13-J13,J13&gt;H13,"Revisar"),"")</f>
        <v>Cumplido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7"/>
      <c r="R13" s="215"/>
      <c r="S13" s="215"/>
    </row>
    <row r="14" spans="1:27" ht="21" customHeight="1">
      <c r="A14" s="74">
        <v>3</v>
      </c>
      <c r="B14" s="242" t="str">
        <f t="shared" si="1"/>
        <v>AP sep 25 sep 25-1</v>
      </c>
      <c r="C14" s="494" t="str">
        <f>IFERROR(IF('Soli_citud '!D12="","",'Soli_citud '!D12),"")</f>
        <v>AGUJA LARGA CABO GRUESO 110</v>
      </c>
      <c r="D14" s="494"/>
      <c r="E14" s="494"/>
      <c r="F14" s="494"/>
      <c r="G14" s="213" t="str">
        <f>IF('Soli_citud '!O12="","",'Soli_citud '!O12)</f>
        <v>U</v>
      </c>
      <c r="H14" s="213" cm="1">
        <f t="array" ref="H14">_xlfn.IFS('Soli_citud '!S12="","",'Soli_citud '!S12&lt;=0,"",'Soli_citud '!S12&gt;0,'Soli_citud '!S12)</f>
        <v>20</v>
      </c>
      <c r="I14" s="214">
        <v>45936</v>
      </c>
      <c r="J14" s="216">
        <v>20</v>
      </c>
      <c r="K14" s="197" t="str" cm="1">
        <f t="array" ref="K14">IFERROR(_xlfn.IFS(H14="","",J14=H14,"Cumplido",J14&lt;H14,H14-J14,J14&gt;H14,"Revisar"),"")</f>
        <v>Cumplido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7"/>
      <c r="R14" s="215"/>
      <c r="S14" s="215"/>
    </row>
    <row r="15" spans="1:27" ht="21" customHeight="1">
      <c r="A15" s="73">
        <v>4</v>
      </c>
      <c r="B15" s="242" t="str">
        <f t="shared" si="1"/>
        <v>AP sep 25 sep 25-1</v>
      </c>
      <c r="C15" s="494" t="str">
        <f>IFERROR(IF('Soli_citud '!D13="","",'Soli_citud '!D13),"")</f>
        <v xml:space="preserve">CARTULINA PLANA </v>
      </c>
      <c r="D15" s="494"/>
      <c r="E15" s="494"/>
      <c r="F15" s="494"/>
      <c r="G15" s="213" t="str">
        <f>IF('Soli_citud '!O13="","",'Soli_citud '!O13)</f>
        <v>Pliego</v>
      </c>
      <c r="H15" s="213" cm="1">
        <f t="array" ref="H15">_xlfn.IFS('Soli_citud '!S13="","",'Soli_citud '!S13&lt;=0,"",'Soli_citud '!S13&gt;0,'Soli_citud '!S13)</f>
        <v>40</v>
      </c>
      <c r="I15" s="214">
        <v>45936</v>
      </c>
      <c r="J15" s="216">
        <v>40</v>
      </c>
      <c r="K15" s="197" t="str" cm="1">
        <f t="array" ref="K15">IFERROR(_xlfn.IFS(H15="","",J15=H15,"Cumplido",J15&lt;H15,H15-J15,J15&gt;H15,"Revisar"),"")</f>
        <v>Cumplido</v>
      </c>
      <c r="L15" s="497"/>
      <c r="M15" s="498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7"/>
      <c r="R15" s="215"/>
      <c r="S15" s="215"/>
    </row>
    <row r="16" spans="1:27" ht="21" customHeight="1">
      <c r="A16" s="74">
        <v>5</v>
      </c>
      <c r="B16" s="242" t="str">
        <f t="shared" si="1"/>
        <v>AP sep 25 sep 25-1</v>
      </c>
      <c r="C16" s="494" t="str">
        <f>IFERROR(IF('Soli_citud '!D14="","",'Soli_citud '!D14),"")</f>
        <v>CINTA  DE ENMASCARAR</v>
      </c>
      <c r="D16" s="494"/>
      <c r="E16" s="494"/>
      <c r="F16" s="494"/>
      <c r="G16" s="213" t="str">
        <f>IF('Soli_citud '!O14="","",'Soli_citud '!O14)</f>
        <v>Rollo</v>
      </c>
      <c r="H16" s="213" cm="1">
        <f t="array" ref="H16">_xlfn.IFS('Soli_citud '!S14="","",'Soli_citud '!S14&lt;=0,"",'Soli_citud '!S14&gt;0,'Soli_citud '!S14)</f>
        <v>6</v>
      </c>
      <c r="I16" s="214">
        <v>45936</v>
      </c>
      <c r="J16" s="216">
        <v>6</v>
      </c>
      <c r="K16" s="197" t="str" cm="1">
        <f t="array" ref="K16">IFERROR(_xlfn.IFS(H16="","",J16=H16,"Cumplido",J16&lt;H16,H16-J16,J16&gt;H16,"Revisar"),"")</f>
        <v>Cumplido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7"/>
      <c r="R16" s="215"/>
      <c r="S16" s="215"/>
    </row>
    <row r="17" spans="1:19" ht="34.5" customHeight="1">
      <c r="A17" s="73">
        <v>6</v>
      </c>
      <c r="B17" s="242" t="str">
        <f t="shared" si="1"/>
        <v>AP sep 25 sep 25-1</v>
      </c>
      <c r="C17" s="494" t="str">
        <f>IFERROR(IF('Soli_citud '!D15="","",'Soli_citud '!D15),"")</f>
        <v xml:space="preserve">HILO NYLON #60
</v>
      </c>
      <c r="D17" s="494"/>
      <c r="E17" s="494"/>
      <c r="F17" s="494"/>
      <c r="G17" s="213" t="str">
        <f>IF('Soli_citud '!O15="","",'Soli_citud '!O15)</f>
        <v>Cono</v>
      </c>
      <c r="H17" s="213" cm="1">
        <f t="array" ref="H17">_xlfn.IFS('Soli_citud '!S15="","",'Soli_citud '!S15&lt;=0,"",'Soli_citud '!S15&gt;0,'Soli_citud '!S15)</f>
        <v>10</v>
      </c>
      <c r="I17" s="214">
        <v>45936</v>
      </c>
      <c r="J17" s="216">
        <v>5</v>
      </c>
      <c r="K17" s="197" cm="1">
        <f t="array" ref="K17">IFERROR(_xlfn.IFS(H17="","",J17=H17,"Cumplido",J17&lt;H17,H17-J17,J17&gt;H17,"Revisar"),"")</f>
        <v>5</v>
      </c>
      <c r="L17" s="495" t="s">
        <v>1396</v>
      </c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7"/>
      <c r="R17" s="215"/>
      <c r="S17" s="215"/>
    </row>
    <row r="18" spans="1:19" ht="38.25" customHeight="1">
      <c r="A18" s="74">
        <v>7</v>
      </c>
      <c r="B18" s="242" t="str">
        <f t="shared" si="1"/>
        <v>AP sep 25 sep 25-1</v>
      </c>
      <c r="C18" s="494" t="str">
        <f>IFERROR(IF('Soli_citud '!D16="","",'Soli_citud '!D16),"")</f>
        <v>HILO TERLENKA</v>
      </c>
      <c r="D18" s="494"/>
      <c r="E18" s="494"/>
      <c r="F18" s="494"/>
      <c r="G18" s="213" t="str">
        <f>IF('Soli_citud '!O16="","",'Soli_citud '!O16)</f>
        <v>Cono</v>
      </c>
      <c r="H18" s="213" cm="1">
        <f t="array" ref="H18">_xlfn.IFS('Soli_citud '!S16="","",'Soli_citud '!S16&lt;=0,"",'Soli_citud '!S16&gt;0,'Soli_citud '!S16)</f>
        <v>4</v>
      </c>
      <c r="I18" s="214">
        <v>45936</v>
      </c>
      <c r="J18" s="216">
        <v>1</v>
      </c>
      <c r="K18" s="197" cm="1">
        <f t="array" ref="K18">IFERROR(_xlfn.IFS(H18="","",J18=H18,"Cumplido",J18&lt;H18,H18-J18,J18&gt;H18,"Revisar"),"")</f>
        <v>3</v>
      </c>
      <c r="L18" s="497" t="s">
        <v>1400</v>
      </c>
      <c r="M18" s="498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7"/>
      <c r="R18" s="215"/>
      <c r="S18" s="215"/>
    </row>
    <row r="19" spans="1:19" ht="21" customHeight="1">
      <c r="A19" s="73">
        <v>8</v>
      </c>
      <c r="B19" s="242" t="str">
        <f t="shared" si="1"/>
        <v>AP sep 25 sep 25-1</v>
      </c>
      <c r="C19" s="494" t="str">
        <f>IFERROR(IF('Soli_citud '!D17="","",'Soli_citud '!D17),"")</f>
        <v>ODENA 0,5 mm</v>
      </c>
      <c r="D19" s="494"/>
      <c r="E19" s="494"/>
      <c r="F19" s="494"/>
      <c r="G19" s="213" t="str">
        <f>IF('Soli_citud '!O17="","",'Soli_citud '!O17)</f>
        <v>cm2</v>
      </c>
      <c r="H19" s="213" cm="1">
        <f t="array" ref="H19">_xlfn.IFS('Soli_citud '!S17="","",'Soli_citud '!S17&lt;=0,"",'Soli_citud '!S17&gt;0,'Soli_citud '!S17)</f>
        <v>1</v>
      </c>
      <c r="I19" s="214">
        <v>45936</v>
      </c>
      <c r="J19" s="216">
        <v>1</v>
      </c>
      <c r="K19" s="197" t="str" cm="1">
        <f t="array" ref="K19">IFERROR(_xlfn.IFS(H19="","",J19=H19,"Cumplido",J19&lt;H19,H19-J19,J19&gt;H19,"Revisar"),"")</f>
        <v>Cumplido</v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7"/>
      <c r="R19" s="215"/>
      <c r="S19" s="215"/>
    </row>
    <row r="20" spans="1:19" ht="21" customHeight="1">
      <c r="A20" s="74">
        <v>9</v>
      </c>
      <c r="B20" s="242" t="str">
        <f t="shared" si="1"/>
        <v>AP sep 25 sep 25-1</v>
      </c>
      <c r="C20" s="494" t="str">
        <f>IFERROR(IF('Soli_citud '!D18="","",'Soli_citud '!D18),"")</f>
        <v>SOLUCIÓN DE CAUCHO</v>
      </c>
      <c r="D20" s="494"/>
      <c r="E20" s="494"/>
      <c r="F20" s="494"/>
      <c r="G20" s="213" t="str">
        <f>IF('Soli_citud '!O18="","",'Soli_citud '!O18)</f>
        <v>ml</v>
      </c>
      <c r="H20" s="213" cm="1">
        <f t="array" ref="H20">_xlfn.IFS('Soli_citud '!S18="","",'Soli_citud '!S18&lt;=0,"",'Soli_citud '!S18&gt;0,'Soli_citud '!S18)</f>
        <v>3600</v>
      </c>
      <c r="I20" s="214">
        <v>45936</v>
      </c>
      <c r="J20" s="216">
        <v>3600</v>
      </c>
      <c r="K20" s="197" t="str" cm="1">
        <f t="array" ref="K20">IFERROR(_xlfn.IFS(H20="","",J20=H20,"Cumplido",J20&lt;H20,H20-J20,J20&gt;H20,"Revisar"),"")</f>
        <v>Cumplido</v>
      </c>
      <c r="L20" s="495" t="s">
        <v>1397</v>
      </c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7"/>
      <c r="R20" s="215"/>
      <c r="S20" s="215"/>
    </row>
    <row r="21" spans="1:19" ht="21" customHeight="1">
      <c r="A21" s="74">
        <v>11</v>
      </c>
      <c r="B21" s="242" t="str">
        <f t="shared" si="1"/>
        <v>AP sep 25 sep 25-1</v>
      </c>
      <c r="C21" s="494" t="str">
        <f>IFERROR(IF('Soli_citud '!D19="","",'Soli_citud '!D19),"")</f>
        <v xml:space="preserve">AQUAPREN GUARNECIDA
</v>
      </c>
      <c r="D21" s="494"/>
      <c r="E21" s="494"/>
      <c r="F21" s="494"/>
      <c r="G21" s="213" t="str">
        <f>IF('Soli_citud '!O19="","",'Soli_citud '!O19)</f>
        <v>ml</v>
      </c>
      <c r="H21" s="213" cm="1">
        <f t="array" ref="H21">_xlfn.IFS('Soli_citud '!S19="","",'Soli_citud '!S19&lt;=0,"",'Soli_citud '!S19&gt;0,'Soli_citud '!S19)</f>
        <v>400</v>
      </c>
      <c r="I21" s="214">
        <v>45936</v>
      </c>
      <c r="J21" s="216">
        <v>1000</v>
      </c>
      <c r="K21" s="197" t="str" cm="1">
        <f t="array" ref="K21">IFERROR(_xlfn.IFS(H21="","",J21=H21,"Cumplido",J21&lt;H21,H21-J21,J21&gt;H21,"Revisar"),"")</f>
        <v>Revisar</v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7"/>
      <c r="R21" s="215"/>
      <c r="S21" s="215"/>
    </row>
    <row r="22" spans="1:19" ht="21" customHeight="1">
      <c r="A22" s="73">
        <v>12</v>
      </c>
      <c r="B22" s="242" t="str">
        <f t="shared" si="1"/>
        <v>AP sep 25 sep 25-1</v>
      </c>
      <c r="C22" s="494" t="str">
        <f>IFERROR(IF('Soli_citud '!D20="","",'Soli_citud '!D20),"")</f>
        <v>INTERLON</v>
      </c>
      <c r="D22" s="494"/>
      <c r="E22" s="494"/>
      <c r="F22" s="494"/>
      <c r="G22" s="213" t="str">
        <f>IF('Soli_citud '!O20="","",'Soli_citud '!O20)</f>
        <v>cm2</v>
      </c>
      <c r="H22" s="213" cm="1">
        <f t="array" ref="H22">_xlfn.IFS('Soli_citud '!S20="","",'Soli_citud '!S20&lt;=0,"",'Soli_citud '!S20&gt;0,'Soli_citud '!S20)</f>
        <v>100000</v>
      </c>
      <c r="I22" s="214">
        <v>45936</v>
      </c>
      <c r="J22" s="216">
        <v>100000</v>
      </c>
      <c r="K22" s="197" t="str" cm="1">
        <f t="array" ref="K22">IFERROR(_xlfn.IFS(H22="","",J22=H22,"Cumplido",J22&lt;H22,H22-J22,J22&gt;H22,"Revisar"),"")</f>
        <v>Cumplido</v>
      </c>
      <c r="L22" s="495"/>
      <c r="M22" s="496"/>
      <c r="N22" s="215">
        <v>140</v>
      </c>
      <c r="O22" s="198">
        <f t="shared" si="3"/>
        <v>714.28571428571433</v>
      </c>
      <c r="P22" s="85" t="str" cm="1">
        <f t="array" ref="P22">IFERROR(_xlfn.IFS(Q22&gt;0,"ENTREGADO",'Soli_citud '!A20="HERRAMIENTAS_","DEVOLUTIVO"),"")</f>
        <v/>
      </c>
      <c r="Q22" s="217"/>
      <c r="R22" s="215"/>
      <c r="S22" s="215"/>
    </row>
    <row r="23" spans="1:19" ht="21" customHeight="1">
      <c r="A23" s="74">
        <v>13</v>
      </c>
      <c r="B23" s="242" t="str">
        <f t="shared" si="1"/>
        <v>AP sep 25 sep 25-1</v>
      </c>
      <c r="C23" s="494" t="str">
        <f>IFERROR(IF('Soli_citud '!D21="","",'Soli_citud '!D21),"")</f>
        <v>TEXTIL INDIGO</v>
      </c>
      <c r="D23" s="494"/>
      <c r="E23" s="494"/>
      <c r="F23" s="494"/>
      <c r="G23" s="213" t="str">
        <f>IF('Soli_citud '!O21="","",'Soli_citud '!O21)</f>
        <v>cm2</v>
      </c>
      <c r="H23" s="213" cm="1">
        <f t="array" ref="H23">_xlfn.IFS('Soli_citud '!S21="","",'Soli_citud '!S21&lt;=0,"",'Soli_citud '!S21&gt;0,'Soli_citud '!S21)</f>
        <v>28000</v>
      </c>
      <c r="I23" s="214">
        <v>45936</v>
      </c>
      <c r="J23" s="216">
        <v>28000</v>
      </c>
      <c r="K23" s="197" t="str" cm="1">
        <f t="array" ref="K23">IFERROR(_xlfn.IFS(H23="","",J23=H23,"Cumplido",J23&lt;H23,H23-J23,J23&gt;H23,"Revisar"),"")</f>
        <v>Cumplido</v>
      </c>
      <c r="L23" s="495"/>
      <c r="M23" s="496"/>
      <c r="N23" s="215">
        <v>140</v>
      </c>
      <c r="O23" s="198">
        <f t="shared" si="3"/>
        <v>200</v>
      </c>
      <c r="P23" s="85" t="str" cm="1">
        <f t="array" ref="P23">IFERROR(_xlfn.IFS(Q23&gt;0,"ENTREGADO",'Soli_citud '!A21="HERRAMIENTAS_","DEVOLUTIVO"),"")</f>
        <v/>
      </c>
      <c r="Q23" s="217"/>
      <c r="R23" s="215"/>
      <c r="S23" s="215"/>
    </row>
    <row r="24" spans="1:19" ht="21" customHeight="1">
      <c r="A24" s="73">
        <v>14</v>
      </c>
      <c r="B24" s="242" t="str">
        <f t="shared" si="1"/>
        <v>AP sep 25 sep 25-1</v>
      </c>
      <c r="C24" s="494" t="str">
        <f>IFERROR(IF('Soli_citud '!D22="","",'Soli_citud '!D22),"")</f>
        <v xml:space="preserve">SINTETICO  REF ARSENAL </v>
      </c>
      <c r="D24" s="494"/>
      <c r="E24" s="494"/>
      <c r="F24" s="494"/>
      <c r="G24" s="213" t="str">
        <f>IF('Soli_citud '!O22="","",'Soli_citud '!O22)</f>
        <v>cm2</v>
      </c>
      <c r="H24" s="213" cm="1">
        <f t="array" ref="H24">_xlfn.IFS('Soli_citud '!S22="","",'Soli_citud '!S22&lt;=0,"",'Soli_citud '!S22&gt;0,'Soli_citud '!S22)</f>
        <v>28000</v>
      </c>
      <c r="I24" s="214">
        <v>45936</v>
      </c>
      <c r="J24" s="216">
        <v>28000</v>
      </c>
      <c r="K24" s="197" t="str" cm="1">
        <f t="array" ref="K24">IFERROR(_xlfn.IFS(H24="","",J24=H24,"Cumplido",J24&lt;H24,H24-J24,J24&gt;H24,"Revisar"),"")</f>
        <v>Cumplido</v>
      </c>
      <c r="L24" s="495" t="s">
        <v>1398</v>
      </c>
      <c r="M24" s="496"/>
      <c r="N24" s="215">
        <v>1400</v>
      </c>
      <c r="O24" s="198">
        <f t="shared" si="3"/>
        <v>20</v>
      </c>
      <c r="P24" s="85" t="str" cm="1">
        <f t="array" ref="P24">IFERROR(_xlfn.IFS(Q24&gt;0,"ENTREGADO",'Soli_citud '!A22="HERRAMIENTAS_","DEVOLUTIVO"),"")</f>
        <v/>
      </c>
      <c r="Q24" s="217"/>
      <c r="R24" s="215"/>
      <c r="S24" s="215"/>
    </row>
    <row r="25" spans="1:19" ht="21" customHeight="1">
      <c r="A25" s="74">
        <v>15</v>
      </c>
      <c r="B25" s="242" t="str">
        <f t="shared" si="1"/>
        <v>AP sep 25 sep 25-1</v>
      </c>
      <c r="C25" s="494" t="str">
        <f>IFERROR(IF('Soli_citud '!D23="","",'Soli_citud '!D23),"")</f>
        <v>TELA POLIESTER  DE MALLA PIQUÉ, TERRY, MONZA, MALLA SANDWICH</v>
      </c>
      <c r="D25" s="494"/>
      <c r="E25" s="494"/>
      <c r="F25" s="494"/>
      <c r="G25" s="213" t="str">
        <f>IF('Soli_citud '!O23="","",'Soli_citud '!O23)</f>
        <v>cm2</v>
      </c>
      <c r="H25" s="213" cm="1">
        <f t="array" ref="H25">_xlfn.IFS('Soli_citud '!S23="","",'Soli_citud '!S23&lt;=0,"",'Soli_citud '!S23&gt;0,'Soli_citud '!S23)</f>
        <v>28000</v>
      </c>
      <c r="I25" s="214">
        <v>45936</v>
      </c>
      <c r="J25" s="216">
        <v>2800</v>
      </c>
      <c r="K25" s="197" cm="1">
        <f t="array" ref="K25">IFERROR(_xlfn.IFS(H25="","",J25=H25,"Cumplido",J25&lt;H25,H25-J25,J25&gt;H25,"Revisar"),"")</f>
        <v>25200</v>
      </c>
      <c r="L25" s="495"/>
      <c r="M25" s="496"/>
      <c r="N25" s="215">
        <v>140</v>
      </c>
      <c r="O25" s="198">
        <f t="shared" si="3"/>
        <v>200</v>
      </c>
      <c r="P25" s="85" t="str" cm="1">
        <f t="array" ref="P25">IFERROR(_xlfn.IFS(Q25&gt;0,"ENTREGADO",'Soli_citud '!A23="HERRAMIENTAS_","DEVOLUTIVO"),"")</f>
        <v/>
      </c>
      <c r="Q25" s="217"/>
      <c r="R25" s="215"/>
      <c r="S25" s="215"/>
    </row>
    <row r="26" spans="1:19" ht="21" customHeight="1">
      <c r="A26" s="73">
        <v>16</v>
      </c>
      <c r="B26" s="242" t="str">
        <f t="shared" si="1"/>
        <v>AP sep 25 sep 25-1</v>
      </c>
      <c r="C26" s="494" t="str">
        <f>IFERROR(IF('Soli_citud '!D24="","",'Soli_citud '!D24),"")</f>
        <v xml:space="preserve">TENSOR O TRABILLA PLÁSTICA 1" </v>
      </c>
      <c r="D26" s="494"/>
      <c r="E26" s="494"/>
      <c r="F26" s="494"/>
      <c r="G26" s="213" t="str">
        <f>IF('Soli_citud '!O24="","",'Soli_citud '!O24)</f>
        <v>U</v>
      </c>
      <c r="H26" s="213" cm="1">
        <f t="array" ref="H26">_xlfn.IFS('Soli_citud '!S24="","",'Soli_citud '!S24&lt;=0,"",'Soli_citud '!S24&gt;0,'Soli_citud '!S24)</f>
        <v>42</v>
      </c>
      <c r="I26" s="214">
        <v>45936</v>
      </c>
      <c r="J26" s="216">
        <v>42</v>
      </c>
      <c r="K26" s="197" t="str" cm="1">
        <f t="array" ref="K26">IFERROR(_xlfn.IFS(H26="","",J26=H26,"Cumplido",J26&lt;H26,H26-J26,J26&gt;H26,"Revisar"),"")</f>
        <v>Cumplido</v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7"/>
      <c r="R26" s="215"/>
      <c r="S26" s="215"/>
    </row>
    <row r="27" spans="1:19" ht="21" customHeight="1">
      <c r="A27" s="74">
        <v>17</v>
      </c>
      <c r="B27" s="242" t="str">
        <f t="shared" si="1"/>
        <v>AP sep 25 sep 25-1</v>
      </c>
      <c r="C27" s="494" t="str">
        <f>IFERROR(IF('Soli_citud '!D25="","",'Soli_citud '!D25),"")</f>
        <v>LLAVE METÁLICA DESLIZADOR   #3 PARA CREMALLERA - PAVÓN</v>
      </c>
      <c r="D27" s="494"/>
      <c r="E27" s="494"/>
      <c r="F27" s="494"/>
      <c r="G27" s="213" t="str">
        <f>IF('Soli_citud '!O25="","",'Soli_citud '!O25)</f>
        <v>U</v>
      </c>
      <c r="H27" s="213" cm="1">
        <f t="array" ref="H27">_xlfn.IFS('Soli_citud '!S25="","",'Soli_citud '!S25&lt;=0,"",'Soli_citud '!S25&gt;0,'Soli_citud '!S25)</f>
        <v>40</v>
      </c>
      <c r="I27" s="214">
        <v>45936</v>
      </c>
      <c r="J27" s="216">
        <v>20</v>
      </c>
      <c r="K27" s="197" cm="1">
        <f t="array" ref="K27">IFERROR(_xlfn.IFS(H27="","",J27=H27,"Cumplido",J27&lt;H27,H27-J27,J27&gt;H27,"Revisar"),"")</f>
        <v>20</v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7"/>
      <c r="R27" s="215"/>
      <c r="S27" s="215"/>
    </row>
    <row r="28" spans="1:19" ht="21" customHeight="1">
      <c r="A28" s="73">
        <v>18</v>
      </c>
      <c r="B28" s="242" t="str">
        <f t="shared" si="1"/>
        <v>AP sep 25 sep 25-1</v>
      </c>
      <c r="C28" s="494" t="str">
        <f>IFERROR(IF('Soli_citud '!D26="","",'Soli_citud '!D26),"")</f>
        <v>CREMALLERA POLIÉSTER #3</v>
      </c>
      <c r="D28" s="494"/>
      <c r="E28" s="494"/>
      <c r="F28" s="494"/>
      <c r="G28" s="213" t="str">
        <f>IF('Soli_citud '!O26="","",'Soli_citud '!O26)</f>
        <v>cm</v>
      </c>
      <c r="H28" s="213" cm="1">
        <f t="array" ref="H28">_xlfn.IFS('Soli_citud '!S26="","",'Soli_citud '!S26&lt;=0,"",'Soli_citud '!S26&gt;0,'Soli_citud '!S26)</f>
        <v>300</v>
      </c>
      <c r="I28" s="214">
        <v>45936</v>
      </c>
      <c r="J28" s="216">
        <v>300</v>
      </c>
      <c r="K28" s="197" t="str" cm="1">
        <f t="array" ref="K28">IFERROR(_xlfn.IFS(H28="","",J28=H28,"Cumplido",J28&lt;H28,H28-J28,J28&gt;H28,"Revisar"),"")</f>
        <v>Cumplido</v>
      </c>
      <c r="L28" s="495"/>
      <c r="M28" s="496"/>
      <c r="N28" s="215">
        <v>100</v>
      </c>
      <c r="O28" s="198">
        <f t="shared" si="3"/>
        <v>3</v>
      </c>
      <c r="P28" s="85" t="str" cm="1">
        <f t="array" ref="P28">IFERROR(_xlfn.IFS(Q28&gt;0,"ENTREGADO",'Soli_citud '!A26="HERRAMIENTAS_","DEVOLUTIVO"),"")</f>
        <v/>
      </c>
      <c r="Q28" s="217"/>
      <c r="R28" s="215"/>
      <c r="S28" s="215"/>
    </row>
    <row r="29" spans="1:19" ht="21">
      <c r="A29" s="74">
        <v>19</v>
      </c>
      <c r="B29" s="242" t="str">
        <f t="shared" si="1"/>
        <v>AP sep 25 sep 25-1</v>
      </c>
      <c r="C29" s="494" t="str">
        <f>IFERROR(IF('Soli_citud '!D27="","",'Soli_citud '!D27),"")</f>
        <v>Retal</v>
      </c>
      <c r="D29" s="494"/>
      <c r="E29" s="494"/>
      <c r="F29" s="494"/>
      <c r="G29" s="213" t="str">
        <f>IF('Soli_citud '!O27="","",'Soli_citud '!O27)</f>
        <v>kg</v>
      </c>
      <c r="H29" s="213" cm="1">
        <f t="array" ref="H29">_xlfn.IFS('Soli_citud '!S27="","",'Soli_citud '!S27&lt;=0,"",'Soli_citud '!S27&gt;0,'Soli_citud '!S27)</f>
        <v>50</v>
      </c>
      <c r="I29" s="214">
        <v>45936</v>
      </c>
      <c r="J29" s="216"/>
      <c r="K29" s="197" cm="1">
        <f t="array" ref="K29">IFERROR(_xlfn.IFS(H29="","",J29=H29,"Cumplido",J29&lt;H29,H29-J29,J29&gt;H29,"Revisar"),"")</f>
        <v>50</v>
      </c>
      <c r="L29" s="499" t="s">
        <v>1395</v>
      </c>
      <c r="M29" s="500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7"/>
      <c r="R29" s="215"/>
      <c r="S29" s="215"/>
    </row>
    <row r="30" spans="1:19" ht="21">
      <c r="A30" s="73">
        <v>20</v>
      </c>
      <c r="B30" s="242" t="str">
        <f t="shared" si="1"/>
        <v>AP sep 25 sep 25-1</v>
      </c>
      <c r="C30" s="494" t="str">
        <f>IFERROR(IF('Soli_citud '!D28="","",'Soli_citud '!D28),"")</f>
        <v>MEDIA ARGOLLA PAVONADA 1" ALAMBRE GRUESO</v>
      </c>
      <c r="D30" s="494"/>
      <c r="E30" s="494"/>
      <c r="F30" s="494"/>
      <c r="G30" s="213" t="str">
        <f>IF('Soli_citud '!O28="","",'Soli_citud '!O28)</f>
        <v>U</v>
      </c>
      <c r="H30" s="213" cm="1">
        <f t="array" ref="H30">_xlfn.IFS('Soli_citud '!S28="","",'Soli_citud '!S28&lt;=0,"",'Soli_citud '!S28&gt;0,'Soli_citud '!S28)</f>
        <v>20</v>
      </c>
      <c r="I30" s="214">
        <v>45936</v>
      </c>
      <c r="J30" s="216">
        <v>20</v>
      </c>
      <c r="K30" s="197" t="str" cm="1">
        <f t="array" ref="K30">IFERROR(_xlfn.IFS(H30="","",J30=H30,"Cumplido",J30&lt;H30,H30-J30,J30&gt;H30,"Revisar"),"")</f>
        <v>Cumplido</v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7"/>
      <c r="R30" s="215"/>
      <c r="S30" s="215"/>
    </row>
    <row r="31" spans="1:19" ht="33" customHeight="1">
      <c r="A31" s="73">
        <v>21</v>
      </c>
      <c r="B31" s="242" t="str">
        <f t="shared" si="1"/>
        <v>AP sep 25 sep 25-1</v>
      </c>
      <c r="C31" s="494" t="str">
        <f>IFERROR(IF('Soli_citud '!D29="","",'Soli_citud '!D29),"")</f>
        <v>REATA SINTETICA DE 1 ''</v>
      </c>
      <c r="D31" s="494"/>
      <c r="E31" s="494"/>
      <c r="F31" s="494"/>
      <c r="G31" s="213" t="str">
        <f>IF('Soli_citud '!O29="","",'Soli_citud '!O29)</f>
        <v>cm</v>
      </c>
      <c r="H31" s="213" cm="1">
        <f t="array" ref="H31">_xlfn.IFS('Soli_citud '!S29="","",'Soli_citud '!S29&lt;=0,"",'Soli_citud '!S29&gt;0,'Soli_citud '!S29)</f>
        <v>3400</v>
      </c>
      <c r="I31" s="214">
        <v>45936</v>
      </c>
      <c r="J31" s="216">
        <v>3400</v>
      </c>
      <c r="K31" s="197" t="str" cm="1">
        <f t="array" ref="K31">IFERROR(_xlfn.IFS(H31="","",J31=H31,"Cumplido",J31&lt;H31,H31-J31,J31&gt;H31,"Revisar"),"")</f>
        <v>Cumplido</v>
      </c>
      <c r="L31" s="495" t="s">
        <v>1401</v>
      </c>
      <c r="M31" s="496"/>
      <c r="N31" s="215">
        <v>100</v>
      </c>
      <c r="O31" s="198">
        <f t="shared" si="3"/>
        <v>34</v>
      </c>
      <c r="P31" s="85" t="str" cm="1">
        <f t="array" ref="P31">IFERROR(_xlfn.IFS(Q31&gt;0,"ENTREGADO",'Soli_citud '!A29="HERRAMIENTAS_","DEVOLUTIVO"),"")</f>
        <v/>
      </c>
      <c r="Q31" s="217"/>
      <c r="R31" s="215"/>
      <c r="S31" s="215"/>
    </row>
    <row r="32" spans="1:19" ht="21">
      <c r="A32" s="73">
        <v>22</v>
      </c>
      <c r="B32" s="242" t="str">
        <f t="shared" si="1"/>
        <v>AP sep 25 sep 25-1</v>
      </c>
      <c r="C32" s="494" t="str">
        <f>IFERROR(IF('Soli_citud '!D30="","",'Soli_citud '!D30),"")</f>
        <v>lAMBRILLA 3 mm ( EVA)</v>
      </c>
      <c r="D32" s="494"/>
      <c r="E32" s="494"/>
      <c r="F32" s="494"/>
      <c r="G32" s="213" t="str">
        <f>IF('Soli_citud '!O30="","",'Soli_citud '!O30)</f>
        <v>cm2</v>
      </c>
      <c r="H32" s="213" cm="1">
        <f t="array" ref="H32">_xlfn.IFS('Soli_citud '!S30="","",'Soli_citud '!S30&lt;=0,"",'Soli_citud '!S30&gt;0,'Soli_citud '!S30)</f>
        <v>14000</v>
      </c>
      <c r="I32" s="214">
        <v>45936</v>
      </c>
      <c r="J32" s="216">
        <v>14000</v>
      </c>
      <c r="K32" s="197" t="str" cm="1">
        <f t="array" ref="K32">IFERROR(_xlfn.IFS(H32="","",J32=H32,"Cumplido",J32&lt;H32,H32-J32,J32&gt;H32,"Revisar"),"")</f>
        <v>Cumplido</v>
      </c>
      <c r="L32" s="495" t="s">
        <v>1399</v>
      </c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7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6" t="s">
        <v>81</v>
      </c>
      <c r="F1" s="506"/>
      <c r="H1" s="277" t="s">
        <v>82</v>
      </c>
      <c r="Z1" s="240" t="s">
        <v>83</v>
      </c>
    </row>
    <row r="2" spans="1:26" ht="18.75" customHeight="1">
      <c r="A2" s="502"/>
      <c r="B2" s="502"/>
      <c r="C2" s="502"/>
      <c r="D2" s="502"/>
      <c r="E2" s="506"/>
      <c r="F2" s="506"/>
    </row>
    <row r="3" spans="1:26" ht="24" customHeight="1">
      <c r="A3" s="502"/>
      <c r="B3" s="502"/>
      <c r="C3" s="502"/>
      <c r="D3" s="502"/>
      <c r="E3" s="507">
        <f>SUM(Total_AdhySol,Total_SECUNDARIO_MEDULAR,Total_Cuero,Total_Herrajes,Total_Sint_y_Tex,Total_Suelas,Total_Herramientas,Total_Ins_Compl)</f>
        <v>860</v>
      </c>
      <c r="F3" s="507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4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6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4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3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8" t="s">
        <v>94</v>
      </c>
      <c r="K61" s="279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0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8" t="s">
        <v>94</v>
      </c>
      <c r="K216" s="279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0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0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0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0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0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0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0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0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0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0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2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2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2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2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2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2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0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1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1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1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1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2">
        <v>71</v>
      </c>
      <c r="B299" s="93" t="s">
        <v>318</v>
      </c>
      <c r="C299" s="235" t="s">
        <v>231</v>
      </c>
      <c r="D299" s="236" t="s">
        <v>236</v>
      </c>
      <c r="E299" s="134">
        <v>16471.25</v>
      </c>
      <c r="F299" s="181" t="s">
        <v>236</v>
      </c>
      <c r="G299" s="238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2">
        <v>72</v>
      </c>
      <c r="B300" s="93" t="s">
        <v>319</v>
      </c>
      <c r="C300" s="235" t="s">
        <v>231</v>
      </c>
      <c r="D300" s="236" t="s">
        <v>236</v>
      </c>
      <c r="E300" s="134">
        <v>32931.5</v>
      </c>
      <c r="F300" s="181" t="s">
        <v>236</v>
      </c>
      <c r="G300" s="238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2">
        <v>73</v>
      </c>
      <c r="B301" s="93" t="s">
        <v>320</v>
      </c>
      <c r="C301" s="235" t="s">
        <v>231</v>
      </c>
      <c r="D301" s="236" t="s">
        <v>236</v>
      </c>
      <c r="E301" s="134">
        <v>16209.5</v>
      </c>
      <c r="F301" s="181" t="s">
        <v>236</v>
      </c>
      <c r="G301" s="238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2">
        <v>74</v>
      </c>
      <c r="B302" s="93" t="s">
        <v>321</v>
      </c>
      <c r="C302" s="235" t="s">
        <v>231</v>
      </c>
      <c r="D302" s="236" t="s">
        <v>236</v>
      </c>
      <c r="E302" s="134">
        <v>32417</v>
      </c>
      <c r="F302" s="181" t="s">
        <v>236</v>
      </c>
      <c r="G302" s="238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2">
        <v>75</v>
      </c>
      <c r="B303" s="93" t="s">
        <v>322</v>
      </c>
      <c r="C303" s="235" t="s">
        <v>231</v>
      </c>
      <c r="D303" s="236" t="s">
        <v>236</v>
      </c>
      <c r="E303" s="134">
        <v>50250</v>
      </c>
      <c r="F303" s="181" t="s">
        <v>236</v>
      </c>
      <c r="G303" s="238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2">
        <v>76</v>
      </c>
      <c r="B304" s="38" t="s">
        <v>323</v>
      </c>
      <c r="C304" s="235" t="s">
        <v>231</v>
      </c>
      <c r="D304" s="236" t="s">
        <v>236</v>
      </c>
      <c r="E304" s="134">
        <v>25131.5</v>
      </c>
      <c r="F304" s="181" t="s">
        <v>236</v>
      </c>
      <c r="G304" s="238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2">
        <v>77</v>
      </c>
      <c r="B305" s="93" t="s">
        <v>324</v>
      </c>
      <c r="C305" s="235" t="s">
        <v>231</v>
      </c>
      <c r="D305" s="236" t="s">
        <v>247</v>
      </c>
      <c r="E305" s="134">
        <v>3700</v>
      </c>
      <c r="F305" s="181" t="s">
        <v>250</v>
      </c>
      <c r="G305" s="238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2">
        <v>78</v>
      </c>
      <c r="B306" s="93" t="s">
        <v>325</v>
      </c>
      <c r="C306" s="235" t="s">
        <v>231</v>
      </c>
      <c r="D306" s="236" t="s">
        <v>233</v>
      </c>
      <c r="E306" s="134">
        <v>92</v>
      </c>
      <c r="F306" s="181" t="s">
        <v>233</v>
      </c>
      <c r="G306" s="238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2">
        <v>79</v>
      </c>
      <c r="B307" s="93" t="s">
        <v>326</v>
      </c>
      <c r="C307" s="235" t="s">
        <v>231</v>
      </c>
      <c r="D307" s="236" t="s">
        <v>233</v>
      </c>
      <c r="E307" s="134">
        <v>92</v>
      </c>
      <c r="F307" s="181" t="s">
        <v>233</v>
      </c>
      <c r="G307" s="238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2">
        <v>80</v>
      </c>
      <c r="B308" s="93" t="s">
        <v>327</v>
      </c>
      <c r="C308" s="235" t="s">
        <v>231</v>
      </c>
      <c r="D308" s="236" t="s">
        <v>233</v>
      </c>
      <c r="E308" s="134">
        <v>92</v>
      </c>
      <c r="F308" s="181" t="s">
        <v>233</v>
      </c>
      <c r="G308" s="238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2">
        <v>81</v>
      </c>
      <c r="B309" s="93" t="s">
        <v>328</v>
      </c>
      <c r="C309" s="235" t="s">
        <v>231</v>
      </c>
      <c r="D309" s="236" t="s">
        <v>250</v>
      </c>
      <c r="E309" s="134">
        <v>8591.7999999999993</v>
      </c>
      <c r="F309" s="181" t="s">
        <v>233</v>
      </c>
      <c r="G309" s="238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2">
        <v>82</v>
      </c>
      <c r="B310" s="38" t="s">
        <v>329</v>
      </c>
      <c r="C310" s="235" t="s">
        <v>231</v>
      </c>
      <c r="D310" s="236" t="s">
        <v>233</v>
      </c>
      <c r="E310" s="134">
        <v>10740.701999999999</v>
      </c>
      <c r="F310" s="181" t="s">
        <v>233</v>
      </c>
      <c r="G310" s="238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2">
        <v>83</v>
      </c>
      <c r="B311" s="93" t="s">
        <v>330</v>
      </c>
      <c r="C311" s="235" t="s">
        <v>231</v>
      </c>
      <c r="D311" s="236" t="s">
        <v>233</v>
      </c>
      <c r="E311" s="134">
        <v>28000</v>
      </c>
      <c r="F311" s="181" t="s">
        <v>250</v>
      </c>
      <c r="G311" s="238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2">
        <v>84</v>
      </c>
      <c r="B312" s="93" t="s">
        <v>331</v>
      </c>
      <c r="C312" s="235" t="s">
        <v>231</v>
      </c>
      <c r="D312" s="236" t="s">
        <v>233</v>
      </c>
      <c r="E312" s="134">
        <v>20000</v>
      </c>
      <c r="F312" s="181" t="s">
        <v>250</v>
      </c>
      <c r="G312" s="238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2">
        <v>128</v>
      </c>
      <c r="B313" s="271" t="s">
        <v>332</v>
      </c>
      <c r="C313" s="235" t="s">
        <v>231</v>
      </c>
      <c r="D313" s="236" t="s">
        <v>233</v>
      </c>
      <c r="E313" s="134"/>
      <c r="F313" s="181" t="s">
        <v>234</v>
      </c>
      <c r="G313" s="238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2">
        <v>128</v>
      </c>
      <c r="B314" s="271" t="s">
        <v>333</v>
      </c>
      <c r="C314" s="235" t="s">
        <v>231</v>
      </c>
      <c r="D314" s="236" t="s">
        <v>233</v>
      </c>
      <c r="E314" s="134"/>
      <c r="F314" s="181" t="s">
        <v>234</v>
      </c>
      <c r="G314" s="238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2">
        <v>128</v>
      </c>
      <c r="B315" s="271" t="s">
        <v>334</v>
      </c>
      <c r="C315" s="235" t="s">
        <v>231</v>
      </c>
      <c r="D315" s="236" t="s">
        <v>233</v>
      </c>
      <c r="E315" s="134"/>
      <c r="F315" s="181" t="s">
        <v>234</v>
      </c>
      <c r="G315" s="238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2">
        <v>128</v>
      </c>
      <c r="B316" s="271" t="s">
        <v>335</v>
      </c>
      <c r="C316" s="235" t="s">
        <v>231</v>
      </c>
      <c r="D316" s="236" t="s">
        <v>233</v>
      </c>
      <c r="E316" s="134"/>
      <c r="F316" s="181" t="s">
        <v>234</v>
      </c>
      <c r="G316" s="238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2">
        <v>85</v>
      </c>
      <c r="B317" s="138" t="s">
        <v>336</v>
      </c>
      <c r="C317" s="235" t="s">
        <v>231</v>
      </c>
      <c r="D317" s="236" t="s">
        <v>233</v>
      </c>
      <c r="E317" s="134">
        <v>7000</v>
      </c>
      <c r="F317" s="181" t="s">
        <v>337</v>
      </c>
      <c r="G317" s="238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2">
        <v>128</v>
      </c>
      <c r="B318" s="271" t="s">
        <v>338</v>
      </c>
      <c r="C318" s="235" t="s">
        <v>231</v>
      </c>
      <c r="D318" s="236" t="s">
        <v>233</v>
      </c>
      <c r="E318" s="134"/>
      <c r="F318" s="181" t="s">
        <v>234</v>
      </c>
      <c r="G318" s="238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2">
        <v>128</v>
      </c>
      <c r="B319" s="271" t="s">
        <v>339</v>
      </c>
      <c r="C319" s="235" t="s">
        <v>231</v>
      </c>
      <c r="D319" s="236" t="s">
        <v>233</v>
      </c>
      <c r="E319" s="134"/>
      <c r="F319" s="181" t="s">
        <v>234</v>
      </c>
      <c r="G319" s="238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2">
        <v>128</v>
      </c>
      <c r="B320" s="271" t="s">
        <v>340</v>
      </c>
      <c r="C320" s="235" t="s">
        <v>231</v>
      </c>
      <c r="D320" s="236" t="s">
        <v>233</v>
      </c>
      <c r="E320" s="134"/>
      <c r="F320" s="181" t="s">
        <v>234</v>
      </c>
      <c r="G320" s="238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2">
        <v>128</v>
      </c>
      <c r="B321" s="271" t="s">
        <v>341</v>
      </c>
      <c r="C321" s="235" t="s">
        <v>231</v>
      </c>
      <c r="D321" s="236" t="s">
        <v>233</v>
      </c>
      <c r="E321" s="134"/>
      <c r="F321" s="181" t="s">
        <v>234</v>
      </c>
      <c r="G321" s="238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2">
        <v>128</v>
      </c>
      <c r="B322" s="271" t="s">
        <v>342</v>
      </c>
      <c r="C322" s="235" t="s">
        <v>231</v>
      </c>
      <c r="D322" s="236" t="s">
        <v>233</v>
      </c>
      <c r="E322" s="134"/>
      <c r="F322" s="181" t="s">
        <v>234</v>
      </c>
      <c r="G322" s="238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2">
        <v>128</v>
      </c>
      <c r="B323" s="271" t="s">
        <v>343</v>
      </c>
      <c r="C323" s="235" t="s">
        <v>231</v>
      </c>
      <c r="D323" s="236" t="s">
        <v>233</v>
      </c>
      <c r="E323" s="134"/>
      <c r="F323" s="181" t="s">
        <v>234</v>
      </c>
      <c r="G323" s="238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2">
        <v>128</v>
      </c>
      <c r="B324" s="271" t="s">
        <v>344</v>
      </c>
      <c r="C324" s="235" t="s">
        <v>231</v>
      </c>
      <c r="D324" s="236" t="s">
        <v>233</v>
      </c>
      <c r="E324" s="134"/>
      <c r="F324" s="181" t="s">
        <v>234</v>
      </c>
      <c r="G324" s="238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2">
        <v>86</v>
      </c>
      <c r="B325" s="138" t="s">
        <v>345</v>
      </c>
      <c r="C325" s="235" t="s">
        <v>231</v>
      </c>
      <c r="D325" s="236" t="s">
        <v>247</v>
      </c>
      <c r="E325" s="134">
        <v>12000</v>
      </c>
      <c r="F325" s="181" t="s">
        <v>337</v>
      </c>
      <c r="G325" s="238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2">
        <v>87</v>
      </c>
      <c r="B326" s="138" t="s">
        <v>346</v>
      </c>
      <c r="C326" s="235" t="s">
        <v>231</v>
      </c>
      <c r="D326" s="236" t="s">
        <v>103</v>
      </c>
      <c r="E326" s="134">
        <v>7266.666666666667</v>
      </c>
      <c r="F326" s="181" t="s">
        <v>337</v>
      </c>
      <c r="G326" s="238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2">
        <v>88</v>
      </c>
      <c r="B327" s="138" t="s">
        <v>347</v>
      </c>
      <c r="C327" s="235" t="s">
        <v>231</v>
      </c>
      <c r="D327" s="236" t="s">
        <v>103</v>
      </c>
      <c r="E327" s="134">
        <v>7266.666666666667</v>
      </c>
      <c r="F327" s="181" t="s">
        <v>337</v>
      </c>
      <c r="G327" s="238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2">
        <v>89</v>
      </c>
      <c r="B328" s="138" t="s">
        <v>348</v>
      </c>
      <c r="C328" s="235" t="s">
        <v>231</v>
      </c>
      <c r="D328" s="236" t="s">
        <v>103</v>
      </c>
      <c r="E328" s="134">
        <v>7266.665</v>
      </c>
      <c r="F328" s="181" t="s">
        <v>337</v>
      </c>
      <c r="G328" s="238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2">
        <v>90</v>
      </c>
      <c r="B329" s="138" t="s">
        <v>349</v>
      </c>
      <c r="C329" s="235" t="s">
        <v>231</v>
      </c>
      <c r="D329" s="236" t="s">
        <v>247</v>
      </c>
      <c r="E329" s="134">
        <v>5000</v>
      </c>
      <c r="F329" s="181" t="s">
        <v>337</v>
      </c>
      <c r="G329" s="238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2">
        <v>128</v>
      </c>
      <c r="B330" s="271" t="s">
        <v>350</v>
      </c>
      <c r="C330" s="235" t="s">
        <v>231</v>
      </c>
      <c r="D330" s="236" t="s">
        <v>233</v>
      </c>
      <c r="E330" s="134"/>
      <c r="F330" s="181" t="s">
        <v>234</v>
      </c>
      <c r="G330" s="238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2">
        <v>128</v>
      </c>
      <c r="B331" s="271" t="s">
        <v>351</v>
      </c>
      <c r="C331" s="235" t="s">
        <v>231</v>
      </c>
      <c r="D331" s="236" t="s">
        <v>233</v>
      </c>
      <c r="E331" s="134"/>
      <c r="F331" s="181" t="s">
        <v>234</v>
      </c>
      <c r="G331" s="238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2">
        <v>128</v>
      </c>
      <c r="B332" s="271" t="s">
        <v>352</v>
      </c>
      <c r="C332" s="235" t="s">
        <v>231</v>
      </c>
      <c r="D332" s="236" t="s">
        <v>233</v>
      </c>
      <c r="E332" s="134"/>
      <c r="F332" s="181" t="s">
        <v>234</v>
      </c>
      <c r="G332" s="238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2">
        <v>128</v>
      </c>
      <c r="B333" s="271" t="s">
        <v>353</v>
      </c>
      <c r="C333" s="235" t="s">
        <v>231</v>
      </c>
      <c r="D333" s="236" t="s">
        <v>233</v>
      </c>
      <c r="E333" s="134"/>
      <c r="F333" s="181" t="s">
        <v>234</v>
      </c>
      <c r="G333" s="238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2">
        <v>128</v>
      </c>
      <c r="B334" s="271" t="s">
        <v>354</v>
      </c>
      <c r="C334" s="235" t="s">
        <v>231</v>
      </c>
      <c r="D334" s="236" t="s">
        <v>233</v>
      </c>
      <c r="E334" s="134"/>
      <c r="F334" s="181" t="s">
        <v>234</v>
      </c>
      <c r="G334" s="238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2">
        <v>128</v>
      </c>
      <c r="B335" s="271" t="s">
        <v>355</v>
      </c>
      <c r="C335" s="235" t="s">
        <v>231</v>
      </c>
      <c r="D335" s="236" t="s">
        <v>233</v>
      </c>
      <c r="E335" s="134"/>
      <c r="F335" s="181" t="s">
        <v>234</v>
      </c>
      <c r="G335" s="238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2">
        <v>128</v>
      </c>
      <c r="B336" s="271" t="s">
        <v>356</v>
      </c>
      <c r="C336" s="235" t="s">
        <v>231</v>
      </c>
      <c r="D336" s="236" t="s">
        <v>233</v>
      </c>
      <c r="E336" s="134"/>
      <c r="F336" s="181" t="s">
        <v>234</v>
      </c>
      <c r="G336" s="238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2">
        <v>128</v>
      </c>
      <c r="B337" s="271" t="s">
        <v>357</v>
      </c>
      <c r="C337" s="235" t="s">
        <v>231</v>
      </c>
      <c r="D337" s="236" t="s">
        <v>233</v>
      </c>
      <c r="E337" s="134"/>
      <c r="F337" s="181" t="s">
        <v>234</v>
      </c>
      <c r="G337" s="238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2">
        <v>128</v>
      </c>
      <c r="B338" s="271" t="s">
        <v>358</v>
      </c>
      <c r="C338" s="235" t="s">
        <v>231</v>
      </c>
      <c r="D338" s="236" t="s">
        <v>233</v>
      </c>
      <c r="E338" s="134"/>
      <c r="F338" s="181" t="s">
        <v>234</v>
      </c>
      <c r="G338" s="238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2">
        <v>128</v>
      </c>
      <c r="B339" s="271" t="s">
        <v>359</v>
      </c>
      <c r="C339" s="235" t="s">
        <v>231</v>
      </c>
      <c r="D339" s="236" t="s">
        <v>233</v>
      </c>
      <c r="E339" s="134"/>
      <c r="F339" s="181" t="s">
        <v>234</v>
      </c>
      <c r="G339" s="238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2">
        <v>128</v>
      </c>
      <c r="B340" s="271" t="s">
        <v>360</v>
      </c>
      <c r="C340" s="235" t="s">
        <v>231</v>
      </c>
      <c r="D340" s="236" t="s">
        <v>233</v>
      </c>
      <c r="E340" s="134"/>
      <c r="F340" s="181" t="s">
        <v>234</v>
      </c>
      <c r="G340" s="238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2">
        <v>128</v>
      </c>
      <c r="B341" s="271" t="s">
        <v>361</v>
      </c>
      <c r="C341" s="235" t="s">
        <v>231</v>
      </c>
      <c r="D341" s="236" t="s">
        <v>233</v>
      </c>
      <c r="E341" s="134"/>
      <c r="F341" s="181" t="s">
        <v>234</v>
      </c>
      <c r="G341" s="238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2">
        <v>128</v>
      </c>
      <c r="B342" s="271" t="s">
        <v>362</v>
      </c>
      <c r="C342" s="235" t="s">
        <v>231</v>
      </c>
      <c r="D342" s="236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2">
        <v>128</v>
      </c>
      <c r="B343" s="271" t="s">
        <v>363</v>
      </c>
      <c r="C343" s="235" t="s">
        <v>231</v>
      </c>
      <c r="D343" s="236" t="s">
        <v>233</v>
      </c>
      <c r="E343" s="134"/>
      <c r="F343" s="181" t="s">
        <v>234</v>
      </c>
      <c r="G343" s="238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2">
        <v>128</v>
      </c>
      <c r="B344" s="271" t="s">
        <v>364</v>
      </c>
      <c r="C344" s="235" t="s">
        <v>231</v>
      </c>
      <c r="D344" s="236" t="s">
        <v>233</v>
      </c>
      <c r="E344" s="134"/>
      <c r="F344" s="181" t="s">
        <v>234</v>
      </c>
      <c r="G344" s="238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2">
        <v>128</v>
      </c>
      <c r="B345" s="271" t="s">
        <v>365</v>
      </c>
      <c r="C345" s="235" t="s">
        <v>231</v>
      </c>
      <c r="D345" s="236" t="s">
        <v>233</v>
      </c>
      <c r="E345" s="134"/>
      <c r="F345" s="181" t="s">
        <v>234</v>
      </c>
      <c r="G345" s="238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2">
        <v>128</v>
      </c>
      <c r="B346" s="271" t="s">
        <v>366</v>
      </c>
      <c r="C346" s="235" t="s">
        <v>231</v>
      </c>
      <c r="D346" s="236" t="s">
        <v>233</v>
      </c>
      <c r="E346" s="134"/>
      <c r="F346" s="181" t="s">
        <v>234</v>
      </c>
      <c r="G346" s="238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2">
        <v>128</v>
      </c>
      <c r="B347" s="271" t="s">
        <v>367</v>
      </c>
      <c r="C347" s="235" t="s">
        <v>231</v>
      </c>
      <c r="D347" s="236" t="s">
        <v>233</v>
      </c>
      <c r="E347" s="134"/>
      <c r="F347" s="181" t="s">
        <v>234</v>
      </c>
      <c r="G347" s="238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2">
        <v>128</v>
      </c>
      <c r="B348" s="271" t="s">
        <v>368</v>
      </c>
      <c r="C348" s="235" t="s">
        <v>231</v>
      </c>
      <c r="D348" s="236" t="s">
        <v>233</v>
      </c>
      <c r="E348" s="134"/>
      <c r="F348" s="181" t="s">
        <v>234</v>
      </c>
      <c r="G348" s="238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2">
        <v>91</v>
      </c>
      <c r="B349" s="138" t="s">
        <v>369</v>
      </c>
      <c r="C349" s="235" t="s">
        <v>231</v>
      </c>
      <c r="D349" s="236" t="s">
        <v>233</v>
      </c>
      <c r="E349" s="134">
        <v>7183</v>
      </c>
      <c r="F349" s="181" t="s">
        <v>250</v>
      </c>
      <c r="G349" s="238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2">
        <v>92</v>
      </c>
      <c r="B350" s="138" t="s">
        <v>370</v>
      </c>
      <c r="C350" s="235" t="s">
        <v>231</v>
      </c>
      <c r="D350" s="236" t="s">
        <v>233</v>
      </c>
      <c r="E350" s="134">
        <v>10597</v>
      </c>
      <c r="F350" s="181" t="s">
        <v>250</v>
      </c>
      <c r="G350" s="238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2">
        <v>128</v>
      </c>
      <c r="B351" s="271" t="s">
        <v>371</v>
      </c>
      <c r="C351" s="235" t="s">
        <v>231</v>
      </c>
      <c r="D351" s="236" t="s">
        <v>233</v>
      </c>
      <c r="E351" s="134"/>
      <c r="F351" s="181" t="s">
        <v>234</v>
      </c>
      <c r="G351" s="238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2">
        <v>128</v>
      </c>
      <c r="B352" s="271" t="s">
        <v>372</v>
      </c>
      <c r="C352" s="235" t="s">
        <v>231</v>
      </c>
      <c r="D352" s="236" t="s">
        <v>233</v>
      </c>
      <c r="E352" s="134"/>
      <c r="F352" s="181" t="s">
        <v>234</v>
      </c>
      <c r="G352" s="238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2">
        <v>93</v>
      </c>
      <c r="B353" s="138" t="s">
        <v>373</v>
      </c>
      <c r="C353" s="235" t="s">
        <v>231</v>
      </c>
      <c r="D353" s="236" t="s">
        <v>103</v>
      </c>
      <c r="E353" s="134">
        <v>2866.6666666666665</v>
      </c>
      <c r="F353" s="181" t="s">
        <v>103</v>
      </c>
      <c r="G353" s="238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2">
        <v>94</v>
      </c>
      <c r="B354" s="138" t="s">
        <v>374</v>
      </c>
      <c r="C354" s="235" t="s">
        <v>231</v>
      </c>
      <c r="D354" s="236" t="s">
        <v>103</v>
      </c>
      <c r="E354" s="134">
        <v>2866.6666666666665</v>
      </c>
      <c r="F354" s="181" t="s">
        <v>103</v>
      </c>
      <c r="G354" s="238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2">
        <v>128</v>
      </c>
      <c r="B355" s="271" t="s">
        <v>375</v>
      </c>
      <c r="C355" s="235" t="s">
        <v>231</v>
      </c>
      <c r="D355" s="236" t="s">
        <v>233</v>
      </c>
      <c r="E355" s="134"/>
      <c r="F355" s="181" t="s">
        <v>234</v>
      </c>
      <c r="G355" s="238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2">
        <v>128</v>
      </c>
      <c r="B356" s="271" t="s">
        <v>376</v>
      </c>
      <c r="C356" s="235" t="s">
        <v>231</v>
      </c>
      <c r="D356" s="236" t="s">
        <v>233</v>
      </c>
      <c r="E356" s="134"/>
      <c r="F356" s="181" t="s">
        <v>234</v>
      </c>
      <c r="G356" s="238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2">
        <v>128</v>
      </c>
      <c r="B357" s="271" t="s">
        <v>376</v>
      </c>
      <c r="C357" s="235" t="s">
        <v>231</v>
      </c>
      <c r="D357" s="236" t="s">
        <v>233</v>
      </c>
      <c r="E357" s="134"/>
      <c r="F357" s="181" t="s">
        <v>234</v>
      </c>
      <c r="G357" s="238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2">
        <v>128</v>
      </c>
      <c r="B358" s="271" t="s">
        <v>377</v>
      </c>
      <c r="C358" s="235" t="s">
        <v>231</v>
      </c>
      <c r="D358" s="236" t="s">
        <v>233</v>
      </c>
      <c r="E358" s="134"/>
      <c r="F358" s="181" t="s">
        <v>234</v>
      </c>
      <c r="G358" s="238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2">
        <v>95</v>
      </c>
      <c r="B359" s="138" t="s">
        <v>378</v>
      </c>
      <c r="C359" s="235" t="s">
        <v>231</v>
      </c>
      <c r="D359" s="236" t="s">
        <v>250</v>
      </c>
      <c r="E359" s="134"/>
      <c r="F359" s="181" t="s">
        <v>250</v>
      </c>
      <c r="G359" s="238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2">
        <v>96</v>
      </c>
      <c r="B360" s="138" t="s">
        <v>379</v>
      </c>
      <c r="C360" s="235" t="s">
        <v>231</v>
      </c>
      <c r="D360" s="236" t="s">
        <v>236</v>
      </c>
      <c r="E360" s="134">
        <v>8000</v>
      </c>
      <c r="F360" s="181" t="s">
        <v>250</v>
      </c>
      <c r="G360" s="238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2">
        <v>97</v>
      </c>
      <c r="B361" s="138" t="s">
        <v>380</v>
      </c>
      <c r="C361" s="235" t="s">
        <v>231</v>
      </c>
      <c r="D361" s="236" t="s">
        <v>236</v>
      </c>
      <c r="E361" s="134">
        <v>10000</v>
      </c>
      <c r="F361" s="181" t="s">
        <v>250</v>
      </c>
      <c r="G361" s="238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2">
        <v>98</v>
      </c>
      <c r="B362" s="138" t="s">
        <v>381</v>
      </c>
      <c r="C362" s="235" t="s">
        <v>231</v>
      </c>
      <c r="D362" s="236" t="s">
        <v>236</v>
      </c>
      <c r="E362" s="134">
        <v>10000</v>
      </c>
      <c r="F362" s="181" t="s">
        <v>250</v>
      </c>
      <c r="G362" s="238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2">
        <v>128</v>
      </c>
      <c r="B363" s="271" t="s">
        <v>382</v>
      </c>
      <c r="C363" s="235" t="s">
        <v>231</v>
      </c>
      <c r="D363" s="236" t="s">
        <v>233</v>
      </c>
      <c r="E363" s="134"/>
      <c r="F363" s="181" t="s">
        <v>234</v>
      </c>
      <c r="G363" s="238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2">
        <v>99</v>
      </c>
      <c r="B364" s="138" t="s">
        <v>383</v>
      </c>
      <c r="C364" s="235" t="s">
        <v>231</v>
      </c>
      <c r="D364" s="236" t="s">
        <v>250</v>
      </c>
      <c r="E364" s="134"/>
      <c r="F364" s="181" t="s">
        <v>250</v>
      </c>
      <c r="G364" s="238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2">
        <v>128</v>
      </c>
      <c r="B365" s="271" t="s">
        <v>384</v>
      </c>
      <c r="C365" s="235" t="s">
        <v>231</v>
      </c>
      <c r="D365" s="236" t="s">
        <v>233</v>
      </c>
      <c r="E365" s="134"/>
      <c r="F365" s="181" t="s">
        <v>234</v>
      </c>
      <c r="G365" s="238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2">
        <v>100</v>
      </c>
      <c r="B366" s="138" t="s">
        <v>385</v>
      </c>
      <c r="C366" s="235" t="s">
        <v>231</v>
      </c>
      <c r="D366" s="236" t="s">
        <v>200</v>
      </c>
      <c r="E366" s="134">
        <v>636792</v>
      </c>
      <c r="F366" s="181" t="s">
        <v>103</v>
      </c>
      <c r="G366" s="238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2">
        <v>128</v>
      </c>
      <c r="B367" s="271" t="s">
        <v>386</v>
      </c>
      <c r="C367" s="235" t="s">
        <v>231</v>
      </c>
      <c r="D367" s="236" t="s">
        <v>233</v>
      </c>
      <c r="E367" s="134"/>
      <c r="F367" s="181" t="s">
        <v>234</v>
      </c>
      <c r="G367" s="238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2">
        <v>128</v>
      </c>
      <c r="B368" s="271" t="s">
        <v>387</v>
      </c>
      <c r="C368" s="235" t="s">
        <v>231</v>
      </c>
      <c r="D368" s="236" t="s">
        <v>233</v>
      </c>
      <c r="E368" s="134"/>
      <c r="F368" s="181" t="s">
        <v>234</v>
      </c>
      <c r="G368" s="238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2">
        <v>128</v>
      </c>
      <c r="B369" s="271" t="s">
        <v>388</v>
      </c>
      <c r="C369" s="235" t="s">
        <v>231</v>
      </c>
      <c r="D369" s="236" t="s">
        <v>233</v>
      </c>
      <c r="E369" s="134"/>
      <c r="F369" s="181" t="s">
        <v>234</v>
      </c>
      <c r="G369" s="238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2">
        <v>128</v>
      </c>
      <c r="B370" s="271" t="s">
        <v>389</v>
      </c>
      <c r="C370" s="235" t="s">
        <v>231</v>
      </c>
      <c r="D370" s="236" t="s">
        <v>233</v>
      </c>
      <c r="E370" s="134"/>
      <c r="F370" s="181" t="s">
        <v>234</v>
      </c>
      <c r="G370" s="238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2">
        <v>128</v>
      </c>
      <c r="B371" s="271" t="s">
        <v>390</v>
      </c>
      <c r="C371" s="235" t="s">
        <v>231</v>
      </c>
      <c r="D371" s="236" t="s">
        <v>233</v>
      </c>
      <c r="E371" s="134"/>
      <c r="F371" s="181" t="s">
        <v>234</v>
      </c>
      <c r="G371" s="238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2">
        <v>128</v>
      </c>
      <c r="B372" s="271" t="s">
        <v>391</v>
      </c>
      <c r="C372" s="235" t="s">
        <v>231</v>
      </c>
      <c r="D372" s="236" t="s">
        <v>233</v>
      </c>
      <c r="E372" s="134"/>
      <c r="F372" s="181" t="s">
        <v>234</v>
      </c>
      <c r="G372" s="238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2">
        <v>128</v>
      </c>
      <c r="B373" s="271" t="s">
        <v>392</v>
      </c>
      <c r="C373" s="235" t="s">
        <v>231</v>
      </c>
      <c r="D373" s="236" t="s">
        <v>233</v>
      </c>
      <c r="E373" s="134"/>
      <c r="F373" s="181" t="s">
        <v>234</v>
      </c>
      <c r="G373" s="238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2">
        <v>128</v>
      </c>
      <c r="B374" s="271" t="s">
        <v>393</v>
      </c>
      <c r="C374" s="235" t="s">
        <v>231</v>
      </c>
      <c r="D374" s="236" t="s">
        <v>233</v>
      </c>
      <c r="E374" s="134"/>
      <c r="F374" s="181" t="s">
        <v>234</v>
      </c>
      <c r="G374" s="238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2">
        <v>128</v>
      </c>
      <c r="B375" s="271" t="s">
        <v>394</v>
      </c>
      <c r="C375" s="235" t="s">
        <v>231</v>
      </c>
      <c r="D375" s="236" t="s">
        <v>233</v>
      </c>
      <c r="E375" s="134"/>
      <c r="F375" s="181" t="s">
        <v>234</v>
      </c>
      <c r="G375" s="238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2">
        <v>128</v>
      </c>
      <c r="B376" s="271" t="s">
        <v>395</v>
      </c>
      <c r="C376" s="235" t="s">
        <v>231</v>
      </c>
      <c r="D376" s="236" t="s">
        <v>233</v>
      </c>
      <c r="E376" s="134"/>
      <c r="F376" s="181" t="s">
        <v>234</v>
      </c>
      <c r="G376" s="238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2">
        <v>128</v>
      </c>
      <c r="B377" s="271" t="s">
        <v>396</v>
      </c>
      <c r="C377" s="235" t="s">
        <v>231</v>
      </c>
      <c r="D377" s="236" t="s">
        <v>233</v>
      </c>
      <c r="E377" s="134"/>
      <c r="F377" s="181" t="s">
        <v>234</v>
      </c>
      <c r="G377" s="238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2">
        <v>128</v>
      </c>
      <c r="B378" s="271" t="s">
        <v>397</v>
      </c>
      <c r="C378" s="235" t="s">
        <v>231</v>
      </c>
      <c r="D378" s="236" t="s">
        <v>233</v>
      </c>
      <c r="E378" s="134"/>
      <c r="F378" s="181" t="s">
        <v>234</v>
      </c>
      <c r="G378" s="238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2">
        <v>128</v>
      </c>
      <c r="B379" s="271" t="s">
        <v>398</v>
      </c>
      <c r="C379" s="235" t="s">
        <v>231</v>
      </c>
      <c r="D379" s="236" t="s">
        <v>233</v>
      </c>
      <c r="E379" s="134"/>
      <c r="F379" s="181" t="s">
        <v>234</v>
      </c>
      <c r="G379" s="238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2">
        <v>128</v>
      </c>
      <c r="B380" s="271" t="s">
        <v>399</v>
      </c>
      <c r="C380" s="235" t="s">
        <v>231</v>
      </c>
      <c r="D380" s="236" t="s">
        <v>233</v>
      </c>
      <c r="E380" s="134"/>
      <c r="F380" s="181" t="s">
        <v>234</v>
      </c>
      <c r="G380" s="238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2">
        <v>128</v>
      </c>
      <c r="B381" s="271" t="s">
        <v>400</v>
      </c>
      <c r="C381" s="235" t="s">
        <v>231</v>
      </c>
      <c r="D381" s="236" t="s">
        <v>233</v>
      </c>
      <c r="E381" s="134"/>
      <c r="F381" s="181" t="s">
        <v>234</v>
      </c>
      <c r="G381" s="238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2">
        <v>128</v>
      </c>
      <c r="B382" s="271" t="s">
        <v>401</v>
      </c>
      <c r="C382" s="235" t="s">
        <v>231</v>
      </c>
      <c r="D382" s="236" t="s">
        <v>233</v>
      </c>
      <c r="E382" s="134"/>
      <c r="F382" s="181" t="s">
        <v>234</v>
      </c>
      <c r="G382" s="238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2">
        <v>128</v>
      </c>
      <c r="B383" s="271" t="s">
        <v>402</v>
      </c>
      <c r="C383" s="235" t="s">
        <v>231</v>
      </c>
      <c r="D383" s="236" t="s">
        <v>233</v>
      </c>
      <c r="E383" s="134"/>
      <c r="F383" s="181" t="s">
        <v>234</v>
      </c>
      <c r="G383" s="238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2">
        <v>128</v>
      </c>
      <c r="B384" s="271" t="s">
        <v>403</v>
      </c>
      <c r="C384" s="235" t="s">
        <v>231</v>
      </c>
      <c r="D384" s="236" t="s">
        <v>233</v>
      </c>
      <c r="E384" s="134"/>
      <c r="F384" s="181" t="s">
        <v>234</v>
      </c>
      <c r="G384" s="238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2">
        <v>101</v>
      </c>
      <c r="B385" s="138" t="s">
        <v>404</v>
      </c>
      <c r="C385" s="235" t="s">
        <v>231</v>
      </c>
      <c r="D385" s="236" t="s">
        <v>234</v>
      </c>
      <c r="E385" s="134">
        <v>28.18</v>
      </c>
      <c r="F385" s="181" t="s">
        <v>234</v>
      </c>
      <c r="G385" s="238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2">
        <v>102</v>
      </c>
      <c r="B386" s="138" t="s">
        <v>405</v>
      </c>
      <c r="C386" s="235" t="s">
        <v>231</v>
      </c>
      <c r="D386" s="236" t="s">
        <v>234</v>
      </c>
      <c r="E386" s="134">
        <v>2700</v>
      </c>
      <c r="F386" s="181" t="s">
        <v>234</v>
      </c>
      <c r="G386" s="238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2">
        <v>103</v>
      </c>
      <c r="B387" s="138" t="s">
        <v>406</v>
      </c>
      <c r="C387" s="235" t="s">
        <v>231</v>
      </c>
      <c r="D387" s="236" t="s">
        <v>234</v>
      </c>
      <c r="E387" s="134">
        <v>18.53</v>
      </c>
      <c r="F387" s="181" t="s">
        <v>234</v>
      </c>
      <c r="G387" s="238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2">
        <v>128</v>
      </c>
      <c r="B388" s="271" t="s">
        <v>407</v>
      </c>
      <c r="C388" s="235" t="s">
        <v>231</v>
      </c>
      <c r="D388" s="236" t="s">
        <v>233</v>
      </c>
      <c r="E388" s="134"/>
      <c r="F388" s="181" t="s">
        <v>234</v>
      </c>
      <c r="G388" s="238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2">
        <v>104</v>
      </c>
      <c r="B389" s="138" t="s">
        <v>408</v>
      </c>
      <c r="C389" s="235" t="s">
        <v>231</v>
      </c>
      <c r="D389" s="236" t="s">
        <v>233</v>
      </c>
      <c r="E389" s="134">
        <v>1800</v>
      </c>
      <c r="F389" s="181" t="s">
        <v>234</v>
      </c>
      <c r="G389" s="238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2">
        <v>105</v>
      </c>
      <c r="B390" s="138" t="s">
        <v>409</v>
      </c>
      <c r="C390" s="235" t="s">
        <v>231</v>
      </c>
      <c r="D390" s="236" t="s">
        <v>233</v>
      </c>
      <c r="E390" s="134">
        <v>1057</v>
      </c>
      <c r="F390" s="181" t="s">
        <v>233</v>
      </c>
      <c r="G390" s="238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2">
        <v>106</v>
      </c>
      <c r="B391" s="138" t="s">
        <v>410</v>
      </c>
      <c r="C391" s="235" t="s">
        <v>231</v>
      </c>
      <c r="D391" s="236" t="s">
        <v>234</v>
      </c>
      <c r="E391" s="134">
        <v>18.53</v>
      </c>
      <c r="F391" s="181" t="s">
        <v>234</v>
      </c>
      <c r="G391" s="238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2">
        <v>107</v>
      </c>
      <c r="B392" s="138" t="s">
        <v>411</v>
      </c>
      <c r="C392" s="235" t="s">
        <v>231</v>
      </c>
      <c r="D392" s="236" t="s">
        <v>234</v>
      </c>
      <c r="E392" s="134">
        <v>22.8</v>
      </c>
      <c r="F392" s="181" t="s">
        <v>234</v>
      </c>
      <c r="G392" s="238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2">
        <v>108</v>
      </c>
      <c r="B393" s="138" t="s">
        <v>412</v>
      </c>
      <c r="C393" s="235" t="s">
        <v>231</v>
      </c>
      <c r="D393" s="236" t="s">
        <v>234</v>
      </c>
      <c r="E393" s="134">
        <v>22.8</v>
      </c>
      <c r="F393" s="181" t="s">
        <v>234</v>
      </c>
      <c r="G393" s="238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2">
        <v>109</v>
      </c>
      <c r="B394" s="138" t="s">
        <v>413</v>
      </c>
      <c r="C394" s="235" t="s">
        <v>231</v>
      </c>
      <c r="D394" s="236" t="s">
        <v>234</v>
      </c>
      <c r="E394" s="134">
        <v>14.73</v>
      </c>
      <c r="F394" s="181" t="s">
        <v>234</v>
      </c>
      <c r="G394" s="238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2">
        <v>110</v>
      </c>
      <c r="B395" s="138" t="s">
        <v>414</v>
      </c>
      <c r="C395" s="235" t="s">
        <v>231</v>
      </c>
      <c r="D395" s="236" t="s">
        <v>234</v>
      </c>
      <c r="E395" s="134">
        <v>14.73</v>
      </c>
      <c r="F395" s="181" t="s">
        <v>234</v>
      </c>
      <c r="G395" s="238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2">
        <v>128</v>
      </c>
      <c r="B396" s="271" t="s">
        <v>415</v>
      </c>
      <c r="C396" s="235" t="s">
        <v>231</v>
      </c>
      <c r="D396" s="236" t="s">
        <v>233</v>
      </c>
      <c r="E396" s="134"/>
      <c r="F396" s="181" t="s">
        <v>234</v>
      </c>
      <c r="G396" s="238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2">
        <v>128</v>
      </c>
      <c r="B397" s="271" t="s">
        <v>416</v>
      </c>
      <c r="C397" s="235" t="s">
        <v>231</v>
      </c>
      <c r="D397" s="236" t="s">
        <v>233</v>
      </c>
      <c r="E397" s="134"/>
      <c r="F397" s="181" t="s">
        <v>234</v>
      </c>
      <c r="G397" s="238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2">
        <v>128</v>
      </c>
      <c r="B398" s="271" t="s">
        <v>417</v>
      </c>
      <c r="C398" s="235" t="s">
        <v>231</v>
      </c>
      <c r="D398" s="236" t="s">
        <v>233</v>
      </c>
      <c r="E398" s="134"/>
      <c r="F398" s="181" t="s">
        <v>234</v>
      </c>
      <c r="G398" s="238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2">
        <v>128</v>
      </c>
      <c r="B399" s="271" t="s">
        <v>418</v>
      </c>
      <c r="C399" s="235" t="s">
        <v>231</v>
      </c>
      <c r="D399" s="236" t="s">
        <v>233</v>
      </c>
      <c r="E399" s="134"/>
      <c r="F399" s="181" t="s">
        <v>234</v>
      </c>
      <c r="G399" s="238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2">
        <v>128</v>
      </c>
      <c r="B400" s="271" t="s">
        <v>419</v>
      </c>
      <c r="C400" s="235" t="s">
        <v>231</v>
      </c>
      <c r="D400" s="236" t="s">
        <v>233</v>
      </c>
      <c r="E400" s="134"/>
      <c r="F400" s="181" t="s">
        <v>234</v>
      </c>
      <c r="G400" s="238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2">
        <v>128</v>
      </c>
      <c r="B401" s="271" t="s">
        <v>420</v>
      </c>
      <c r="C401" s="235" t="s">
        <v>231</v>
      </c>
      <c r="D401" s="236" t="s">
        <v>233</v>
      </c>
      <c r="E401" s="134"/>
      <c r="F401" s="181" t="s">
        <v>234</v>
      </c>
      <c r="G401" s="238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2">
        <v>128</v>
      </c>
      <c r="B402" s="271" t="s">
        <v>421</v>
      </c>
      <c r="C402" s="235" t="s">
        <v>231</v>
      </c>
      <c r="D402" s="236" t="s">
        <v>233</v>
      </c>
      <c r="E402" s="134"/>
      <c r="F402" s="181" t="s">
        <v>234</v>
      </c>
      <c r="G402" s="238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2">
        <v>128</v>
      </c>
      <c r="B403" s="271" t="s">
        <v>422</v>
      </c>
      <c r="C403" s="235" t="s">
        <v>231</v>
      </c>
      <c r="D403" s="236" t="s">
        <v>233</v>
      </c>
      <c r="E403" s="134"/>
      <c r="F403" s="181" t="s">
        <v>234</v>
      </c>
      <c r="G403" s="238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2">
        <v>128</v>
      </c>
      <c r="B404" s="271" t="s">
        <v>423</v>
      </c>
      <c r="C404" s="235" t="s">
        <v>231</v>
      </c>
      <c r="D404" s="236" t="s">
        <v>233</v>
      </c>
      <c r="E404" s="134"/>
      <c r="F404" s="181" t="s">
        <v>234</v>
      </c>
      <c r="G404" s="238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2">
        <v>128</v>
      </c>
      <c r="B405" s="271" t="s">
        <v>424</v>
      </c>
      <c r="C405" s="235" t="s">
        <v>231</v>
      </c>
      <c r="D405" s="236" t="s">
        <v>233</v>
      </c>
      <c r="E405" s="134"/>
      <c r="F405" s="181" t="s">
        <v>234</v>
      </c>
      <c r="G405" s="238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2">
        <v>128</v>
      </c>
      <c r="B406" s="271" t="s">
        <v>425</v>
      </c>
      <c r="C406" s="235" t="s">
        <v>231</v>
      </c>
      <c r="D406" s="236" t="s">
        <v>233</v>
      </c>
      <c r="E406" s="134"/>
      <c r="F406" s="181" t="s">
        <v>234</v>
      </c>
      <c r="G406" s="238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2">
        <v>128</v>
      </c>
      <c r="B407" s="271" t="s">
        <v>426</v>
      </c>
      <c r="C407" s="235" t="s">
        <v>231</v>
      </c>
      <c r="D407" s="236" t="s">
        <v>233</v>
      </c>
      <c r="E407" s="134"/>
      <c r="F407" s="181" t="s">
        <v>234</v>
      </c>
      <c r="G407" s="238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2">
        <v>128</v>
      </c>
      <c r="B408" s="271" t="s">
        <v>427</v>
      </c>
      <c r="C408" s="235" t="s">
        <v>231</v>
      </c>
      <c r="D408" s="236" t="s">
        <v>233</v>
      </c>
      <c r="E408" s="134"/>
      <c r="F408" s="181" t="s">
        <v>234</v>
      </c>
      <c r="G408" s="238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2">
        <v>111</v>
      </c>
      <c r="B409" s="138" t="s">
        <v>428</v>
      </c>
      <c r="C409" s="235" t="s">
        <v>231</v>
      </c>
      <c r="D409" s="236" t="s">
        <v>233</v>
      </c>
      <c r="E409" s="134">
        <v>819.99999999999989</v>
      </c>
      <c r="F409" s="181" t="s">
        <v>233</v>
      </c>
      <c r="G409" s="238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2">
        <v>112</v>
      </c>
      <c r="B410" s="138" t="s">
        <v>429</v>
      </c>
      <c r="C410" s="235" t="s">
        <v>231</v>
      </c>
      <c r="D410" s="236" t="s">
        <v>233</v>
      </c>
      <c r="E410" s="134">
        <v>1170</v>
      </c>
      <c r="F410" s="181" t="s">
        <v>233</v>
      </c>
      <c r="G410" s="238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2">
        <v>113</v>
      </c>
      <c r="B411" s="138" t="s">
        <v>430</v>
      </c>
      <c r="C411" s="235" t="s">
        <v>231</v>
      </c>
      <c r="D411" s="236" t="s">
        <v>233</v>
      </c>
      <c r="E411" s="134">
        <v>8000</v>
      </c>
      <c r="F411" s="181" t="s">
        <v>250</v>
      </c>
      <c r="G411" s="238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2">
        <v>114</v>
      </c>
      <c r="B412" s="138" t="s">
        <v>431</v>
      </c>
      <c r="C412" s="235" t="s">
        <v>231</v>
      </c>
      <c r="D412" s="236" t="s">
        <v>233</v>
      </c>
      <c r="E412" s="134">
        <v>11000</v>
      </c>
      <c r="F412" s="181" t="s">
        <v>250</v>
      </c>
      <c r="G412" s="238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2">
        <v>115</v>
      </c>
      <c r="B413" s="138" t="s">
        <v>432</v>
      </c>
      <c r="C413" s="235" t="s">
        <v>231</v>
      </c>
      <c r="D413" s="236" t="s">
        <v>233</v>
      </c>
      <c r="E413" s="134">
        <v>10858</v>
      </c>
      <c r="F413" s="181" t="s">
        <v>250</v>
      </c>
      <c r="G413" s="238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2">
        <v>116</v>
      </c>
      <c r="B414" s="138" t="s">
        <v>433</v>
      </c>
      <c r="C414" s="235" t="s">
        <v>231</v>
      </c>
      <c r="D414" s="236" t="s">
        <v>233</v>
      </c>
      <c r="E414" s="134">
        <v>13999.16</v>
      </c>
      <c r="F414" s="181" t="s">
        <v>233</v>
      </c>
      <c r="G414" s="238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2">
        <v>117</v>
      </c>
      <c r="B415" s="138" t="s">
        <v>434</v>
      </c>
      <c r="C415" s="235" t="s">
        <v>231</v>
      </c>
      <c r="D415" s="236" t="s">
        <v>236</v>
      </c>
      <c r="E415" s="134"/>
      <c r="F415" s="181" t="s">
        <v>234</v>
      </c>
      <c r="G415" s="238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2">
        <v>128</v>
      </c>
      <c r="B416" s="271" t="s">
        <v>435</v>
      </c>
      <c r="C416" s="235" t="s">
        <v>231</v>
      </c>
      <c r="D416" s="236" t="s">
        <v>233</v>
      </c>
      <c r="E416" s="134"/>
      <c r="F416" s="181" t="s">
        <v>234</v>
      </c>
      <c r="G416" s="238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2">
        <v>128</v>
      </c>
      <c r="B417" s="271" t="s">
        <v>436</v>
      </c>
      <c r="C417" s="235" t="s">
        <v>231</v>
      </c>
      <c r="D417" s="236" t="s">
        <v>233</v>
      </c>
      <c r="E417" s="134"/>
      <c r="F417" s="181" t="s">
        <v>234</v>
      </c>
      <c r="G417" s="238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2">
        <v>128</v>
      </c>
      <c r="B418" s="271" t="s">
        <v>437</v>
      </c>
      <c r="C418" s="235" t="s">
        <v>231</v>
      </c>
      <c r="D418" s="236" t="s">
        <v>233</v>
      </c>
      <c r="E418" s="134"/>
      <c r="F418" s="181" t="s">
        <v>234</v>
      </c>
      <c r="G418" s="238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2">
        <v>118</v>
      </c>
      <c r="B419" s="138" t="s">
        <v>438</v>
      </c>
      <c r="C419" s="235" t="s">
        <v>231</v>
      </c>
      <c r="D419" s="236" t="s">
        <v>250</v>
      </c>
      <c r="E419" s="134"/>
      <c r="F419" s="181" t="s">
        <v>250</v>
      </c>
      <c r="G419" s="238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2">
        <v>119</v>
      </c>
      <c r="B420" s="138" t="s">
        <v>439</v>
      </c>
      <c r="C420" s="235" t="s">
        <v>231</v>
      </c>
      <c r="D420" s="236" t="s">
        <v>250</v>
      </c>
      <c r="E420" s="134"/>
      <c r="F420" s="181" t="s">
        <v>250</v>
      </c>
      <c r="G420" s="238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2">
        <v>120</v>
      </c>
      <c r="B421" s="138" t="s">
        <v>440</v>
      </c>
      <c r="C421" s="235" t="s">
        <v>231</v>
      </c>
      <c r="D421" s="236" t="s">
        <v>441</v>
      </c>
      <c r="E421" s="134"/>
      <c r="F421" s="181" t="s">
        <v>441</v>
      </c>
      <c r="G421" s="238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2">
        <v>121</v>
      </c>
      <c r="B422" s="138" t="s">
        <v>442</v>
      </c>
      <c r="C422" s="235" t="s">
        <v>231</v>
      </c>
      <c r="D422" s="236" t="s">
        <v>210</v>
      </c>
      <c r="E422" s="134">
        <v>4776.666666666667</v>
      </c>
      <c r="F422" s="181" t="s">
        <v>103</v>
      </c>
      <c r="G422" s="238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2">
        <v>122</v>
      </c>
      <c r="B423" s="138" t="s">
        <v>443</v>
      </c>
      <c r="C423" s="235" t="s">
        <v>231</v>
      </c>
      <c r="D423" s="236" t="s">
        <v>233</v>
      </c>
      <c r="E423" s="134">
        <v>1035.3</v>
      </c>
      <c r="F423" s="181" t="s">
        <v>233</v>
      </c>
      <c r="G423" s="238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2">
        <v>128</v>
      </c>
      <c r="B424" s="271" t="s">
        <v>444</v>
      </c>
      <c r="C424" s="235" t="s">
        <v>231</v>
      </c>
      <c r="D424" s="236" t="s">
        <v>233</v>
      </c>
      <c r="E424" s="134"/>
      <c r="F424" s="181" t="s">
        <v>234</v>
      </c>
      <c r="G424" s="238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2">
        <v>123</v>
      </c>
      <c r="B425" s="138" t="s">
        <v>445</v>
      </c>
      <c r="C425" s="235" t="s">
        <v>231</v>
      </c>
      <c r="D425" s="236" t="s">
        <v>247</v>
      </c>
      <c r="E425" s="134">
        <v>700</v>
      </c>
      <c r="F425" s="181" t="s">
        <v>234</v>
      </c>
      <c r="G425" s="238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2">
        <v>124</v>
      </c>
      <c r="B426" s="138" t="s">
        <v>446</v>
      </c>
      <c r="C426" s="235" t="s">
        <v>231</v>
      </c>
      <c r="D426" s="236" t="s">
        <v>247</v>
      </c>
      <c r="E426" s="134">
        <v>1100</v>
      </c>
      <c r="F426" s="181" t="s">
        <v>234</v>
      </c>
      <c r="G426" s="238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2">
        <v>125</v>
      </c>
      <c r="B427" s="138" t="s">
        <v>447</v>
      </c>
      <c r="C427" s="235" t="s">
        <v>231</v>
      </c>
      <c r="D427" s="236" t="s">
        <v>234</v>
      </c>
      <c r="E427" s="134">
        <v>1000</v>
      </c>
      <c r="F427" s="181" t="s">
        <v>234</v>
      </c>
      <c r="G427" s="238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2">
        <v>126</v>
      </c>
      <c r="B428" s="138" t="s">
        <v>448</v>
      </c>
      <c r="C428" s="235" t="s">
        <v>231</v>
      </c>
      <c r="D428" s="236" t="s">
        <v>233</v>
      </c>
      <c r="E428" s="134">
        <v>700</v>
      </c>
      <c r="F428" s="181" t="s">
        <v>234</v>
      </c>
      <c r="G428" s="238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2">
        <v>127</v>
      </c>
      <c r="B429" s="138" t="s">
        <v>449</v>
      </c>
      <c r="C429" s="235" t="s">
        <v>231</v>
      </c>
      <c r="D429" s="236" t="s">
        <v>233</v>
      </c>
      <c r="E429" s="134">
        <v>84</v>
      </c>
      <c r="F429" s="181" t="s">
        <v>234</v>
      </c>
      <c r="G429" s="238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2">
        <v>128</v>
      </c>
      <c r="B430" s="138" t="s">
        <v>450</v>
      </c>
      <c r="C430" s="235" t="s">
        <v>231</v>
      </c>
      <c r="D430" s="236" t="s">
        <v>233</v>
      </c>
      <c r="E430" s="134">
        <v>10780</v>
      </c>
      <c r="F430" s="181" t="s">
        <v>250</v>
      </c>
      <c r="G430" s="238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5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3">
        <f>SUBTOTAL(3,(B614:B638))</f>
        <v>25</v>
      </c>
      <c r="C612" s="505"/>
      <c r="D612" s="505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8" t="s">
        <v>94</v>
      </c>
      <c r="K613" s="279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1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6">
        <f>SUBTOTAL(3,(B660:B1080))</f>
        <v>421</v>
      </c>
      <c r="C658" s="508"/>
      <c r="D658" s="50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8" t="s">
        <v>94</v>
      </c>
      <c r="K659" s="279" t="s">
        <v>95</v>
      </c>
    </row>
    <row r="660" spans="1:11" ht="15" customHeight="1">
      <c r="A660" s="41">
        <v>1</v>
      </c>
      <c r="B660" s="218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8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8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8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8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8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8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8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4">
        <f>SUBTOTAL(3,(B1109:B1151))</f>
        <v>43</v>
      </c>
      <c r="C1107" s="505"/>
      <c r="D1107" s="505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6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4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4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4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4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4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4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1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5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5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5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5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5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10"/>
      <c r="D1166" s="509"/>
      <c r="E1166"/>
      <c r="F1166" s="177"/>
      <c r="H1166"/>
      <c r="I1166"/>
    </row>
    <row r="1167" spans="1:11" ht="24" thickBot="1">
      <c r="A1167" s="125" t="s">
        <v>84</v>
      </c>
      <c r="B1167" s="286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6" t="s">
        <v>95</v>
      </c>
    </row>
    <row r="1169" spans="1:11">
      <c r="A1169" s="79">
        <v>1</v>
      </c>
      <c r="B1169" s="273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3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3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3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3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3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0">
        <f>A1174+1</f>
        <v>7</v>
      </c>
      <c r="B1175" s="273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0">
        <f t="shared" ref="A1176:A1230" si="33">A1175+1</f>
        <v>8</v>
      </c>
      <c r="B1176" s="269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0">
        <f t="shared" si="33"/>
        <v>9</v>
      </c>
      <c r="B1177" s="287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7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0">
        <f t="shared" si="33"/>
        <v>10</v>
      </c>
      <c r="B1178" s="287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7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0">
        <f t="shared" si="33"/>
        <v>11</v>
      </c>
      <c r="B1179" s="269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7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0">
        <f t="shared" si="33"/>
        <v>12</v>
      </c>
      <c r="B1180" s="269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7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0">
        <f t="shared" si="33"/>
        <v>13</v>
      </c>
      <c r="B1181" s="269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7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0">
        <f t="shared" si="33"/>
        <v>14</v>
      </c>
      <c r="B1182" s="269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7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0">
        <f t="shared" si="33"/>
        <v>15</v>
      </c>
      <c r="B1183" s="269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7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0">
        <f t="shared" si="33"/>
        <v>16</v>
      </c>
      <c r="B1184" s="269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7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0">
        <f t="shared" si="33"/>
        <v>17</v>
      </c>
      <c r="B1185" s="269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7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0">
        <f t="shared" si="33"/>
        <v>18</v>
      </c>
      <c r="B1186" s="269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7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0">
        <f t="shared" si="33"/>
        <v>19</v>
      </c>
      <c r="B1187" s="269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7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0">
        <f t="shared" si="33"/>
        <v>20</v>
      </c>
      <c r="B1188" s="269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7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0">
        <f t="shared" si="33"/>
        <v>21</v>
      </c>
      <c r="B1189" s="269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7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0">
        <f t="shared" si="33"/>
        <v>22</v>
      </c>
      <c r="B1190" s="269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7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0">
        <f t="shared" si="33"/>
        <v>23</v>
      </c>
      <c r="B1191" s="269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7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0">
        <f t="shared" si="33"/>
        <v>24</v>
      </c>
      <c r="B1192" s="269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7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0">
        <f t="shared" si="33"/>
        <v>25</v>
      </c>
      <c r="B1193" s="269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7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0">
        <f t="shared" si="33"/>
        <v>26</v>
      </c>
      <c r="B1194" s="269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7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0">
        <f t="shared" si="33"/>
        <v>27</v>
      </c>
      <c r="B1195" s="269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7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0">
        <f t="shared" si="33"/>
        <v>28</v>
      </c>
      <c r="B1196" s="269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7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0">
        <f t="shared" si="33"/>
        <v>29</v>
      </c>
      <c r="B1197" s="269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7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0">
        <f t="shared" si="33"/>
        <v>30</v>
      </c>
      <c r="B1198" s="269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7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0">
        <f t="shared" si="33"/>
        <v>31</v>
      </c>
      <c r="B1199" s="269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7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0">
        <f t="shared" si="33"/>
        <v>32</v>
      </c>
      <c r="B1200" s="269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7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0">
        <f t="shared" si="33"/>
        <v>33</v>
      </c>
      <c r="B1201" s="269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7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0">
        <f t="shared" si="33"/>
        <v>34</v>
      </c>
      <c r="B1202" s="269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7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0">
        <f t="shared" si="33"/>
        <v>35</v>
      </c>
      <c r="B1203" s="269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7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0">
        <f t="shared" si="33"/>
        <v>36</v>
      </c>
      <c r="B1204" s="269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7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0">
        <f t="shared" si="33"/>
        <v>37</v>
      </c>
      <c r="B1205" s="269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7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0">
        <f t="shared" si="33"/>
        <v>38</v>
      </c>
      <c r="B1206" s="269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7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0">
        <f t="shared" si="33"/>
        <v>39</v>
      </c>
      <c r="B1207" s="269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7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0">
        <f t="shared" si="33"/>
        <v>40</v>
      </c>
      <c r="B1208" s="269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7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0">
        <f t="shared" si="33"/>
        <v>41</v>
      </c>
      <c r="B1209" s="269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7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0">
        <f t="shared" si="33"/>
        <v>42</v>
      </c>
      <c r="B1210" s="269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7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0">
        <f t="shared" si="33"/>
        <v>43</v>
      </c>
      <c r="B1211" s="269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7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0">
        <f t="shared" si="33"/>
        <v>44</v>
      </c>
      <c r="B1212" s="269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7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0">
        <f t="shared" si="33"/>
        <v>45</v>
      </c>
      <c r="B1213" s="269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7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0">
        <f t="shared" si="33"/>
        <v>46</v>
      </c>
      <c r="B1214" s="269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7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0">
        <f t="shared" si="33"/>
        <v>47</v>
      </c>
      <c r="B1215" s="269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7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0">
        <f t="shared" si="33"/>
        <v>48</v>
      </c>
      <c r="B1216" s="269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7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0">
        <f t="shared" si="33"/>
        <v>49</v>
      </c>
      <c r="B1217" s="269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7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0">
        <f t="shared" si="33"/>
        <v>50</v>
      </c>
      <c r="B1218" s="269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7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0">
        <f t="shared" si="33"/>
        <v>51</v>
      </c>
      <c r="B1219" s="269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7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0">
        <f t="shared" si="33"/>
        <v>52</v>
      </c>
      <c r="B1220" s="269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7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0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7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0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0">
        <f t="shared" si="33"/>
        <v>55</v>
      </c>
      <c r="B1223" s="218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7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0">
        <f t="shared" si="33"/>
        <v>56</v>
      </c>
      <c r="B1224" s="218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7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0">
        <f t="shared" si="33"/>
        <v>57</v>
      </c>
      <c r="B1225" s="218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7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0">
        <f t="shared" si="33"/>
        <v>58</v>
      </c>
      <c r="B1226" s="218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7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0">
        <f t="shared" si="33"/>
        <v>59</v>
      </c>
      <c r="B1227" s="218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7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0">
        <f t="shared" si="33"/>
        <v>60</v>
      </c>
      <c r="B1228" s="218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7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0">
        <f t="shared" si="33"/>
        <v>61</v>
      </c>
      <c r="B1229" s="218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7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0">
        <f t="shared" si="33"/>
        <v>62</v>
      </c>
      <c r="B1230" s="218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8">
        <f>SUBTOTAL(3,(B1277:B1316))</f>
        <v>40</v>
      </c>
      <c r="C1275" s="505"/>
      <c r="D1275" s="505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6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3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3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3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3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3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3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3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3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3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3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3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3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3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0">
        <v>1</v>
      </c>
      <c r="I1298" s="290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3" t="s">
        <v>1035</v>
      </c>
      <c r="C1299" s="235" t="s">
        <v>1013</v>
      </c>
      <c r="D1299" s="236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3" t="s">
        <v>1036</v>
      </c>
      <c r="C1300" s="235" t="s">
        <v>1013</v>
      </c>
      <c r="D1300" s="236" t="s">
        <v>103</v>
      </c>
      <c r="E1300" s="134"/>
      <c r="F1300" s="48" t="s">
        <v>103</v>
      </c>
      <c r="G1300" s="237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5" t="s">
        <v>1013</v>
      </c>
      <c r="D1301" s="236" t="s">
        <v>1038</v>
      </c>
      <c r="E1301" s="134">
        <v>44500</v>
      </c>
      <c r="F1301" s="176" t="s">
        <v>103</v>
      </c>
      <c r="G1301" s="237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5" t="s">
        <v>1013</v>
      </c>
      <c r="D1302" s="236" t="s">
        <v>103</v>
      </c>
      <c r="E1302" s="134">
        <v>22370</v>
      </c>
      <c r="F1302" s="176" t="s">
        <v>103</v>
      </c>
      <c r="G1302" s="237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3" t="s">
        <v>1040</v>
      </c>
      <c r="C1303" s="235" t="s">
        <v>1013</v>
      </c>
      <c r="D1303" s="236" t="s">
        <v>103</v>
      </c>
      <c r="E1303" s="134"/>
      <c r="F1303" s="48" t="s">
        <v>103</v>
      </c>
      <c r="G1303" s="237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5" t="s">
        <v>1013</v>
      </c>
      <c r="D1304" s="236" t="s">
        <v>103</v>
      </c>
      <c r="E1304" s="134">
        <v>184100</v>
      </c>
      <c r="F1304" s="176" t="s">
        <v>103</v>
      </c>
      <c r="G1304" s="237" t="str">
        <f>IF(BD!$E1288="","",(E1304/(H1304*I1304)))</f>
        <v/>
      </c>
      <c r="H1304" s="290">
        <v>1</v>
      </c>
      <c r="I1304" s="290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5" t="s">
        <v>1013</v>
      </c>
      <c r="D1305" s="236" t="s">
        <v>103</v>
      </c>
      <c r="E1305" s="134">
        <v>6333.3374999999996</v>
      </c>
      <c r="F1305" s="176" t="s">
        <v>103</v>
      </c>
      <c r="G1305" s="237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5" t="s">
        <v>1013</v>
      </c>
      <c r="D1306" s="236" t="s">
        <v>103</v>
      </c>
      <c r="E1306" s="134">
        <v>17266.599999999999</v>
      </c>
      <c r="F1306" s="176" t="s">
        <v>103</v>
      </c>
      <c r="G1306" s="237" t="str">
        <f>IF(BD!$E1289="","",(E1306/(H1306*I1306)))</f>
        <v/>
      </c>
      <c r="H1306" s="290">
        <v>1</v>
      </c>
      <c r="I1306" s="290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5" t="s">
        <v>1013</v>
      </c>
      <c r="D1307" s="236" t="s">
        <v>103</v>
      </c>
      <c r="E1307" s="134">
        <v>6796.7</v>
      </c>
      <c r="F1307" s="176" t="s">
        <v>103</v>
      </c>
      <c r="G1307" s="237" t="str">
        <f>IF(BD!$E1290="","",(E1307/(H1307*I1307)))</f>
        <v/>
      </c>
      <c r="H1307" s="290">
        <v>1</v>
      </c>
      <c r="I1307" s="290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5" t="s">
        <v>1013</v>
      </c>
      <c r="D1308" s="236" t="s">
        <v>103</v>
      </c>
      <c r="E1308" s="134">
        <v>182666.66666666666</v>
      </c>
      <c r="F1308" s="176" t="s">
        <v>103</v>
      </c>
      <c r="G1308" s="237" t="str">
        <f>IF(BD!$E1291="","",(E1308/(H1308*I1308)))</f>
        <v/>
      </c>
      <c r="H1308" s="290">
        <v>1</v>
      </c>
      <c r="I1308" s="290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5" t="s">
        <v>1013</v>
      </c>
      <c r="D1309" s="236" t="s">
        <v>1038</v>
      </c>
      <c r="E1309" s="134">
        <v>2500</v>
      </c>
      <c r="F1309" s="176" t="s">
        <v>103</v>
      </c>
      <c r="G1309" s="237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5" t="s">
        <v>1013</v>
      </c>
      <c r="D1310" s="236" t="s">
        <v>103</v>
      </c>
      <c r="E1310" s="134">
        <v>48330</v>
      </c>
      <c r="F1310" s="176" t="s">
        <v>103</v>
      </c>
      <c r="G1310" s="237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5" t="s">
        <v>1013</v>
      </c>
      <c r="D1311" s="236" t="s">
        <v>1049</v>
      </c>
      <c r="E1311" s="134">
        <v>10166.700000000001</v>
      </c>
      <c r="F1311" s="176" t="s">
        <v>1049</v>
      </c>
      <c r="G1311" s="237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5" t="s">
        <v>1013</v>
      </c>
      <c r="D1312" s="236" t="s">
        <v>103</v>
      </c>
      <c r="E1312" s="134">
        <v>104388.75</v>
      </c>
      <c r="F1312" s="176" t="s">
        <v>103</v>
      </c>
      <c r="G1312" s="237" t="str">
        <f>IF(BD!$E1295="","",(E1312/(H1312*I1312)))</f>
        <v/>
      </c>
      <c r="H1312" s="290">
        <v>1</v>
      </c>
      <c r="I1312" s="290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5" t="s">
        <v>1013</v>
      </c>
      <c r="D1313" s="236" t="s">
        <v>103</v>
      </c>
      <c r="E1313" s="134">
        <v>79760</v>
      </c>
      <c r="F1313" s="176" t="s">
        <v>103</v>
      </c>
      <c r="G1313" s="237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5" t="s">
        <v>1013</v>
      </c>
      <c r="D1314" s="236" t="s">
        <v>200</v>
      </c>
      <c r="E1314" s="134">
        <v>62000</v>
      </c>
      <c r="F1314" s="289" t="s">
        <v>200</v>
      </c>
      <c r="G1314" s="237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8" t="s">
        <v>1053</v>
      </c>
      <c r="C1315" s="235" t="s">
        <v>1013</v>
      </c>
      <c r="D1315" s="236" t="s">
        <v>103</v>
      </c>
      <c r="E1315" s="134">
        <v>152500</v>
      </c>
      <c r="F1315" s="289" t="s">
        <v>103</v>
      </c>
      <c r="G1315" s="237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8" t="s">
        <v>1054</v>
      </c>
      <c r="C1316" s="235" t="s">
        <v>1013</v>
      </c>
      <c r="D1316" s="236" t="s">
        <v>103</v>
      </c>
      <c r="E1316" s="134">
        <v>432050</v>
      </c>
      <c r="F1316" s="289" t="s">
        <v>103</v>
      </c>
      <c r="G1316" s="237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2"/>
      <c r="B1317"/>
      <c r="C1317"/>
      <c r="D1317"/>
      <c r="E1317"/>
      <c r="F1317" s="177"/>
      <c r="H1317"/>
      <c r="I1317"/>
    </row>
    <row r="1318" spans="1:11">
      <c r="A1318" s="232"/>
      <c r="B1318"/>
      <c r="C1318"/>
      <c r="D1318"/>
      <c r="E1318"/>
      <c r="F1318" s="177"/>
      <c r="H1318"/>
      <c r="I1318"/>
    </row>
    <row r="1319" spans="1:11">
      <c r="A1319" s="232"/>
      <c r="B1319"/>
      <c r="C1319"/>
      <c r="D1319"/>
      <c r="E1319"/>
      <c r="F1319" s="177"/>
      <c r="H1319"/>
      <c r="I1319"/>
    </row>
    <row r="1320" spans="1:11">
      <c r="A1320" s="232"/>
      <c r="B1320"/>
      <c r="C1320"/>
      <c r="D1320"/>
      <c r="E1320"/>
      <c r="F1320" s="177"/>
      <c r="H1320"/>
      <c r="I1320"/>
    </row>
    <row r="1321" spans="1:11">
      <c r="A1321" s="232"/>
      <c r="B1321"/>
      <c r="C1321"/>
      <c r="D1321"/>
      <c r="E1321"/>
      <c r="F1321" s="177"/>
      <c r="H1321"/>
      <c r="I1321"/>
    </row>
    <row r="1322" spans="1:11">
      <c r="A1322" s="232"/>
      <c r="B1322"/>
      <c r="C1322"/>
      <c r="D1322"/>
      <c r="E1322"/>
      <c r="F1322" s="177"/>
      <c r="H1322"/>
      <c r="I1322"/>
    </row>
    <row r="1323" spans="1:11">
      <c r="A1323" s="232"/>
      <c r="B1323"/>
      <c r="C1323"/>
      <c r="D1323"/>
      <c r="E1323"/>
      <c r="F1323" s="177"/>
      <c r="H1323"/>
      <c r="I1323"/>
    </row>
    <row r="1324" spans="1:11">
      <c r="A1324" s="232"/>
      <c r="B1324"/>
      <c r="C1324"/>
      <c r="D1324"/>
      <c r="E1324"/>
      <c r="F1324" s="177"/>
      <c r="H1324"/>
      <c r="I1324"/>
    </row>
    <row r="1325" spans="1:11">
      <c r="A1325" s="232"/>
      <c r="B1325"/>
      <c r="C1325"/>
      <c r="D1325"/>
      <c r="E1325"/>
      <c r="F1325" s="177"/>
      <c r="H1325"/>
      <c r="I1325"/>
    </row>
    <row r="1326" spans="1:11">
      <c r="A1326" s="232"/>
      <c r="B1326"/>
      <c r="C1326"/>
      <c r="D1326"/>
      <c r="E1326"/>
      <c r="F1326" s="177"/>
      <c r="H1326"/>
      <c r="I1326"/>
    </row>
    <row r="1327" spans="1:11" ht="15.75">
      <c r="A1327" s="267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7"/>
      <c r="H1328"/>
      <c r="I1328"/>
    </row>
    <row r="1329" spans="1:11">
      <c r="A1329" s="232"/>
      <c r="B1329"/>
      <c r="C1329"/>
      <c r="D1329"/>
      <c r="E1329"/>
      <c r="F1329" s="177"/>
      <c r="H1329"/>
      <c r="I1329"/>
    </row>
    <row r="1330" spans="1:11" ht="15.75" thickBot="1">
      <c r="A1330" s="232"/>
      <c r="B1330"/>
      <c r="C1330"/>
      <c r="D1330"/>
      <c r="E1330"/>
      <c r="F1330" s="177"/>
      <c r="H1330"/>
      <c r="I1330"/>
    </row>
    <row r="1331" spans="1:11" ht="27" thickBot="1">
      <c r="A1331" s="220"/>
      <c r="B1331" s="268">
        <f>SUBTOTAL(3,B1333:B1374)</f>
        <v>42</v>
      </c>
      <c r="C1331" s="505"/>
      <c r="D1331" s="505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6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5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5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3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5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0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5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1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5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8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5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0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5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0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5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8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5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0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2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2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0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5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8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5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0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3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3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3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3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7">
        <f>SUBTOTAL(3,Tabla34[Material])</f>
        <v>82</v>
      </c>
      <c r="C1416" s="505"/>
      <c r="D1416" s="505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6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1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8">
        <f>SUBTOTAL(3,(B1512:B1597))</f>
        <v>86</v>
      </c>
      <c r="C1510" s="505"/>
      <c r="D1510" s="505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7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29" activePane="bottomLeft" state="frozen"/>
      <selection activeCell="D13" sqref="D13:N13"/>
      <selection pane="bottomLeft" activeCell="H33" sqref="H3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0" t="s">
        <v>1307</v>
      </c>
    </row>
    <row r="2" spans="1:26" ht="44.25" customHeight="1" outlineLevel="1">
      <c r="A2" s="14" t="s">
        <v>1308</v>
      </c>
      <c r="B2" s="14" t="s">
        <v>1309</v>
      </c>
      <c r="D2" s="255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3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3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4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4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19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19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19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2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1" t="s">
        <v>1385</v>
      </c>
      <c r="I28" s="23">
        <v>1040733121</v>
      </c>
    </row>
    <row r="29" spans="1:9" outlineLevel="1">
      <c r="H29" s="250" t="s">
        <v>1386</v>
      </c>
      <c r="I29" s="21">
        <v>37841713</v>
      </c>
    </row>
    <row r="30" spans="1:9" ht="26.25" outlineLevel="1">
      <c r="H30" s="295" t="s">
        <v>1387</v>
      </c>
      <c r="I30" s="4">
        <v>27082270</v>
      </c>
    </row>
    <row r="31" spans="1:9" outlineLevel="1">
      <c r="H31" s="295" t="s">
        <v>1388</v>
      </c>
      <c r="I31" s="4">
        <v>11111111</v>
      </c>
    </row>
    <row r="32" spans="1:9" outlineLevel="1">
      <c r="H32" s="211" t="s">
        <v>1389</v>
      </c>
      <c r="I32" s="211">
        <v>22788941</v>
      </c>
    </row>
    <row r="33" outlineLevel="1"/>
    <row r="34" outlineLevel="1"/>
    <row r="35" outlineLevel="1"/>
    <row r="36" outlineLevel="1"/>
    <row r="37" outlineLevel="1"/>
  </sheetData>
  <sheetProtection algorithmName="SHA-512" hashValue="KCuVgaQ1kI9h1S4PbgzYwXPnTbBtg8P2vxFK5ugkQI4FMnY8bx03/HdG66OzyqCT9x0cGndgQvEuNXFSyX5voQ==" saltValue="8H2L5wngOQ2sSuc7XLC3JQ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2025-11-28T21:12:20Z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2025-09-15T19:52:49Z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32d5ea86-0f10-41a5-ad98-2ff93c61970f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