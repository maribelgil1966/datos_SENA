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0" documentId="11_AB405D261E0D39D342339E64BEFDFE7B12550292" xr6:coauthVersionLast="47" xr6:coauthVersionMax="47" xr10:uidLastSave="{00000000-0000-0000-0000-000000000000}"/>
  <bookViews>
    <workbookView xWindow="0" yWindow="0" windowWidth="15530" windowHeight="66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4" i="59" a="1"/>
  <c r="P13" i="59" a="1"/>
  <c r="P12" i="59" a="1"/>
  <c r="P16" i="59" a="1"/>
  <c r="P15" i="59" a="1"/>
  <c r="P14" i="59" l="1"/>
  <c r="P16" i="59"/>
  <c r="P15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H13" i="59" a="1"/>
  <c r="H15" i="59" a="1"/>
  <c r="H21" i="59" a="1"/>
  <c r="H23" i="59" a="1"/>
  <c r="H27" i="59" a="1"/>
  <c r="H16" i="59" a="1"/>
  <c r="R3" i="59" a="1"/>
  <c r="H29" i="59" a="1"/>
  <c r="S10" i="59" a="1"/>
  <c r="H14" i="59" a="1"/>
  <c r="H17" i="59" a="1"/>
  <c r="H12" i="59" a="1"/>
  <c r="H18" i="59" a="1"/>
  <c r="H32" i="59" a="1"/>
  <c r="H24" i="59" a="1"/>
  <c r="H22" i="59" a="1"/>
  <c r="H25" i="59" a="1"/>
  <c r="H26" i="59" a="1"/>
  <c r="H31" i="59" a="1"/>
  <c r="H20" i="59" a="1"/>
  <c r="H30" i="59" a="1"/>
  <c r="H28" i="59" a="1"/>
  <c r="H19" i="59" a="1"/>
  <c r="O11" i="43" l="1"/>
  <c r="G13" i="59" s="1"/>
  <c r="R3" i="59"/>
  <c r="S10" i="59"/>
  <c r="H27" i="59"/>
  <c r="O27" i="59" s="1"/>
  <c r="H19" i="59"/>
  <c r="B19" i="59" s="1"/>
  <c r="H26" i="59"/>
  <c r="O26" i="59" s="1"/>
  <c r="H18" i="59"/>
  <c r="O18" i="59" s="1"/>
  <c r="H25" i="59"/>
  <c r="O25" i="59" s="1"/>
  <c r="H17" i="59"/>
  <c r="B17" i="59" s="1"/>
  <c r="H24" i="59"/>
  <c r="B24" i="59" s="1"/>
  <c r="H16" i="59"/>
  <c r="H23" i="59"/>
  <c r="B23" i="59" s="1"/>
  <c r="H15" i="59"/>
  <c r="O15" i="59" s="1"/>
  <c r="H32" i="59"/>
  <c r="B32" i="59" s="1"/>
  <c r="H30" i="59"/>
  <c r="B30" i="59" s="1"/>
  <c r="H22" i="59"/>
  <c r="B22" i="59" s="1"/>
  <c r="H14" i="59"/>
  <c r="B14" i="59" s="1"/>
  <c r="H31" i="59"/>
  <c r="B31" i="59" s="1"/>
  <c r="H29" i="59"/>
  <c r="B29" i="59" s="1"/>
  <c r="H21" i="59"/>
  <c r="B21" i="59" s="1"/>
  <c r="H13" i="59"/>
  <c r="O13" i="59" s="1"/>
  <c r="H28" i="59"/>
  <c r="B28" i="59" s="1"/>
  <c r="H20" i="59"/>
  <c r="B20" i="59" s="1"/>
  <c r="H12" i="59"/>
  <c r="B12" i="59" s="1"/>
  <c r="B27" i="59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19" i="59"/>
  <c r="O23" i="59"/>
  <c r="K13" i="59" a="1"/>
  <c r="K24" i="59" a="1"/>
  <c r="K19" i="59" a="1"/>
  <c r="K16" i="59" a="1"/>
  <c r="K23" i="59" a="1"/>
  <c r="K17" i="59" a="1"/>
  <c r="K14" i="59" a="1"/>
  <c r="K15" i="59" a="1"/>
  <c r="K26" i="59" a="1"/>
  <c r="K28" i="59" a="1"/>
  <c r="K18" i="59" a="1"/>
  <c r="K12" i="59" a="1"/>
  <c r="K31" i="59" a="1"/>
  <c r="K22" i="59" a="1"/>
  <c r="K30" i="59" a="1"/>
  <c r="K21" i="59" a="1"/>
  <c r="K20" i="59" a="1"/>
  <c r="K27" i="59" a="1"/>
  <c r="O21" i="59" l="1"/>
  <c r="B15" i="59"/>
  <c r="B25" i="59"/>
  <c r="O22" i="59"/>
  <c r="B18" i="59"/>
  <c r="O20" i="59"/>
  <c r="B26" i="59"/>
  <c r="O30" i="59"/>
  <c r="B13" i="59"/>
  <c r="O14" i="59"/>
  <c r="O24" i="59"/>
  <c r="O31" i="59"/>
  <c r="O17" i="59"/>
  <c r="O28" i="59"/>
  <c r="O32" i="59"/>
  <c r="O12" i="59"/>
  <c r="K16" i="59"/>
  <c r="K21" i="59"/>
  <c r="K31" i="59"/>
  <c r="K28" i="59"/>
  <c r="K15" i="59"/>
  <c r="K17" i="59"/>
  <c r="K27" i="59"/>
  <c r="K19" i="59"/>
  <c r="K30" i="59"/>
  <c r="K12" i="59"/>
  <c r="K26" i="59"/>
  <c r="K14" i="59"/>
  <c r="K23" i="59"/>
  <c r="K20" i="59"/>
  <c r="K24" i="59"/>
  <c r="K13" i="59"/>
  <c r="K22" i="59"/>
  <c r="K18" i="59"/>
  <c r="O29" i="59"/>
  <c r="O16" i="59"/>
  <c r="B16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25" i="59" a="1"/>
  <c r="K32" i="59" a="1"/>
  <c r="K29" i="59" a="1"/>
  <c r="K32" i="59" l="1"/>
  <c r="K25" i="59"/>
  <c r="K29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<sst xmlns="http://schemas.openxmlformats.org/spreadsheetml/2006/main" count="5052" uniqueCount="1392">
  <si>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</si>
  <si>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</si>
  <si>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</si>
  <si>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</si>
  <si>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</si>
  <si>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</si>
  <si>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</si>
  <si>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</si>
  <si>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</si>
  <si>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</si>
  <si>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</si>
  <si>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</si>
  <si>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</si>
  <si>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</si>
  <si>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</si>
  <si>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</si>
  <si>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</si>
  <si>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</si>
  <si>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</si>
  <si>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</si>
  <si>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</si>
  <si>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</si>
  <si>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</si>
  <si>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</si>
  <si>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</si>
  <si>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PAPELERIA_P</t>
  </si>
  <si>
    <t>BLOCK PAPEL IRIS DE COLORES</t>
  </si>
  <si>
    <t>CARTULINA  BRISTOL (PLANA)</t>
  </si>
  <si>
    <t>CINTA DOBLE CARA DE POLIÉSTER</t>
  </si>
  <si>
    <t>MARCADOR DE VINILO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</si>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</sst>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42179</xdr:colOff>
      <xdr:row>2</xdr:row>
      <xdr:rowOff>138044</xdr:rowOff>
    </xdr:from>
    <xdr:to>
      <xdr:col>21</xdr:col>
      <xdr:colOff>66385</xdr:colOff>
      <xdr:row>6</xdr:row>
      <xdr:rowOff>251514</xdr:rowOff>
    </xdr:to>
    <xdr:pic>
      <xdr:nvPicPr>
        <xdr:cNvPr id="12" name="Imagen 11" descr="Como hacer una lámpara de papel - ManualidadesManualidades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9962" y="811696"/>
          <a:ext cx="1338380" cy="119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104914</xdr:colOff>
      <xdr:row>0</xdr:row>
      <xdr:rowOff>0</xdr:rowOff>
    </xdr:from>
    <xdr:to>
      <xdr:col>24</xdr:col>
      <xdr:colOff>298174</xdr:colOff>
      <xdr:row>6</xdr:row>
      <xdr:rowOff>230021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6871" y="0"/>
          <a:ext cx="1501912" cy="19859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ER0111-1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45231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2852859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30354.104000000003</v>
      </c>
      <c r="E5" s="395"/>
      <c r="F5" s="396"/>
      <c r="G5" s="380" t="s">
        <v>15</v>
      </c>
      <c r="H5" s="397"/>
      <c r="I5" s="397"/>
      <c r="J5" s="381"/>
      <c r="K5" s="355">
        <v>16</v>
      </c>
      <c r="L5" s="355"/>
      <c r="M5" s="356" t="s">
        <v>16</v>
      </c>
      <c r="N5" s="356"/>
      <c r="O5" s="345">
        <f ca="1">IFERROR(IF(K5=0,"",D5*K5),"")</f>
        <v>485665.66400000005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6.25E-2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U</v>
      </c>
      <c r="P10" s="314"/>
      <c r="Q10" s="315">
        <v>0.2</v>
      </c>
      <c r="R10" s="316"/>
      <c r="S10" s="317">
        <f>IFERROR(IF(Q10="Unidad","1",(Q10*$K$5)),"")</f>
        <v>3.2</v>
      </c>
      <c r="T10" s="318"/>
      <c r="U10" s="305"/>
      <c r="V10" s="401"/>
      <c r="W10" s="306">
        <f ca="1">IFERROR(IF(D10="","",INDEX(Tabla_Completa,MATCH('Soli_citud '!D10,Materiales,0),7)*S10),"")</f>
        <v>18011.52</v>
      </c>
      <c r="X10" s="306"/>
      <c r="Y10" s="306"/>
      <c r="Z10" s="34"/>
    </row>
    <row r="11" spans="1:28" ht="17.25" customHeight="1">
      <c r="A11" s="307" t="s">
        <v>25</v>
      </c>
      <c r="B11" s="308"/>
      <c r="C11" s="309"/>
      <c r="D11" s="398" t="s">
        <v>27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Pliego</v>
      </c>
      <c r="P11" s="314"/>
      <c r="Q11" s="315">
        <v>1.2</v>
      </c>
      <c r="R11" s="316"/>
      <c r="S11" s="317">
        <f t="shared" ref="S11:S31" si="1">IFERROR(IF(Q11="Unidad","1",(Q11*$K$5)),"")</f>
        <v>19.2</v>
      </c>
      <c r="T11" s="318"/>
      <c r="U11" s="305"/>
      <c r="V11" s="305"/>
      <c r="W11" s="306">
        <f ca="1">IFERROR(IF(D11="","",INDEX(Tabla_Completa,MATCH('Soli_citud '!D11,Materiales,0),7)*S11),"")</f>
        <v>30396.544000000002</v>
      </c>
      <c r="X11" s="306"/>
      <c r="Y11" s="306"/>
    </row>
    <row r="12" spans="1:28" ht="15.75" customHeight="1">
      <c r="A12" s="307" t="s">
        <v>25</v>
      </c>
      <c r="B12" s="308"/>
      <c r="C12" s="309"/>
      <c r="D12" s="402" t="s">
        <v>28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U</v>
      </c>
      <c r="P12" s="314"/>
      <c r="Q12" s="315">
        <v>0.2</v>
      </c>
      <c r="R12" s="316"/>
      <c r="S12" s="317">
        <f t="shared" si="1"/>
        <v>3.2</v>
      </c>
      <c r="T12" s="318"/>
      <c r="U12" s="305"/>
      <c r="V12" s="305"/>
      <c r="W12" s="306">
        <f ca="1">IFERROR(IF(D12="","",INDEX(Tabla_Completa,MATCH('Soli_citud '!D12,Materiales,0),7)*S12),"")</f>
        <v>111040</v>
      </c>
      <c r="X12" s="306"/>
      <c r="Y12" s="306"/>
    </row>
    <row r="13" spans="1:28" ht="15.75" customHeight="1">
      <c r="A13" s="307" t="s">
        <v>25</v>
      </c>
      <c r="B13" s="308"/>
      <c r="C13" s="309"/>
      <c r="D13" s="398" t="s">
        <v>29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U</v>
      </c>
      <c r="P13" s="314"/>
      <c r="Q13" s="315">
        <v>0.9</v>
      </c>
      <c r="R13" s="316"/>
      <c r="S13" s="317">
        <f t="shared" si="1"/>
        <v>14.4</v>
      </c>
      <c r="T13" s="318"/>
      <c r="U13" s="305"/>
      <c r="V13" s="305"/>
      <c r="W13" s="306">
        <f ca="1">IFERROR(IF(D13="","",INDEX(Tabla_Completa,MATCH('Soli_citud '!D13,Materiales,0),7)*S13),"")</f>
        <v>326217.60000000003</v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30</v>
      </c>
      <c r="B39" s="319"/>
      <c r="C39" s="319"/>
      <c r="D39" s="320" t="s">
        <v>31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32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.95">
      <c r="A44" s="330" t="s">
        <v>34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35</v>
      </c>
      <c r="O44" s="332"/>
      <c r="P44" s="332"/>
      <c r="Q44" s="332"/>
      <c r="R44" s="327" t="s">
        <v>36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38</v>
      </c>
      <c r="O45" s="332"/>
      <c r="P45" s="332"/>
      <c r="Q45" s="332"/>
      <c r="R45" s="328" t="s">
        <v>39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41</v>
      </c>
      <c r="O46" s="332"/>
      <c r="P46" s="332"/>
      <c r="Q46" s="332"/>
      <c r="R46" s="329" t="s">
        <v>42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44</v>
      </c>
      <c r="O47" s="332"/>
      <c r="P47" s="332"/>
      <c r="Q47" s="332"/>
      <c r="R47" s="329" t="s">
        <v>45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47</v>
      </c>
      <c r="O48" s="332"/>
      <c r="P48" s="332"/>
      <c r="Q48" s="332"/>
      <c r="R48" s="329" t="s">
        <v>48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50</v>
      </c>
      <c r="O49" s="333"/>
      <c r="P49" s="333"/>
      <c r="Q49" s="333"/>
      <c r="R49" s="328" t="s">
        <v>51</v>
      </c>
      <c r="S49" s="328"/>
      <c r="T49" s="328"/>
      <c r="U49" s="328"/>
      <c r="V49" s="328"/>
      <c r="W49" s="328"/>
      <c r="X49" s="328"/>
    </row>
    <row r="50" spans="1:24">
      <c r="A50" s="326"/>
      <c r="B50" s="326"/>
      <c r="C50" s="326"/>
      <c r="D50" s="326"/>
      <c r="N50" s="332" t="s">
        <v>25</v>
      </c>
      <c r="O50" s="332"/>
      <c r="P50" s="332"/>
      <c r="Q50" s="332"/>
      <c r="R50" s="329" t="s">
        <v>52</v>
      </c>
      <c r="S50" s="329"/>
      <c r="T50" s="329"/>
      <c r="U50" s="329"/>
      <c r="V50" s="329"/>
      <c r="W50" s="329"/>
      <c r="X50" s="329"/>
    </row>
    <row r="51" spans="1:24">
      <c r="N51" s="332" t="s">
        <v>53</v>
      </c>
      <c r="O51" s="332"/>
      <c r="P51" s="332"/>
      <c r="Q51" s="332"/>
      <c r="R51" s="329" t="s">
        <v>54</v>
      </c>
      <c r="S51" s="329"/>
      <c r="T51" s="329"/>
      <c r="U51" s="329"/>
      <c r="V51" s="329"/>
      <c r="W51" s="329"/>
      <c r="X51" s="329"/>
    </row>
    <row r="52" spans="1:24">
      <c r="N52" s="332" t="s">
        <v>55</v>
      </c>
      <c r="O52" s="332"/>
      <c r="P52" s="332"/>
      <c r="Q52" s="332"/>
      <c r="R52" s="329" t="s">
        <v>45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D12" sqref="D12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56</v>
      </c>
      <c r="E1" s="415"/>
      <c r="F1" s="415"/>
      <c r="G1" s="415"/>
      <c r="H1" s="415"/>
      <c r="I1" s="415"/>
      <c r="J1" s="421" t="s">
        <v>57</v>
      </c>
      <c r="K1" s="422"/>
      <c r="L1" s="422"/>
      <c r="M1" s="423"/>
      <c r="N1" s="416">
        <f>IF('Soli_citud '!O1="","",'Soli_citud '!O1)</f>
        <v>45231</v>
      </c>
      <c r="O1" s="417"/>
      <c r="P1" s="467" t="s">
        <v>58</v>
      </c>
      <c r="Q1" s="468"/>
      <c r="R1" s="463" t="str">
        <f>IF('Soli_citud '!D4="","",'Soli_citud '!D4)</f>
        <v/>
      </c>
      <c r="S1" s="464"/>
      <c r="Z1" t="s">
        <v>59</v>
      </c>
      <c r="AA1" s="252" t="s">
        <v>59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60</v>
      </c>
      <c r="K2" s="425"/>
      <c r="L2" s="425"/>
      <c r="M2" s="426"/>
      <c r="N2" s="418" t="str">
        <f>'Soli_citud '!F1</f>
        <v>ER0111-1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61</v>
      </c>
      <c r="K3" s="420"/>
      <c r="L3" s="420"/>
      <c r="M3" s="420"/>
      <c r="N3" s="406">
        <f>IF('Soli_citud '!O3="","",'Soli_citud '!O3)</f>
        <v>2852859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62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63</v>
      </c>
      <c r="C6" s="453"/>
      <c r="D6" s="454"/>
      <c r="E6" s="408" t="s">
        <v>64</v>
      </c>
      <c r="F6" s="408"/>
      <c r="G6" s="408"/>
      <c r="H6" s="408"/>
      <c r="I6" s="409"/>
      <c r="J6" s="443" t="s">
        <v>65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30354.104000000003</v>
      </c>
      <c r="C8" s="431"/>
      <c r="D8" s="432"/>
      <c r="E8" s="449" t="s">
        <v>66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67</v>
      </c>
      <c r="C9" s="434"/>
      <c r="D9" s="459"/>
      <c r="E9" s="458" t="s">
        <v>68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69</v>
      </c>
      <c r="K10" s="428"/>
      <c r="L10" s="429"/>
      <c r="M10" s="242">
        <f>'Soli_citud '!K5</f>
        <v>16</v>
      </c>
      <c r="N10" s="447" t="s">
        <v>70</v>
      </c>
      <c r="O10" s="448"/>
      <c r="P10" s="471"/>
      <c r="Q10" s="472"/>
      <c r="R10" s="243" t="s">
        <v>71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72</v>
      </c>
      <c r="B11" s="264" t="s">
        <v>73</v>
      </c>
      <c r="C11" s="460" t="s">
        <v>74</v>
      </c>
      <c r="D11" s="461"/>
      <c r="E11" s="461"/>
      <c r="F11" s="462"/>
      <c r="G11" s="112" t="s">
        <v>75</v>
      </c>
      <c r="H11" s="112" t="s">
        <v>76</v>
      </c>
      <c r="I11" s="237" t="s">
        <v>77</v>
      </c>
      <c r="J11" s="110" t="s">
        <v>78</v>
      </c>
      <c r="K11" s="223" t="s">
        <v>79</v>
      </c>
      <c r="L11" s="419" t="s">
        <v>23</v>
      </c>
      <c r="M11" s="427"/>
      <c r="N11" s="240" t="s">
        <v>80</v>
      </c>
      <c r="O11" s="240" t="s">
        <v>81</v>
      </c>
      <c r="P11" s="244" t="s">
        <v>82</v>
      </c>
      <c r="Q11" s="245" t="s">
        <v>83</v>
      </c>
      <c r="R11" s="236" t="s">
        <v>84</v>
      </c>
      <c r="S11" s="224" t="s">
        <v>85</v>
      </c>
    </row>
    <row r="12" spans="1:27" ht="19.5" customHeight="1">
      <c r="A12" s="78">
        <v>1</v>
      </c>
      <c r="B12" s="265" t="str">
        <f>IF(H12="","",$N$2)</f>
        <v>ER0111-1</v>
      </c>
      <c r="C12" s="403" t="str">
        <f>IFERROR(IF('Soli_citud '!D10="","",'Soli_citud '!D10),"")</f>
        <v>BLOCK PAPEL IRIS DE COLORES</v>
      </c>
      <c r="D12" s="403"/>
      <c r="E12" s="403"/>
      <c r="F12" s="403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3.2</v>
      </c>
      <c r="I12" s="227"/>
      <c r="J12" s="228"/>
      <c r="K12" s="207" cm="1">
        <f t="array" ref="K12">IFERROR(_xlfn.IFS(H12="","",J12=H12,"Cumplido",J12&lt;H12,H12-J12,J12&gt;H12,"Revisar"),"")</f>
        <v>3.2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ER0111-1</v>
      </c>
      <c r="C13" s="403" t="str">
        <f>IFERROR(IF('Soli_citud '!D11="","",'Soli_citud '!D11),"")</f>
        <v>CARTULINA  BRISTOL (PLANA)</v>
      </c>
      <c r="D13" s="403"/>
      <c r="E13" s="403"/>
      <c r="F13" s="403"/>
      <c r="G13" s="226" t="str">
        <f ca="1">IF('Soli_citud '!O11="","",'Soli_citud '!O11)</f>
        <v>Pliego</v>
      </c>
      <c r="H13" s="226" cm="1">
        <f t="array" ref="H13">_xlfn.IFS('Soli_citud '!S11="","",'Soli_citud '!S11&lt;=0,"",'Soli_citud '!S11&gt;0,'Soli_citud '!S11)</f>
        <v>19.2</v>
      </c>
      <c r="I13" s="227"/>
      <c r="J13" s="229"/>
      <c r="K13" s="207" cm="1">
        <f t="array" ref="K13">IFERROR(_xlfn.IFS(H13="","",J13=H13,"Cumplido",J13&lt;H13,H13-J13,J13&gt;H13,"Revisar"),"")</f>
        <v>19.2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ER0111-1</v>
      </c>
      <c r="C14" s="403" t="str">
        <f>IFERROR(IF('Soli_citud '!D12="","",'Soli_citud '!D12),"")</f>
        <v>CINTA DOBLE CARA DE POLIÉSTER</v>
      </c>
      <c r="D14" s="403"/>
      <c r="E14" s="403"/>
      <c r="F14" s="403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3.2</v>
      </c>
      <c r="I14" s="230"/>
      <c r="J14" s="229"/>
      <c r="K14" s="207" cm="1">
        <f t="array" ref="K14">IFERROR(_xlfn.IFS(H14="","",J14=H14,"Cumplido",J14&lt;H14,H14-J14,J14&gt;H14,"Revisar"),"")</f>
        <v>3.2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ER0111-1</v>
      </c>
      <c r="C15" s="403" t="str">
        <f>IFERROR(IF('Soli_citud '!D13="","",'Soli_citud '!D13),"")</f>
        <v>MARCADOR DE VINILO</v>
      </c>
      <c r="D15" s="403"/>
      <c r="E15" s="403"/>
      <c r="F15" s="403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14.4</v>
      </c>
      <c r="I15" s="230"/>
      <c r="J15" s="229"/>
      <c r="K15" s="207" cm="1">
        <f t="array" ref="K15">IFERROR(_xlfn.IFS(H15="","",J15=H15,"Cumplido",J15&lt;H15,H15-J15,J15&gt;H15,"Revisar"),"")</f>
        <v>14.4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86</v>
      </c>
      <c r="F1" s="490"/>
      <c r="Z1" s="252" t="s">
        <v>59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87</v>
      </c>
      <c r="B6" s="304">
        <f>SUBTOTAL(3,(BD!$B$8:$B$20))</f>
        <v>13</v>
      </c>
      <c r="C6" s="488"/>
      <c r="D6" s="489"/>
      <c r="H6" s="486" t="s">
        <v>88</v>
      </c>
      <c r="I6" s="486"/>
    </row>
    <row r="7" spans="1:26" ht="46.5">
      <c r="A7" s="73" t="s">
        <v>72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35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35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35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35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35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35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35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35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35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35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35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35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35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72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72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9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9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9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9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9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9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9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9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9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9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9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9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9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9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9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9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9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9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9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9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9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9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9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9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9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9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9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9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9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9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9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9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9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9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9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9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9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9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9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9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9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9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9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9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9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9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9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9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9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9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9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9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9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9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9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9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9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9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9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9" t="s">
        <v>231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9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9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9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9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9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9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9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9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304</v>
      </c>
      <c r="C230" s="219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9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9" t="s">
        <v>231</v>
      </c>
      <c r="D232" s="49" t="s">
        <v>233</v>
      </c>
      <c r="E232" s="166">
        <v>16471.25</v>
      </c>
      <c r="F232" s="301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9" t="s">
        <v>231</v>
      </c>
      <c r="D233" s="49" t="s">
        <v>233</v>
      </c>
      <c r="E233" s="166">
        <v>32931.5</v>
      </c>
      <c r="F233" s="301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9" t="s">
        <v>231</v>
      </c>
      <c r="D234" s="49" t="s">
        <v>233</v>
      </c>
      <c r="E234" s="166">
        <v>16209.5</v>
      </c>
      <c r="F234" s="301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9" t="s">
        <v>231</v>
      </c>
      <c r="D235" s="49" t="s">
        <v>233</v>
      </c>
      <c r="E235" s="166">
        <v>32417</v>
      </c>
      <c r="F235" s="301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9" t="s">
        <v>231</v>
      </c>
      <c r="D236" s="49" t="s">
        <v>233</v>
      </c>
      <c r="E236" s="166">
        <v>50250</v>
      </c>
      <c r="F236" s="301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9" t="s">
        <v>231</v>
      </c>
      <c r="D237" s="49" t="s">
        <v>233</v>
      </c>
      <c r="E237" s="166">
        <v>25131.5</v>
      </c>
      <c r="F237" s="301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9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9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9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9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9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9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9" t="s">
        <v>231</v>
      </c>
      <c r="D244" s="48" t="s">
        <v>236</v>
      </c>
      <c r="E244" s="43">
        <v>26000</v>
      </c>
      <c r="F244" s="193" t="s">
        <v>239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9" t="s">
        <v>231</v>
      </c>
      <c r="D245" s="48" t="s">
        <v>236</v>
      </c>
      <c r="E245" s="43">
        <v>13000</v>
      </c>
      <c r="F245" s="193" t="s">
        <v>239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231</v>
      </c>
      <c r="D248" s="48" t="s">
        <v>105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231</v>
      </c>
      <c r="D249" s="48" t="s">
        <v>105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231</v>
      </c>
      <c r="D250" s="277" t="s">
        <v>105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231</v>
      </c>
      <c r="D251" s="277" t="s">
        <v>235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231</v>
      </c>
      <c r="D252" s="277" t="s">
        <v>236</v>
      </c>
      <c r="E252" s="303">
        <v>7183</v>
      </c>
      <c r="F252" s="278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231</v>
      </c>
      <c r="D253" s="277" t="s">
        <v>236</v>
      </c>
      <c r="E253" s="303">
        <v>10597</v>
      </c>
      <c r="F253" s="278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231</v>
      </c>
      <c r="D254" s="277" t="s">
        <v>105</v>
      </c>
      <c r="E254" s="141">
        <v>2866.6666666666665</v>
      </c>
      <c r="F254" s="278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231</v>
      </c>
      <c r="D255" s="277" t="s">
        <v>105</v>
      </c>
      <c r="E255" s="141">
        <v>2866.6666666666665</v>
      </c>
      <c r="F255" s="278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231</v>
      </c>
      <c r="D256" s="277" t="s">
        <v>239</v>
      </c>
      <c r="E256" s="141"/>
      <c r="F256" s="278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231</v>
      </c>
      <c r="D257" s="277" t="s">
        <v>233</v>
      </c>
      <c r="E257" s="141">
        <v>8000</v>
      </c>
      <c r="F257" s="278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231</v>
      </c>
      <c r="D258" s="277" t="s">
        <v>233</v>
      </c>
      <c r="E258" s="141">
        <v>10000</v>
      </c>
      <c r="F258" s="278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231</v>
      </c>
      <c r="D259" s="277" t="s">
        <v>233</v>
      </c>
      <c r="E259" s="141">
        <v>10000</v>
      </c>
      <c r="F259" s="278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231</v>
      </c>
      <c r="D260" s="277" t="s">
        <v>239</v>
      </c>
      <c r="E260" s="141"/>
      <c r="F260" s="278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231</v>
      </c>
      <c r="D261" s="277" t="s">
        <v>200</v>
      </c>
      <c r="E261" s="141">
        <v>636792</v>
      </c>
      <c r="F261" s="278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231</v>
      </c>
      <c r="D262" s="277" t="s">
        <v>302</v>
      </c>
      <c r="E262" s="141">
        <v>28.18</v>
      </c>
      <c r="F262" s="278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231</v>
      </c>
      <c r="D263" s="277" t="s">
        <v>302</v>
      </c>
      <c r="E263" s="141">
        <v>2700</v>
      </c>
      <c r="F263" s="278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231</v>
      </c>
      <c r="D264" s="277" t="s">
        <v>302</v>
      </c>
      <c r="E264" s="141">
        <v>18.53</v>
      </c>
      <c r="F264" s="278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231</v>
      </c>
      <c r="D265" s="277" t="s">
        <v>236</v>
      </c>
      <c r="E265" s="141">
        <v>1800</v>
      </c>
      <c r="F265" s="278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231</v>
      </c>
      <c r="D266" s="277" t="s">
        <v>236</v>
      </c>
      <c r="E266" s="141">
        <v>1057</v>
      </c>
      <c r="F266" s="278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231</v>
      </c>
      <c r="D267" s="277" t="s">
        <v>302</v>
      </c>
      <c r="E267" s="141">
        <v>18.53</v>
      </c>
      <c r="F267" s="278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231</v>
      </c>
      <c r="D268" s="277" t="s">
        <v>302</v>
      </c>
      <c r="E268" s="141">
        <v>22.8</v>
      </c>
      <c r="F268" s="278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231</v>
      </c>
      <c r="D269" s="277" t="s">
        <v>302</v>
      </c>
      <c r="E269" s="141">
        <v>22.8</v>
      </c>
      <c r="F269" s="278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231</v>
      </c>
      <c r="D270" s="277" t="s">
        <v>302</v>
      </c>
      <c r="E270" s="141">
        <v>14.73</v>
      </c>
      <c r="F270" s="278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231</v>
      </c>
      <c r="D271" s="277" t="s">
        <v>302</v>
      </c>
      <c r="E271" s="141">
        <v>14.73</v>
      </c>
      <c r="F271" s="278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231</v>
      </c>
      <c r="D272" s="277" t="s">
        <v>236</v>
      </c>
      <c r="E272" s="141">
        <v>819.99999999999989</v>
      </c>
      <c r="F272" s="278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231</v>
      </c>
      <c r="D273" s="277" t="s">
        <v>236</v>
      </c>
      <c r="E273" s="141">
        <v>1170</v>
      </c>
      <c r="F273" s="278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231</v>
      </c>
      <c r="D274" s="277" t="s">
        <v>236</v>
      </c>
      <c r="E274" s="141">
        <v>8000</v>
      </c>
      <c r="F274" s="278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231</v>
      </c>
      <c r="D275" s="277" t="s">
        <v>236</v>
      </c>
      <c r="E275" s="141">
        <v>11000</v>
      </c>
      <c r="F275" s="278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231</v>
      </c>
      <c r="D276" s="277" t="s">
        <v>236</v>
      </c>
      <c r="E276" s="141">
        <v>10858</v>
      </c>
      <c r="F276" s="278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231</v>
      </c>
      <c r="D277" s="277" t="s">
        <v>236</v>
      </c>
      <c r="E277" s="141">
        <v>13999.16</v>
      </c>
      <c r="F277" s="278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231</v>
      </c>
      <c r="D278" s="277" t="s">
        <v>233</v>
      </c>
      <c r="E278" s="141"/>
      <c r="F278" s="278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231</v>
      </c>
      <c r="D279" s="277" t="s">
        <v>239</v>
      </c>
      <c r="E279" s="141"/>
      <c r="F279" s="278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231</v>
      </c>
      <c r="D280" s="277" t="s">
        <v>239</v>
      </c>
      <c r="E280" s="141"/>
      <c r="F280" s="278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231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231</v>
      </c>
      <c r="D282" s="277" t="s">
        <v>210</v>
      </c>
      <c r="E282" s="141">
        <v>4776.666666666667</v>
      </c>
      <c r="F282" s="278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231</v>
      </c>
      <c r="D283" s="277" t="s">
        <v>236</v>
      </c>
      <c r="E283" s="141">
        <v>1035.3</v>
      </c>
      <c r="F283" s="278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231</v>
      </c>
      <c r="D284" s="277" t="s">
        <v>235</v>
      </c>
      <c r="E284" s="141">
        <v>700</v>
      </c>
      <c r="F284" s="278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231</v>
      </c>
      <c r="D285" s="277" t="s">
        <v>235</v>
      </c>
      <c r="E285" s="141">
        <v>1100</v>
      </c>
      <c r="F285" s="278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231</v>
      </c>
      <c r="D286" s="277" t="s">
        <v>302</v>
      </c>
      <c r="E286" s="141">
        <v>1000</v>
      </c>
      <c r="F286" s="278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231</v>
      </c>
      <c r="D287" s="277" t="s">
        <v>236</v>
      </c>
      <c r="E287" s="141">
        <v>700</v>
      </c>
      <c r="F287" s="278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231</v>
      </c>
      <c r="D288" s="48" t="s">
        <v>236</v>
      </c>
      <c r="E288" s="166">
        <v>84</v>
      </c>
      <c r="F288" s="278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231</v>
      </c>
      <c r="D289" s="277" t="s">
        <v>236</v>
      </c>
      <c r="E289" s="166">
        <v>10780</v>
      </c>
      <c r="F289" s="278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72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366</v>
      </c>
      <c r="C516" s="219" t="s">
        <v>41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41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41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41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41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41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41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41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41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41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41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41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41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41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41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41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41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41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41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41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41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41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41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87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72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2" t="s">
        <v>390</v>
      </c>
      <c r="C562" s="219" t="s">
        <v>44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44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44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44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44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44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44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44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44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44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44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44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44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44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44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44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44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44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44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44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44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44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44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44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44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44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44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44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44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44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44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44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44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44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44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44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44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44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44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44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44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44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44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44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44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44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44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44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44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44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44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44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44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44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44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44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44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44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44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44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44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44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44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44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44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44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44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44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44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44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44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44</v>
      </c>
      <c r="D633" s="48" t="s">
        <v>105</v>
      </c>
      <c r="E633" s="55">
        <v>1000</v>
      </c>
      <c r="F633" s="194" t="s">
        <v>105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44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44</v>
      </c>
      <c r="D635" s="48" t="s">
        <v>105</v>
      </c>
      <c r="E635" s="55">
        <v>6957.9299999999994</v>
      </c>
      <c r="F635" s="194" t="s">
        <v>105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44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44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44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44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44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44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44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44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44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44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44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44</v>
      </c>
      <c r="D647" s="48" t="s">
        <v>105</v>
      </c>
      <c r="E647" s="43">
        <v>3700</v>
      </c>
      <c r="F647" s="188" t="s">
        <v>105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44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44</v>
      </c>
      <c r="D649" s="48" t="s">
        <v>105</v>
      </c>
      <c r="E649" s="55">
        <v>1200</v>
      </c>
      <c r="F649" s="194" t="s">
        <v>105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44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44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44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44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44</v>
      </c>
      <c r="D654" s="48" t="s">
        <v>105</v>
      </c>
      <c r="E654" s="55">
        <v>873.94</v>
      </c>
      <c r="F654" s="194" t="s">
        <v>105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44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44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44</v>
      </c>
      <c r="D657" s="48" t="s">
        <v>105</v>
      </c>
      <c r="E657" s="55">
        <v>1173.3399999999999</v>
      </c>
      <c r="F657" s="194" t="s">
        <v>105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44</v>
      </c>
      <c r="D658" s="48" t="s">
        <v>105</v>
      </c>
      <c r="E658" s="55">
        <v>998.41</v>
      </c>
      <c r="F658" s="194" t="s">
        <v>105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44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44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44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44</v>
      </c>
      <c r="D662" s="48" t="s">
        <v>105</v>
      </c>
      <c r="E662" s="55">
        <v>1173.3399999999999</v>
      </c>
      <c r="F662" s="194" t="s">
        <v>105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44</v>
      </c>
      <c r="D663" s="48" t="s">
        <v>105</v>
      </c>
      <c r="E663" s="55">
        <v>998.41</v>
      </c>
      <c r="F663" s="194" t="s">
        <v>105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44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44</v>
      </c>
      <c r="D665" s="48" t="s">
        <v>105</v>
      </c>
      <c r="E665" s="55">
        <v>1173.3399999999999</v>
      </c>
      <c r="F665" s="194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44</v>
      </c>
      <c r="D666" s="48" t="s">
        <v>105</v>
      </c>
      <c r="E666" s="55">
        <v>998.41</v>
      </c>
      <c r="F666" s="194" t="s">
        <v>105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44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44</v>
      </c>
      <c r="D668" s="48" t="s">
        <v>105</v>
      </c>
      <c r="E668" s="55">
        <v>1018.64</v>
      </c>
      <c r="F668" s="194" t="s">
        <v>105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44</v>
      </c>
      <c r="D669" s="48" t="s">
        <v>105</v>
      </c>
      <c r="E669" s="55">
        <v>1173.3399999999999</v>
      </c>
      <c r="F669" s="194" t="s">
        <v>105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44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44</v>
      </c>
      <c r="D671" s="48" t="s">
        <v>105</v>
      </c>
      <c r="E671" s="55">
        <v>1018.64</v>
      </c>
      <c r="F671" s="194" t="s">
        <v>105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44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44</v>
      </c>
      <c r="D673" s="48" t="s">
        <v>105</v>
      </c>
      <c r="E673" s="55">
        <v>2746.52</v>
      </c>
      <c r="F673" s="194" t="s">
        <v>105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44</v>
      </c>
      <c r="D674" s="48" t="s">
        <v>105</v>
      </c>
      <c r="E674" s="55">
        <v>1173.3399999999999</v>
      </c>
      <c r="F674" s="194" t="s">
        <v>105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44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44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44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44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44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44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44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44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44</v>
      </c>
      <c r="D683" s="48" t="s">
        <v>105</v>
      </c>
      <c r="E683" s="55">
        <v>2563</v>
      </c>
      <c r="F683" s="188" t="s">
        <v>105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44</v>
      </c>
      <c r="D684" s="48" t="s">
        <v>105</v>
      </c>
      <c r="E684" s="43">
        <v>2364.5299999999997</v>
      </c>
      <c r="F684" s="188" t="s">
        <v>105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44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44</v>
      </c>
      <c r="D686" s="48" t="s">
        <v>105</v>
      </c>
      <c r="E686" s="43">
        <v>2563</v>
      </c>
      <c r="F686" s="188" t="s">
        <v>105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44</v>
      </c>
      <c r="D687" s="48" t="s">
        <v>105</v>
      </c>
      <c r="E687" s="55">
        <v>2563</v>
      </c>
      <c r="F687" s="194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44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44</v>
      </c>
      <c r="D689" s="48" t="s">
        <v>105</v>
      </c>
      <c r="E689" s="43">
        <v>2440.69</v>
      </c>
      <c r="F689" s="188" t="s">
        <v>105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44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44</v>
      </c>
      <c r="D691" s="48" t="s">
        <v>105</v>
      </c>
      <c r="E691" s="55">
        <v>873.94</v>
      </c>
      <c r="F691" s="194" t="s">
        <v>105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44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44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44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44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44</v>
      </c>
      <c r="D696" s="48" t="s">
        <v>105</v>
      </c>
      <c r="E696" s="55">
        <v>1547</v>
      </c>
      <c r="F696" s="194" t="s">
        <v>105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44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44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44</v>
      </c>
      <c r="D699" s="48" t="s">
        <v>105</v>
      </c>
      <c r="E699" s="55">
        <v>1850</v>
      </c>
      <c r="F699" s="194" t="s">
        <v>105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44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44</v>
      </c>
      <c r="D701" s="48" t="s">
        <v>105</v>
      </c>
      <c r="E701" s="55">
        <v>4799.2700000000004</v>
      </c>
      <c r="F701" s="194" t="s">
        <v>105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44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44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44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44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44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44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44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44</v>
      </c>
      <c r="D709" s="48" t="s">
        <v>105</v>
      </c>
      <c r="E709" s="55">
        <v>1000</v>
      </c>
      <c r="F709" s="194" t="s">
        <v>105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44</v>
      </c>
      <c r="D710" s="48" t="s">
        <v>105</v>
      </c>
      <c r="E710" s="55">
        <v>8973.7900000000009</v>
      </c>
      <c r="F710" s="194" t="s">
        <v>105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44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44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44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44</v>
      </c>
      <c r="D714" s="48" t="s">
        <v>105</v>
      </c>
      <c r="E714" s="55">
        <v>3844.89</v>
      </c>
      <c r="F714" s="194" t="s">
        <v>105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44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44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44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44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44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44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44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44</v>
      </c>
      <c r="D722" s="48" t="s">
        <v>105</v>
      </c>
      <c r="E722" s="55">
        <v>1661.24</v>
      </c>
      <c r="F722" s="194" t="s">
        <v>105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44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44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44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44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44</v>
      </c>
      <c r="D727" s="48" t="s">
        <v>105</v>
      </c>
      <c r="E727" s="55">
        <v>690.75</v>
      </c>
      <c r="F727" s="194" t="s">
        <v>105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44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44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44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44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44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44</v>
      </c>
      <c r="D733" s="48" t="s">
        <v>105</v>
      </c>
      <c r="E733" s="43">
        <v>690.75</v>
      </c>
      <c r="F733" s="188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44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44</v>
      </c>
      <c r="D735" s="48" t="s">
        <v>105</v>
      </c>
      <c r="E735" s="55">
        <v>690.75</v>
      </c>
      <c r="F735" s="194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44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44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44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44</v>
      </c>
      <c r="D739" s="48" t="s">
        <v>105</v>
      </c>
      <c r="E739" s="43">
        <v>690.75</v>
      </c>
      <c r="F739" s="188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44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44</v>
      </c>
      <c r="D741" s="48" t="s">
        <v>105</v>
      </c>
      <c r="E741" s="55">
        <v>690.75</v>
      </c>
      <c r="F741" s="194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44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44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44</v>
      </c>
      <c r="D744" s="48" t="s">
        <v>105</v>
      </c>
      <c r="E744" s="43">
        <v>690.75</v>
      </c>
      <c r="F744" s="188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44</v>
      </c>
      <c r="D745" s="48" t="s">
        <v>105</v>
      </c>
      <c r="E745" s="55">
        <v>690.75</v>
      </c>
      <c r="F745" s="194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44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44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44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44</v>
      </c>
      <c r="D749" s="48" t="s">
        <v>105</v>
      </c>
      <c r="E749" s="43">
        <v>690.75</v>
      </c>
      <c r="F749" s="188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44</v>
      </c>
      <c r="D750" s="48" t="s">
        <v>105</v>
      </c>
      <c r="E750" s="55">
        <v>690.75</v>
      </c>
      <c r="F750" s="194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44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44</v>
      </c>
      <c r="D752" s="48" t="s">
        <v>105</v>
      </c>
      <c r="E752" s="55">
        <v>3850</v>
      </c>
      <c r="F752" s="194" t="s">
        <v>105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44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44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44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44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44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44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44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44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44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44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44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44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593</v>
      </c>
      <c r="C765" s="219" t="s">
        <v>44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44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44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44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44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44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44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44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44</v>
      </c>
      <c r="D773" s="48" t="s">
        <v>105</v>
      </c>
      <c r="E773" s="55">
        <v>8973.7900000000009</v>
      </c>
      <c r="F773" s="194" t="s">
        <v>105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44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44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44</v>
      </c>
      <c r="D776" s="48" t="s">
        <v>105</v>
      </c>
      <c r="E776" s="55">
        <v>1661.24</v>
      </c>
      <c r="F776" s="194" t="s">
        <v>105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44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44</v>
      </c>
      <c r="D778" s="48" t="s">
        <v>105</v>
      </c>
      <c r="E778" s="55">
        <v>690.75</v>
      </c>
      <c r="F778" s="194" t="s">
        <v>105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44</v>
      </c>
      <c r="D779" s="48" t="s">
        <v>105</v>
      </c>
      <c r="E779" s="56">
        <v>1505.04</v>
      </c>
      <c r="F779" s="188" t="s">
        <v>105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44</v>
      </c>
      <c r="D780" s="48" t="s">
        <v>105</v>
      </c>
      <c r="E780" s="56">
        <v>3628.57</v>
      </c>
      <c r="F780" s="188" t="s">
        <v>105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44</v>
      </c>
      <c r="D781" s="48" t="s">
        <v>105</v>
      </c>
      <c r="E781" s="56">
        <v>1505.04</v>
      </c>
      <c r="F781" s="188" t="s">
        <v>105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44</v>
      </c>
      <c r="D782" s="48" t="s">
        <v>105</v>
      </c>
      <c r="E782" s="55">
        <v>2898.84</v>
      </c>
      <c r="F782" s="194" t="s">
        <v>105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44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44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44</v>
      </c>
      <c r="D785" s="48" t="s">
        <v>105</v>
      </c>
      <c r="E785" s="55">
        <v>833</v>
      </c>
      <c r="F785" s="194" t="s">
        <v>105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44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44</v>
      </c>
      <c r="D787" s="48" t="s">
        <v>105</v>
      </c>
      <c r="E787" s="55">
        <v>1266.6666666666667</v>
      </c>
      <c r="F787" s="194" t="s">
        <v>105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616</v>
      </c>
      <c r="C788" s="219" t="s">
        <v>44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617</v>
      </c>
      <c r="C789" s="219" t="s">
        <v>44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618</v>
      </c>
      <c r="C790" s="219" t="s">
        <v>44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619</v>
      </c>
      <c r="C791" s="219" t="s">
        <v>44</v>
      </c>
      <c r="D791" s="48" t="s">
        <v>105</v>
      </c>
      <c r="E791" s="43">
        <v>1266.6666666666667</v>
      </c>
      <c r="F791" s="188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620</v>
      </c>
      <c r="C792" s="219" t="s">
        <v>44</v>
      </c>
      <c r="D792" s="48" t="s">
        <v>105</v>
      </c>
      <c r="E792" s="55">
        <v>1266.6666666666667</v>
      </c>
      <c r="F792" s="194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621</v>
      </c>
      <c r="C793" s="219" t="s">
        <v>44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622</v>
      </c>
      <c r="C794" s="219" t="s">
        <v>44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623</v>
      </c>
      <c r="C795" s="219" t="s">
        <v>44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624</v>
      </c>
      <c r="C796" s="219" t="s">
        <v>44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625</v>
      </c>
      <c r="C797" s="219" t="s">
        <v>44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626</v>
      </c>
      <c r="C798" s="219" t="s">
        <v>44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627</v>
      </c>
      <c r="C799" s="219" t="s">
        <v>44</v>
      </c>
      <c r="D799" s="48" t="s">
        <v>105</v>
      </c>
      <c r="E799" s="55">
        <v>455.66624999999999</v>
      </c>
      <c r="F799" s="194" t="s">
        <v>105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628</v>
      </c>
      <c r="C800" s="219" t="s">
        <v>44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629</v>
      </c>
      <c r="C801" s="219" t="s">
        <v>44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630</v>
      </c>
      <c r="C802" s="219" t="s">
        <v>44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631</v>
      </c>
      <c r="C803" s="219" t="s">
        <v>44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632</v>
      </c>
      <c r="C804" s="219" t="s">
        <v>44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633</v>
      </c>
      <c r="C805" s="219" t="s">
        <v>44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634</v>
      </c>
      <c r="C806" s="219" t="s">
        <v>44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635</v>
      </c>
      <c r="C807" s="219" t="s">
        <v>44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636</v>
      </c>
      <c r="C808" s="219" t="s">
        <v>44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637</v>
      </c>
      <c r="C809" s="219" t="s">
        <v>44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638</v>
      </c>
      <c r="C810" s="219" t="s">
        <v>44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639</v>
      </c>
      <c r="C811" s="219" t="s">
        <v>44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640</v>
      </c>
      <c r="C812" s="219" t="s">
        <v>44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44</v>
      </c>
      <c r="D813" s="48" t="s">
        <v>105</v>
      </c>
      <c r="E813" s="43">
        <v>3356</v>
      </c>
      <c r="F813" s="188" t="s">
        <v>105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6">
      <c r="A814" s="41">
        <f t="shared" si="26"/>
        <v>253</v>
      </c>
      <c r="B814" s="168" t="s">
        <v>642</v>
      </c>
      <c r="C814" s="219" t="s">
        <v>44</v>
      </c>
      <c r="D814" s="48" t="s">
        <v>105</v>
      </c>
      <c r="E814" s="55">
        <v>1900</v>
      </c>
      <c r="F814" s="194" t="s">
        <v>105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643</v>
      </c>
      <c r="C815" s="219" t="s">
        <v>44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644</v>
      </c>
      <c r="C816" s="219" t="s">
        <v>44</v>
      </c>
      <c r="D816" s="48" t="s">
        <v>105</v>
      </c>
      <c r="E816" s="55">
        <v>23075</v>
      </c>
      <c r="F816" s="194" t="s">
        <v>105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36" t="s">
        <v>645</v>
      </c>
      <c r="C817" s="219" t="s">
        <v>44</v>
      </c>
      <c r="D817" s="48" t="s">
        <v>105</v>
      </c>
      <c r="E817" s="55">
        <v>23075.289999999997</v>
      </c>
      <c r="F817" s="188" t="s">
        <v>105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168" t="s">
        <v>646</v>
      </c>
      <c r="C818" s="219" t="s">
        <v>44</v>
      </c>
      <c r="D818" s="48" t="s">
        <v>105</v>
      </c>
      <c r="E818" s="55">
        <v>1018.64</v>
      </c>
      <c r="F818" s="194" t="s">
        <v>105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5" si="28">A818+1</f>
        <v>258</v>
      </c>
      <c r="B819" s="168" t="s">
        <v>647</v>
      </c>
      <c r="C819" s="219" t="s">
        <v>44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44</v>
      </c>
      <c r="D820" s="48" t="s">
        <v>105</v>
      </c>
      <c r="E820" s="43">
        <v>3356</v>
      </c>
      <c r="F820" s="188" t="s">
        <v>105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9.1">
      <c r="A821" s="41">
        <f t="shared" si="28"/>
        <v>260</v>
      </c>
      <c r="B821" s="36" t="s">
        <v>649</v>
      </c>
      <c r="C821" s="219" t="s">
        <v>44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44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44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6">
      <c r="A824" s="41">
        <f t="shared" si="28"/>
        <v>263</v>
      </c>
      <c r="B824" s="36" t="s">
        <v>652</v>
      </c>
      <c r="C824" s="219" t="s">
        <v>44</v>
      </c>
      <c r="D824" s="48" t="s">
        <v>105</v>
      </c>
      <c r="E824" s="55">
        <v>3356</v>
      </c>
      <c r="F824" s="194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44</v>
      </c>
      <c r="D825" s="48" t="s">
        <v>105</v>
      </c>
      <c r="E825" s="43">
        <v>3356</v>
      </c>
      <c r="F825" s="188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654</v>
      </c>
      <c r="C826" s="219" t="s">
        <v>44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655</v>
      </c>
      <c r="C827" s="219" t="s">
        <v>44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6">
      <c r="A828" s="41">
        <f t="shared" si="28"/>
        <v>267</v>
      </c>
      <c r="B828" s="36" t="s">
        <v>656</v>
      </c>
      <c r="C828" s="219" t="s">
        <v>44</v>
      </c>
      <c r="D828" s="48" t="s">
        <v>105</v>
      </c>
      <c r="E828" s="55">
        <v>198</v>
      </c>
      <c r="F828" s="194" t="s">
        <v>105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657</v>
      </c>
      <c r="C829" s="219" t="s">
        <v>44</v>
      </c>
      <c r="D829" s="48" t="s">
        <v>105</v>
      </c>
      <c r="E829" s="55">
        <v>3356</v>
      </c>
      <c r="F829" s="194" t="s">
        <v>105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658</v>
      </c>
      <c r="C830" s="219" t="s">
        <v>44</v>
      </c>
      <c r="D830" s="48" t="s">
        <v>105</v>
      </c>
      <c r="E830" s="55">
        <v>198</v>
      </c>
      <c r="F830" s="194" t="s">
        <v>105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659</v>
      </c>
      <c r="C831" s="219" t="s">
        <v>44</v>
      </c>
      <c r="D831" s="48" t="s">
        <v>105</v>
      </c>
      <c r="E831" s="55">
        <v>3356</v>
      </c>
      <c r="F831" s="194" t="s">
        <v>105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660</v>
      </c>
      <c r="C832" s="219" t="s">
        <v>44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661</v>
      </c>
      <c r="C833" s="219" t="s">
        <v>44</v>
      </c>
      <c r="D833" s="48" t="s">
        <v>105</v>
      </c>
      <c r="E833" s="43">
        <v>198</v>
      </c>
      <c r="F833" s="188" t="s">
        <v>105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6">
      <c r="A834" s="41">
        <f t="shared" si="28"/>
        <v>273</v>
      </c>
      <c r="B834" s="36" t="s">
        <v>662</v>
      </c>
      <c r="C834" s="219" t="s">
        <v>44</v>
      </c>
      <c r="D834" s="48" t="s">
        <v>105</v>
      </c>
      <c r="E834" s="55">
        <v>198</v>
      </c>
      <c r="F834" s="194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663</v>
      </c>
      <c r="C835" s="219" t="s">
        <v>44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664</v>
      </c>
      <c r="C836" s="219" t="s">
        <v>44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665</v>
      </c>
      <c r="C837" s="219" t="s">
        <v>44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666</v>
      </c>
      <c r="C838" s="219" t="s">
        <v>44</v>
      </c>
      <c r="D838" s="48" t="s">
        <v>105</v>
      </c>
      <c r="E838" s="55">
        <v>3356</v>
      </c>
      <c r="F838" s="194" t="s">
        <v>105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168" t="s">
        <v>667</v>
      </c>
      <c r="C839" s="219" t="s">
        <v>44</v>
      </c>
      <c r="D839" s="48" t="s">
        <v>105</v>
      </c>
      <c r="E839" s="55">
        <v>1100</v>
      </c>
      <c r="F839" s="194" t="s">
        <v>105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668</v>
      </c>
      <c r="C840" s="219" t="s">
        <v>44</v>
      </c>
      <c r="D840" s="48" t="s">
        <v>105</v>
      </c>
      <c r="E840" s="55">
        <v>1350</v>
      </c>
      <c r="F840" s="194" t="s">
        <v>105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669</v>
      </c>
      <c r="C841" s="219" t="s">
        <v>44</v>
      </c>
      <c r="D841" s="48" t="s">
        <v>105</v>
      </c>
      <c r="E841" s="55">
        <v>925</v>
      </c>
      <c r="F841" s="194" t="s">
        <v>105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44</v>
      </c>
      <c r="D842" s="48" t="s">
        <v>105</v>
      </c>
      <c r="E842" s="43">
        <v>3373</v>
      </c>
      <c r="F842" s="188" t="s">
        <v>105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44</v>
      </c>
      <c r="D843" s="48" t="s">
        <v>105</v>
      </c>
      <c r="E843" s="56">
        <v>1275.68</v>
      </c>
      <c r="F843" s="188" t="s">
        <v>105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6">
      <c r="A844" s="41">
        <f t="shared" si="28"/>
        <v>283</v>
      </c>
      <c r="B844" s="36" t="s">
        <v>672</v>
      </c>
      <c r="C844" s="219" t="s">
        <v>44</v>
      </c>
      <c r="D844" s="48" t="s">
        <v>105</v>
      </c>
      <c r="E844" s="55">
        <v>3373</v>
      </c>
      <c r="F844" s="194" t="s">
        <v>105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44</v>
      </c>
      <c r="D845" s="48" t="s">
        <v>105</v>
      </c>
      <c r="E845" s="56">
        <v>1275.68</v>
      </c>
      <c r="F845" s="188" t="s">
        <v>105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44</v>
      </c>
      <c r="D846" s="48" t="s">
        <v>105</v>
      </c>
      <c r="E846" s="43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6">
      <c r="A847" s="41">
        <f t="shared" si="28"/>
        <v>286</v>
      </c>
      <c r="B847" s="168" t="s">
        <v>675</v>
      </c>
      <c r="C847" s="219" t="s">
        <v>44</v>
      </c>
      <c r="D847" s="48" t="s">
        <v>105</v>
      </c>
      <c r="E847" s="55">
        <v>2746.52</v>
      </c>
      <c r="F847" s="194" t="s">
        <v>105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44</v>
      </c>
      <c r="D848" s="48" t="s">
        <v>105</v>
      </c>
      <c r="E848" s="43">
        <v>1275.68</v>
      </c>
      <c r="F848" s="188" t="s">
        <v>105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44</v>
      </c>
      <c r="D849" s="48" t="s">
        <v>105</v>
      </c>
      <c r="E849" s="43">
        <v>1225.7</v>
      </c>
      <c r="F849" s="188" t="s">
        <v>105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44</v>
      </c>
      <c r="D850" s="48" t="s">
        <v>105</v>
      </c>
      <c r="E850" s="43">
        <v>3881.78</v>
      </c>
      <c r="F850" s="188" t="s">
        <v>105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44</v>
      </c>
      <c r="D851" s="48" t="s">
        <v>105</v>
      </c>
      <c r="E851" s="43">
        <v>1275.68</v>
      </c>
      <c r="F851" s="188" t="s">
        <v>105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44</v>
      </c>
      <c r="D852" s="48" t="s">
        <v>105</v>
      </c>
      <c r="E852" s="43">
        <v>3881.78</v>
      </c>
      <c r="F852" s="188" t="s">
        <v>105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6">
      <c r="A853" s="41">
        <f t="shared" si="28"/>
        <v>292</v>
      </c>
      <c r="B853" s="36" t="s">
        <v>681</v>
      </c>
      <c r="C853" s="219" t="s">
        <v>44</v>
      </c>
      <c r="D853" s="48" t="s">
        <v>105</v>
      </c>
      <c r="E853" s="55">
        <v>1225.7</v>
      </c>
      <c r="F853" s="194" t="s">
        <v>105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44</v>
      </c>
      <c r="D854" s="48" t="s">
        <v>105</v>
      </c>
      <c r="E854" s="43">
        <v>1225.7</v>
      </c>
      <c r="F854" s="188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44</v>
      </c>
      <c r="D855" s="48" t="s">
        <v>105</v>
      </c>
      <c r="E855" s="43">
        <v>2400</v>
      </c>
      <c r="F855" s="188" t="s">
        <v>105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44</v>
      </c>
      <c r="D856" s="48" t="s">
        <v>105</v>
      </c>
      <c r="E856" s="43">
        <v>1275.68</v>
      </c>
      <c r="F856" s="188" t="s">
        <v>105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44</v>
      </c>
      <c r="D857" s="48" t="s">
        <v>105</v>
      </c>
      <c r="E857" s="43">
        <v>1225.7</v>
      </c>
      <c r="F857" s="188" t="s">
        <v>105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44</v>
      </c>
      <c r="D858" s="48" t="s">
        <v>105</v>
      </c>
      <c r="E858" s="43">
        <v>1275.68</v>
      </c>
      <c r="F858" s="188" t="s">
        <v>105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44</v>
      </c>
      <c r="D859" s="48" t="s">
        <v>105</v>
      </c>
      <c r="E859" s="43">
        <v>2400</v>
      </c>
      <c r="F859" s="188" t="s">
        <v>105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9.1">
      <c r="A860" s="41">
        <f t="shared" si="28"/>
        <v>299</v>
      </c>
      <c r="B860" s="168" t="s">
        <v>688</v>
      </c>
      <c r="C860" s="219" t="s">
        <v>44</v>
      </c>
      <c r="D860" s="48" t="s">
        <v>105</v>
      </c>
      <c r="E860" s="55">
        <v>873.94</v>
      </c>
      <c r="F860" s="194" t="s">
        <v>105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6">
      <c r="A861" s="41">
        <f t="shared" si="28"/>
        <v>300</v>
      </c>
      <c r="B861" s="168" t="s">
        <v>689</v>
      </c>
      <c r="C861" s="219" t="s">
        <v>44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690</v>
      </c>
      <c r="C862" s="219" t="s">
        <v>44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691</v>
      </c>
      <c r="C863" s="219" t="s">
        <v>44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44</v>
      </c>
      <c r="D864" s="48" t="s">
        <v>105</v>
      </c>
      <c r="E864" s="43">
        <v>131.97</v>
      </c>
      <c r="F864" s="188" t="s">
        <v>105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6">
      <c r="A865" s="41">
        <f t="shared" si="28"/>
        <v>304</v>
      </c>
      <c r="B865" s="168" t="s">
        <v>693</v>
      </c>
      <c r="C865" s="219" t="s">
        <v>44</v>
      </c>
      <c r="D865" s="48" t="s">
        <v>105</v>
      </c>
      <c r="E865" s="55">
        <v>5450</v>
      </c>
      <c r="F865" s="194" t="s">
        <v>105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694</v>
      </c>
      <c r="C866" s="219" t="s">
        <v>44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9.1">
      <c r="A867" s="41">
        <f t="shared" si="28"/>
        <v>306</v>
      </c>
      <c r="B867" s="168" t="s">
        <v>695</v>
      </c>
      <c r="C867" s="219" t="s">
        <v>44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696</v>
      </c>
      <c r="C868" s="219" t="s">
        <v>44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697</v>
      </c>
      <c r="C869" s="219" t="s">
        <v>44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698</v>
      </c>
      <c r="C870" s="219" t="s">
        <v>44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699</v>
      </c>
      <c r="C871" s="219" t="s">
        <v>44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700</v>
      </c>
      <c r="C872" s="219" t="s">
        <v>44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44</v>
      </c>
      <c r="D873" s="48" t="s">
        <v>105</v>
      </c>
      <c r="E873" s="43">
        <v>131.97</v>
      </c>
      <c r="F873" s="188" t="s">
        <v>105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44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44</v>
      </c>
      <c r="D875" s="48" t="s">
        <v>105</v>
      </c>
      <c r="E875" s="43">
        <v>249.9</v>
      </c>
      <c r="F875" s="188" t="s">
        <v>105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44</v>
      </c>
      <c r="D876" s="48" t="s">
        <v>105</v>
      </c>
      <c r="E876" s="43">
        <v>131.97</v>
      </c>
      <c r="F876" s="188" t="s">
        <v>105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44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6">
      <c r="A878" s="41">
        <f t="shared" si="28"/>
        <v>317</v>
      </c>
      <c r="B878" s="36" t="s">
        <v>706</v>
      </c>
      <c r="C878" s="219" t="s">
        <v>44</v>
      </c>
      <c r="D878" s="48" t="s">
        <v>105</v>
      </c>
      <c r="E878" s="55">
        <v>131.97</v>
      </c>
      <c r="F878" s="194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44</v>
      </c>
      <c r="D879" s="48" t="s">
        <v>105</v>
      </c>
      <c r="E879" s="43">
        <v>131.97</v>
      </c>
      <c r="F879" s="188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44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44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44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44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44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44</v>
      </c>
      <c r="D885" s="48" t="s">
        <v>105</v>
      </c>
      <c r="E885" s="43">
        <v>131.97</v>
      </c>
      <c r="F885" s="194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44</v>
      </c>
      <c r="D886" s="48" t="s">
        <v>105</v>
      </c>
      <c r="E886" s="43">
        <v>131.97</v>
      </c>
      <c r="F886" s="188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44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44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6">
      <c r="A889" s="41">
        <f t="shared" si="30"/>
        <v>4</v>
      </c>
      <c r="B889" s="36" t="s">
        <v>717</v>
      </c>
      <c r="C889" s="219" t="s">
        <v>44</v>
      </c>
      <c r="D889" s="48" t="s">
        <v>105</v>
      </c>
      <c r="E889" s="55">
        <v>131.97</v>
      </c>
      <c r="F889" s="194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44</v>
      </c>
      <c r="D890" s="48" t="s">
        <v>105</v>
      </c>
      <c r="E890" s="43">
        <v>131.97</v>
      </c>
      <c r="F890" s="188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44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44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44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6">
      <c r="A894" s="41">
        <f t="shared" si="30"/>
        <v>9</v>
      </c>
      <c r="B894" s="36" t="s">
        <v>722</v>
      </c>
      <c r="C894" s="219" t="s">
        <v>44</v>
      </c>
      <c r="D894" s="48" t="s">
        <v>105</v>
      </c>
      <c r="E894" s="55">
        <v>131.97</v>
      </c>
      <c r="F894" s="194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6">
      <c r="A895" s="41">
        <f t="shared" si="30"/>
        <v>10</v>
      </c>
      <c r="B895" s="168" t="s">
        <v>723</v>
      </c>
      <c r="C895" s="219" t="s">
        <v>44</v>
      </c>
      <c r="D895" s="48" t="s">
        <v>105</v>
      </c>
      <c r="E895" s="55">
        <v>6957.9299999999994</v>
      </c>
      <c r="F895" s="194" t="s">
        <v>105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6">
      <c r="A896" s="41">
        <f t="shared" si="30"/>
        <v>11</v>
      </c>
      <c r="B896" s="168" t="s">
        <v>724</v>
      </c>
      <c r="C896" s="219" t="s">
        <v>44</v>
      </c>
      <c r="D896" s="48" t="s">
        <v>105</v>
      </c>
      <c r="E896" s="55">
        <v>2563</v>
      </c>
      <c r="F896" s="194" t="s">
        <v>105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6">
      <c r="A897" s="41">
        <f t="shared" si="30"/>
        <v>12</v>
      </c>
      <c r="B897" s="168" t="s">
        <v>725</v>
      </c>
      <c r="C897" s="219" t="s">
        <v>44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6">
      <c r="A898" s="41">
        <f t="shared" si="30"/>
        <v>13</v>
      </c>
      <c r="B898" s="168" t="s">
        <v>726</v>
      </c>
      <c r="C898" s="219" t="s">
        <v>44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6">
      <c r="A899" s="41">
        <f t="shared" si="30"/>
        <v>14</v>
      </c>
      <c r="B899" s="168" t="s">
        <v>727</v>
      </c>
      <c r="C899" s="219" t="s">
        <v>44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9.1">
      <c r="A900" s="41">
        <f t="shared" si="30"/>
        <v>15</v>
      </c>
      <c r="B900" s="168" t="s">
        <v>728</v>
      </c>
      <c r="C900" s="219" t="s">
        <v>44</v>
      </c>
      <c r="D900" s="48" t="s">
        <v>105</v>
      </c>
      <c r="E900" s="55">
        <v>2885.5</v>
      </c>
      <c r="F900" s="194" t="s">
        <v>105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9.1">
      <c r="A901" s="41">
        <f t="shared" si="30"/>
        <v>16</v>
      </c>
      <c r="B901" s="168" t="s">
        <v>729</v>
      </c>
      <c r="C901" s="219" t="s">
        <v>44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9.1">
      <c r="A902" s="41">
        <f t="shared" si="30"/>
        <v>17</v>
      </c>
      <c r="B902" s="168" t="s">
        <v>730</v>
      </c>
      <c r="C902" s="219" t="s">
        <v>44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9.1">
      <c r="A903" s="41">
        <f t="shared" si="30"/>
        <v>18</v>
      </c>
      <c r="B903" s="168" t="s">
        <v>731</v>
      </c>
      <c r="C903" s="219" t="s">
        <v>44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9.1">
      <c r="A904" s="41">
        <f t="shared" si="30"/>
        <v>19</v>
      </c>
      <c r="B904" s="168" t="s">
        <v>732</v>
      </c>
      <c r="C904" s="219" t="s">
        <v>44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9.1">
      <c r="A905" s="41">
        <f t="shared" si="30"/>
        <v>20</v>
      </c>
      <c r="B905" s="168" t="s">
        <v>733</v>
      </c>
      <c r="C905" s="219" t="s">
        <v>44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9.1">
      <c r="A906" s="41">
        <f t="shared" si="30"/>
        <v>21</v>
      </c>
      <c r="B906" s="168" t="s">
        <v>734</v>
      </c>
      <c r="C906" s="219" t="s">
        <v>44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9.1">
      <c r="A907" s="41">
        <f t="shared" si="30"/>
        <v>22</v>
      </c>
      <c r="B907" s="168" t="s">
        <v>735</v>
      </c>
      <c r="C907" s="219" t="s">
        <v>44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9.1">
      <c r="A908" s="41">
        <f t="shared" si="30"/>
        <v>23</v>
      </c>
      <c r="B908" s="168" t="s">
        <v>736</v>
      </c>
      <c r="C908" s="219" t="s">
        <v>44</v>
      </c>
      <c r="D908" s="48" t="s">
        <v>105</v>
      </c>
      <c r="E908" s="55">
        <v>2785.5</v>
      </c>
      <c r="F908" s="194" t="s">
        <v>105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9.1">
      <c r="A909" s="41">
        <f t="shared" si="30"/>
        <v>24</v>
      </c>
      <c r="B909" s="168" t="s">
        <v>737</v>
      </c>
      <c r="C909" s="219" t="s">
        <v>44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9.1">
      <c r="A910" s="41">
        <f t="shared" si="30"/>
        <v>25</v>
      </c>
      <c r="B910" s="168" t="s">
        <v>738</v>
      </c>
      <c r="C910" s="219" t="s">
        <v>44</v>
      </c>
      <c r="D910" s="48" t="s">
        <v>105</v>
      </c>
      <c r="E910" s="55">
        <v>1</v>
      </c>
      <c r="F910" s="194" t="s">
        <v>105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9.1">
      <c r="A911" s="41">
        <f t="shared" si="30"/>
        <v>26</v>
      </c>
      <c r="B911" s="168" t="s">
        <v>739</v>
      </c>
      <c r="C911" s="219" t="s">
        <v>44</v>
      </c>
      <c r="D911" s="48" t="s">
        <v>105</v>
      </c>
      <c r="E911" s="55">
        <v>1200</v>
      </c>
      <c r="F911" s="194" t="s">
        <v>105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9.1">
      <c r="A912" s="41">
        <f t="shared" si="30"/>
        <v>27</v>
      </c>
      <c r="B912" s="168" t="s">
        <v>740</v>
      </c>
      <c r="C912" s="219" t="s">
        <v>44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6">
      <c r="A913" s="41">
        <f t="shared" si="30"/>
        <v>28</v>
      </c>
      <c r="B913" s="168" t="s">
        <v>741</v>
      </c>
      <c r="C913" s="219" t="s">
        <v>44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6">
      <c r="A914" s="41">
        <f t="shared" si="30"/>
        <v>29</v>
      </c>
      <c r="B914" s="168" t="s">
        <v>742</v>
      </c>
      <c r="C914" s="219" t="s">
        <v>44</v>
      </c>
      <c r="D914" s="48" t="s">
        <v>105</v>
      </c>
      <c r="E914" s="55">
        <v>500</v>
      </c>
      <c r="F914" s="194" t="s">
        <v>105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6">
      <c r="A915" s="41">
        <f t="shared" si="30"/>
        <v>30</v>
      </c>
      <c r="B915" s="168" t="s">
        <v>743</v>
      </c>
      <c r="C915" s="219" t="s">
        <v>44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6">
      <c r="A916" s="41">
        <f t="shared" si="30"/>
        <v>31</v>
      </c>
      <c r="B916" s="168" t="s">
        <v>744</v>
      </c>
      <c r="C916" s="219" t="s">
        <v>44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6">
      <c r="A917" s="41">
        <f t="shared" si="30"/>
        <v>32</v>
      </c>
      <c r="B917" s="168" t="s">
        <v>745</v>
      </c>
      <c r="C917" s="219" t="s">
        <v>44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6">
      <c r="A918" s="41">
        <f t="shared" si="30"/>
        <v>33</v>
      </c>
      <c r="B918" s="168" t="s">
        <v>746</v>
      </c>
      <c r="C918" s="219" t="s">
        <v>44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6">
      <c r="A919" s="41">
        <f t="shared" ref="A919:A950" si="31">A918+1</f>
        <v>34</v>
      </c>
      <c r="B919" s="168" t="s">
        <v>747</v>
      </c>
      <c r="C919" s="219" t="s">
        <v>44</v>
      </c>
      <c r="D919" s="48" t="s">
        <v>105</v>
      </c>
      <c r="E919" s="55">
        <v>114.24</v>
      </c>
      <c r="F919" s="194" t="s">
        <v>105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6">
      <c r="A920" s="41">
        <f t="shared" si="31"/>
        <v>35</v>
      </c>
      <c r="B920" s="168" t="s">
        <v>748</v>
      </c>
      <c r="C920" s="219" t="s">
        <v>44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6">
      <c r="A921" s="41">
        <f t="shared" si="31"/>
        <v>36</v>
      </c>
      <c r="B921" s="168" t="s">
        <v>749</v>
      </c>
      <c r="C921" s="219" t="s">
        <v>44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6">
      <c r="A922" s="41">
        <f t="shared" si="31"/>
        <v>37</v>
      </c>
      <c r="B922" s="168" t="s">
        <v>750</v>
      </c>
      <c r="C922" s="219" t="s">
        <v>44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6">
      <c r="A923" s="41">
        <f t="shared" si="31"/>
        <v>38</v>
      </c>
      <c r="B923" s="168" t="s">
        <v>751</v>
      </c>
      <c r="C923" s="219" t="s">
        <v>44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6">
      <c r="A924" s="41">
        <f t="shared" si="31"/>
        <v>39</v>
      </c>
      <c r="B924" s="168" t="s">
        <v>752</v>
      </c>
      <c r="C924" s="219" t="s">
        <v>44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6">
      <c r="A925" s="41">
        <f t="shared" si="31"/>
        <v>40</v>
      </c>
      <c r="B925" s="168" t="s">
        <v>753</v>
      </c>
      <c r="C925" s="219" t="s">
        <v>44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6">
      <c r="A926" s="41">
        <f t="shared" si="31"/>
        <v>41</v>
      </c>
      <c r="B926" s="168" t="s">
        <v>754</v>
      </c>
      <c r="C926" s="219" t="s">
        <v>44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6">
      <c r="A927" s="41">
        <f t="shared" si="31"/>
        <v>42</v>
      </c>
      <c r="B927" s="168" t="s">
        <v>755</v>
      </c>
      <c r="C927" s="219" t="s">
        <v>44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6">
      <c r="A928" s="41">
        <f t="shared" si="31"/>
        <v>43</v>
      </c>
      <c r="B928" s="168" t="s">
        <v>756</v>
      </c>
      <c r="C928" s="219" t="s">
        <v>44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6">
      <c r="A929" s="41">
        <f t="shared" si="31"/>
        <v>44</v>
      </c>
      <c r="B929" s="168" t="s">
        <v>757</v>
      </c>
      <c r="C929" s="219" t="s">
        <v>44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6">
      <c r="A930" s="41">
        <f t="shared" si="31"/>
        <v>45</v>
      </c>
      <c r="B930" s="168" t="s">
        <v>758</v>
      </c>
      <c r="C930" s="219" t="s">
        <v>44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6">
      <c r="A931" s="41">
        <f t="shared" si="31"/>
        <v>46</v>
      </c>
      <c r="B931" s="168" t="s">
        <v>759</v>
      </c>
      <c r="C931" s="219" t="s">
        <v>44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6">
      <c r="A932" s="41">
        <f t="shared" si="31"/>
        <v>47</v>
      </c>
      <c r="B932" s="168" t="s">
        <v>760</v>
      </c>
      <c r="C932" s="219" t="s">
        <v>44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6">
      <c r="A933" s="41">
        <f t="shared" si="31"/>
        <v>48</v>
      </c>
      <c r="B933" s="168" t="s">
        <v>761</v>
      </c>
      <c r="C933" s="219" t="s">
        <v>44</v>
      </c>
      <c r="D933" s="48" t="s">
        <v>105</v>
      </c>
      <c r="E933" s="55">
        <v>1800</v>
      </c>
      <c r="F933" s="194" t="s">
        <v>105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6">
      <c r="A934" s="41">
        <f t="shared" si="31"/>
        <v>49</v>
      </c>
      <c r="B934" s="168" t="s">
        <v>762</v>
      </c>
      <c r="C934" s="219" t="s">
        <v>44</v>
      </c>
      <c r="D934" s="48" t="s">
        <v>105</v>
      </c>
      <c r="E934" s="55">
        <v>546</v>
      </c>
      <c r="F934" s="194" t="s">
        <v>105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6">
      <c r="A935" s="41">
        <f t="shared" si="31"/>
        <v>50</v>
      </c>
      <c r="B935" s="168" t="s">
        <v>763</v>
      </c>
      <c r="C935" s="219" t="s">
        <v>44</v>
      </c>
      <c r="D935" s="48" t="s">
        <v>105</v>
      </c>
      <c r="E935" s="55">
        <v>114.24</v>
      </c>
      <c r="F935" s="194" t="s">
        <v>105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6">
      <c r="A936" s="41">
        <f t="shared" si="31"/>
        <v>51</v>
      </c>
      <c r="B936" s="168" t="s">
        <v>764</v>
      </c>
      <c r="C936" s="219" t="s">
        <v>44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6">
      <c r="A937" s="41">
        <f t="shared" si="31"/>
        <v>52</v>
      </c>
      <c r="B937" s="168" t="s">
        <v>765</v>
      </c>
      <c r="C937" s="219" t="s">
        <v>44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6">
      <c r="A938" s="41">
        <f t="shared" si="31"/>
        <v>53</v>
      </c>
      <c r="B938" s="168" t="s">
        <v>766</v>
      </c>
      <c r="C938" s="219" t="s">
        <v>44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6">
      <c r="A939" s="41">
        <f t="shared" si="31"/>
        <v>54</v>
      </c>
      <c r="B939" s="168" t="s">
        <v>767</v>
      </c>
      <c r="C939" s="219" t="s">
        <v>44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6">
      <c r="A940" s="41">
        <f t="shared" si="31"/>
        <v>55</v>
      </c>
      <c r="B940" s="168" t="s">
        <v>768</v>
      </c>
      <c r="C940" s="219" t="s">
        <v>44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6">
      <c r="A941" s="41">
        <f t="shared" si="31"/>
        <v>56</v>
      </c>
      <c r="B941" s="168" t="s">
        <v>769</v>
      </c>
      <c r="C941" s="219" t="s">
        <v>44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6">
      <c r="A942" s="41">
        <f t="shared" si="31"/>
        <v>57</v>
      </c>
      <c r="B942" s="168" t="s">
        <v>770</v>
      </c>
      <c r="C942" s="219" t="s">
        <v>44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6">
      <c r="A943" s="41">
        <f t="shared" si="31"/>
        <v>58</v>
      </c>
      <c r="B943" s="168" t="s">
        <v>771</v>
      </c>
      <c r="C943" s="219" t="s">
        <v>44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6">
      <c r="A944" s="41">
        <f t="shared" si="31"/>
        <v>59</v>
      </c>
      <c r="B944" s="168" t="s">
        <v>772</v>
      </c>
      <c r="C944" s="219" t="s">
        <v>44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6">
      <c r="A945" s="41">
        <f t="shared" si="31"/>
        <v>60</v>
      </c>
      <c r="B945" s="168" t="s">
        <v>773</v>
      </c>
      <c r="C945" s="219" t="s">
        <v>44</v>
      </c>
      <c r="D945" s="48" t="s">
        <v>105</v>
      </c>
      <c r="E945" s="55">
        <v>1550</v>
      </c>
      <c r="F945" s="194" t="s">
        <v>105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6">
      <c r="A946" s="41">
        <f t="shared" si="31"/>
        <v>61</v>
      </c>
      <c r="B946" s="168" t="s">
        <v>774</v>
      </c>
      <c r="C946" s="219" t="s">
        <v>44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6">
      <c r="A947" s="41">
        <f t="shared" si="31"/>
        <v>62</v>
      </c>
      <c r="B947" s="168" t="s">
        <v>775</v>
      </c>
      <c r="C947" s="219" t="s">
        <v>44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6">
      <c r="A948" s="41">
        <f t="shared" si="31"/>
        <v>63</v>
      </c>
      <c r="B948" s="168" t="s">
        <v>776</v>
      </c>
      <c r="C948" s="219" t="s">
        <v>44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6">
      <c r="A949" s="41">
        <f t="shared" si="31"/>
        <v>64</v>
      </c>
      <c r="B949" s="168" t="s">
        <v>777</v>
      </c>
      <c r="C949" s="219" t="s">
        <v>44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6">
      <c r="A950" s="41">
        <f t="shared" si="31"/>
        <v>65</v>
      </c>
      <c r="B950" s="168" t="s">
        <v>778</v>
      </c>
      <c r="C950" s="219" t="s">
        <v>44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6">
      <c r="A951" s="41">
        <f t="shared" ref="A951:A982" si="33">A950+1</f>
        <v>66</v>
      </c>
      <c r="B951" s="168" t="s">
        <v>779</v>
      </c>
      <c r="C951" s="219" t="s">
        <v>44</v>
      </c>
      <c r="D951" s="48" t="s">
        <v>105</v>
      </c>
      <c r="E951" s="55">
        <v>952</v>
      </c>
      <c r="F951" s="194" t="s">
        <v>105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6">
      <c r="A952" s="41">
        <f t="shared" si="33"/>
        <v>67</v>
      </c>
      <c r="B952" s="168" t="s">
        <v>780</v>
      </c>
      <c r="C952" s="219" t="s">
        <v>44</v>
      </c>
      <c r="D952" s="48" t="s">
        <v>105</v>
      </c>
      <c r="E952" s="55">
        <v>925</v>
      </c>
      <c r="F952" s="194" t="s">
        <v>105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6">
      <c r="A953" s="41">
        <f t="shared" si="33"/>
        <v>68</v>
      </c>
      <c r="B953" s="168" t="s">
        <v>781</v>
      </c>
      <c r="C953" s="219" t="s">
        <v>44</v>
      </c>
      <c r="D953" s="48" t="s">
        <v>105</v>
      </c>
      <c r="E953" s="55">
        <v>1100</v>
      </c>
      <c r="F953" s="194" t="s">
        <v>105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6">
      <c r="A954" s="41">
        <f t="shared" si="33"/>
        <v>69</v>
      </c>
      <c r="B954" s="168" t="s">
        <v>782</v>
      </c>
      <c r="C954" s="219" t="s">
        <v>44</v>
      </c>
      <c r="D954" s="48" t="s">
        <v>105</v>
      </c>
      <c r="E954" s="55">
        <v>1350</v>
      </c>
      <c r="F954" s="194" t="s">
        <v>105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6">
      <c r="A955" s="41">
        <f t="shared" si="33"/>
        <v>70</v>
      </c>
      <c r="B955" s="168" t="s">
        <v>783</v>
      </c>
      <c r="C955" s="219" t="s">
        <v>44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44</v>
      </c>
      <c r="D956" s="48" t="s">
        <v>105</v>
      </c>
      <c r="E956" s="43">
        <v>2727.48</v>
      </c>
      <c r="F956" s="188" t="s">
        <v>105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44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6">
      <c r="A958" s="41">
        <f t="shared" si="33"/>
        <v>73</v>
      </c>
      <c r="B958" s="168" t="s">
        <v>786</v>
      </c>
      <c r="C958" s="219" t="s">
        <v>44</v>
      </c>
      <c r="D958" s="48" t="s">
        <v>105</v>
      </c>
      <c r="E958" s="55">
        <v>2727.48</v>
      </c>
      <c r="F958" s="194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6">
      <c r="A959" s="41">
        <f t="shared" si="33"/>
        <v>74</v>
      </c>
      <c r="B959" s="168" t="s">
        <v>787</v>
      </c>
      <c r="C959" s="219" t="s">
        <v>44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6">
      <c r="A960" s="41">
        <f t="shared" si="33"/>
        <v>75</v>
      </c>
      <c r="B960" s="168" t="s">
        <v>788</v>
      </c>
      <c r="C960" s="219" t="s">
        <v>44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6">
      <c r="A961" s="41">
        <f t="shared" si="33"/>
        <v>76</v>
      </c>
      <c r="B961" s="168" t="s">
        <v>789</v>
      </c>
      <c r="C961" s="219" t="s">
        <v>44</v>
      </c>
      <c r="D961" s="48" t="s">
        <v>105</v>
      </c>
      <c r="E961" s="55">
        <v>3111.85</v>
      </c>
      <c r="F961" s="194" t="s">
        <v>105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9.1">
      <c r="A962" s="41">
        <f t="shared" si="33"/>
        <v>77</v>
      </c>
      <c r="B962" s="168" t="s">
        <v>790</v>
      </c>
      <c r="C962" s="219" t="s">
        <v>44</v>
      </c>
      <c r="D962" s="48" t="s">
        <v>105</v>
      </c>
      <c r="E962" s="43">
        <v>1550</v>
      </c>
      <c r="F962" s="188" t="s">
        <v>105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6">
      <c r="A963" s="41">
        <f t="shared" si="33"/>
        <v>78</v>
      </c>
      <c r="B963" s="168" t="s">
        <v>791</v>
      </c>
      <c r="C963" s="219" t="s">
        <v>44</v>
      </c>
      <c r="D963" s="48" t="s">
        <v>105</v>
      </c>
      <c r="E963" s="55">
        <v>1550</v>
      </c>
      <c r="F963" s="194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9.1">
      <c r="A964" s="41">
        <f t="shared" si="33"/>
        <v>79</v>
      </c>
      <c r="B964" s="168" t="s">
        <v>792</v>
      </c>
      <c r="C964" s="219" t="s">
        <v>44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44</v>
      </c>
      <c r="D965" s="48" t="s">
        <v>105</v>
      </c>
      <c r="E965" s="43">
        <v>1550</v>
      </c>
      <c r="F965" s="188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6">
      <c r="A966" s="41">
        <f t="shared" si="33"/>
        <v>81</v>
      </c>
      <c r="B966" s="168" t="s">
        <v>794</v>
      </c>
      <c r="C966" s="219" t="s">
        <v>44</v>
      </c>
      <c r="D966" s="48" t="s">
        <v>105</v>
      </c>
      <c r="E966" s="55">
        <v>1550</v>
      </c>
      <c r="F966" s="194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6">
      <c r="A967" s="41">
        <f t="shared" si="33"/>
        <v>82</v>
      </c>
      <c r="B967" s="168" t="s">
        <v>795</v>
      </c>
      <c r="C967" s="219" t="s">
        <v>44</v>
      </c>
      <c r="D967" s="48" t="s">
        <v>105</v>
      </c>
      <c r="E967" s="55">
        <v>3844</v>
      </c>
      <c r="F967" s="194" t="s">
        <v>105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6">
      <c r="A968" s="41">
        <f t="shared" si="33"/>
        <v>83</v>
      </c>
      <c r="B968" s="168" t="s">
        <v>796</v>
      </c>
      <c r="C968" s="219" t="s">
        <v>44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6">
      <c r="A969" s="41">
        <f t="shared" si="33"/>
        <v>84</v>
      </c>
      <c r="B969" s="168" t="s">
        <v>797</v>
      </c>
      <c r="C969" s="219" t="s">
        <v>44</v>
      </c>
      <c r="D969" s="48" t="s">
        <v>105</v>
      </c>
      <c r="E969" s="55">
        <v>998.41</v>
      </c>
      <c r="F969" s="194" t="s">
        <v>105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6">
      <c r="A970" s="41">
        <f t="shared" si="33"/>
        <v>85</v>
      </c>
      <c r="B970" s="168" t="s">
        <v>798</v>
      </c>
      <c r="C970" s="219" t="s">
        <v>44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6">
      <c r="A971" s="41">
        <f t="shared" si="33"/>
        <v>86</v>
      </c>
      <c r="B971" s="168" t="s">
        <v>799</v>
      </c>
      <c r="C971" s="219" t="s">
        <v>44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6">
      <c r="A972" s="41">
        <f t="shared" si="33"/>
        <v>87</v>
      </c>
      <c r="B972" s="168" t="s">
        <v>800</v>
      </c>
      <c r="C972" s="219" t="s">
        <v>44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6">
      <c r="A973" s="41">
        <f t="shared" si="33"/>
        <v>88</v>
      </c>
      <c r="B973" s="168" t="s">
        <v>801</v>
      </c>
      <c r="C973" s="219" t="s">
        <v>44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6">
      <c r="A974" s="41">
        <f t="shared" si="33"/>
        <v>89</v>
      </c>
      <c r="B974" s="168" t="s">
        <v>802</v>
      </c>
      <c r="C974" s="219" t="s">
        <v>44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6">
      <c r="A975" s="41">
        <f t="shared" si="33"/>
        <v>90</v>
      </c>
      <c r="B975" s="168" t="s">
        <v>803</v>
      </c>
      <c r="C975" s="219" t="s">
        <v>44</v>
      </c>
      <c r="D975" s="48" t="s">
        <v>105</v>
      </c>
      <c r="E975" s="55">
        <v>3844</v>
      </c>
      <c r="F975" s="194" t="s">
        <v>105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6">
      <c r="A976" s="41">
        <f t="shared" si="33"/>
        <v>91</v>
      </c>
      <c r="B976" s="168" t="s">
        <v>804</v>
      </c>
      <c r="C976" s="219" t="s">
        <v>44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6">
      <c r="A977" s="41">
        <f t="shared" si="33"/>
        <v>92</v>
      </c>
      <c r="B977" s="168" t="s">
        <v>805</v>
      </c>
      <c r="C977" s="219" t="s">
        <v>44</v>
      </c>
      <c r="D977" s="48" t="s">
        <v>105</v>
      </c>
      <c r="E977" s="55">
        <v>998.41</v>
      </c>
      <c r="F977" s="194" t="s">
        <v>105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6">
      <c r="A978" s="41">
        <f t="shared" si="33"/>
        <v>93</v>
      </c>
      <c r="B978" s="168" t="s">
        <v>806</v>
      </c>
      <c r="C978" s="219" t="s">
        <v>44</v>
      </c>
      <c r="D978" s="48" t="s">
        <v>105</v>
      </c>
      <c r="E978" s="55">
        <v>3844</v>
      </c>
      <c r="F978" s="194" t="s">
        <v>105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6">
      <c r="A979" s="41">
        <f t="shared" si="33"/>
        <v>94</v>
      </c>
      <c r="B979" s="168" t="s">
        <v>807</v>
      </c>
      <c r="C979" s="219" t="s">
        <v>44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6">
      <c r="A980" s="41">
        <f t="shared" si="33"/>
        <v>95</v>
      </c>
      <c r="B980" s="168" t="s">
        <v>808</v>
      </c>
      <c r="C980" s="219" t="s">
        <v>44</v>
      </c>
      <c r="D980" s="48" t="s">
        <v>105</v>
      </c>
      <c r="E980" s="55">
        <v>1173.3399999999999</v>
      </c>
      <c r="F980" s="194" t="s">
        <v>105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6">
      <c r="A981" s="41">
        <f t="shared" si="33"/>
        <v>96</v>
      </c>
      <c r="B981" s="168" t="s">
        <v>809</v>
      </c>
      <c r="C981" s="219" t="s">
        <v>44</v>
      </c>
      <c r="D981" s="48" t="s">
        <v>105</v>
      </c>
      <c r="E981" s="55">
        <v>3844</v>
      </c>
      <c r="F981" s="194" t="s">
        <v>105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6">
      <c r="A982" s="41">
        <f t="shared" si="33"/>
        <v>97</v>
      </c>
      <c r="B982" s="168" t="s">
        <v>810</v>
      </c>
      <c r="C982" s="219" t="s">
        <v>44</v>
      </c>
      <c r="D982" s="48" t="s">
        <v>105</v>
      </c>
      <c r="E982" s="55">
        <v>1200</v>
      </c>
      <c r="F982" s="194" t="s">
        <v>105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87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5">
      <c r="A1010" s="118" t="s">
        <v>72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811</v>
      </c>
      <c r="C1011" s="160" t="s">
        <v>53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53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53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53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53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53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53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53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53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53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53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53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53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53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825</v>
      </c>
      <c r="C1025" s="160" t="s">
        <v>53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826</v>
      </c>
      <c r="C1026" s="160" t="s">
        <v>53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53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53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53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53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831</v>
      </c>
      <c r="C1031" s="160" t="s">
        <v>53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832</v>
      </c>
      <c r="C1032" s="160" t="s">
        <v>53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833</v>
      </c>
      <c r="C1033" s="160" t="s">
        <v>53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834</v>
      </c>
      <c r="C1034" s="160" t="s">
        <v>53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835</v>
      </c>
      <c r="C1035" s="160" t="s">
        <v>53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836</v>
      </c>
      <c r="C1036" s="160" t="s">
        <v>53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837</v>
      </c>
      <c r="C1037" s="160" t="s">
        <v>53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53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839</v>
      </c>
      <c r="C1039" s="160" t="s">
        <v>53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840</v>
      </c>
      <c r="C1040" s="160" t="s">
        <v>53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841</v>
      </c>
      <c r="C1041" s="160" t="s">
        <v>53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842</v>
      </c>
      <c r="C1042" s="160" t="s">
        <v>53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53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72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29.1">
      <c r="A1067" s="83">
        <v>1</v>
      </c>
      <c r="B1067" s="206" t="s">
        <v>844</v>
      </c>
      <c r="C1067" s="219" t="s">
        <v>55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845</v>
      </c>
      <c r="C1068" s="219" t="s">
        <v>55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55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847</v>
      </c>
      <c r="C1070" s="219" t="s">
        <v>55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848</v>
      </c>
      <c r="C1071" s="219" t="s">
        <v>55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849</v>
      </c>
      <c r="C1072" s="219" t="s">
        <v>55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4">
        <f>A1072+1</f>
        <v>7</v>
      </c>
      <c r="B1073" s="206" t="s">
        <v>850</v>
      </c>
      <c r="C1073" s="219" t="s">
        <v>55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5">
      <c r="A1106" s="81" t="s">
        <v>72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29.1">
      <c r="A1107" s="83">
        <v>1</v>
      </c>
      <c r="B1107" s="206" t="s">
        <v>851</v>
      </c>
      <c r="C1107" s="37" t="s">
        <v>852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853</v>
      </c>
      <c r="C1108" s="37" t="s">
        <v>852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855</v>
      </c>
      <c r="C1110" s="37" t="s">
        <v>852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856</v>
      </c>
      <c r="C1111" s="37" t="s">
        <v>852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857</v>
      </c>
      <c r="C1112" s="37" t="s">
        <v>852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858</v>
      </c>
      <c r="C1113" s="37" t="s">
        <v>852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2" t="s">
        <v>1018</v>
      </c>
      <c r="C1273" s="276" t="s">
        <v>852</v>
      </c>
      <c r="D1273" s="277" t="s">
        <v>105</v>
      </c>
      <c r="E1273" s="141">
        <v>44533.333333333336</v>
      </c>
      <c r="F1273" s="278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105</v>
      </c>
      <c r="E1274" s="141">
        <v>30900</v>
      </c>
      <c r="F1274" s="278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105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105</v>
      </c>
      <c r="E1276" s="141">
        <v>22370</v>
      </c>
      <c r="F1276" s="278" t="s">
        <v>105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105</v>
      </c>
      <c r="E1277" s="141">
        <v>184100</v>
      </c>
      <c r="F1277" s="278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2" t="s">
        <v>1024</v>
      </c>
      <c r="C1278" s="276" t="s">
        <v>852</v>
      </c>
      <c r="D1278" s="277" t="s">
        <v>105</v>
      </c>
      <c r="E1278" s="141">
        <v>6333.3374999999996</v>
      </c>
      <c r="F1278" s="278" t="s">
        <v>105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2" t="s">
        <v>1025</v>
      </c>
      <c r="C1279" s="276" t="s">
        <v>852</v>
      </c>
      <c r="D1279" s="277" t="s">
        <v>105</v>
      </c>
      <c r="E1279" s="141">
        <v>17266.599999999999</v>
      </c>
      <c r="F1279" s="278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7" t="s">
        <v>1026</v>
      </c>
      <c r="C1280" s="276" t="s">
        <v>852</v>
      </c>
      <c r="D1280" s="277" t="s">
        <v>105</v>
      </c>
      <c r="E1280" s="141">
        <v>6796.7</v>
      </c>
      <c r="F1280" s="278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105</v>
      </c>
      <c r="E1281" s="141">
        <v>182666.66666666666</v>
      </c>
      <c r="F1281" s="278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105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9.1">
      <c r="A1283" s="83">
        <f t="shared" si="44"/>
        <v>177</v>
      </c>
      <c r="B1283" s="232" t="s">
        <v>1029</v>
      </c>
      <c r="C1283" s="276" t="s">
        <v>852</v>
      </c>
      <c r="D1283" s="277" t="s">
        <v>105</v>
      </c>
      <c r="E1283" s="141">
        <v>46996.6</v>
      </c>
      <c r="F1283" s="278" t="s">
        <v>105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2" t="s">
        <v>1029</v>
      </c>
      <c r="C1284" s="276" t="s">
        <v>852</v>
      </c>
      <c r="D1284" s="277" t="s">
        <v>105</v>
      </c>
      <c r="E1284" s="141">
        <v>48330</v>
      </c>
      <c r="F1284" s="278" t="s">
        <v>105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105</v>
      </c>
      <c r="E1286" s="141">
        <v>104388.75</v>
      </c>
      <c r="F1286" s="278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105</v>
      </c>
      <c r="E1287" s="141">
        <v>79760</v>
      </c>
      <c r="F1287" s="278" t="s">
        <v>105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2" t="s">
        <v>1034</v>
      </c>
      <c r="C1288" s="276" t="s">
        <v>852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2" t="s">
        <v>1035</v>
      </c>
      <c r="C1289" s="276" t="s">
        <v>852</v>
      </c>
      <c r="D1289" s="277" t="s">
        <v>105</v>
      </c>
      <c r="E1289" s="141">
        <v>152500</v>
      </c>
      <c r="F1289" s="278" t="s">
        <v>105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2" t="s">
        <v>1036</v>
      </c>
      <c r="C1290" s="276" t="s">
        <v>852</v>
      </c>
      <c r="D1290" s="277" t="s">
        <v>105</v>
      </c>
      <c r="E1290" s="141">
        <v>432050</v>
      </c>
      <c r="F1290" s="278" t="s">
        <v>105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87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5">
      <c r="A1327" s="73" t="s">
        <v>72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1058</v>
      </c>
      <c r="C1348" s="37" t="s">
        <v>1038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1072</v>
      </c>
      <c r="C1357" s="37" t="s">
        <v>1038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1073</v>
      </c>
      <c r="C1358" s="37" t="s">
        <v>1038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1074</v>
      </c>
      <c r="C1359" s="37" t="s">
        <v>1038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1077</v>
      </c>
      <c r="C1362" s="37" t="s">
        <v>1038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1078</v>
      </c>
      <c r="C1363" s="37" t="s">
        <v>1038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1079</v>
      </c>
      <c r="C1364" s="37" t="s">
        <v>1038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1085</v>
      </c>
      <c r="C1369" s="37" t="s">
        <v>1038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1086</v>
      </c>
      <c r="C1370" s="37" t="s">
        <v>1038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1088</v>
      </c>
      <c r="C1372" s="37" t="s">
        <v>1038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1089</v>
      </c>
      <c r="C1373" s="161" t="s">
        <v>1038</v>
      </c>
      <c r="D1373" s="297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1090</v>
      </c>
      <c r="C1374" s="161" t="s">
        <v>1038</v>
      </c>
      <c r="D1374" s="290" t="s">
        <v>105</v>
      </c>
      <c r="E1374" s="62"/>
      <c r="F1374" s="191" t="s">
        <v>105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1091</v>
      </c>
      <c r="C1375" s="161" t="s">
        <v>1038</v>
      </c>
      <c r="D1375" s="290" t="s">
        <v>105</v>
      </c>
      <c r="E1375" s="62"/>
      <c r="F1375" s="191" t="s">
        <v>105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1092</v>
      </c>
      <c r="C1376" s="161" t="s">
        <v>1038</v>
      </c>
      <c r="D1376" s="290" t="s">
        <v>105</v>
      </c>
      <c r="E1376" s="62"/>
      <c r="F1376" s="191" t="s">
        <v>105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1093</v>
      </c>
      <c r="C1377" s="161" t="s">
        <v>1038</v>
      </c>
      <c r="D1377" s="290" t="s">
        <v>105</v>
      </c>
      <c r="E1377" s="62"/>
      <c r="F1377" s="191" t="s">
        <v>105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1094</v>
      </c>
      <c r="C1378" s="161" t="s">
        <v>1038</v>
      </c>
      <c r="D1378" s="290" t="s">
        <v>105</v>
      </c>
      <c r="E1378" s="62"/>
      <c r="F1378" s="191" t="s">
        <v>105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1095</v>
      </c>
      <c r="C1379" s="37" t="s">
        <v>1038</v>
      </c>
      <c r="D1379" s="291" t="s">
        <v>105</v>
      </c>
      <c r="E1379" s="43"/>
      <c r="F1379" s="188" t="s">
        <v>105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1096</v>
      </c>
      <c r="C1380" s="219" t="s">
        <v>1038</v>
      </c>
      <c r="D1380" s="292" t="s">
        <v>105</v>
      </c>
      <c r="E1380" s="166"/>
      <c r="F1380" s="192" t="s">
        <v>105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1097</v>
      </c>
      <c r="C1381" s="219" t="s">
        <v>1038</v>
      </c>
      <c r="D1381" s="292" t="s">
        <v>105</v>
      </c>
      <c r="E1381" s="166"/>
      <c r="F1381" s="192" t="s">
        <v>105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1098</v>
      </c>
      <c r="C1382" s="221" t="s">
        <v>1038</v>
      </c>
      <c r="D1382" s="293" t="s">
        <v>105</v>
      </c>
      <c r="E1382" s="222"/>
      <c r="F1382" s="193" t="s">
        <v>105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1038</v>
      </c>
      <c r="D1383" s="10" t="s">
        <v>105</v>
      </c>
      <c r="E1383" s="222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1100</v>
      </c>
      <c r="C1384" s="219" t="s">
        <v>1038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1101</v>
      </c>
      <c r="C1385" s="219" t="s">
        <v>1038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1102</v>
      </c>
      <c r="C1386" s="219" t="s">
        <v>1038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1103</v>
      </c>
      <c r="C1387" s="219" t="s">
        <v>1038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1104</v>
      </c>
      <c r="C1388" s="219" t="s">
        <v>1038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1105</v>
      </c>
      <c r="C1389" s="219" t="s">
        <v>1038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1106</v>
      </c>
      <c r="C1390" s="219" t="s">
        <v>1038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1107</v>
      </c>
      <c r="C1391" s="219" t="s">
        <v>1038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1108</v>
      </c>
      <c r="C1392" s="219" t="s">
        <v>1038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1109</v>
      </c>
      <c r="C1393" s="219" t="s">
        <v>1038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1110</v>
      </c>
      <c r="C1394" s="219" t="s">
        <v>1038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1111</v>
      </c>
      <c r="C1395" s="219" t="s">
        <v>1038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1112</v>
      </c>
      <c r="C1396" s="219" t="s">
        <v>1038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3">
        <f t="shared" si="52"/>
        <v>70</v>
      </c>
      <c r="B1397" s="285" t="s">
        <v>1113</v>
      </c>
      <c r="C1397" s="219" t="s">
        <v>1038</v>
      </c>
      <c r="D1397" s="248" t="s">
        <v>1060</v>
      </c>
      <c r="E1397" s="166">
        <v>74866.666666666672</v>
      </c>
      <c r="F1397" s="193" t="s">
        <v>1060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1114</v>
      </c>
      <c r="C1398" s="219" t="s">
        <v>1038</v>
      </c>
      <c r="D1398" s="248" t="s">
        <v>1115</v>
      </c>
      <c r="E1398" s="166">
        <v>74866.666666666672</v>
      </c>
      <c r="F1398" s="193" t="s">
        <v>1115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1116</v>
      </c>
      <c r="C1399" s="219" t="s">
        <v>1038</v>
      </c>
      <c r="D1399" s="248" t="s">
        <v>105</v>
      </c>
      <c r="E1399" s="166">
        <v>19073</v>
      </c>
      <c r="F1399" s="193" t="s">
        <v>105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9.1">
      <c r="A1400" s="283">
        <f t="shared" si="52"/>
        <v>73</v>
      </c>
      <c r="B1400" s="285" t="s">
        <v>1117</v>
      </c>
      <c r="C1400" s="219" t="s">
        <v>1038</v>
      </c>
      <c r="D1400" s="248" t="s">
        <v>105</v>
      </c>
      <c r="E1400" s="166">
        <v>866.66499999999996</v>
      </c>
      <c r="F1400" s="193" t="s">
        <v>105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1118</v>
      </c>
      <c r="C1401" s="219" t="s">
        <v>1038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1119</v>
      </c>
      <c r="C1402" s="219" t="s">
        <v>1038</v>
      </c>
      <c r="D1402" s="248" t="s">
        <v>105</v>
      </c>
      <c r="E1402" s="166">
        <v>19000</v>
      </c>
      <c r="F1402" s="193" t="s">
        <v>105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1120</v>
      </c>
      <c r="C1403" s="219" t="s">
        <v>1038</v>
      </c>
      <c r="D1403" s="248" t="s">
        <v>105</v>
      </c>
      <c r="E1403" s="166">
        <v>3800</v>
      </c>
      <c r="F1403" s="193" t="s">
        <v>105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9.1">
      <c r="A1404" s="283">
        <f t="shared" si="52"/>
        <v>77</v>
      </c>
      <c r="B1404" s="285" t="s">
        <v>1121</v>
      </c>
      <c r="C1404" s="219" t="s">
        <v>1038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1122</v>
      </c>
      <c r="C1405" s="219" t="s">
        <v>1038</v>
      </c>
      <c r="D1405" s="248" t="s">
        <v>210</v>
      </c>
      <c r="E1405" s="166">
        <v>7200</v>
      </c>
      <c r="F1405" s="193" t="s">
        <v>1060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1123</v>
      </c>
      <c r="C1406" s="221" t="s">
        <v>1038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1124</v>
      </c>
      <c r="C1407" s="219" t="s">
        <v>1038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1125</v>
      </c>
      <c r="C1408" s="219" t="s">
        <v>1038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1126</v>
      </c>
      <c r="C1409" s="219" t="s">
        <v>1038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1127</v>
      </c>
      <c r="C1410" s="219" t="s">
        <v>1038</v>
      </c>
      <c r="D1410" s="248" t="s">
        <v>105</v>
      </c>
      <c r="E1410" s="166">
        <v>6013.33</v>
      </c>
      <c r="F1410" s="273" t="s">
        <v>105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1128</v>
      </c>
      <c r="C1411" s="219" t="s">
        <v>1038</v>
      </c>
      <c r="D1411" s="248" t="s">
        <v>105</v>
      </c>
      <c r="E1411" s="166">
        <v>1101.5</v>
      </c>
      <c r="F1411" s="273" t="s">
        <v>105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1129</v>
      </c>
      <c r="C1412" s="219" t="s">
        <v>1038</v>
      </c>
      <c r="D1412" s="248" t="s">
        <v>105</v>
      </c>
      <c r="E1412" s="166">
        <v>11100</v>
      </c>
      <c r="F1412" s="273" t="s">
        <v>105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1130</v>
      </c>
      <c r="C1413" s="219" t="s">
        <v>1038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1131</v>
      </c>
      <c r="C1414" s="219" t="s">
        <v>1038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1132</v>
      </c>
      <c r="C1415" s="221" t="s">
        <v>1038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87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5">
      <c r="A1427" s="134" t="s">
        <v>72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1133</v>
      </c>
      <c r="C1428" s="219" t="s">
        <v>25</v>
      </c>
      <c r="D1428" s="235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9" t="s">
        <v>25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9" t="s">
        <v>25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9" t="s">
        <v>25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9" t="s">
        <v>25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9" t="s">
        <v>25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9" t="s">
        <v>25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26</v>
      </c>
      <c r="C1435" s="219" t="s">
        <v>25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25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25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25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25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25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25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25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25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25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1150</v>
      </c>
      <c r="C1445" s="219" t="s">
        <v>25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1151</v>
      </c>
      <c r="C1446" s="219" t="s">
        <v>25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25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25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25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28</v>
      </c>
      <c r="C1450" s="219" t="s">
        <v>25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25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25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25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25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25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25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25</v>
      </c>
      <c r="D1457" s="48" t="s">
        <v>1069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25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25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25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25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25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25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25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25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25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25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25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25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25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25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25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25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29</v>
      </c>
      <c r="C1474" s="219" t="s">
        <v>25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25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25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25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25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25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25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1184</v>
      </c>
      <c r="C1481" s="219" t="s">
        <v>25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1185</v>
      </c>
      <c r="C1482" s="219" t="s">
        <v>25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25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25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25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25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25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25</v>
      </c>
      <c r="D1488" s="48" t="s">
        <v>1069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25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25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25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25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25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25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25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25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25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25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25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25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25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25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1208</v>
      </c>
      <c r="C1503" s="219" t="s">
        <v>25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25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25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25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25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25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1214</v>
      </c>
      <c r="C1509" s="219" t="s">
        <v>25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27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87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5">
      <c r="A1521" s="92" t="s">
        <v>72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1266</v>
      </c>
      <c r="C1569" s="100" t="s">
        <v>1216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23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1314</v>
      </c>
      <c r="I2" s="17">
        <v>71765586</v>
      </c>
      <c r="K2" t="s">
        <v>1315</v>
      </c>
      <c r="M2" s="79" t="s">
        <v>35</v>
      </c>
    </row>
    <row r="3" spans="1:13" outlineLevel="1">
      <c r="A3" s="3" t="s">
        <v>1316</v>
      </c>
      <c r="B3" s="5" t="s">
        <v>210</v>
      </c>
      <c r="D3" s="266" t="s">
        <v>1317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41</v>
      </c>
    </row>
    <row r="4" spans="1:13" ht="29.1" outlineLevel="1">
      <c r="A4" s="2" t="s">
        <v>1321</v>
      </c>
      <c r="B4" s="5" t="s">
        <v>302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44</v>
      </c>
    </row>
    <row r="5" spans="1:13" ht="29.1" outlineLevel="1">
      <c r="A5" s="3" t="s">
        <v>1326</v>
      </c>
      <c r="B5" s="5" t="s">
        <v>1327</v>
      </c>
      <c r="D5" s="269" t="s">
        <v>13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852</v>
      </c>
    </row>
    <row r="6" spans="1:13" outlineLevel="1">
      <c r="A6" s="2" t="s">
        <v>321</v>
      </c>
      <c r="B6" s="5" t="s">
        <v>321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1038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231</v>
      </c>
    </row>
    <row r="8" spans="1:13" ht="15.6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53</v>
      </c>
    </row>
    <row r="9" spans="1:13" outlineLevel="1">
      <c r="A9" s="2" t="s">
        <v>1345</v>
      </c>
      <c r="B9" s="5" t="s">
        <v>1199</v>
      </c>
      <c r="F9" s="2" t="s">
        <v>1346</v>
      </c>
      <c r="H9" t="s">
        <v>1347</v>
      </c>
      <c r="I9">
        <v>70323724</v>
      </c>
      <c r="K9" t="s">
        <v>1348</v>
      </c>
      <c r="M9" s="79" t="s">
        <v>55</v>
      </c>
    </row>
    <row r="10" spans="1:13" outlineLevel="1">
      <c r="A10" s="2" t="s">
        <v>1349</v>
      </c>
      <c r="B10" s="5" t="s">
        <v>99</v>
      </c>
      <c r="F10" s="3" t="s">
        <v>9</v>
      </c>
      <c r="H10" s="24" t="s">
        <v>6</v>
      </c>
      <c r="I10" s="20">
        <v>32142539</v>
      </c>
      <c r="K10" t="s">
        <v>1350</v>
      </c>
      <c r="M10" s="233" t="s">
        <v>116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3" t="s">
        <v>25</v>
      </c>
    </row>
    <row r="12" spans="1:13" ht="29.1" outlineLevel="1">
      <c r="A12" s="3" t="s">
        <v>1356</v>
      </c>
      <c r="B12" s="5" t="s">
        <v>1031</v>
      </c>
      <c r="F12" s="302" t="s">
        <v>1357</v>
      </c>
      <c r="H12" s="27" t="s">
        <v>1358</v>
      </c>
      <c r="I12" s="28">
        <v>32184975</v>
      </c>
      <c r="M12" s="233" t="s">
        <v>1216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1226</v>
      </c>
      <c r="H14" s="24" t="s">
        <v>1362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233</v>
      </c>
      <c r="H16" s="254" t="s">
        <v>1365</v>
      </c>
      <c r="I16" s="22">
        <v>71278905</v>
      </c>
    </row>
    <row r="17" spans="1:9" outlineLevel="1">
      <c r="A17" s="2" t="s">
        <v>1366</v>
      </c>
      <c r="B17" s="5" t="s">
        <v>357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1219</v>
      </c>
      <c r="H18" s="25" t="s">
        <v>1369</v>
      </c>
      <c r="I18" s="256" t="s">
        <v>1370</v>
      </c>
    </row>
    <row r="19" spans="1:9" outlineLevel="1">
      <c r="A19" s="3" t="s">
        <v>1371</v>
      </c>
      <c r="B19" s="5" t="s">
        <v>236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100</v>
      </c>
      <c r="H21" s="21" t="s">
        <v>1377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202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168</v>
      </c>
      <c r="H24" s="21" t="s">
        <v>1382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1383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1384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105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5" t="s">
        <v>1390</v>
      </c>
      <c r="I31" s="255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2023-11-22T20:17:45Z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