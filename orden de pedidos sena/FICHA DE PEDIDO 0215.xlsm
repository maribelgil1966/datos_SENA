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11" documentId="13_ncr:1_{472F451E-B735-447D-A709-2E5AB7237796}" xr6:coauthVersionLast="47" xr6:coauthVersionMax="47" xr10:uidLastSave="{17EEEB61-337E-4ABD-8B80-240F34DDDF26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<sst xmlns="http://schemas.openxmlformats.org/spreadsheetml/2006/main" count="5065" uniqueCount="1395">
  <si>
    <t xml:space="preserve">CÓDIGO ÚNICO  DE   PEDIDO
</t>
  </si>
  <si>
    <t xml:space="preserve"> Pedido #</t>
  </si>
  <si>
    <t>FECHA DE 
ELABORACION</t>
  </si>
  <si>
    <t>25-06-2023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</si>
  <si>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</si>
  <si>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</si>
  <si>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</si>
  <si>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</si>
  <si>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</si>
  <si>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</si>
  <si>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</si>
  <si>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</si>
  <si>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</si>
  <si>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TIPOLOGIAS DE BOLSOS GIRO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</si>
  <si>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</si>
  <si>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</si>
  <si>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</si>
  <si>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</si>
  <si>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</si>
  <si>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</si>
  <si>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</si>
  <si>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</si>
  <si>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</si>
  <si>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</si>
  <si>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</si>
  <si>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</si>
  <si>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</si>
  <si>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</si>
  <si>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</si>
  <si>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</si>
  <si>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SECUNDARIO_MEDULAR</t>
  </si>
  <si>
    <t>EMBONO PLASTICO GRIS DELGADO</t>
  </si>
  <si>
    <t xml:space="preserve">VIVO PLASTICO </t>
  </si>
  <si>
    <t>CREMALLERA POLIÉSTER #6</t>
  </si>
  <si>
    <t>PAPELERIA_P</t>
  </si>
  <si>
    <t>CARTULINA  BRISTOL (PLANA)</t>
  </si>
  <si>
    <t xml:space="preserve">HILO NYLON #40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</si>
  <si>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</si>
  <si>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</si>
  <si>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</si>
  <si>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</si>
  <si>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</si>
  <si>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</si>
  <si>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</si>
  <si>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</si>
  <si>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</si>
  <si>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</si>
  <si>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</si>
  <si>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</si>
  <si>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</si>
  <si>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</si>
  <si>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</si>
  <si>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</si>
  <si>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</si>
  <si>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</si>
  <si>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</si>
  <si>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</si>
  <si>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</si>
  <si>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</si>
  <si>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</si>
  <si>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</si>
  <si>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</si>
  <si>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</si>
  <si>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</si>
  <si>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</si>
  <si>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</si>
  <si>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</si>
  <si>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</si>
  <si>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</si>
  <si>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</si>
  <si>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</si>
  <si>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</si>
  <si>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</si>
  <si>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</si>
  <si>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</si>
  <si>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</si>
  <si>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</si>
  <si>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</si>
  <si>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</si>
  <si>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</si>
  <si>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</si>
  <si>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</si>
  <si>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</si>
  <si>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</si>
  <si>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</si>
  <si>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</si>
  <si>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</si>
  <si>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</si>
  <si>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</si>
  <si>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</si>
  <si>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</si>
  <si>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</si>
  <si>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28-06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</si>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</sst>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0</xdr:colOff>
      <xdr:row>0</xdr:row>
      <xdr:rowOff>0</xdr:rowOff>
    </xdr:from>
    <xdr:to>
      <xdr:col>24</xdr:col>
      <xdr:colOff>123825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CBEFBD2-EAAD-05EE-8999-1EF2C3B1ACF2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5175" y="0"/>
          <a:ext cx="2628900" cy="2085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0" activePane="bottomLeft" state="frozen"/>
      <selection pane="bottomLeft" activeCell="Q10" sqref="Q10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ER25-06-202325-06-2023-1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 t="s">
        <v>3</v>
      </c>
      <c r="P1" s="365"/>
      <c r="Q1" s="365"/>
      <c r="R1" s="366"/>
      <c r="S1" s="348" t="s">
        <v>4</v>
      </c>
      <c r="T1" s="349"/>
      <c r="U1" s="349"/>
      <c r="V1" s="349"/>
      <c r="W1" s="349"/>
      <c r="X1" s="349"/>
      <c r="Y1" s="350"/>
      <c r="Z1" s="253" t="s">
        <v>5</v>
      </c>
    </row>
    <row r="2" spans="1:28" ht="23.25" customHeight="1">
      <c r="A2" s="376"/>
      <c r="B2" s="377"/>
      <c r="C2" s="380" t="s">
        <v>6</v>
      </c>
      <c r="D2" s="381"/>
      <c r="E2" s="382" t="s">
        <v>7</v>
      </c>
      <c r="F2" s="383"/>
      <c r="G2" s="383"/>
      <c r="H2" s="383"/>
      <c r="I2" s="383"/>
      <c r="J2" s="383"/>
      <c r="K2" s="384"/>
      <c r="L2" s="339" t="s">
        <v>8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9</v>
      </c>
      <c r="D3" s="389"/>
      <c r="E3" s="390" t="s">
        <v>10</v>
      </c>
      <c r="F3" s="391"/>
      <c r="G3" s="391"/>
      <c r="H3" s="391"/>
      <c r="I3" s="391"/>
      <c r="J3" s="391"/>
      <c r="K3" s="392"/>
      <c r="L3" s="339" t="s">
        <v>11</v>
      </c>
      <c r="M3" s="340"/>
      <c r="N3" s="341"/>
      <c r="O3" s="315">
        <v>2693493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12</v>
      </c>
      <c r="B4" s="373"/>
      <c r="C4" s="373"/>
      <c r="D4" s="367" t="s">
        <v>13</v>
      </c>
      <c r="E4" s="368"/>
      <c r="F4" s="368"/>
      <c r="G4" s="368"/>
      <c r="H4" s="368"/>
      <c r="I4" s="368"/>
      <c r="J4" s="368"/>
      <c r="K4" s="368"/>
      <c r="L4" s="369" t="s">
        <v>14</v>
      </c>
      <c r="M4" s="369"/>
      <c r="N4" s="369"/>
      <c r="O4" s="370" t="s">
        <v>15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16</v>
      </c>
      <c r="B5" s="393"/>
      <c r="C5" s="393"/>
      <c r="D5" s="394">
        <f ca="1">IF(K5="","",(SUM(W10:Y28)-(SUMIF(U10:V28,"Restar_Pedido",W10:Y28)))/$K$5)</f>
        <v>25476.733333333334</v>
      </c>
      <c r="E5" s="395"/>
      <c r="F5" s="396"/>
      <c r="G5" s="380" t="s">
        <v>17</v>
      </c>
      <c r="H5" s="397"/>
      <c r="I5" s="397"/>
      <c r="J5" s="381"/>
      <c r="K5" s="355">
        <v>15</v>
      </c>
      <c r="L5" s="355"/>
      <c r="M5" s="356" t="s">
        <v>18</v>
      </c>
      <c r="N5" s="356"/>
      <c r="O5" s="345">
        <f ca="1">IFERROR(IF(K5=0,"",D5*K5),"")</f>
        <v>382151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19</v>
      </c>
      <c r="B7" s="385"/>
      <c r="C7" s="385"/>
      <c r="D7" s="386" t="s">
        <v>20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21</v>
      </c>
      <c r="P7" s="334"/>
      <c r="Q7" s="387" t="s">
        <v>22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23</v>
      </c>
      <c r="T8" s="336"/>
      <c r="U8" s="336"/>
      <c r="V8" s="337">
        <f>IF(K5="","",1/K5)</f>
        <v>6.6666666666666666E-2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24</v>
      </c>
      <c r="T9" s="335"/>
      <c r="U9" s="334" t="s">
        <v>25</v>
      </c>
      <c r="V9" s="334"/>
      <c r="W9" s="334" t="s">
        <v>26</v>
      </c>
      <c r="X9" s="334"/>
      <c r="Y9" s="334"/>
    </row>
    <row r="10" spans="1:28" ht="17.25" customHeight="1">
      <c r="A10" s="308" t="s">
        <v>27</v>
      </c>
      <c r="B10" s="308"/>
      <c r="C10" s="309"/>
      <c r="D10" s="398" t="s">
        <v>28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18200</v>
      </c>
      <c r="R10" s="316"/>
      <c r="S10" s="317">
        <f>IFERROR(IF(Q10="Unidad","1",(Q10*$K$5)),"")</f>
        <v>273000</v>
      </c>
      <c r="T10" s="318"/>
      <c r="U10" s="305"/>
      <c r="V10" s="401"/>
      <c r="W10" s="306">
        <f ca="1">IFERROR(IF(D10="","",INDEX(Tabla_Completa,MATCH('Soli_citud '!D10,Materiales,0),7)*S10),"")</f>
        <v>187769.4</v>
      </c>
      <c r="X10" s="306"/>
      <c r="Y10" s="306"/>
      <c r="Z10" s="34"/>
    </row>
    <row r="11" spans="1:28" ht="17.25" customHeight="1">
      <c r="A11" s="307" t="s">
        <v>27</v>
      </c>
      <c r="B11" s="308"/>
      <c r="C11" s="309"/>
      <c r="D11" s="398" t="s">
        <v>29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14000</v>
      </c>
      <c r="R11" s="316"/>
      <c r="S11" s="317">
        <f t="shared" ref="S11:S31" si="1">IFERROR(IF(Q11="Unidad","1",(Q11*$K$5)),"")</f>
        <v>210000</v>
      </c>
      <c r="T11" s="318"/>
      <c r="U11" s="305"/>
      <c r="V11" s="305"/>
      <c r="W11" s="306">
        <f ca="1">IFERROR(IF(D11="","",INDEX(Tabla_Completa,MATCH('Soli_citud '!D11,Materiales,0),7)*S11),"")</f>
        <v>49700</v>
      </c>
      <c r="X11" s="306"/>
      <c r="Y11" s="306"/>
    </row>
    <row r="12" spans="1:28" ht="15.75" customHeight="1">
      <c r="A12" s="307" t="s">
        <v>30</v>
      </c>
      <c r="B12" s="308"/>
      <c r="C12" s="309"/>
      <c r="D12" s="402" t="s">
        <v>31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m</v>
      </c>
      <c r="P12" s="314"/>
      <c r="Q12" s="315">
        <v>1</v>
      </c>
      <c r="R12" s="316"/>
      <c r="S12" s="317">
        <f t="shared" si="1"/>
        <v>15</v>
      </c>
      <c r="T12" s="318"/>
      <c r="U12" s="305"/>
      <c r="V12" s="305"/>
      <c r="W12" s="306">
        <f ca="1">IFERROR(IF(D12="","",INDEX(Tabla_Completa,MATCH('Soli_citud '!D12,Materiales,0),7)*S12),"")</f>
        <v>1380</v>
      </c>
      <c r="X12" s="306"/>
      <c r="Y12" s="306"/>
    </row>
    <row r="13" spans="1:28" ht="15.75" customHeight="1">
      <c r="A13" s="307" t="s">
        <v>30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</v>
      </c>
      <c r="P13" s="314"/>
      <c r="Q13" s="315">
        <v>50</v>
      </c>
      <c r="R13" s="316"/>
      <c r="S13" s="317">
        <f t="shared" si="1"/>
        <v>750</v>
      </c>
      <c r="T13" s="318"/>
      <c r="U13" s="305"/>
      <c r="V13" s="305"/>
      <c r="W13" s="306">
        <f ca="1">IFERROR(IF(D13="","",INDEX(Tabla_Completa,MATCH('Soli_citud '!D13,Materiales,0),7)*S13),"")</f>
        <v>63000</v>
      </c>
      <c r="X13" s="306"/>
      <c r="Y13" s="306"/>
    </row>
    <row r="14" spans="1:28" ht="17.25" customHeight="1">
      <c r="A14" s="307" t="s">
        <v>30</v>
      </c>
      <c r="B14" s="308"/>
      <c r="C14" s="309"/>
      <c r="D14" s="398" t="s">
        <v>33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</v>
      </c>
      <c r="P14" s="314"/>
      <c r="Q14" s="315">
        <v>60</v>
      </c>
      <c r="R14" s="316"/>
      <c r="S14" s="317">
        <f t="shared" si="1"/>
        <v>900</v>
      </c>
      <c r="T14" s="318"/>
      <c r="U14" s="305"/>
      <c r="V14" s="305"/>
      <c r="W14" s="306">
        <f ca="1">IFERROR(IF(D14="","",INDEX(Tabla_Completa,MATCH('Soli_citud '!D14,Materiales,0),7)*S14),"")</f>
        <v>11007</v>
      </c>
      <c r="X14" s="306"/>
      <c r="Y14" s="306"/>
    </row>
    <row r="15" spans="1:28" ht="15.75" customHeight="1">
      <c r="A15" s="307" t="s">
        <v>34</v>
      </c>
      <c r="B15" s="308"/>
      <c r="C15" s="309"/>
      <c r="D15" s="398" t="s">
        <v>35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Pliego</v>
      </c>
      <c r="P15" s="314"/>
      <c r="Q15" s="315">
        <v>2</v>
      </c>
      <c r="R15" s="316"/>
      <c r="S15" s="317">
        <f t="shared" si="1"/>
        <v>30</v>
      </c>
      <c r="T15" s="318"/>
      <c r="U15" s="305"/>
      <c r="V15" s="305"/>
      <c r="W15" s="306">
        <f ca="1">IFERROR(IF(D15="","",INDEX(Tabla_Completa,MATCH('Soli_citud '!D15,Materiales,0),7)*S15),"")</f>
        <v>47494.600000000006</v>
      </c>
      <c r="X15" s="306"/>
      <c r="Y15" s="306"/>
    </row>
    <row r="16" spans="1:28" ht="15.75" customHeight="1">
      <c r="A16" s="307" t="s">
        <v>30</v>
      </c>
      <c r="B16" s="308"/>
      <c r="C16" s="309"/>
      <c r="D16" s="402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Cono</v>
      </c>
      <c r="P16" s="314"/>
      <c r="Q16" s="315">
        <v>0.2</v>
      </c>
      <c r="R16" s="316"/>
      <c r="S16" s="317">
        <f t="shared" si="1"/>
        <v>3</v>
      </c>
      <c r="T16" s="318"/>
      <c r="U16" s="305"/>
      <c r="V16" s="305"/>
      <c r="W16" s="306">
        <f ca="1">IFERROR(IF(D16="","",INDEX(Tabla_Completa,MATCH('Soli_citud '!D16,Materiales,0),7)*S16),"")</f>
        <v>21800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37</v>
      </c>
      <c r="B39" s="319"/>
      <c r="C39" s="319"/>
      <c r="D39" s="320" t="s">
        <v>38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39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40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41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42</v>
      </c>
      <c r="O44" s="332"/>
      <c r="P44" s="332"/>
      <c r="Q44" s="332"/>
      <c r="R44" s="327" t="s">
        <v>43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44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45</v>
      </c>
      <c r="O45" s="332"/>
      <c r="P45" s="332"/>
      <c r="Q45" s="332"/>
      <c r="R45" s="328" t="s">
        <v>46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47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48</v>
      </c>
      <c r="O46" s="332"/>
      <c r="P46" s="332"/>
      <c r="Q46" s="332"/>
      <c r="R46" s="329" t="s">
        <v>49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50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51</v>
      </c>
      <c r="O47" s="332"/>
      <c r="P47" s="332"/>
      <c r="Q47" s="332"/>
      <c r="R47" s="329" t="s">
        <v>52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54</v>
      </c>
      <c r="O48" s="332"/>
      <c r="P48" s="332"/>
      <c r="Q48" s="332"/>
      <c r="R48" s="329" t="s">
        <v>55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57</v>
      </c>
      <c r="O49" s="333"/>
      <c r="P49" s="333"/>
      <c r="Q49" s="333"/>
      <c r="R49" s="328" t="s">
        <v>58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34</v>
      </c>
      <c r="O50" s="332"/>
      <c r="P50" s="332"/>
      <c r="Q50" s="332"/>
      <c r="R50" s="329" t="s">
        <v>59</v>
      </c>
      <c r="S50" s="329"/>
      <c r="T50" s="329"/>
      <c r="U50" s="329"/>
      <c r="V50" s="329"/>
      <c r="W50" s="329"/>
      <c r="X50" s="329"/>
    </row>
    <row r="51" spans="1:24" ht="15.75">
      <c r="N51" s="332" t="s">
        <v>27</v>
      </c>
      <c r="O51" s="332"/>
      <c r="P51" s="332"/>
      <c r="Q51" s="332"/>
      <c r="R51" s="329" t="s">
        <v>60</v>
      </c>
      <c r="S51" s="329"/>
      <c r="T51" s="329"/>
      <c r="U51" s="329"/>
      <c r="V51" s="329"/>
      <c r="W51" s="329"/>
      <c r="X51" s="329"/>
    </row>
    <row r="52" spans="1:24" ht="15.75">
      <c r="N52" s="332" t="s">
        <v>61</v>
      </c>
      <c r="O52" s="332"/>
      <c r="P52" s="332"/>
      <c r="Q52" s="332"/>
      <c r="R52" s="329" t="s">
        <v>52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2" activePane="bottomLeft" state="frozen"/>
      <selection pane="bottomLeft" activeCell="U10" sqref="U10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62</v>
      </c>
      <c r="E1" s="415"/>
      <c r="F1" s="415"/>
      <c r="G1" s="415"/>
      <c r="H1" s="415"/>
      <c r="I1" s="415"/>
      <c r="J1" s="421" t="s">
        <v>63</v>
      </c>
      <c r="K1" s="422"/>
      <c r="L1" s="422"/>
      <c r="M1" s="423"/>
      <c r="N1" s="416" t="str">
        <f>IF('Soli_citud '!O1="","",'Soli_citud '!O1)</f>
        <v>25-06-2023</v>
      </c>
      <c r="O1" s="417"/>
      <c r="P1" s="467" t="s">
        <v>64</v>
      </c>
      <c r="Q1" s="468"/>
      <c r="R1" s="463" t="str">
        <f>IF('Soli_citud '!D4="","",'Soli_citud '!D4)</f>
        <v>TIPOLOGIAS DE BOLSOS GIRO</v>
      </c>
      <c r="S1" s="464"/>
      <c r="Z1" t="s">
        <v>65</v>
      </c>
      <c r="AA1" s="252" t="s">
        <v>65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66</v>
      </c>
      <c r="K2" s="425"/>
      <c r="L2" s="425"/>
      <c r="M2" s="426"/>
      <c r="N2" s="418" t="str">
        <f>'Soli_citud '!F1</f>
        <v>ER25-06-202325-06-2023-1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67</v>
      </c>
      <c r="K3" s="420"/>
      <c r="L3" s="420"/>
      <c r="M3" s="420"/>
      <c r="N3" s="406">
        <f>IF('Soli_citud '!O3="","",'Soli_citud '!O3)</f>
        <v>2693493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68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69</v>
      </c>
      <c r="C6" s="453"/>
      <c r="D6" s="454"/>
      <c r="E6" s="408" t="s">
        <v>70</v>
      </c>
      <c r="F6" s="408"/>
      <c r="G6" s="408"/>
      <c r="H6" s="408"/>
      <c r="I6" s="409"/>
      <c r="J6" s="443" t="s">
        <v>71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25476.733333333334</v>
      </c>
      <c r="C8" s="431"/>
      <c r="D8" s="432"/>
      <c r="E8" s="449" t="s">
        <v>72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73</v>
      </c>
      <c r="C9" s="434"/>
      <c r="D9" s="459"/>
      <c r="E9" s="458" t="s">
        <v>74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75</v>
      </c>
      <c r="K10" s="428"/>
      <c r="L10" s="429"/>
      <c r="M10" s="242">
        <f>'Soli_citud '!K5</f>
        <v>15</v>
      </c>
      <c r="N10" s="447" t="s">
        <v>76</v>
      </c>
      <c r="O10" s="448"/>
      <c r="P10" s="471"/>
      <c r="Q10" s="472"/>
      <c r="R10" s="243" t="s">
        <v>77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78</v>
      </c>
      <c r="B11" s="264" t="s">
        <v>79</v>
      </c>
      <c r="C11" s="460" t="s">
        <v>80</v>
      </c>
      <c r="D11" s="461"/>
      <c r="E11" s="461"/>
      <c r="F11" s="462"/>
      <c r="G11" s="112" t="s">
        <v>81</v>
      </c>
      <c r="H11" s="112" t="s">
        <v>82</v>
      </c>
      <c r="I11" s="237" t="s">
        <v>83</v>
      </c>
      <c r="J11" s="110" t="s">
        <v>84</v>
      </c>
      <c r="K11" s="223" t="s">
        <v>85</v>
      </c>
      <c r="L11" s="419" t="s">
        <v>25</v>
      </c>
      <c r="M11" s="427"/>
      <c r="N11" s="240" t="s">
        <v>86</v>
      </c>
      <c r="O11" s="240" t="s">
        <v>87</v>
      </c>
      <c r="P11" s="244" t="s">
        <v>88</v>
      </c>
      <c r="Q11" s="245" t="s">
        <v>89</v>
      </c>
      <c r="R11" s="236" t="s">
        <v>90</v>
      </c>
      <c r="S11" s="224" t="s">
        <v>91</v>
      </c>
    </row>
    <row r="12" spans="1:27" ht="19.5" customHeight="1">
      <c r="A12" s="78">
        <v>1</v>
      </c>
      <c r="B12" s="265" t="str">
        <f>IF(H12="","",$N$2)</f>
        <v>ER25-06-202325-06-2023-1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273000</v>
      </c>
      <c r="I12" s="227" t="s">
        <v>92</v>
      </c>
      <c r="J12" s="228">
        <v>273000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>
        <v>140</v>
      </c>
      <c r="O12" s="208">
        <f t="shared" ref="O12:O30" si="0">IFERROR(H12/N12,"")</f>
        <v>1950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ER25-06-202325-06-2023-1</v>
      </c>
      <c r="C13" s="403" t="str">
        <f>IFERROR(IF('Soli_citud '!D11="","",'Soli_citud '!D11),"")</f>
        <v>POLITEX-KAMBREL 100 GR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210000</v>
      </c>
      <c r="I13" s="227" t="s">
        <v>92</v>
      </c>
      <c r="J13" s="229">
        <v>210000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>
        <v>140</v>
      </c>
      <c r="O13" s="208">
        <f t="shared" si="0"/>
        <v>1500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ER25-06-202325-06-2023-1</v>
      </c>
      <c r="C14" s="403" t="str">
        <f>IFERROR(IF('Soli_citud '!D12="","",'Soli_citud '!D12),"")</f>
        <v>EMBONO PLASTICO GRIS DELGADO</v>
      </c>
      <c r="D14" s="403"/>
      <c r="E14" s="403"/>
      <c r="F14" s="403"/>
      <c r="G14" s="226" t="str">
        <f ca="1">IF('Soli_citud '!O12="","",'Soli_citud '!O12)</f>
        <v>m</v>
      </c>
      <c r="H14" s="226" cm="1">
        <f t="array" ref="H14">_xlfn.IFS('Soli_citud '!S12="","",'Soli_citud '!S12&lt;=0,"",'Soli_citud '!S12&gt;0,'Soli_citud '!S12)</f>
        <v>15</v>
      </c>
      <c r="I14" s="227" t="s">
        <v>92</v>
      </c>
      <c r="J14" s="229">
        <v>15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ER25-06-202325-06-2023-1</v>
      </c>
      <c r="C15" s="403" t="str">
        <f>IFERROR(IF('Soli_citud '!D13="","",'Soli_citud '!D13),"")</f>
        <v xml:space="preserve">VIVO PLASTICO </v>
      </c>
      <c r="D15" s="403"/>
      <c r="E15" s="403"/>
      <c r="F15" s="403"/>
      <c r="G15" s="226" t="str">
        <f ca="1">IF('Soli_citud '!O13="","",'Soli_citud '!O13)</f>
        <v>cm</v>
      </c>
      <c r="H15" s="226" cm="1">
        <f t="array" ref="H15">_xlfn.IFS('Soli_citud '!S13="","",'Soli_citud '!S13&lt;=0,"",'Soli_citud '!S13&gt;0,'Soli_citud '!S13)</f>
        <v>750</v>
      </c>
      <c r="I15" s="227" t="s">
        <v>92</v>
      </c>
      <c r="J15" s="229">
        <v>750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ER25-06-202325-06-2023-1</v>
      </c>
      <c r="C16" s="403" t="str">
        <f>IFERROR(IF('Soli_citud '!D14="","",'Soli_citud '!D14),"")</f>
        <v>CREMALLERA POLIÉSTER #6</v>
      </c>
      <c r="D16" s="403"/>
      <c r="E16" s="403"/>
      <c r="F16" s="403"/>
      <c r="G16" s="226" t="str">
        <f ca="1">IF('Soli_citud '!O14="","",'Soli_citud '!O14)</f>
        <v>cm</v>
      </c>
      <c r="H16" s="226" cm="1">
        <f t="array" ref="H16">_xlfn.IFS('Soli_citud '!S14="","",'Soli_citud '!S14&lt;=0,"",'Soli_citud '!S14&gt;0,'Soli_citud '!S14)</f>
        <v>900</v>
      </c>
      <c r="I16" s="230"/>
      <c r="J16" s="229"/>
      <c r="K16" s="207" cm="1">
        <f t="array" ref="K16">IFERROR(_xlfn.IFS(H16="","",J16=H16,"Cumplido",J16&lt;H16,H16-J16,J16&gt;H16,"Revisar"),"")</f>
        <v>900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ER25-06-202325-06-2023-1</v>
      </c>
      <c r="C17" s="403" t="str">
        <f>IFERROR(IF('Soli_citud '!D15="","",'Soli_citud '!D15),"")</f>
        <v>CARTULINA  BRISTOL (PLANA)</v>
      </c>
      <c r="D17" s="403"/>
      <c r="E17" s="403"/>
      <c r="F17" s="403"/>
      <c r="G17" s="226" t="str">
        <f ca="1">IF('Soli_citud '!O15="","",'Soli_citud '!O15)</f>
        <v>Pliego</v>
      </c>
      <c r="H17" s="226" cm="1">
        <f t="array" ref="H17">_xlfn.IFS('Soli_citud '!S15="","",'Soli_citud '!S15&lt;=0,"",'Soli_citud '!S15&gt;0,'Soli_citud '!S15)</f>
        <v>30</v>
      </c>
      <c r="I17" s="227" t="s">
        <v>92</v>
      </c>
      <c r="J17" s="229">
        <v>30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ER25-06-202325-06-2023-1</v>
      </c>
      <c r="C18" s="403" t="str">
        <f>IFERROR(IF('Soli_citud '!D16="","",'Soli_citud '!D16),"")</f>
        <v xml:space="preserve">HILO NYLON #40
</v>
      </c>
      <c r="D18" s="403"/>
      <c r="E18" s="403"/>
      <c r="F18" s="403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3</v>
      </c>
      <c r="I18" s="230"/>
      <c r="J18" s="229"/>
      <c r="K18" s="207" cm="1">
        <f t="array" ref="K18">IFERROR(_xlfn.IFS(H18="","",J18=H18,"Cumplido",J18&lt;H18,H18-J18,J18&gt;H18,"Revisar"),"")</f>
        <v>3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93</v>
      </c>
      <c r="F1" s="490"/>
      <c r="Z1" s="252" t="s">
        <v>65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94</v>
      </c>
      <c r="B6" s="304">
        <f>SUBTOTAL(3,(BD!$B$8:$B$20))</f>
        <v>13</v>
      </c>
      <c r="C6" s="488"/>
      <c r="D6" s="489"/>
      <c r="H6" s="486" t="s">
        <v>95</v>
      </c>
      <c r="I6" s="486"/>
    </row>
    <row r="7" spans="1:26" ht="47.25">
      <c r="A7" s="73" t="s">
        <v>78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42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42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42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42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42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42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42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42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42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42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42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42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5" t="s">
        <v>42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122</v>
      </c>
      <c r="C34" s="219" t="s">
        <v>123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9" t="s">
        <v>123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9" t="s">
        <v>123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9" t="s">
        <v>123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9" t="s">
        <v>123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9" t="s">
        <v>123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9" t="s">
        <v>123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9" t="s">
        <v>123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9" t="s">
        <v>123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9" t="s">
        <v>123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9" t="s">
        <v>123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9" t="s">
        <v>123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9" t="s">
        <v>123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9" t="s">
        <v>123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9" t="s">
        <v>123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9" t="s">
        <v>123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9" t="s">
        <v>123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9" t="s">
        <v>123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9" t="s">
        <v>123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9" t="s">
        <v>123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9" t="s">
        <v>123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9" t="s">
        <v>123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9" t="s">
        <v>123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9" t="s">
        <v>123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9" t="s">
        <v>123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9" t="s">
        <v>123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9" t="s">
        <v>123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9" t="s">
        <v>123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9" t="s">
        <v>123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9" t="s">
        <v>123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9" t="s">
        <v>123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9" t="s">
        <v>123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9" t="s">
        <v>123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9" t="s">
        <v>123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9" t="s">
        <v>123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9" t="s">
        <v>123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9" t="s">
        <v>123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9" t="s">
        <v>123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9" t="s">
        <v>123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9" t="s">
        <v>123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9" t="s">
        <v>123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9" t="s">
        <v>123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9" t="s">
        <v>123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9" t="s">
        <v>123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9" t="s">
        <v>123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9" t="s">
        <v>123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9" t="s">
        <v>123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9" t="s">
        <v>123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9" t="s">
        <v>123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9" t="s">
        <v>123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9" t="s">
        <v>123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9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9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9" t="s">
        <v>123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9" t="s">
        <v>123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9" t="s">
        <v>123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9" t="s">
        <v>123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9" t="s">
        <v>123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9" t="s">
        <v>123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9" t="s">
        <v>123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9" t="s">
        <v>123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9" t="s">
        <v>123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9" t="s">
        <v>123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9" t="s">
        <v>123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9" t="s">
        <v>123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9" t="s">
        <v>123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9" t="s">
        <v>123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9" t="s">
        <v>123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9" t="s">
        <v>123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9" t="s">
        <v>123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9" t="s">
        <v>123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9" t="s">
        <v>123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9" t="s">
        <v>123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9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9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9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9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9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9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9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9" t="s">
        <v>123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9" t="s">
        <v>123</v>
      </c>
      <c r="D115" s="48" t="s">
        <v>207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9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9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9" t="s">
        <v>123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9" t="s">
        <v>123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9" t="s">
        <v>123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9" t="s">
        <v>123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9" t="s">
        <v>123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9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9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9" t="s">
        <v>123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9" t="s">
        <v>123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9" t="s">
        <v>123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9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9" t="s">
        <v>123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9" t="s">
        <v>123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9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9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9" t="s">
        <v>123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9" t="s">
        <v>123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9" t="s">
        <v>123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9" t="s">
        <v>123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9" t="s">
        <v>123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9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9" t="s">
        <v>123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9" t="s">
        <v>123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9" t="s">
        <v>123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237</v>
      </c>
      <c r="C162" s="219" t="s">
        <v>30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9" t="s">
        <v>30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9" t="s">
        <v>30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9" t="s">
        <v>30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9" t="s">
        <v>30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9" t="s">
        <v>30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9" t="s">
        <v>30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9" t="s">
        <v>30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9" t="s">
        <v>30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9" t="s">
        <v>30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9" t="s">
        <v>30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9" t="s">
        <v>30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9" t="s">
        <v>30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9" t="s">
        <v>30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9" t="s">
        <v>30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9" t="s">
        <v>30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9" t="s">
        <v>30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9" t="s">
        <v>30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9" t="s">
        <v>30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9" t="s">
        <v>30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9" t="s">
        <v>30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9" t="s">
        <v>30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9" t="s">
        <v>30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30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30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30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30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30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30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30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30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30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30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30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30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30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30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30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30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30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30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30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30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30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30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30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30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30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30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30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30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30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30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30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30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30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30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30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30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30</v>
      </c>
      <c r="D221" s="48" t="s">
        <v>175</v>
      </c>
      <c r="E221" s="43">
        <v>475.34</v>
      </c>
      <c r="F221" s="300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30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30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30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30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30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30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30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30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30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33</v>
      </c>
      <c r="C231" s="219" t="s">
        <v>30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30</v>
      </c>
      <c r="D232" s="49" t="s">
        <v>239</v>
      </c>
      <c r="E232" s="166">
        <v>16471.25</v>
      </c>
      <c r="F232" s="301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30</v>
      </c>
      <c r="D233" s="49" t="s">
        <v>239</v>
      </c>
      <c r="E233" s="166">
        <v>32931.5</v>
      </c>
      <c r="F233" s="301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30</v>
      </c>
      <c r="D234" s="49" t="s">
        <v>239</v>
      </c>
      <c r="E234" s="166">
        <v>16209.5</v>
      </c>
      <c r="F234" s="301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30</v>
      </c>
      <c r="D235" s="49" t="s">
        <v>239</v>
      </c>
      <c r="E235" s="166">
        <v>32417</v>
      </c>
      <c r="F235" s="301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30</v>
      </c>
      <c r="D236" s="49" t="s">
        <v>239</v>
      </c>
      <c r="E236" s="166">
        <v>50250</v>
      </c>
      <c r="F236" s="301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30</v>
      </c>
      <c r="D237" s="49" t="s">
        <v>239</v>
      </c>
      <c r="E237" s="166">
        <v>25131.5</v>
      </c>
      <c r="F237" s="301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30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</v>
      </c>
      <c r="C239" s="219" t="s">
        <v>30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318</v>
      </c>
      <c r="C240" s="219" t="s">
        <v>30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319</v>
      </c>
      <c r="C241" s="219" t="s">
        <v>30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320</v>
      </c>
      <c r="C242" s="219" t="s">
        <v>30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321</v>
      </c>
      <c r="C243" s="219" t="s">
        <v>30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322</v>
      </c>
      <c r="C244" s="219" t="s">
        <v>30</v>
      </c>
      <c r="D244" s="48" t="s">
        <v>242</v>
      </c>
      <c r="E244" s="43">
        <v>26000</v>
      </c>
      <c r="F244" s="193" t="s">
        <v>245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323</v>
      </c>
      <c r="C245" s="219" t="s">
        <v>30</v>
      </c>
      <c r="D245" s="48" t="s">
        <v>242</v>
      </c>
      <c r="E245" s="43">
        <v>13000</v>
      </c>
      <c r="F245" s="193" t="s">
        <v>245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324</v>
      </c>
      <c r="C246" s="276" t="s">
        <v>30</v>
      </c>
      <c r="D246" s="48" t="s">
        <v>242</v>
      </c>
      <c r="E246" s="141">
        <v>7000</v>
      </c>
      <c r="F246" s="193" t="s">
        <v>325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326</v>
      </c>
      <c r="C247" s="276" t="s">
        <v>30</v>
      </c>
      <c r="D247" s="48" t="s">
        <v>241</v>
      </c>
      <c r="E247" s="141">
        <v>12000</v>
      </c>
      <c r="F247" s="193" t="s">
        <v>325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327</v>
      </c>
      <c r="C248" s="276" t="s">
        <v>30</v>
      </c>
      <c r="D248" s="48" t="s">
        <v>112</v>
      </c>
      <c r="E248" s="141">
        <v>7266.666666666667</v>
      </c>
      <c r="F248" s="193" t="s">
        <v>325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36</v>
      </c>
      <c r="C249" s="276" t="s">
        <v>30</v>
      </c>
      <c r="D249" s="48" t="s">
        <v>112</v>
      </c>
      <c r="E249" s="141">
        <v>7266.666666666667</v>
      </c>
      <c r="F249" s="193" t="s">
        <v>325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30</v>
      </c>
      <c r="D250" s="277" t="s">
        <v>112</v>
      </c>
      <c r="E250" s="141">
        <v>7266.665</v>
      </c>
      <c r="F250" s="278" t="s">
        <v>325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30</v>
      </c>
      <c r="D251" s="277" t="s">
        <v>241</v>
      </c>
      <c r="E251" s="141">
        <v>5000</v>
      </c>
      <c r="F251" s="278" t="s">
        <v>325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30</v>
      </c>
      <c r="D252" s="277" t="s">
        <v>242</v>
      </c>
      <c r="E252" s="303">
        <v>7183</v>
      </c>
      <c r="F252" s="278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30</v>
      </c>
      <c r="D253" s="277" t="s">
        <v>242</v>
      </c>
      <c r="E253" s="303">
        <v>10597</v>
      </c>
      <c r="F253" s="278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30</v>
      </c>
      <c r="D254" s="277" t="s">
        <v>112</v>
      </c>
      <c r="E254" s="141">
        <v>2866.6666666666665</v>
      </c>
      <c r="F254" s="278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30</v>
      </c>
      <c r="D255" s="277" t="s">
        <v>112</v>
      </c>
      <c r="E255" s="141">
        <v>2866.6666666666665</v>
      </c>
      <c r="F255" s="278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30</v>
      </c>
      <c r="D256" s="277" t="s">
        <v>245</v>
      </c>
      <c r="E256" s="141"/>
      <c r="F256" s="278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30</v>
      </c>
      <c r="D257" s="277" t="s">
        <v>239</v>
      </c>
      <c r="E257" s="141">
        <v>8000</v>
      </c>
      <c r="F257" s="278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30</v>
      </c>
      <c r="D258" s="277" t="s">
        <v>239</v>
      </c>
      <c r="E258" s="141">
        <v>10000</v>
      </c>
      <c r="F258" s="278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30</v>
      </c>
      <c r="D259" s="277" t="s">
        <v>239</v>
      </c>
      <c r="E259" s="141">
        <v>10000</v>
      </c>
      <c r="F259" s="278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30</v>
      </c>
      <c r="D260" s="277" t="s">
        <v>245</v>
      </c>
      <c r="E260" s="141"/>
      <c r="F260" s="278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30</v>
      </c>
      <c r="D261" s="277" t="s">
        <v>207</v>
      </c>
      <c r="E261" s="141">
        <v>636792</v>
      </c>
      <c r="F261" s="278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30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30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30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30</v>
      </c>
      <c r="D265" s="277" t="s">
        <v>242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30</v>
      </c>
      <c r="D266" s="277" t="s">
        <v>242</v>
      </c>
      <c r="E266" s="141">
        <v>1057</v>
      </c>
      <c r="F266" s="278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30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30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30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30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30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30</v>
      </c>
      <c r="D272" s="277" t="s">
        <v>242</v>
      </c>
      <c r="E272" s="141">
        <v>819.99999999999989</v>
      </c>
      <c r="F272" s="278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30</v>
      </c>
      <c r="D273" s="277" t="s">
        <v>242</v>
      </c>
      <c r="E273" s="141">
        <v>1170</v>
      </c>
      <c r="F273" s="278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30</v>
      </c>
      <c r="D274" s="277" t="s">
        <v>242</v>
      </c>
      <c r="E274" s="141">
        <v>8000</v>
      </c>
      <c r="F274" s="278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30</v>
      </c>
      <c r="D275" s="277" t="s">
        <v>242</v>
      </c>
      <c r="E275" s="141">
        <v>11000</v>
      </c>
      <c r="F275" s="278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30</v>
      </c>
      <c r="D276" s="277" t="s">
        <v>242</v>
      </c>
      <c r="E276" s="141">
        <v>10858</v>
      </c>
      <c r="F276" s="278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30</v>
      </c>
      <c r="D277" s="277" t="s">
        <v>242</v>
      </c>
      <c r="E277" s="141">
        <v>13999.16</v>
      </c>
      <c r="F277" s="278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30</v>
      </c>
      <c r="D278" s="277" t="s">
        <v>239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30</v>
      </c>
      <c r="D279" s="277" t="s">
        <v>245</v>
      </c>
      <c r="E279" s="141"/>
      <c r="F279" s="278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30</v>
      </c>
      <c r="D280" s="277" t="s">
        <v>245</v>
      </c>
      <c r="E280" s="141"/>
      <c r="F280" s="278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30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30</v>
      </c>
      <c r="D282" s="277" t="s">
        <v>217</v>
      </c>
      <c r="E282" s="141">
        <v>4776.666666666667</v>
      </c>
      <c r="F282" s="278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30</v>
      </c>
      <c r="D283" s="277" t="s">
        <v>242</v>
      </c>
      <c r="E283" s="141">
        <v>1035.3</v>
      </c>
      <c r="F283" s="278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30</v>
      </c>
      <c r="D284" s="277" t="s">
        <v>241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30</v>
      </c>
      <c r="D285" s="277" t="s">
        <v>241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30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30</v>
      </c>
      <c r="D287" s="277" t="s">
        <v>242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32</v>
      </c>
      <c r="C288" s="276" t="s">
        <v>30</v>
      </c>
      <c r="D288" s="48" t="s">
        <v>242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367</v>
      </c>
      <c r="C289" s="276" t="s">
        <v>30</v>
      </c>
      <c r="D289" s="277" t="s">
        <v>242</v>
      </c>
      <c r="E289" s="166">
        <v>10780</v>
      </c>
      <c r="F289" s="278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78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368</v>
      </c>
      <c r="C516" s="219" t="s">
        <v>48</v>
      </c>
      <c r="D516" s="48" t="s">
        <v>369</v>
      </c>
      <c r="E516" s="43">
        <v>380</v>
      </c>
      <c r="F516" s="188" t="s">
        <v>369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370</v>
      </c>
      <c r="C517" s="219" t="s">
        <v>48</v>
      </c>
      <c r="D517" s="50" t="s">
        <v>369</v>
      </c>
      <c r="E517" s="52">
        <v>848.47</v>
      </c>
      <c r="F517" s="51" t="s">
        <v>369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371</v>
      </c>
      <c r="C518" s="219" t="s">
        <v>48</v>
      </c>
      <c r="D518" s="50" t="s">
        <v>369</v>
      </c>
      <c r="E518" s="43">
        <v>815</v>
      </c>
      <c r="F518" s="188" t="s">
        <v>369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372</v>
      </c>
      <c r="C519" s="219" t="s">
        <v>48</v>
      </c>
      <c r="D519" s="50" t="s">
        <v>369</v>
      </c>
      <c r="E519" s="43">
        <v>623.66666666666663</v>
      </c>
      <c r="F519" s="188" t="s">
        <v>369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373</v>
      </c>
      <c r="C520" s="219" t="s">
        <v>48</v>
      </c>
      <c r="D520" s="48" t="s">
        <v>369</v>
      </c>
      <c r="E520" s="43">
        <v>698.53</v>
      </c>
      <c r="F520" s="188" t="s">
        <v>369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374</v>
      </c>
      <c r="C521" s="219" t="s">
        <v>48</v>
      </c>
      <c r="D521" s="48" t="s">
        <v>369</v>
      </c>
      <c r="E521" s="43">
        <v>390.66666666666669</v>
      </c>
      <c r="F521" s="188" t="s">
        <v>369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48</v>
      </c>
      <c r="D522" s="48" t="s">
        <v>369</v>
      </c>
      <c r="E522" s="43">
        <v>477.19</v>
      </c>
      <c r="F522" s="51" t="s">
        <v>369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48</v>
      </c>
      <c r="D523" s="48" t="s">
        <v>369</v>
      </c>
      <c r="E523" s="43">
        <v>998.41</v>
      </c>
      <c r="F523" s="188" t="s">
        <v>369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377</v>
      </c>
      <c r="C524" s="219" t="s">
        <v>48</v>
      </c>
      <c r="D524" s="48" t="s">
        <v>369</v>
      </c>
      <c r="E524" s="43">
        <v>898.44999999999993</v>
      </c>
      <c r="F524" s="188" t="s">
        <v>369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378</v>
      </c>
      <c r="C525" s="219" t="s">
        <v>48</v>
      </c>
      <c r="D525" s="215" t="s">
        <v>369</v>
      </c>
      <c r="E525" s="217">
        <v>1500</v>
      </c>
      <c r="F525" s="174" t="s">
        <v>369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379</v>
      </c>
      <c r="C526" s="219" t="s">
        <v>48</v>
      </c>
      <c r="D526" s="48" t="s">
        <v>369</v>
      </c>
      <c r="E526" s="216">
        <v>53371.5</v>
      </c>
      <c r="F526" s="51" t="s">
        <v>369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380</v>
      </c>
      <c r="C527" s="219" t="s">
        <v>48</v>
      </c>
      <c r="D527" s="48" t="s">
        <v>369</v>
      </c>
      <c r="E527" s="43">
        <v>897.26</v>
      </c>
      <c r="F527" s="188" t="s">
        <v>369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381</v>
      </c>
      <c r="C528" s="219" t="s">
        <v>48</v>
      </c>
      <c r="D528" s="53" t="s">
        <v>369</v>
      </c>
      <c r="E528" s="43">
        <v>1673.3335</v>
      </c>
      <c r="F528" s="188" t="s">
        <v>369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382</v>
      </c>
      <c r="C529" s="219" t="s">
        <v>48</v>
      </c>
      <c r="D529" s="50" t="s">
        <v>369</v>
      </c>
      <c r="E529" s="45">
        <v>250</v>
      </c>
      <c r="F529" s="51" t="s">
        <v>369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383</v>
      </c>
      <c r="C530" s="219" t="s">
        <v>48</v>
      </c>
      <c r="D530" s="50" t="s">
        <v>369</v>
      </c>
      <c r="E530" s="52">
        <v>898.45</v>
      </c>
      <c r="F530" s="51" t="s">
        <v>369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384</v>
      </c>
      <c r="C531" s="219" t="s">
        <v>48</v>
      </c>
      <c r="D531" s="50" t="s">
        <v>369</v>
      </c>
      <c r="E531" s="52">
        <v>898.45</v>
      </c>
      <c r="F531" s="51" t="s">
        <v>369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385</v>
      </c>
      <c r="C532" s="219" t="s">
        <v>48</v>
      </c>
      <c r="D532" s="214" t="s">
        <v>369</v>
      </c>
      <c r="E532" s="145">
        <v>549.78</v>
      </c>
      <c r="F532" s="51" t="s">
        <v>369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386</v>
      </c>
      <c r="C533" s="219" t="s">
        <v>48</v>
      </c>
      <c r="D533" s="214" t="s">
        <v>369</v>
      </c>
      <c r="E533" s="218">
        <v>357</v>
      </c>
      <c r="F533" s="51" t="s">
        <v>369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387</v>
      </c>
      <c r="C534" s="219" t="s">
        <v>48</v>
      </c>
      <c r="D534" s="214" t="s">
        <v>369</v>
      </c>
      <c r="E534" s="145">
        <v>998.41</v>
      </c>
      <c r="F534" s="51" t="s">
        <v>369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388</v>
      </c>
      <c r="C535" s="219" t="s">
        <v>48</v>
      </c>
      <c r="D535" s="144" t="s">
        <v>369</v>
      </c>
      <c r="E535" s="145">
        <v>898.45</v>
      </c>
      <c r="F535" s="54" t="s">
        <v>369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19" t="s">
        <v>48</v>
      </c>
      <c r="D536" s="172" t="s">
        <v>369</v>
      </c>
      <c r="E536" s="173">
        <v>1200</v>
      </c>
      <c r="F536" s="174" t="s">
        <v>369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9" t="s">
        <v>48</v>
      </c>
      <c r="D537" s="144" t="s">
        <v>369</v>
      </c>
      <c r="E537" s="141">
        <v>1217</v>
      </c>
      <c r="F537" s="188" t="s">
        <v>369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9" t="s">
        <v>48</v>
      </c>
      <c r="D538" s="144" t="s">
        <v>369</v>
      </c>
      <c r="E538" s="145">
        <v>759.22</v>
      </c>
      <c r="F538" s="51" t="s">
        <v>369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94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78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2" t="s">
        <v>392</v>
      </c>
      <c r="C562" s="219" t="s">
        <v>51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393</v>
      </c>
      <c r="C563" s="219" t="s">
        <v>51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394</v>
      </c>
      <c r="C564" s="219" t="s">
        <v>51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395</v>
      </c>
      <c r="C565" s="219" t="s">
        <v>51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396</v>
      </c>
      <c r="C566" s="219" t="s">
        <v>51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397</v>
      </c>
      <c r="C567" s="219" t="s">
        <v>51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398</v>
      </c>
      <c r="C568" s="219" t="s">
        <v>51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399</v>
      </c>
      <c r="C569" s="219" t="s">
        <v>51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9" t="s">
        <v>51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9" t="s">
        <v>51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9" t="s">
        <v>51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9" t="s">
        <v>51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9" t="s">
        <v>51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9" t="s">
        <v>51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9" t="s">
        <v>51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9" t="s">
        <v>51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9" t="s">
        <v>51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9" t="s">
        <v>51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9" t="s">
        <v>51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9" t="s">
        <v>51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9" t="s">
        <v>51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9" t="s">
        <v>51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9" t="s">
        <v>51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9" t="s">
        <v>51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9" t="s">
        <v>51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9" t="s">
        <v>51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9" t="s">
        <v>51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9" t="s">
        <v>51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9" t="s">
        <v>51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9" t="s">
        <v>51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9" t="s">
        <v>51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9" t="s">
        <v>51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9" t="s">
        <v>51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9" t="s">
        <v>51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9" t="s">
        <v>51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9" t="s">
        <v>51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9" t="s">
        <v>51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9" t="s">
        <v>51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9" t="s">
        <v>51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9" t="s">
        <v>51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9" t="s">
        <v>51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9" t="s">
        <v>51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9" t="s">
        <v>51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9" t="s">
        <v>51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9" t="s">
        <v>51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9" t="s">
        <v>51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9" t="s">
        <v>51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9" t="s">
        <v>51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9" t="s">
        <v>51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9" t="s">
        <v>51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9" t="s">
        <v>51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9" t="s">
        <v>51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9" t="s">
        <v>51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9" t="s">
        <v>51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9" t="s">
        <v>51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9" t="s">
        <v>51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9" t="s">
        <v>51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9" t="s">
        <v>51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9" t="s">
        <v>51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9" t="s">
        <v>51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9" t="s">
        <v>51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9" t="s">
        <v>51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9" t="s">
        <v>51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9" t="s">
        <v>51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9" t="s">
        <v>51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9" t="s">
        <v>51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9" t="s">
        <v>51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9" t="s">
        <v>51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9" t="s">
        <v>51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9" t="s">
        <v>51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9" t="s">
        <v>51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463</v>
      </c>
      <c r="C633" s="219" t="s">
        <v>51</v>
      </c>
      <c r="D633" s="48" t="s">
        <v>112</v>
      </c>
      <c r="E633" s="55">
        <v>1000</v>
      </c>
      <c r="F633" s="194" t="s">
        <v>112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9" t="s">
        <v>51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9" t="s">
        <v>51</v>
      </c>
      <c r="D635" s="48" t="s">
        <v>112</v>
      </c>
      <c r="E635" s="55">
        <v>6957.9299999999994</v>
      </c>
      <c r="F635" s="194" t="s">
        <v>112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9" t="s">
        <v>51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9" t="s">
        <v>51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9" t="s">
        <v>51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9" t="s">
        <v>51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9" t="s">
        <v>51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9" t="s">
        <v>51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9" t="s">
        <v>51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9" t="s">
        <v>51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9" t="s">
        <v>51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9" t="s">
        <v>51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9" t="s">
        <v>51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477</v>
      </c>
      <c r="C647" s="219" t="s">
        <v>51</v>
      </c>
      <c r="D647" s="48" t="s">
        <v>112</v>
      </c>
      <c r="E647" s="43">
        <v>3700</v>
      </c>
      <c r="F647" s="188" t="s">
        <v>112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9" t="s">
        <v>51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479</v>
      </c>
      <c r="C649" s="219" t="s">
        <v>51</v>
      </c>
      <c r="D649" s="48" t="s">
        <v>112</v>
      </c>
      <c r="E649" s="55">
        <v>1200</v>
      </c>
      <c r="F649" s="194" t="s">
        <v>112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9" t="s">
        <v>51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9" t="s">
        <v>51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9" t="s">
        <v>51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483</v>
      </c>
      <c r="C653" s="219" t="s">
        <v>51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484</v>
      </c>
      <c r="C654" s="219" t="s">
        <v>51</v>
      </c>
      <c r="D654" s="48" t="s">
        <v>112</v>
      </c>
      <c r="E654" s="55">
        <v>873.94</v>
      </c>
      <c r="F654" s="194" t="s">
        <v>112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485</v>
      </c>
      <c r="C655" s="219" t="s">
        <v>51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486</v>
      </c>
      <c r="C656" s="219" t="s">
        <v>51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487</v>
      </c>
      <c r="C657" s="219" t="s">
        <v>51</v>
      </c>
      <c r="D657" s="48" t="s">
        <v>112</v>
      </c>
      <c r="E657" s="55">
        <v>1173.3399999999999</v>
      </c>
      <c r="F657" s="194" t="s">
        <v>112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488</v>
      </c>
      <c r="C658" s="219" t="s">
        <v>51</v>
      </c>
      <c r="D658" s="48" t="s">
        <v>112</v>
      </c>
      <c r="E658" s="55">
        <v>998.41</v>
      </c>
      <c r="F658" s="194" t="s">
        <v>112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489</v>
      </c>
      <c r="C659" s="219" t="s">
        <v>51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490</v>
      </c>
      <c r="C660" s="219" t="s">
        <v>51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491</v>
      </c>
      <c r="C661" s="219" t="s">
        <v>51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492</v>
      </c>
      <c r="C662" s="219" t="s">
        <v>51</v>
      </c>
      <c r="D662" s="48" t="s">
        <v>112</v>
      </c>
      <c r="E662" s="55">
        <v>1173.3399999999999</v>
      </c>
      <c r="F662" s="194" t="s">
        <v>112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493</v>
      </c>
      <c r="C663" s="219" t="s">
        <v>51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494</v>
      </c>
      <c r="C664" s="219" t="s">
        <v>51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495</v>
      </c>
      <c r="C665" s="219" t="s">
        <v>51</v>
      </c>
      <c r="D665" s="48" t="s">
        <v>112</v>
      </c>
      <c r="E665" s="55">
        <v>1173.3399999999999</v>
      </c>
      <c r="F665" s="194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496</v>
      </c>
      <c r="C666" s="219" t="s">
        <v>51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497</v>
      </c>
      <c r="C667" s="219" t="s">
        <v>51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498</v>
      </c>
      <c r="C668" s="219" t="s">
        <v>51</v>
      </c>
      <c r="D668" s="48" t="s">
        <v>112</v>
      </c>
      <c r="E668" s="55">
        <v>1018.64</v>
      </c>
      <c r="F668" s="194" t="s">
        <v>112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499</v>
      </c>
      <c r="C669" s="219" t="s">
        <v>51</v>
      </c>
      <c r="D669" s="48" t="s">
        <v>112</v>
      </c>
      <c r="E669" s="55">
        <v>1173.3399999999999</v>
      </c>
      <c r="F669" s="194" t="s">
        <v>112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500</v>
      </c>
      <c r="C670" s="219" t="s">
        <v>51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501</v>
      </c>
      <c r="C671" s="219" t="s">
        <v>51</v>
      </c>
      <c r="D671" s="48" t="s">
        <v>112</v>
      </c>
      <c r="E671" s="55">
        <v>1018.64</v>
      </c>
      <c r="F671" s="194" t="s">
        <v>112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502</v>
      </c>
      <c r="C672" s="219" t="s">
        <v>51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503</v>
      </c>
      <c r="C673" s="219" t="s">
        <v>51</v>
      </c>
      <c r="D673" s="48" t="s">
        <v>112</v>
      </c>
      <c r="E673" s="55">
        <v>2746.52</v>
      </c>
      <c r="F673" s="194" t="s">
        <v>112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504</v>
      </c>
      <c r="C674" s="219" t="s">
        <v>51</v>
      </c>
      <c r="D674" s="48" t="s">
        <v>112</v>
      </c>
      <c r="E674" s="55">
        <v>1173.3399999999999</v>
      </c>
      <c r="F674" s="194" t="s">
        <v>112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505</v>
      </c>
      <c r="C675" s="219" t="s">
        <v>51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506</v>
      </c>
      <c r="C676" s="219" t="s">
        <v>51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507</v>
      </c>
      <c r="C677" s="219" t="s">
        <v>51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508</v>
      </c>
      <c r="C678" s="219" t="s">
        <v>51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509</v>
      </c>
      <c r="C679" s="219" t="s">
        <v>51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510</v>
      </c>
      <c r="C680" s="219" t="s">
        <v>51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511</v>
      </c>
      <c r="C681" s="219" t="s">
        <v>51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512</v>
      </c>
      <c r="C682" s="219" t="s">
        <v>51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513</v>
      </c>
      <c r="C683" s="219" t="s">
        <v>51</v>
      </c>
      <c r="D683" s="48" t="s">
        <v>112</v>
      </c>
      <c r="E683" s="55">
        <v>2563</v>
      </c>
      <c r="F683" s="188" t="s">
        <v>112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514</v>
      </c>
      <c r="C684" s="219" t="s">
        <v>51</v>
      </c>
      <c r="D684" s="48" t="s">
        <v>112</v>
      </c>
      <c r="E684" s="43">
        <v>2364.5299999999997</v>
      </c>
      <c r="F684" s="188" t="s">
        <v>112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515</v>
      </c>
      <c r="C685" s="219" t="s">
        <v>51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516</v>
      </c>
      <c r="C686" s="219" t="s">
        <v>51</v>
      </c>
      <c r="D686" s="48" t="s">
        <v>112</v>
      </c>
      <c r="E686" s="43">
        <v>2563</v>
      </c>
      <c r="F686" s="188" t="s">
        <v>112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517</v>
      </c>
      <c r="C687" s="219" t="s">
        <v>51</v>
      </c>
      <c r="D687" s="48" t="s">
        <v>112</v>
      </c>
      <c r="E687" s="55">
        <v>2563</v>
      </c>
      <c r="F687" s="194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518</v>
      </c>
      <c r="C688" s="219" t="s">
        <v>51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519</v>
      </c>
      <c r="C689" s="219" t="s">
        <v>51</v>
      </c>
      <c r="D689" s="48" t="s">
        <v>112</v>
      </c>
      <c r="E689" s="43">
        <v>2440.69</v>
      </c>
      <c r="F689" s="188" t="s">
        <v>112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520</v>
      </c>
      <c r="C690" s="219" t="s">
        <v>51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521</v>
      </c>
      <c r="C691" s="219" t="s">
        <v>51</v>
      </c>
      <c r="D691" s="48" t="s">
        <v>112</v>
      </c>
      <c r="E691" s="55">
        <v>873.94</v>
      </c>
      <c r="F691" s="194" t="s">
        <v>112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522</v>
      </c>
      <c r="C692" s="219" t="s">
        <v>51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523</v>
      </c>
      <c r="C693" s="219" t="s">
        <v>51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524</v>
      </c>
      <c r="C694" s="219" t="s">
        <v>51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525</v>
      </c>
      <c r="C695" s="219" t="s">
        <v>51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526</v>
      </c>
      <c r="C696" s="219" t="s">
        <v>51</v>
      </c>
      <c r="D696" s="48" t="s">
        <v>112</v>
      </c>
      <c r="E696" s="55">
        <v>1547</v>
      </c>
      <c r="F696" s="194" t="s">
        <v>112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527</v>
      </c>
      <c r="C697" s="219" t="s">
        <v>51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528</v>
      </c>
      <c r="C698" s="219" t="s">
        <v>51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529</v>
      </c>
      <c r="C699" s="219" t="s">
        <v>51</v>
      </c>
      <c r="D699" s="48" t="s">
        <v>112</v>
      </c>
      <c r="E699" s="55">
        <v>1850</v>
      </c>
      <c r="F699" s="194" t="s">
        <v>112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530</v>
      </c>
      <c r="C700" s="219" t="s">
        <v>51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531</v>
      </c>
      <c r="C701" s="219" t="s">
        <v>51</v>
      </c>
      <c r="D701" s="48" t="s">
        <v>112</v>
      </c>
      <c r="E701" s="55">
        <v>4799.2700000000004</v>
      </c>
      <c r="F701" s="194" t="s">
        <v>112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532</v>
      </c>
      <c r="C702" s="219" t="s">
        <v>51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533</v>
      </c>
      <c r="C703" s="219" t="s">
        <v>51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534</v>
      </c>
      <c r="C704" s="219" t="s">
        <v>51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535</v>
      </c>
      <c r="C705" s="219" t="s">
        <v>51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536</v>
      </c>
      <c r="C706" s="219" t="s">
        <v>51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537</v>
      </c>
      <c r="C707" s="219" t="s">
        <v>51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538</v>
      </c>
      <c r="C708" s="219" t="s">
        <v>51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539</v>
      </c>
      <c r="C709" s="219" t="s">
        <v>51</v>
      </c>
      <c r="D709" s="48" t="s">
        <v>112</v>
      </c>
      <c r="E709" s="55">
        <v>1000</v>
      </c>
      <c r="F709" s="194" t="s">
        <v>112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540</v>
      </c>
      <c r="C710" s="219" t="s">
        <v>51</v>
      </c>
      <c r="D710" s="48" t="s">
        <v>112</v>
      </c>
      <c r="E710" s="55">
        <v>8973.7900000000009</v>
      </c>
      <c r="F710" s="194" t="s">
        <v>112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541</v>
      </c>
      <c r="C711" s="219" t="s">
        <v>51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542</v>
      </c>
      <c r="C712" s="219" t="s">
        <v>51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543</v>
      </c>
      <c r="C713" s="219" t="s">
        <v>51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544</v>
      </c>
      <c r="C714" s="219" t="s">
        <v>51</v>
      </c>
      <c r="D714" s="48" t="s">
        <v>112</v>
      </c>
      <c r="E714" s="55">
        <v>3844.89</v>
      </c>
      <c r="F714" s="194" t="s">
        <v>112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545</v>
      </c>
      <c r="C715" s="219" t="s">
        <v>51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546</v>
      </c>
      <c r="C716" s="219" t="s">
        <v>51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547</v>
      </c>
      <c r="C717" s="219" t="s">
        <v>51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548</v>
      </c>
      <c r="C718" s="219" t="s">
        <v>51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549</v>
      </c>
      <c r="C719" s="219" t="s">
        <v>51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550</v>
      </c>
      <c r="C720" s="219" t="s">
        <v>51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551</v>
      </c>
      <c r="C721" s="219" t="s">
        <v>51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552</v>
      </c>
      <c r="C722" s="219" t="s">
        <v>51</v>
      </c>
      <c r="D722" s="48" t="s">
        <v>112</v>
      </c>
      <c r="E722" s="55">
        <v>1661.24</v>
      </c>
      <c r="F722" s="194" t="s">
        <v>112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553</v>
      </c>
      <c r="C723" s="219" t="s">
        <v>51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554</v>
      </c>
      <c r="C724" s="219" t="s">
        <v>51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555</v>
      </c>
      <c r="C725" s="219" t="s">
        <v>51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556</v>
      </c>
      <c r="C726" s="219" t="s">
        <v>51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557</v>
      </c>
      <c r="C727" s="219" t="s">
        <v>51</v>
      </c>
      <c r="D727" s="48" t="s">
        <v>112</v>
      </c>
      <c r="E727" s="55">
        <v>690.75</v>
      </c>
      <c r="F727" s="194" t="s">
        <v>112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558</v>
      </c>
      <c r="C728" s="219" t="s">
        <v>51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559</v>
      </c>
      <c r="C729" s="219" t="s">
        <v>51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560</v>
      </c>
      <c r="C730" s="219" t="s">
        <v>51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561</v>
      </c>
      <c r="C731" s="219" t="s">
        <v>51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562</v>
      </c>
      <c r="C732" s="219" t="s">
        <v>51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563</v>
      </c>
      <c r="C733" s="219" t="s">
        <v>51</v>
      </c>
      <c r="D733" s="48" t="s">
        <v>112</v>
      </c>
      <c r="E733" s="43">
        <v>690.75</v>
      </c>
      <c r="F733" s="188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564</v>
      </c>
      <c r="C734" s="219" t="s">
        <v>51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565</v>
      </c>
      <c r="C735" s="219" t="s">
        <v>51</v>
      </c>
      <c r="D735" s="48" t="s">
        <v>112</v>
      </c>
      <c r="E735" s="55">
        <v>690.75</v>
      </c>
      <c r="F735" s="194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566</v>
      </c>
      <c r="C736" s="219" t="s">
        <v>51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567</v>
      </c>
      <c r="C737" s="219" t="s">
        <v>51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568</v>
      </c>
      <c r="C738" s="219" t="s">
        <v>51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569</v>
      </c>
      <c r="C739" s="219" t="s">
        <v>51</v>
      </c>
      <c r="D739" s="48" t="s">
        <v>112</v>
      </c>
      <c r="E739" s="43">
        <v>690.75</v>
      </c>
      <c r="F739" s="188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570</v>
      </c>
      <c r="C740" s="219" t="s">
        <v>51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571</v>
      </c>
      <c r="C741" s="219" t="s">
        <v>51</v>
      </c>
      <c r="D741" s="48" t="s">
        <v>112</v>
      </c>
      <c r="E741" s="55">
        <v>690.75</v>
      </c>
      <c r="F741" s="194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572</v>
      </c>
      <c r="C742" s="219" t="s">
        <v>51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573</v>
      </c>
      <c r="C743" s="219" t="s">
        <v>51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574</v>
      </c>
      <c r="C744" s="219" t="s">
        <v>51</v>
      </c>
      <c r="D744" s="48" t="s">
        <v>112</v>
      </c>
      <c r="E744" s="43">
        <v>690.75</v>
      </c>
      <c r="F744" s="188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575</v>
      </c>
      <c r="C745" s="219" t="s">
        <v>51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576</v>
      </c>
      <c r="C746" s="219" t="s">
        <v>51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577</v>
      </c>
      <c r="C747" s="219" t="s">
        <v>51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578</v>
      </c>
      <c r="C748" s="219" t="s">
        <v>51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579</v>
      </c>
      <c r="C749" s="219" t="s">
        <v>51</v>
      </c>
      <c r="D749" s="48" t="s">
        <v>112</v>
      </c>
      <c r="E749" s="43">
        <v>690.75</v>
      </c>
      <c r="F749" s="188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580</v>
      </c>
      <c r="C750" s="219" t="s">
        <v>51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581</v>
      </c>
      <c r="C751" s="219" t="s">
        <v>51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582</v>
      </c>
      <c r="C752" s="219" t="s">
        <v>51</v>
      </c>
      <c r="D752" s="48" t="s">
        <v>112</v>
      </c>
      <c r="E752" s="55">
        <v>3850</v>
      </c>
      <c r="F752" s="194" t="s">
        <v>112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583</v>
      </c>
      <c r="C753" s="219" t="s">
        <v>51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584</v>
      </c>
      <c r="C754" s="219" t="s">
        <v>51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585</v>
      </c>
      <c r="C755" s="219" t="s">
        <v>51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586</v>
      </c>
      <c r="C756" s="219" t="s">
        <v>51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587</v>
      </c>
      <c r="C757" s="219" t="s">
        <v>51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588</v>
      </c>
      <c r="C758" s="219" t="s">
        <v>51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589</v>
      </c>
      <c r="C759" s="219" t="s">
        <v>51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590</v>
      </c>
      <c r="C760" s="219" t="s">
        <v>51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591</v>
      </c>
      <c r="C761" s="219" t="s">
        <v>51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592</v>
      </c>
      <c r="C762" s="219" t="s">
        <v>51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593</v>
      </c>
      <c r="C763" s="219" t="s">
        <v>51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594</v>
      </c>
      <c r="C764" s="219" t="s">
        <v>51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595</v>
      </c>
      <c r="C765" s="219" t="s">
        <v>51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596</v>
      </c>
      <c r="C766" s="219" t="s">
        <v>51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597</v>
      </c>
      <c r="C767" s="219" t="s">
        <v>51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598</v>
      </c>
      <c r="C768" s="219" t="s">
        <v>51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599</v>
      </c>
      <c r="C769" s="219" t="s">
        <v>51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600</v>
      </c>
      <c r="C770" s="219" t="s">
        <v>51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601</v>
      </c>
      <c r="C771" s="219" t="s">
        <v>51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602</v>
      </c>
      <c r="C772" s="219" t="s">
        <v>51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603</v>
      </c>
      <c r="C773" s="219" t="s">
        <v>51</v>
      </c>
      <c r="D773" s="48" t="s">
        <v>112</v>
      </c>
      <c r="E773" s="55">
        <v>8973.7900000000009</v>
      </c>
      <c r="F773" s="194" t="s">
        <v>112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604</v>
      </c>
      <c r="C774" s="219" t="s">
        <v>51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605</v>
      </c>
      <c r="C775" s="219" t="s">
        <v>51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606</v>
      </c>
      <c r="C776" s="219" t="s">
        <v>51</v>
      </c>
      <c r="D776" s="48" t="s">
        <v>112</v>
      </c>
      <c r="E776" s="55">
        <v>1661.24</v>
      </c>
      <c r="F776" s="194" t="s">
        <v>112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607</v>
      </c>
      <c r="C777" s="219" t="s">
        <v>51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608</v>
      </c>
      <c r="C778" s="219" t="s">
        <v>51</v>
      </c>
      <c r="D778" s="48" t="s">
        <v>112</v>
      </c>
      <c r="E778" s="55">
        <v>690.75</v>
      </c>
      <c r="F778" s="194" t="s">
        <v>112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609</v>
      </c>
      <c r="C779" s="219" t="s">
        <v>51</v>
      </c>
      <c r="D779" s="48" t="s">
        <v>112</v>
      </c>
      <c r="E779" s="56">
        <v>1505.04</v>
      </c>
      <c r="F779" s="188" t="s">
        <v>112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610</v>
      </c>
      <c r="C780" s="219" t="s">
        <v>51</v>
      </c>
      <c r="D780" s="48" t="s">
        <v>112</v>
      </c>
      <c r="E780" s="56">
        <v>3628.57</v>
      </c>
      <c r="F780" s="188" t="s">
        <v>112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611</v>
      </c>
      <c r="C781" s="219" t="s">
        <v>51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612</v>
      </c>
      <c r="C782" s="219" t="s">
        <v>51</v>
      </c>
      <c r="D782" s="48" t="s">
        <v>112</v>
      </c>
      <c r="E782" s="55">
        <v>2898.84</v>
      </c>
      <c r="F782" s="194" t="s">
        <v>112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613</v>
      </c>
      <c r="C783" s="219" t="s">
        <v>51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614</v>
      </c>
      <c r="C784" s="219" t="s">
        <v>51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615</v>
      </c>
      <c r="C785" s="219" t="s">
        <v>51</v>
      </c>
      <c r="D785" s="48" t="s">
        <v>112</v>
      </c>
      <c r="E785" s="55">
        <v>833</v>
      </c>
      <c r="F785" s="194" t="s">
        <v>112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616</v>
      </c>
      <c r="C786" s="219" t="s">
        <v>51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617</v>
      </c>
      <c r="C787" s="219" t="s">
        <v>51</v>
      </c>
      <c r="D787" s="48" t="s">
        <v>112</v>
      </c>
      <c r="E787" s="55">
        <v>1266.6666666666667</v>
      </c>
      <c r="F787" s="194" t="s">
        <v>112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618</v>
      </c>
      <c r="C788" s="219" t="s">
        <v>51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619</v>
      </c>
      <c r="C789" s="219" t="s">
        <v>51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620</v>
      </c>
      <c r="C790" s="219" t="s">
        <v>51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621</v>
      </c>
      <c r="C791" s="219" t="s">
        <v>51</v>
      </c>
      <c r="D791" s="48" t="s">
        <v>112</v>
      </c>
      <c r="E791" s="43">
        <v>1266.6666666666667</v>
      </c>
      <c r="F791" s="188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622</v>
      </c>
      <c r="C792" s="219" t="s">
        <v>51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623</v>
      </c>
      <c r="C793" s="219" t="s">
        <v>51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624</v>
      </c>
      <c r="C794" s="219" t="s">
        <v>51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625</v>
      </c>
      <c r="C795" s="219" t="s">
        <v>51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626</v>
      </c>
      <c r="C796" s="219" t="s">
        <v>51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627</v>
      </c>
      <c r="C797" s="219" t="s">
        <v>51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628</v>
      </c>
      <c r="C798" s="219" t="s">
        <v>51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629</v>
      </c>
      <c r="C799" s="219" t="s">
        <v>51</v>
      </c>
      <c r="D799" s="48" t="s">
        <v>112</v>
      </c>
      <c r="E799" s="55">
        <v>455.66624999999999</v>
      </c>
      <c r="F799" s="194" t="s">
        <v>112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630</v>
      </c>
      <c r="C800" s="219" t="s">
        <v>51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19" t="s">
        <v>51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19" t="s">
        <v>51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19" t="s">
        <v>51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634</v>
      </c>
      <c r="C804" s="219" t="s">
        <v>51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635</v>
      </c>
      <c r="C805" s="219" t="s">
        <v>51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636</v>
      </c>
      <c r="C806" s="219" t="s">
        <v>51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637</v>
      </c>
      <c r="C807" s="219" t="s">
        <v>51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638</v>
      </c>
      <c r="C808" s="219" t="s">
        <v>51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639</v>
      </c>
      <c r="C809" s="219" t="s">
        <v>51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640</v>
      </c>
      <c r="C810" s="219" t="s">
        <v>51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641</v>
      </c>
      <c r="C811" s="219" t="s">
        <v>51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642</v>
      </c>
      <c r="C812" s="219" t="s">
        <v>51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643</v>
      </c>
      <c r="C813" s="219" t="s">
        <v>51</v>
      </c>
      <c r="D813" s="48" t="s">
        <v>112</v>
      </c>
      <c r="E813" s="43">
        <v>3356</v>
      </c>
      <c r="F813" s="188" t="s">
        <v>112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644</v>
      </c>
      <c r="C814" s="219" t="s">
        <v>51</v>
      </c>
      <c r="D814" s="48" t="s">
        <v>112</v>
      </c>
      <c r="E814" s="55">
        <v>1900</v>
      </c>
      <c r="F814" s="194" t="s">
        <v>112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645</v>
      </c>
      <c r="C815" s="219" t="s">
        <v>51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646</v>
      </c>
      <c r="C816" s="219" t="s">
        <v>51</v>
      </c>
      <c r="D816" s="48" t="s">
        <v>112</v>
      </c>
      <c r="E816" s="55">
        <v>23075</v>
      </c>
      <c r="F816" s="194" t="s">
        <v>112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647</v>
      </c>
      <c r="C817" s="219" t="s">
        <v>51</v>
      </c>
      <c r="D817" s="48" t="s">
        <v>112</v>
      </c>
      <c r="E817" s="55">
        <v>23075.289999999997</v>
      </c>
      <c r="F817" s="188" t="s">
        <v>112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648</v>
      </c>
      <c r="C818" s="219" t="s">
        <v>51</v>
      </c>
      <c r="D818" s="48" t="s">
        <v>112</v>
      </c>
      <c r="E818" s="55">
        <v>1018.64</v>
      </c>
      <c r="F818" s="194" t="s">
        <v>112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649</v>
      </c>
      <c r="C819" s="219" t="s">
        <v>51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650</v>
      </c>
      <c r="C820" s="219" t="s">
        <v>51</v>
      </c>
      <c r="D820" s="48" t="s">
        <v>112</v>
      </c>
      <c r="E820" s="43">
        <v>3356</v>
      </c>
      <c r="F820" s="188" t="s">
        <v>112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651</v>
      </c>
      <c r="C821" s="219" t="s">
        <v>51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652</v>
      </c>
      <c r="C822" s="219" t="s">
        <v>51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19" t="s">
        <v>51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654</v>
      </c>
      <c r="C824" s="219" t="s">
        <v>51</v>
      </c>
      <c r="D824" s="48" t="s">
        <v>112</v>
      </c>
      <c r="E824" s="55">
        <v>3356</v>
      </c>
      <c r="F824" s="194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655</v>
      </c>
      <c r="C825" s="219" t="s">
        <v>51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656</v>
      </c>
      <c r="C826" s="219" t="s">
        <v>51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657</v>
      </c>
      <c r="C827" s="219" t="s">
        <v>51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658</v>
      </c>
      <c r="C828" s="219" t="s">
        <v>51</v>
      </c>
      <c r="D828" s="48" t="s">
        <v>112</v>
      </c>
      <c r="E828" s="55">
        <v>198</v>
      </c>
      <c r="F828" s="194" t="s">
        <v>112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659</v>
      </c>
      <c r="C829" s="219" t="s">
        <v>51</v>
      </c>
      <c r="D829" s="48" t="s">
        <v>112</v>
      </c>
      <c r="E829" s="55">
        <v>3356</v>
      </c>
      <c r="F829" s="194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660</v>
      </c>
      <c r="C830" s="219" t="s">
        <v>51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661</v>
      </c>
      <c r="C831" s="219" t="s">
        <v>51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662</v>
      </c>
      <c r="C832" s="219" t="s">
        <v>51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663</v>
      </c>
      <c r="C833" s="219" t="s">
        <v>51</v>
      </c>
      <c r="D833" s="48" t="s">
        <v>112</v>
      </c>
      <c r="E833" s="43">
        <v>198</v>
      </c>
      <c r="F833" s="188" t="s">
        <v>112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664</v>
      </c>
      <c r="C834" s="219" t="s">
        <v>51</v>
      </c>
      <c r="D834" s="48" t="s">
        <v>112</v>
      </c>
      <c r="E834" s="55">
        <v>198</v>
      </c>
      <c r="F834" s="194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665</v>
      </c>
      <c r="C835" s="219" t="s">
        <v>51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666</v>
      </c>
      <c r="C836" s="219" t="s">
        <v>51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667</v>
      </c>
      <c r="C837" s="219" t="s">
        <v>51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668</v>
      </c>
      <c r="C838" s="219" t="s">
        <v>51</v>
      </c>
      <c r="D838" s="48" t="s">
        <v>112</v>
      </c>
      <c r="E838" s="55">
        <v>3356</v>
      </c>
      <c r="F838" s="194" t="s">
        <v>112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669</v>
      </c>
      <c r="C839" s="219" t="s">
        <v>51</v>
      </c>
      <c r="D839" s="48" t="s">
        <v>112</v>
      </c>
      <c r="E839" s="55">
        <v>1100</v>
      </c>
      <c r="F839" s="194" t="s">
        <v>112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670</v>
      </c>
      <c r="C840" s="219" t="s">
        <v>51</v>
      </c>
      <c r="D840" s="48" t="s">
        <v>112</v>
      </c>
      <c r="E840" s="55">
        <v>1350</v>
      </c>
      <c r="F840" s="194" t="s">
        <v>112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671</v>
      </c>
      <c r="C841" s="219" t="s">
        <v>51</v>
      </c>
      <c r="D841" s="48" t="s">
        <v>112</v>
      </c>
      <c r="E841" s="55">
        <v>925</v>
      </c>
      <c r="F841" s="194" t="s">
        <v>112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672</v>
      </c>
      <c r="C842" s="219" t="s">
        <v>51</v>
      </c>
      <c r="D842" s="48" t="s">
        <v>112</v>
      </c>
      <c r="E842" s="43">
        <v>3373</v>
      </c>
      <c r="F842" s="188" t="s">
        <v>112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673</v>
      </c>
      <c r="C843" s="219" t="s">
        <v>51</v>
      </c>
      <c r="D843" s="48" t="s">
        <v>112</v>
      </c>
      <c r="E843" s="56">
        <v>1275.68</v>
      </c>
      <c r="F843" s="188" t="s">
        <v>112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674</v>
      </c>
      <c r="C844" s="219" t="s">
        <v>51</v>
      </c>
      <c r="D844" s="48" t="s">
        <v>112</v>
      </c>
      <c r="E844" s="55">
        <v>3373</v>
      </c>
      <c r="F844" s="194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675</v>
      </c>
      <c r="C845" s="219" t="s">
        <v>51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676</v>
      </c>
      <c r="C846" s="219" t="s">
        <v>51</v>
      </c>
      <c r="D846" s="48" t="s">
        <v>112</v>
      </c>
      <c r="E846" s="43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677</v>
      </c>
      <c r="C847" s="219" t="s">
        <v>51</v>
      </c>
      <c r="D847" s="48" t="s">
        <v>112</v>
      </c>
      <c r="E847" s="55">
        <v>2746.52</v>
      </c>
      <c r="F847" s="194" t="s">
        <v>112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678</v>
      </c>
      <c r="C848" s="219" t="s">
        <v>51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9" t="s">
        <v>51</v>
      </c>
      <c r="D849" s="48" t="s">
        <v>112</v>
      </c>
      <c r="E849" s="43">
        <v>1225.7</v>
      </c>
      <c r="F849" s="188" t="s">
        <v>112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9" t="s">
        <v>51</v>
      </c>
      <c r="D850" s="48" t="s">
        <v>112</v>
      </c>
      <c r="E850" s="43">
        <v>3881.78</v>
      </c>
      <c r="F850" s="188" t="s">
        <v>112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9" t="s">
        <v>51</v>
      </c>
      <c r="D851" s="48" t="s">
        <v>112</v>
      </c>
      <c r="E851" s="43">
        <v>1275.68</v>
      </c>
      <c r="F851" s="188" t="s">
        <v>112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9" t="s">
        <v>51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683</v>
      </c>
      <c r="C853" s="219" t="s">
        <v>51</v>
      </c>
      <c r="D853" s="48" t="s">
        <v>112</v>
      </c>
      <c r="E853" s="55">
        <v>1225.7</v>
      </c>
      <c r="F853" s="194" t="s">
        <v>112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9" t="s">
        <v>51</v>
      </c>
      <c r="D854" s="48" t="s">
        <v>112</v>
      </c>
      <c r="E854" s="43">
        <v>1225.7</v>
      </c>
      <c r="F854" s="188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9" t="s">
        <v>51</v>
      </c>
      <c r="D855" s="48" t="s">
        <v>112</v>
      </c>
      <c r="E855" s="43">
        <v>2400</v>
      </c>
      <c r="F855" s="188" t="s">
        <v>112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9" t="s">
        <v>51</v>
      </c>
      <c r="D856" s="48" t="s">
        <v>112</v>
      </c>
      <c r="E856" s="43">
        <v>1275.68</v>
      </c>
      <c r="F856" s="188" t="s">
        <v>112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9" t="s">
        <v>51</v>
      </c>
      <c r="D857" s="48" t="s">
        <v>112</v>
      </c>
      <c r="E857" s="43">
        <v>1225.7</v>
      </c>
      <c r="F857" s="188" t="s">
        <v>112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9" t="s">
        <v>51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9" t="s">
        <v>51</v>
      </c>
      <c r="D859" s="48" t="s">
        <v>112</v>
      </c>
      <c r="E859" s="43">
        <v>2400</v>
      </c>
      <c r="F859" s="188" t="s">
        <v>112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690</v>
      </c>
      <c r="C860" s="219" t="s">
        <v>51</v>
      </c>
      <c r="D860" s="48" t="s">
        <v>112</v>
      </c>
      <c r="E860" s="55">
        <v>873.94</v>
      </c>
      <c r="F860" s="194" t="s">
        <v>112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691</v>
      </c>
      <c r="C861" s="219" t="s">
        <v>51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692</v>
      </c>
      <c r="C862" s="219" t="s">
        <v>51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693</v>
      </c>
      <c r="C863" s="219" t="s">
        <v>51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694</v>
      </c>
      <c r="C864" s="219" t="s">
        <v>51</v>
      </c>
      <c r="D864" s="48" t="s">
        <v>112</v>
      </c>
      <c r="E864" s="43">
        <v>131.97</v>
      </c>
      <c r="F864" s="188" t="s">
        <v>112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695</v>
      </c>
      <c r="C865" s="219" t="s">
        <v>51</v>
      </c>
      <c r="D865" s="48" t="s">
        <v>112</v>
      </c>
      <c r="E865" s="55">
        <v>5450</v>
      </c>
      <c r="F865" s="194" t="s">
        <v>112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696</v>
      </c>
      <c r="C866" s="219" t="s">
        <v>51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697</v>
      </c>
      <c r="C867" s="219" t="s">
        <v>51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698</v>
      </c>
      <c r="C868" s="219" t="s">
        <v>51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699</v>
      </c>
      <c r="C869" s="219" t="s">
        <v>51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700</v>
      </c>
      <c r="C870" s="219" t="s">
        <v>51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701</v>
      </c>
      <c r="C871" s="219" t="s">
        <v>51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702</v>
      </c>
      <c r="C872" s="219" t="s">
        <v>51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703</v>
      </c>
      <c r="C873" s="219" t="s">
        <v>51</v>
      </c>
      <c r="D873" s="48" t="s">
        <v>112</v>
      </c>
      <c r="E873" s="43">
        <v>131.97</v>
      </c>
      <c r="F873" s="188" t="s">
        <v>112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9" t="s">
        <v>51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705</v>
      </c>
      <c r="C875" s="219" t="s">
        <v>51</v>
      </c>
      <c r="D875" s="48" t="s">
        <v>112</v>
      </c>
      <c r="E875" s="43">
        <v>249.9</v>
      </c>
      <c r="F875" s="188" t="s">
        <v>112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706</v>
      </c>
      <c r="C876" s="219" t="s">
        <v>51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9" t="s">
        <v>51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708</v>
      </c>
      <c r="C878" s="219" t="s">
        <v>51</v>
      </c>
      <c r="D878" s="48" t="s">
        <v>112</v>
      </c>
      <c r="E878" s="55">
        <v>131.97</v>
      </c>
      <c r="F878" s="194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9" t="s">
        <v>51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9" t="s">
        <v>51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9" t="s">
        <v>51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9" t="s">
        <v>51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9" t="s">
        <v>51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9" t="s">
        <v>51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9" t="s">
        <v>51</v>
      </c>
      <c r="D885" s="48" t="s">
        <v>112</v>
      </c>
      <c r="E885" s="43">
        <v>131.97</v>
      </c>
      <c r="F885" s="194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716</v>
      </c>
      <c r="C886" s="219" t="s">
        <v>51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717</v>
      </c>
      <c r="C887" s="219" t="s">
        <v>51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718</v>
      </c>
      <c r="C888" s="219" t="s">
        <v>51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719</v>
      </c>
      <c r="C889" s="219" t="s">
        <v>51</v>
      </c>
      <c r="D889" s="48" t="s">
        <v>112</v>
      </c>
      <c r="E889" s="55">
        <v>131.97</v>
      </c>
      <c r="F889" s="194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720</v>
      </c>
      <c r="C890" s="219" t="s">
        <v>51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721</v>
      </c>
      <c r="C891" s="219" t="s">
        <v>51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722</v>
      </c>
      <c r="C892" s="219" t="s">
        <v>51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723</v>
      </c>
      <c r="C893" s="219" t="s">
        <v>51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724</v>
      </c>
      <c r="C894" s="219" t="s">
        <v>51</v>
      </c>
      <c r="D894" s="48" t="s">
        <v>112</v>
      </c>
      <c r="E894" s="55">
        <v>131.97</v>
      </c>
      <c r="F894" s="194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725</v>
      </c>
      <c r="C895" s="219" t="s">
        <v>51</v>
      </c>
      <c r="D895" s="48" t="s">
        <v>112</v>
      </c>
      <c r="E895" s="55">
        <v>6957.9299999999994</v>
      </c>
      <c r="F895" s="194" t="s">
        <v>112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726</v>
      </c>
      <c r="C896" s="219" t="s">
        <v>51</v>
      </c>
      <c r="D896" s="48" t="s">
        <v>112</v>
      </c>
      <c r="E896" s="55">
        <v>2563</v>
      </c>
      <c r="F896" s="194" t="s">
        <v>112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727</v>
      </c>
      <c r="C897" s="219" t="s">
        <v>51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728</v>
      </c>
      <c r="C898" s="219" t="s">
        <v>51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729</v>
      </c>
      <c r="C899" s="219" t="s">
        <v>51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730</v>
      </c>
      <c r="C900" s="219" t="s">
        <v>51</v>
      </c>
      <c r="D900" s="48" t="s">
        <v>112</v>
      </c>
      <c r="E900" s="55">
        <v>2885.5</v>
      </c>
      <c r="F900" s="194" t="s">
        <v>112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731</v>
      </c>
      <c r="C901" s="219" t="s">
        <v>51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732</v>
      </c>
      <c r="C902" s="219" t="s">
        <v>51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733</v>
      </c>
      <c r="C903" s="219" t="s">
        <v>51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734</v>
      </c>
      <c r="C904" s="219" t="s">
        <v>51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735</v>
      </c>
      <c r="C905" s="219" t="s">
        <v>51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736</v>
      </c>
      <c r="C906" s="219" t="s">
        <v>51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737</v>
      </c>
      <c r="C907" s="219" t="s">
        <v>51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738</v>
      </c>
      <c r="C908" s="219" t="s">
        <v>51</v>
      </c>
      <c r="D908" s="48" t="s">
        <v>112</v>
      </c>
      <c r="E908" s="55">
        <v>2785.5</v>
      </c>
      <c r="F908" s="194" t="s">
        <v>112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739</v>
      </c>
      <c r="C909" s="219" t="s">
        <v>51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740</v>
      </c>
      <c r="C910" s="219" t="s">
        <v>51</v>
      </c>
      <c r="D910" s="48" t="s">
        <v>112</v>
      </c>
      <c r="E910" s="55">
        <v>1</v>
      </c>
      <c r="F910" s="194" t="s">
        <v>112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741</v>
      </c>
      <c r="C911" s="219" t="s">
        <v>51</v>
      </c>
      <c r="D911" s="48" t="s">
        <v>112</v>
      </c>
      <c r="E911" s="55">
        <v>1200</v>
      </c>
      <c r="F911" s="194" t="s">
        <v>112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742</v>
      </c>
      <c r="C912" s="219" t="s">
        <v>51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743</v>
      </c>
      <c r="C913" s="219" t="s">
        <v>51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744</v>
      </c>
      <c r="C914" s="219" t="s">
        <v>51</v>
      </c>
      <c r="D914" s="48" t="s">
        <v>112</v>
      </c>
      <c r="E914" s="55">
        <v>500</v>
      </c>
      <c r="F914" s="194" t="s">
        <v>112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745</v>
      </c>
      <c r="C915" s="219" t="s">
        <v>51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746</v>
      </c>
      <c r="C916" s="219" t="s">
        <v>51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747</v>
      </c>
      <c r="C917" s="219" t="s">
        <v>51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748</v>
      </c>
      <c r="C918" s="219" t="s">
        <v>51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749</v>
      </c>
      <c r="C919" s="219" t="s">
        <v>51</v>
      </c>
      <c r="D919" s="48" t="s">
        <v>112</v>
      </c>
      <c r="E919" s="55">
        <v>114.24</v>
      </c>
      <c r="F919" s="194" t="s">
        <v>112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750</v>
      </c>
      <c r="C920" s="219" t="s">
        <v>51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751</v>
      </c>
      <c r="C921" s="219" t="s">
        <v>51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752</v>
      </c>
      <c r="C922" s="219" t="s">
        <v>51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753</v>
      </c>
      <c r="C923" s="219" t="s">
        <v>51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754</v>
      </c>
      <c r="C924" s="219" t="s">
        <v>51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755</v>
      </c>
      <c r="C925" s="219" t="s">
        <v>51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756</v>
      </c>
      <c r="C926" s="219" t="s">
        <v>51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757</v>
      </c>
      <c r="C927" s="219" t="s">
        <v>51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758</v>
      </c>
      <c r="C928" s="219" t="s">
        <v>51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759</v>
      </c>
      <c r="C929" s="219" t="s">
        <v>51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760</v>
      </c>
      <c r="C930" s="219" t="s">
        <v>51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761</v>
      </c>
      <c r="C931" s="219" t="s">
        <v>51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762</v>
      </c>
      <c r="C932" s="219" t="s">
        <v>51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763</v>
      </c>
      <c r="C933" s="219" t="s">
        <v>51</v>
      </c>
      <c r="D933" s="48" t="s">
        <v>112</v>
      </c>
      <c r="E933" s="55">
        <v>1800</v>
      </c>
      <c r="F933" s="194" t="s">
        <v>112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764</v>
      </c>
      <c r="C934" s="219" t="s">
        <v>51</v>
      </c>
      <c r="D934" s="48" t="s">
        <v>112</v>
      </c>
      <c r="E934" s="55">
        <v>546</v>
      </c>
      <c r="F934" s="194" t="s">
        <v>112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765</v>
      </c>
      <c r="C935" s="219" t="s">
        <v>51</v>
      </c>
      <c r="D935" s="48" t="s">
        <v>112</v>
      </c>
      <c r="E935" s="55">
        <v>114.24</v>
      </c>
      <c r="F935" s="194" t="s">
        <v>112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766</v>
      </c>
      <c r="C936" s="219" t="s">
        <v>51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767</v>
      </c>
      <c r="C937" s="219" t="s">
        <v>51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768</v>
      </c>
      <c r="C938" s="219" t="s">
        <v>51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769</v>
      </c>
      <c r="C939" s="219" t="s">
        <v>51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770</v>
      </c>
      <c r="C940" s="219" t="s">
        <v>51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771</v>
      </c>
      <c r="C941" s="219" t="s">
        <v>51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772</v>
      </c>
      <c r="C942" s="219" t="s">
        <v>51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773</v>
      </c>
      <c r="C943" s="219" t="s">
        <v>51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774</v>
      </c>
      <c r="C944" s="219" t="s">
        <v>51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775</v>
      </c>
      <c r="C945" s="219" t="s">
        <v>51</v>
      </c>
      <c r="D945" s="48" t="s">
        <v>112</v>
      </c>
      <c r="E945" s="55">
        <v>1550</v>
      </c>
      <c r="F945" s="194" t="s">
        <v>112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776</v>
      </c>
      <c r="C946" s="219" t="s">
        <v>51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777</v>
      </c>
      <c r="C947" s="219" t="s">
        <v>51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778</v>
      </c>
      <c r="C948" s="219" t="s">
        <v>51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779</v>
      </c>
      <c r="C949" s="219" t="s">
        <v>51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780</v>
      </c>
      <c r="C950" s="219" t="s">
        <v>51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781</v>
      </c>
      <c r="C951" s="219" t="s">
        <v>51</v>
      </c>
      <c r="D951" s="48" t="s">
        <v>112</v>
      </c>
      <c r="E951" s="55">
        <v>952</v>
      </c>
      <c r="F951" s="194" t="s">
        <v>112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782</v>
      </c>
      <c r="C952" s="219" t="s">
        <v>51</v>
      </c>
      <c r="D952" s="48" t="s">
        <v>112</v>
      </c>
      <c r="E952" s="55">
        <v>925</v>
      </c>
      <c r="F952" s="194" t="s">
        <v>112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783</v>
      </c>
      <c r="C953" s="219" t="s">
        <v>51</v>
      </c>
      <c r="D953" s="48" t="s">
        <v>112</v>
      </c>
      <c r="E953" s="55">
        <v>1100</v>
      </c>
      <c r="F953" s="194" t="s">
        <v>112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784</v>
      </c>
      <c r="C954" s="219" t="s">
        <v>51</v>
      </c>
      <c r="D954" s="48" t="s">
        <v>112</v>
      </c>
      <c r="E954" s="55">
        <v>1350</v>
      </c>
      <c r="F954" s="194" t="s">
        <v>112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785</v>
      </c>
      <c r="C955" s="219" t="s">
        <v>51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786</v>
      </c>
      <c r="C956" s="219" t="s">
        <v>51</v>
      </c>
      <c r="D956" s="48" t="s">
        <v>112</v>
      </c>
      <c r="E956" s="43">
        <v>2727.48</v>
      </c>
      <c r="F956" s="188" t="s">
        <v>112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787</v>
      </c>
      <c r="C957" s="219" t="s">
        <v>51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788</v>
      </c>
      <c r="C958" s="219" t="s">
        <v>51</v>
      </c>
      <c r="D958" s="48" t="s">
        <v>112</v>
      </c>
      <c r="E958" s="55">
        <v>2727.48</v>
      </c>
      <c r="F958" s="194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789</v>
      </c>
      <c r="C959" s="219" t="s">
        <v>51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790</v>
      </c>
      <c r="C960" s="219" t="s">
        <v>51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791</v>
      </c>
      <c r="C961" s="219" t="s">
        <v>51</v>
      </c>
      <c r="D961" s="48" t="s">
        <v>112</v>
      </c>
      <c r="E961" s="55">
        <v>3111.85</v>
      </c>
      <c r="F961" s="194" t="s">
        <v>112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792</v>
      </c>
      <c r="C962" s="219" t="s">
        <v>51</v>
      </c>
      <c r="D962" s="48" t="s">
        <v>112</v>
      </c>
      <c r="E962" s="43">
        <v>1550</v>
      </c>
      <c r="F962" s="188" t="s">
        <v>112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793</v>
      </c>
      <c r="C963" s="219" t="s">
        <v>51</v>
      </c>
      <c r="D963" s="48" t="s">
        <v>112</v>
      </c>
      <c r="E963" s="55">
        <v>1550</v>
      </c>
      <c r="F963" s="194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794</v>
      </c>
      <c r="C964" s="219" t="s">
        <v>51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51</v>
      </c>
      <c r="D965" s="48" t="s">
        <v>112</v>
      </c>
      <c r="E965" s="43">
        <v>1550</v>
      </c>
      <c r="F965" s="188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796</v>
      </c>
      <c r="C966" s="219" t="s">
        <v>51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797</v>
      </c>
      <c r="C967" s="219" t="s">
        <v>51</v>
      </c>
      <c r="D967" s="48" t="s">
        <v>112</v>
      </c>
      <c r="E967" s="55">
        <v>3844</v>
      </c>
      <c r="F967" s="194" t="s">
        <v>112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798</v>
      </c>
      <c r="C968" s="219" t="s">
        <v>51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799</v>
      </c>
      <c r="C969" s="219" t="s">
        <v>51</v>
      </c>
      <c r="D969" s="48" t="s">
        <v>112</v>
      </c>
      <c r="E969" s="55">
        <v>998.41</v>
      </c>
      <c r="F969" s="194" t="s">
        <v>112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800</v>
      </c>
      <c r="C970" s="219" t="s">
        <v>51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801</v>
      </c>
      <c r="C971" s="219" t="s">
        <v>51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802</v>
      </c>
      <c r="C972" s="219" t="s">
        <v>51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803</v>
      </c>
      <c r="C973" s="219" t="s">
        <v>51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804</v>
      </c>
      <c r="C974" s="219" t="s">
        <v>51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805</v>
      </c>
      <c r="C975" s="219" t="s">
        <v>51</v>
      </c>
      <c r="D975" s="48" t="s">
        <v>112</v>
      </c>
      <c r="E975" s="55">
        <v>3844</v>
      </c>
      <c r="F975" s="194" t="s">
        <v>112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806</v>
      </c>
      <c r="C976" s="219" t="s">
        <v>51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807</v>
      </c>
      <c r="C977" s="219" t="s">
        <v>51</v>
      </c>
      <c r="D977" s="48" t="s">
        <v>112</v>
      </c>
      <c r="E977" s="55">
        <v>998.41</v>
      </c>
      <c r="F977" s="194" t="s">
        <v>112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808</v>
      </c>
      <c r="C978" s="219" t="s">
        <v>51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809</v>
      </c>
      <c r="C979" s="219" t="s">
        <v>51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810</v>
      </c>
      <c r="C980" s="219" t="s">
        <v>51</v>
      </c>
      <c r="D980" s="48" t="s">
        <v>112</v>
      </c>
      <c r="E980" s="55">
        <v>1173.3399999999999</v>
      </c>
      <c r="F980" s="194" t="s">
        <v>112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811</v>
      </c>
      <c r="C981" s="219" t="s">
        <v>51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812</v>
      </c>
      <c r="C982" s="219" t="s">
        <v>51</v>
      </c>
      <c r="D982" s="48" t="s">
        <v>112</v>
      </c>
      <c r="E982" s="55">
        <v>1200</v>
      </c>
      <c r="F982" s="194" t="s">
        <v>112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78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813</v>
      </c>
      <c r="C1011" s="160" t="s">
        <v>27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27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27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27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27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28</v>
      </c>
      <c r="C1016" s="160" t="s">
        <v>27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27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27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27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27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27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27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27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27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826</v>
      </c>
      <c r="C1025" s="160" t="s">
        <v>27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827</v>
      </c>
      <c r="C1026" s="160" t="s">
        <v>27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27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27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27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29</v>
      </c>
      <c r="C1030" s="160" t="s">
        <v>27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27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27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27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27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27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27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27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27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27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27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27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27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27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844</v>
      </c>
      <c r="C1067" s="219" t="s">
        <v>61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61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61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61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61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61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61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78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852</v>
      </c>
      <c r="D1273" s="277" t="s">
        <v>112</v>
      </c>
      <c r="E1273" s="141">
        <v>44533.333333333336</v>
      </c>
      <c r="F1273" s="278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112</v>
      </c>
      <c r="E1274" s="141">
        <v>30900</v>
      </c>
      <c r="F1274" s="278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112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112</v>
      </c>
      <c r="E1276" s="141">
        <v>22370</v>
      </c>
      <c r="F1276" s="278" t="s">
        <v>112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112</v>
      </c>
      <c r="E1277" s="141">
        <v>184100</v>
      </c>
      <c r="F1277" s="278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852</v>
      </c>
      <c r="D1278" s="277" t="s">
        <v>112</v>
      </c>
      <c r="E1278" s="141">
        <v>6333.3374999999996</v>
      </c>
      <c r="F1278" s="278" t="s">
        <v>112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852</v>
      </c>
      <c r="D1279" s="277" t="s">
        <v>112</v>
      </c>
      <c r="E1279" s="141">
        <v>17266.599999999999</v>
      </c>
      <c r="F1279" s="278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852</v>
      </c>
      <c r="D1280" s="277" t="s">
        <v>112</v>
      </c>
      <c r="E1280" s="141">
        <v>6796.7</v>
      </c>
      <c r="F1280" s="278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112</v>
      </c>
      <c r="E1281" s="141">
        <v>182666.66666666666</v>
      </c>
      <c r="F1281" s="278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112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852</v>
      </c>
      <c r="D1283" s="277" t="s">
        <v>112</v>
      </c>
      <c r="E1283" s="141">
        <v>46996.6</v>
      </c>
      <c r="F1283" s="278" t="s">
        <v>112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852</v>
      </c>
      <c r="D1284" s="277" t="s">
        <v>112</v>
      </c>
      <c r="E1284" s="141">
        <v>48330</v>
      </c>
      <c r="F1284" s="278" t="s">
        <v>112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112</v>
      </c>
      <c r="E1286" s="141">
        <v>104388.75</v>
      </c>
      <c r="F1286" s="278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112</v>
      </c>
      <c r="E1287" s="141">
        <v>79760</v>
      </c>
      <c r="F1287" s="278" t="s">
        <v>112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1034</v>
      </c>
      <c r="C1288" s="276" t="s">
        <v>852</v>
      </c>
      <c r="D1288" s="277" t="s">
        <v>207</v>
      </c>
      <c r="E1288" s="141">
        <v>62000</v>
      </c>
      <c r="F1288" s="278" t="s">
        <v>207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1035</v>
      </c>
      <c r="C1289" s="276" t="s">
        <v>852</v>
      </c>
      <c r="D1289" s="277" t="s">
        <v>112</v>
      </c>
      <c r="E1289" s="141">
        <v>152500</v>
      </c>
      <c r="F1289" s="278" t="s">
        <v>112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1036</v>
      </c>
      <c r="C1290" s="276" t="s">
        <v>852</v>
      </c>
      <c r="D1290" s="277" t="s">
        <v>112</v>
      </c>
      <c r="E1290" s="141">
        <v>432050</v>
      </c>
      <c r="F1290" s="278" t="s">
        <v>112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78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1058</v>
      </c>
      <c r="C1348" s="37" t="s">
        <v>1038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1072</v>
      </c>
      <c r="C1357" s="37" t="s">
        <v>1038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1073</v>
      </c>
      <c r="C1358" s="37" t="s">
        <v>1038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1074</v>
      </c>
      <c r="C1359" s="37" t="s">
        <v>1038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1038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1038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1038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1038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1038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1038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1038</v>
      </c>
      <c r="D1373" s="297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1090</v>
      </c>
      <c r="C1374" s="161" t="s">
        <v>1038</v>
      </c>
      <c r="D1374" s="290" t="s">
        <v>112</v>
      </c>
      <c r="E1374" s="62"/>
      <c r="F1374" s="191" t="s">
        <v>112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1091</v>
      </c>
      <c r="C1375" s="161" t="s">
        <v>1038</v>
      </c>
      <c r="D1375" s="290" t="s">
        <v>112</v>
      </c>
      <c r="E1375" s="62"/>
      <c r="F1375" s="191" t="s">
        <v>112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1092</v>
      </c>
      <c r="C1376" s="161" t="s">
        <v>1038</v>
      </c>
      <c r="D1376" s="290" t="s">
        <v>112</v>
      </c>
      <c r="E1376" s="62"/>
      <c r="F1376" s="191" t="s">
        <v>112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1093</v>
      </c>
      <c r="C1377" s="161" t="s">
        <v>1038</v>
      </c>
      <c r="D1377" s="290" t="s">
        <v>112</v>
      </c>
      <c r="E1377" s="62"/>
      <c r="F1377" s="191" t="s">
        <v>112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1094</v>
      </c>
      <c r="C1378" s="161" t="s">
        <v>1038</v>
      </c>
      <c r="D1378" s="290" t="s">
        <v>112</v>
      </c>
      <c r="E1378" s="62"/>
      <c r="F1378" s="191" t="s">
        <v>112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1095</v>
      </c>
      <c r="C1379" s="37" t="s">
        <v>1038</v>
      </c>
      <c r="D1379" s="291" t="s">
        <v>112</v>
      </c>
      <c r="E1379" s="43"/>
      <c r="F1379" s="188" t="s">
        <v>112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1096</v>
      </c>
      <c r="C1380" s="219" t="s">
        <v>1038</v>
      </c>
      <c r="D1380" s="292" t="s">
        <v>112</v>
      </c>
      <c r="E1380" s="166"/>
      <c r="F1380" s="192" t="s">
        <v>112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1097</v>
      </c>
      <c r="C1381" s="219" t="s">
        <v>1038</v>
      </c>
      <c r="D1381" s="292" t="s">
        <v>112</v>
      </c>
      <c r="E1381" s="166"/>
      <c r="F1381" s="192" t="s">
        <v>112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1098</v>
      </c>
      <c r="C1382" s="221" t="s">
        <v>1038</v>
      </c>
      <c r="D1382" s="293" t="s">
        <v>112</v>
      </c>
      <c r="E1382" s="222"/>
      <c r="F1382" s="193" t="s">
        <v>112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1038</v>
      </c>
      <c r="D1383" s="10" t="s">
        <v>112</v>
      </c>
      <c r="E1383" s="222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1100</v>
      </c>
      <c r="C1384" s="219" t="s">
        <v>1038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1101</v>
      </c>
      <c r="C1385" s="219" t="s">
        <v>1038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1102</v>
      </c>
      <c r="C1386" s="219" t="s">
        <v>1038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1103</v>
      </c>
      <c r="C1387" s="219" t="s">
        <v>1038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1104</v>
      </c>
      <c r="C1388" s="219" t="s">
        <v>1038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1105</v>
      </c>
      <c r="C1389" s="219" t="s">
        <v>1038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1106</v>
      </c>
      <c r="C1390" s="219" t="s">
        <v>1038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1107</v>
      </c>
      <c r="C1391" s="219" t="s">
        <v>1038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1108</v>
      </c>
      <c r="C1392" s="219" t="s">
        <v>1038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1109</v>
      </c>
      <c r="C1393" s="219" t="s">
        <v>1038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1110</v>
      </c>
      <c r="C1394" s="219" t="s">
        <v>1038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1111</v>
      </c>
      <c r="C1395" s="219" t="s">
        <v>1038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1112</v>
      </c>
      <c r="C1396" s="219" t="s">
        <v>1038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1113</v>
      </c>
      <c r="C1397" s="219" t="s">
        <v>1038</v>
      </c>
      <c r="D1397" s="248" t="s">
        <v>1060</v>
      </c>
      <c r="E1397" s="166">
        <v>74866.666666666672</v>
      </c>
      <c r="F1397" s="193" t="s">
        <v>1060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1114</v>
      </c>
      <c r="C1398" s="219" t="s">
        <v>1038</v>
      </c>
      <c r="D1398" s="248" t="s">
        <v>1115</v>
      </c>
      <c r="E1398" s="166">
        <v>74866.666666666672</v>
      </c>
      <c r="F1398" s="193" t="s">
        <v>1115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1116</v>
      </c>
      <c r="C1399" s="219" t="s">
        <v>1038</v>
      </c>
      <c r="D1399" s="248" t="s">
        <v>112</v>
      </c>
      <c r="E1399" s="166">
        <v>19073</v>
      </c>
      <c r="F1399" s="193" t="s">
        <v>112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1117</v>
      </c>
      <c r="C1400" s="219" t="s">
        <v>1038</v>
      </c>
      <c r="D1400" s="248" t="s">
        <v>112</v>
      </c>
      <c r="E1400" s="166">
        <v>866.66499999999996</v>
      </c>
      <c r="F1400" s="193" t="s">
        <v>112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1118</v>
      </c>
      <c r="C1401" s="219" t="s">
        <v>1038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1119</v>
      </c>
      <c r="C1402" s="219" t="s">
        <v>1038</v>
      </c>
      <c r="D1402" s="248" t="s">
        <v>112</v>
      </c>
      <c r="E1402" s="166">
        <v>19000</v>
      </c>
      <c r="F1402" s="193" t="s">
        <v>112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1120</v>
      </c>
      <c r="C1403" s="219" t="s">
        <v>1038</v>
      </c>
      <c r="D1403" s="248" t="s">
        <v>112</v>
      </c>
      <c r="E1403" s="166">
        <v>3800</v>
      </c>
      <c r="F1403" s="193" t="s">
        <v>112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1121</v>
      </c>
      <c r="C1404" s="219" t="s">
        <v>1038</v>
      </c>
      <c r="D1404" s="248" t="s">
        <v>175</v>
      </c>
      <c r="E1404" s="166">
        <v>3200</v>
      </c>
      <c r="F1404" s="193" t="s">
        <v>175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1122</v>
      </c>
      <c r="C1405" s="219" t="s">
        <v>1038</v>
      </c>
      <c r="D1405" s="248" t="s">
        <v>217</v>
      </c>
      <c r="E1405" s="166">
        <v>7200</v>
      </c>
      <c r="F1405" s="193" t="s">
        <v>1060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1123</v>
      </c>
      <c r="C1406" s="221" t="s">
        <v>1038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1124</v>
      </c>
      <c r="C1407" s="219" t="s">
        <v>1038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1125</v>
      </c>
      <c r="C1408" s="219" t="s">
        <v>1038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1126</v>
      </c>
      <c r="C1409" s="219" t="s">
        <v>1038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1127</v>
      </c>
      <c r="C1410" s="219" t="s">
        <v>1038</v>
      </c>
      <c r="D1410" s="248" t="s">
        <v>112</v>
      </c>
      <c r="E1410" s="166">
        <v>6013.33</v>
      </c>
      <c r="F1410" s="273" t="s">
        <v>112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1128</v>
      </c>
      <c r="C1411" s="219" t="s">
        <v>1038</v>
      </c>
      <c r="D1411" s="248" t="s">
        <v>112</v>
      </c>
      <c r="E1411" s="166">
        <v>1101.5</v>
      </c>
      <c r="F1411" s="273" t="s">
        <v>112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1129</v>
      </c>
      <c r="C1412" s="219" t="s">
        <v>1038</v>
      </c>
      <c r="D1412" s="248" t="s">
        <v>112</v>
      </c>
      <c r="E1412" s="166">
        <v>11100</v>
      </c>
      <c r="F1412" s="273" t="s">
        <v>112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1130</v>
      </c>
      <c r="C1413" s="219" t="s">
        <v>1038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1131</v>
      </c>
      <c r="C1414" s="219" t="s">
        <v>1038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1132</v>
      </c>
      <c r="C1415" s="221" t="s">
        <v>1038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78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1133</v>
      </c>
      <c r="C1428" s="219" t="s">
        <v>34</v>
      </c>
      <c r="D1428" s="235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9" t="s">
        <v>34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9" t="s">
        <v>34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9" t="s">
        <v>34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9" t="s">
        <v>34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9" t="s">
        <v>34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9" t="s">
        <v>34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9" t="s">
        <v>34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9" t="s">
        <v>34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9" t="s">
        <v>34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9" t="s">
        <v>34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9" t="s">
        <v>34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9" t="s">
        <v>34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9" t="s">
        <v>34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9" t="s">
        <v>34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9" t="s">
        <v>34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9" t="s">
        <v>34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1151</v>
      </c>
      <c r="C1445" s="219" t="s">
        <v>34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1152</v>
      </c>
      <c r="C1446" s="219" t="s">
        <v>34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9" t="s">
        <v>34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9" t="s">
        <v>34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9" t="s">
        <v>34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9" t="s">
        <v>34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9" t="s">
        <v>34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9" t="s">
        <v>34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9" t="s">
        <v>34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9" t="s">
        <v>34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9" t="s">
        <v>34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9" t="s">
        <v>34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9" t="s">
        <v>34</v>
      </c>
      <c r="D1457" s="48" t="s">
        <v>1069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9" t="s">
        <v>34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9" t="s">
        <v>34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9" t="s">
        <v>34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9" t="s">
        <v>34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9" t="s">
        <v>34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9" t="s">
        <v>34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9" t="s">
        <v>34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9" t="s">
        <v>34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9" t="s">
        <v>34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9" t="s">
        <v>34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9" t="s">
        <v>34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9" t="s">
        <v>34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9" t="s">
        <v>34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9" t="s">
        <v>34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9" t="s">
        <v>34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9" t="s">
        <v>34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9" t="s">
        <v>34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9" t="s">
        <v>34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9" t="s">
        <v>34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9" t="s">
        <v>34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9" t="s">
        <v>34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9" t="s">
        <v>34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9" t="s">
        <v>34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1187</v>
      </c>
      <c r="C1481" s="219" t="s">
        <v>34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1188</v>
      </c>
      <c r="C1482" s="219" t="s">
        <v>34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9" t="s">
        <v>34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9" t="s">
        <v>34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9" t="s">
        <v>34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9" t="s">
        <v>34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9" t="s">
        <v>34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9" t="s">
        <v>34</v>
      </c>
      <c r="D1488" s="48" t="s">
        <v>1069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9" t="s">
        <v>34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9" t="s">
        <v>34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9" t="s">
        <v>34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9" t="s">
        <v>34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9" t="s">
        <v>34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9" t="s">
        <v>34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9" t="s">
        <v>34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9" t="s">
        <v>34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9" t="s">
        <v>34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9" t="s">
        <v>34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9" t="s">
        <v>34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9" t="s">
        <v>34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9" t="s">
        <v>34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9" t="s">
        <v>34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1211</v>
      </c>
      <c r="C1503" s="219" t="s">
        <v>34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1212</v>
      </c>
      <c r="C1504" s="219" t="s">
        <v>34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9" t="s">
        <v>34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9" t="s">
        <v>34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9" t="s">
        <v>34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9" t="s">
        <v>34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1217</v>
      </c>
      <c r="C1509" s="219" t="s">
        <v>34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35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78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25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42</v>
      </c>
    </row>
    <row r="3" spans="1:13" outlineLevel="1">
      <c r="A3" s="3" t="s">
        <v>1319</v>
      </c>
      <c r="B3" s="5" t="s">
        <v>217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48</v>
      </c>
    </row>
    <row r="4" spans="1:13" ht="30" outlineLevel="1">
      <c r="A4" s="2" t="s">
        <v>1324</v>
      </c>
      <c r="B4" s="5" t="s">
        <v>308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51</v>
      </c>
    </row>
    <row r="5" spans="1:13" ht="30" outlineLevel="1">
      <c r="A5" s="3" t="s">
        <v>1329</v>
      </c>
      <c r="B5" s="5" t="s">
        <v>1330</v>
      </c>
      <c r="D5" s="269" t="s">
        <v>15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852</v>
      </c>
    </row>
    <row r="6" spans="1:13" outlineLevel="1">
      <c r="A6" s="2" t="s">
        <v>325</v>
      </c>
      <c r="B6" s="5" t="s">
        <v>325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1038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30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27</v>
      </c>
    </row>
    <row r="9" spans="1:13" outlineLevel="1">
      <c r="A9" s="2" t="s">
        <v>1348</v>
      </c>
      <c r="B9" s="5" t="s">
        <v>1202</v>
      </c>
      <c r="F9" s="2" t="s">
        <v>1349</v>
      </c>
      <c r="H9" t="s">
        <v>1350</v>
      </c>
      <c r="I9">
        <v>70323724</v>
      </c>
      <c r="K9" t="s">
        <v>1351</v>
      </c>
      <c r="M9" s="79" t="s">
        <v>61</v>
      </c>
    </row>
    <row r="10" spans="1:13" outlineLevel="1">
      <c r="A10" s="2" t="s">
        <v>1352</v>
      </c>
      <c r="B10" s="5" t="s">
        <v>106</v>
      </c>
      <c r="F10" s="3" t="s">
        <v>10</v>
      </c>
      <c r="H10" s="24" t="s">
        <v>7</v>
      </c>
      <c r="I10" s="20">
        <v>32142539</v>
      </c>
      <c r="K10" t="s">
        <v>1353</v>
      </c>
      <c r="M10" s="233" t="s">
        <v>123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34</v>
      </c>
    </row>
    <row r="12" spans="1:13" ht="30" outlineLevel="1">
      <c r="A12" s="3" t="s">
        <v>1359</v>
      </c>
      <c r="B12" s="5" t="s">
        <v>1031</v>
      </c>
      <c r="F12" s="302" t="s">
        <v>1360</v>
      </c>
      <c r="H12" s="27" t="s">
        <v>1361</v>
      </c>
      <c r="I12" s="28">
        <v>32184975</v>
      </c>
      <c r="M12" s="233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239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360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242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107</v>
      </c>
      <c r="H21" s="21" t="s">
        <v>1380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209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175</v>
      </c>
      <c r="H24" s="21" t="s">
        <v>1385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1386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1387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112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2023-11-29T23:35:01Z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