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"/>
    </mc:Choice>
  </mc:AlternateContent>
  <xr:revisionPtr revIDLastSave="0" documentId="13_ncr:1_{1C1DFC4D-11CE-439B-89A0-0BCEC0525D64}" xr6:coauthVersionLast="36" xr6:coauthVersionMax="36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/>
  <c r="P17" i="61" a="1"/>
  <c r="P17" i="61" s="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K13" i="61" s="1" a="1"/>
  <c r="K13" i="61" s="1"/>
  <c r="S12" i="43"/>
  <c r="H14" i="61" s="1" a="1"/>
  <c r="H14" i="61" s="1"/>
  <c r="S13" i="43"/>
  <c r="H15" i="61" s="1" a="1"/>
  <c r="H15" i="61" s="1"/>
  <c r="S14" i="43"/>
  <c r="H16" i="6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B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O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O23" i="61"/>
  <c r="K23" i="61" a="1"/>
  <c r="K23" i="61" s="1"/>
  <c r="B23" i="61"/>
  <c r="K19" i="61" a="1"/>
  <c r="K19" i="61" s="1"/>
  <c r="B19" i="61"/>
  <c r="O19" i="61"/>
  <c r="O17" i="61"/>
  <c r="B17" i="61"/>
  <c r="K17" i="61" a="1"/>
  <c r="K17" i="61" s="1"/>
  <c r="O12" i="61"/>
  <c r="K12" i="61" a="1"/>
  <c r="K12" i="61" s="1"/>
  <c r="B12" i="61"/>
  <c r="O32" i="61"/>
  <c r="K32" i="61" a="1"/>
  <c r="K32" i="61" s="1"/>
  <c r="B32" i="61"/>
  <c r="O28" i="61"/>
  <c r="K28" i="61" a="1"/>
  <c r="K28" i="61" s="1"/>
  <c r="B28" i="61"/>
  <c r="O22" i="61"/>
  <c r="K22" i="61" a="1"/>
  <c r="K22" i="61" s="1"/>
  <c r="B22" i="61"/>
  <c r="B18" i="61"/>
  <c r="O18" i="61"/>
  <c r="K18" i="61" a="1"/>
  <c r="K18" i="61" s="1"/>
  <c r="B31" i="61"/>
  <c r="O31" i="61"/>
  <c r="K31" i="61" a="1"/>
  <c r="K31" i="61" s="1"/>
  <c r="O27" i="61"/>
  <c r="K27" i="61" a="1"/>
  <c r="K27" i="61" s="1"/>
  <c r="B27" i="61"/>
  <c r="O16" i="61"/>
  <c r="K16" i="61" a="1"/>
  <c r="K16" i="61" s="1"/>
  <c r="B16" i="61"/>
  <c r="O30" i="61"/>
  <c r="B30" i="61"/>
  <c r="K30" i="61" a="1"/>
  <c r="K30" i="61" s="1"/>
  <c r="O26" i="61"/>
  <c r="K26" i="61" a="1"/>
  <c r="K26" i="61" s="1"/>
  <c r="B26" i="61"/>
  <c r="B25" i="61"/>
  <c r="K25" i="61" a="1"/>
  <c r="K25" i="61" s="1"/>
  <c r="O25" i="61"/>
  <c r="K15" i="61" a="1"/>
  <c r="K15" i="61" s="1"/>
  <c r="B15" i="61"/>
  <c r="O15" i="61"/>
  <c r="B24" i="61"/>
  <c r="O24" i="61"/>
  <c r="K24" i="61" a="1"/>
  <c r="K24" i="61" s="1"/>
  <c r="B20" i="61"/>
  <c r="O20" i="61"/>
  <c r="K20" i="61" a="1"/>
  <c r="K20" i="61" s="1"/>
  <c r="B14" i="61"/>
  <c r="O14" i="61"/>
  <c r="K14" i="61" a="1"/>
  <c r="K14" i="61" s="1"/>
  <c r="O21" i="61"/>
  <c r="K21" i="61" a="1"/>
  <c r="K21" i="61" s="1"/>
  <c r="K29" i="61" a="1"/>
  <c r="K29" i="61" s="1"/>
  <c r="B13" i="61"/>
  <c r="B29" i="61"/>
  <c r="O13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<sst xmlns="http://schemas.openxmlformats.org/spreadsheetml/2006/main" count="5006" uniqueCount="1390">
  <si>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</si>
  <si>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</si>
  <si>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</si>
  <si>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</si>
  <si>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</si>
  <si>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</si>
  <si>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</si>
  <si>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</si>
  <si>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</si>
  <si>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</si>
  <si>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</si>
  <si>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</si>
  <si>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</si>
  <si>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</si>
  <si>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</si>
  <si>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</si>
  <si>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</si>
  <si>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</si>
  <si>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</si>
  <si>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</si>
  <si>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</si>
  <si>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</si>
  <si>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</si>
  <si>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</si>
  <si>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</si>
  <si>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</si>
  <si>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</si>
  <si>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</si>
  <si>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</si>
  <si>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</si>
  <si>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</si>
  <si>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</si>
  <si>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</si>
  <si>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</si>
  <si>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</si>
  <si>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</si>
  <si>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</si>
  <si>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</si>
  <si>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</si>
  <si>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</si>
  <si>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</si>
  <si>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</si>
  <si>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</si>
  <si>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</si>
  <si>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</si>
  <si>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</si>
  <si>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</si>
  <si>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</si>
  <si>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</si>
  <si>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</si>
  <si>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</si>
  <si>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</si>
  <si>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</si>
  <si>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</si>
  <si>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</si>
  <si>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</si>
  <si>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</si>
  <si>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</si>
  <si>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</si>
  <si>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</si>
  <si>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</si>
  <si>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</si>
  <si>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</si>
  <si>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</si>
  <si>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</si>
  <si>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</si>
  <si>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</si>
  <si>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</si>
  <si>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</si>
  <si>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</si>
  <si>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</si>
  <si>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</si>
  <si>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</si>
  <si>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</si>
  <si>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</si>
  <si>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</si>
  <si>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</si>
  <si>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</si>
  <si>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</si>
  <si>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</si>
  <si>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</si>
  <si>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</si>
  <si>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</si>
  <si>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</si>
  <si>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</si>
  <si>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</si>
  <si>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</si>
  <si>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</si>
  <si>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</si>
  <si>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</si>
  <si>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</si>
  <si>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</si>
  <si>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</si>
  <si>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</si>
  <si>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</si>
  <si>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</si>
  <si>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</si>
  <si>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</si>
  <si>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</si>
  <si>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</si>
  <si>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</si>
  <si>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</si>
  <si>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</si>
  <si>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</si>
  <si>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</si>
  <si>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</si>
  <si>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</si>
  <si>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</si>
  <si>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</si>
  <si>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</si>
  <si>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</si>
  <si>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</si>
  <si>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</si>
  <si>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</si>
  <si>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</si>
  <si>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</si>
  <si>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</si>
  <si>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</si>
  <si>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</si>
  <si>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</si>
  <si>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</si>
  <si>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</si>
  <si>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</si>
  <si>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</si>
  <si>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</si>
  <si>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</si>
  <si>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</si>
  <si>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</si>
  <si>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</si>
  <si>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</si>
  <si>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</si>
  <si>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</si>
  <si>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</si>
  <si>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</si>
  <si>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</si>
  <si>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</si>
  <si>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</si>
  <si>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</si>
  <si>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</si>
  <si>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</si>
  <si>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</si>
  <si>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</si>
  <si>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</si>
  <si>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</si>
  <si>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</si>
  <si>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</si>
  <si>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</si>
  <si>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</si>
  <si>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</si>
  <si>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</si>
  <si>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</si>
  <si>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</si>
  <si>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</si>
  <si>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</si>
  <si>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</si>
  <si>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</si>
  <si>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</si>
  <si>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</si>
  <si>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</si>
  <si>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</si>
  <si>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</si>
  <si>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</si>
  <si>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</si>
  <si>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</si>
  <si>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</si>
  <si>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</si>
  <si>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</si>
  <si>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</si>
  <si>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</si>
  <si>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</si>
  <si>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</si>
  <si>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</si>
  <si>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</si>
  <si>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</si>
  <si>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</si>
  <si>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</si>
  <si>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</si>
  <si>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</si>
  <si>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</si>
  <si>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</si>
  <si>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</si>
  <si>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</si>
  <si>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</si>
  <si>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</si>
  <si>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</si>
  <si>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</si>
  <si>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</si>
  <si>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</si>
  <si>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</si>
  <si>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</si>
  <si>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</si>
  <si>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</si>
  <si>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</si>
  <si>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</si>
  <si>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</si>
  <si>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</si>
  <si>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</si>
  <si>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</si>
  <si>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</si>
  <si>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</si>
  <si>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</si>
  <si>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</si>
  <si>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</si>
  <si>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</si>
  <si>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</si>
  <si>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</si>
  <si>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</si>
  <si>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</si>
  <si>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</si>
  <si>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</si>
  <si>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</si>
  <si>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</si>
  <si>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</si>
  <si>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</si>
  <si>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</si>
  <si>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</si>
  <si>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</si>
  <si>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</si>
  <si>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</si>
  <si>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</si>
  <si>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</si>
  <si>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</si>
  <si>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</si>
  <si>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</si>
  <si>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</si>
  <si>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</si>
  <si>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</si>
  <si>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</si>
  <si>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</si>
  <si>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</si>
  <si>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</si>
  <si>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</si>
  <si>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</si>
  <si>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</si>
  <si>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</si>
  <si>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</si>
  <si>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</si>
  <si>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</si>
  <si>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</si>
  <si>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</si>
  <si>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</si>
  <si>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</si>
  <si>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</si>
  <si>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</si>
  <si>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</si>
  <si>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</si>
  <si>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</si>
  <si>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</si>
  <si>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</si>
  <si>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</si>
  <si>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</si>
  <si>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</si>
  <si>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</si>
  <si>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</si>
  <si>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</si>
  <si>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</si>
  <si>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</si>
  <si>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</si>
  <si>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</si>
  <si>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</si>
  <si>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</si>
  <si>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</si>
  <si>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</si>
  <si>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</si>
  <si>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</si>
  <si>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</si>
  <si>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</si>
  <si>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</si>
  <si>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</si>
  <si>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</si>
  <si>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</si>
  <si>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</si>
  <si>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</si>
  <si>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</si>
  <si>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</si>
  <si>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</si>
  <si>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</si>
  <si>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</si>
  <si>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</si>
  <si>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</si>
  <si>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</si>
  <si>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</si>
  <si>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</si>
  <si>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</si>
  <si>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</si>
  <si>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</si>
  <si>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</si>
  <si>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</si>
  <si>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</si>
  <si>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</si>
  <si>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</si>
  <si>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</si>
  <si>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</si>
  <si>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</si>
  <si>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</si>
  <si>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</si>
  <si>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</si>
  <si>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</si>
  <si>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</si>
  <si>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</si>
  <si>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</si>
  <si>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</si>
  <si>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</si>
  <si>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</si>
  <si>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</si>
  <si>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</si>
  <si>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</si>
  <si>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</si>
  <si>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</si>
  <si>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</si>
  <si>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</si>
  <si>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</si>
  <si>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</si>
  <si>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</si>
  <si>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</si>
  <si>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</si>
  <si>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</si>
  <si>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</si>
  <si>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</si>
  <si>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</si>
  <si>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</si>
  <si>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</si>
  <si>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</si>
  <si>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</si>
  <si>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</si>
  <si>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</si>
  <si>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</si>
  <si>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</si>
  <si>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</si>
  <si>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</si>
  <si>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</si>
  <si>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</si>
  <si>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</si>
  <si>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</si>
  <si>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</si>
  <si>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</si>
  <si>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</si>
  <si>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</si>
  <si>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</si>
  <si>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</si>
  <si>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</si>
  <si>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</si>
  <si>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</si>
  <si>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</si>
  <si>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</si>
  <si>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</si>
  <si>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</si>
  <si>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</si>
  <si>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</si>
  <si>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</si>
  <si>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</si>
  <si>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</si>
  <si>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</si>
  <si>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</si>
  <si>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</si>
  <si>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</si>
  <si>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</si>
  <si>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</si>
  <si>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</si>
  <si>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</si>
  <si>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</si>
  <si>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</si>
  <si>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</si>
  <si>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</si>
  <si>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</si>
  <si>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</si>
  <si>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</si>
  <si>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</si>
  <si>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</si>
  <si>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</si>
  <si>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</si>
  <si>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</si>
  <si>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</si>
  <si>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</si>
  <si>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</si>
  <si>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</si>
  <si>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</si>
  <si>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</si>
  <si>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</si>
  <si>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</si>
  <si>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</si>
  <si>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</si>
  <si>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</si>
  <si>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</si>
  <si>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</si>
  <si>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</si>
  <si>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</si>
  <si>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</si>
  <si>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</si>
  <si>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</si>
  <si>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</si>
  <si>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</si>
  <si>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</si>
  <si>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</si>
  <si>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</si>
  <si>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</si>
  <si>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</si>
  <si>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</si>
  <si>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</si>
  <si>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</si>
  <si>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</si>
  <si>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</si>
  <si>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</si>
  <si>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</si>
  <si>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</si>
  <si>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</si>
  <si>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</si>
  <si>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</si>
  <si>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</si>
  <si>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</si>
  <si>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</si>
  <si>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</si>
  <si>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</si>
  <si>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</si>
  <si>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</si>
  <si>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</si>
  <si>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</si>
  <si>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</si>
  <si>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</si>
  <si>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</si>
  <si>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</si>
  <si>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</si>
  <si>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</si>
  <si>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</si>
  <si>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</si>
  <si>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</si>
  <si>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</si>
  <si>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</si>
  <si>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</si>
  <si>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</si>
  <si>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</si>
  <si>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</si>
  <si>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</si>
  <si>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</si>
  <si>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</si>
  <si>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</si>
  <si>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</si>
  <si>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</si>
  <si>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</si>
  <si>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</si>
  <si>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</si>
  <si>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</si>
  <si>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</si>
  <si>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</si>
  <si>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</si>
  <si>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</si>
  <si>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</si>
  <si>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</si>
  <si>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</si>
  <si>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</si>
  <si>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</si>
  <si>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</si>
  <si>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</si>
  <si>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</si>
  <si>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</si>
  <si>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</si>
  <si>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</si>
  <si>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</si>
  <si>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</si>
  <si>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</si>
  <si>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</si>
  <si>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</si>
  <si>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</si>
  <si>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</si>
  <si>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</si>
  <si>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</si>
  <si>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</si>
  <si>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</si>
  <si>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</si>
  <si>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</si>
  <si>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</si>
  <si>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</si>
  <si>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</si>
  <si>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</si>
  <si>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</si>
  <si>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</si>
  <si>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</si>
  <si>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</si>
  <si>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</si>
  <si>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</si>
  <si>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</si>
  <si>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</si>
  <si>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</si>
  <si>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</si>
  <si>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</si>
  <si>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</si>
  <si>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</si>
  <si>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</si>
  <si>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</si>
  <si>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</si>
  <si>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</si>
  <si>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</si>
  <si>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</si>
  <si>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</si>
  <si>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</si>
  <si>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</si>
  <si>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</si>
  <si>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</si>
  <si>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</si>
  <si>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</si>
  <si>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</si>
  <si>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</si>
  <si>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</si>
  <si>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</si>
  <si>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</si>
  <si>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</si>
  <si>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</si>
  <si>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</si>
  <si>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</si>
  <si>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</si>
  <si>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</si>
  <si>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</si>
  <si>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</si>
  <si>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</si>
  <si>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</si>
  <si>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</si>
  <si>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</si>
  <si>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</si>
  <si>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</si>
  <si>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</si>
  <si>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</si>
  <si>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</si>
  <si>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</si>
  <si>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</si>
  <si>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</si>
  <si>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</si>
  <si>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</si>
  <si>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</si>
  <si>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</si>
  <si>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</si>
  <si>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</si>
  <si>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</si>
  <si>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</si>
  <si>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</si>
  <si>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</si>
  <si>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</si>
  <si>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</si>
  <si>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</si>
  <si>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</si>
  <si>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</si>
  <si>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</si>
  <si>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</si>
  <si>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</si>
  <si>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</si>
  <si>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</si>
  <si>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</si>
  <si>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</si>
  <si>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</si>
  <si>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</si>
  <si>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</si>
  <si>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</si>
  <si>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</si>
  <si>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</si>
  <si>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</si>
  <si>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</si>
  <si>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</si>
  <si>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</si>
  <si>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</si>
  <si>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</si>
  <si>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</si>
  <si>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</si>
  <si>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</si>
  <si>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</si>
  <si>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</si>
  <si>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</si>
  <si>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</si>
  <si>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</si>
  <si>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</si>
  <si>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</si>
  <si>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</si>
  <si>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</si>
  <si>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</si>
  <si>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</si>
  <si>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</si>
  <si>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</si>
  <si>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</si>
  <si>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</si>
  <si>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</si>
  <si>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</si>
  <si>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</si>
  <si>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</si>
  <si>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</si>
  <si>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</si>
  <si>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</si>
  <si>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</si>
  <si>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</si>
  <si>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</si>
  <si>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</si>
  <si>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</si>
  <si>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</si>
  <si>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</si>
  <si>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</si>
  <si>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</si>
  <si>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</si>
  <si>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</si>
  <si>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</si>
  <si>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</si>
  <si>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</si>
  <si>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</si>
  <si>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</si>
  <si>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</si>
  <si>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</si>
  <si>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</si>
  <si>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</si>
  <si>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</si>
  <si>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</si>
  <si>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</si>
  <si>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</si>
  <si>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</si>
  <si>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</si>
  <si>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</si>
  <si>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</si>
  <si>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</si>
  <si>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</si>
  <si>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</si>
  <si>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</si>
  <si>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</si>
  <si>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</si>
  <si>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</si>
  <si>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</si>
  <si>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</si>
  <si>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</si>
  <si>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</si>
  <si>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</si>
  <si>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</si>
  <si>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</si>
  <si>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</si>
  <si>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</si>
  <si>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</si>
  <si>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</si>
  <si>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</si>
  <si>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</si>
  <si>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</si>
  <si>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</si>
  <si>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</si>
  <si>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</si>
  <si>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</si>
  <si>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</si>
  <si>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</si>
  <si>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</si>
  <si>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</si>
  <si>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</si>
  <si>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</si>
  <si>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</si>
  <si>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</si>
  <si>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</si>
  <si>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</si>
  <si>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</si>
  <si>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</si>
  <si>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</si>
  <si>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</si>
  <si>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</si>
  <si>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</si>
  <si>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</si>
  <si>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</si>
  <si>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</si>
  <si>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</si>
  <si>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</si>
  <si>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</si>
  <si>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</si>
  <si>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</si>
  <si>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</si>
  <si>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</si>
  <si>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</si>
  <si>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</si>
  <si>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</si>
  <si>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</si>
  <si>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</si>
  <si>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</si>
  <si>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</si>
  <si>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</si>
  <si>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</si>
  <si>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</si>
  <si>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</si>
  <si>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</si>
  <si>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</si>
  <si>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</si>
  <si>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</si>
  <si>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</si>
  <si>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</si>
  <si>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</si>
  <si>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</si>
  <si>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</si>
  <si>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</si>
  <si>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</si>
  <si>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</si>
  <si>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</si>
  <si>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</si>
  <si>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</si>
  <si>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</si>
  <si>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</si>
  <si>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</si>
  <si>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</si>
  <si>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</si>
  <si>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</si>
  <si>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</si>
  <si>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</si>
  <si>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</si>
  <si>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</si>
  <si>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</si>
  <si>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</si>
  <si>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</si>
  <si>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</si>
  <si>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</si>
  <si>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</si>
  <si>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</si>
  <si>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</si>
  <si>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</si>
  <si>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</si>
  <si>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</si>
  <si>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</si>
  <si>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</si>
  <si>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</si>
  <si>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</si>
  <si>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</si>
  <si>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</si>
  <si>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</si>
  <si>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</si>
  <si>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</si>
  <si>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</si>
  <si>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</si>
  <si>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</si>
  <si>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</si>
  <si>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</si>
  <si>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</si>
  <si>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</si>
  <si>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</si>
  <si>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</si>
  <si>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</si>
  <si>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</si>
  <si>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</si>
  <si>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</si>
  <si>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</si>
  <si>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</si>
  <si>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</si>
  <si>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</si>
  <si>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</si>
  <si>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</si>
  <si>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</si>
  <si>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</si>
  <si>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</si>
  <si>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</si>
  <si>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</si>
  <si>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</si>
  <si>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</si>
  <si>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</si>
  <si>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</si>
  <si>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</si>
  <si>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</si>
  <si>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</si>
  <si>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</si>
  <si>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</si>
  <si>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</si>
  <si>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</si>
  <si>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</si>
  <si>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</si>
  <si>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</si>
  <si>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</si>
  <si>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</si>
  <si>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</si>
  <si>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</si>
  <si>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</si>
  <si>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</si>
  <si>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</si>
  <si>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</si>
  <si>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</si>
  <si>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</si>
  <si>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</si>
  <si>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</si>
  <si>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</si>
  <si>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</si>
  <si>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</si>
  <si>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</si>
  <si>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</si>
  <si>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</si>
  <si>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</si>
  <si>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</si>
  <si>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</si>
  <si>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</si>
  <si>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</si>
  <si>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</si>
  <si>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</si>
  <si>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</si>
  <si>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</si>
  <si>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</si>
  <si>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</si>
  <si>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</si>
  <si>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</si>
  <si>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</si>
  <si>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</si>
  <si>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</si>
  <si>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</si>
  <si>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</si>
  <si>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</si>
  <si>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</si>
  <si>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</si>
  <si>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</si>
  <si>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</si>
  <si>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</si>
  <si>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</si>
  <si>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</si>
  <si>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</si>
  <si>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</si>
  <si>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</si>
  <si>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</si>
  <si>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</si>
  <si>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</si>
  <si>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</si>
  <si>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</si>
  <si>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</si>
  <si>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</si>
  <si>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</si>
  <si>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</si>
  <si>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</si>
  <si>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</si>
  <si>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</si>
  <si>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</si>
  <si>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</si>
  <si>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</si>
  <si>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</si>
  <si>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</si>
  <si>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</si>
  <si>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</si>
  <si>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</si>
  <si>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</si>
  <si>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</si>
  <si>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</si>
  <si>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</si>
  <si>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</si>
  <si>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</si>
  <si>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</si>
  <si>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</si>
  <si>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</si>
  <si>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</si>
  <si>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</si>
  <si>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</si>
  <si>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</si>
  <si>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</si>
  <si>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</si>
  <si>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</si>
  <si>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</si>
  <si>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</si>
  <si>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</si>
  <si>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</si>
  <si>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</si>
  <si>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</si>
  <si>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</si>
  <si>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</si>
  <si>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</si>
  <si>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</si>
  <si>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</si>
  <si>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</si>
  <si>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</si>
  <si>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</si>
  <si>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</si>
  <si>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</si>
  <si>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</si>
  <si>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</si>
  <si>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</si>
  <si>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</si>
  <si>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</si>
  <si>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</si>
  <si>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</si>
  <si>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</si>
  <si>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</si>
  <si>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</si>
  <si>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</si>
  <si>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</si>
  <si>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</si>
  <si>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</si>
  <si>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</si>
  <si>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</si>
  <si>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</si>
  <si>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</si>
  <si>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</si>
  <si>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</si>
  <si>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</si>
  <si>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</si>
  <si>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</si>
  <si>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</si>
  <si>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</si>
  <si>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</si>
  <si>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</si>
  <si>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</si>
  <si>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</si>
  <si>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</si>
  <si>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</si>
  <si>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</si>
  <si>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</si>
  <si>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</si>
  <si>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</si>
  <si>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</si>
  <si>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</si>
  <si>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</si>
  <si>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</si>
  <si>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</si>
  <si>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</si>
  <si>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</si>
  <si>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</si>
  <si>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</si>
  <si>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</si>
  <si>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</si>
  <si>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</si>
  <si>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</si>
  <si>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</si>
  <si>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</si>
  <si>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</si>
  <si>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</si>
  <si>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</si>
  <si>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</si>
  <si>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</si>
  <si>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</si>
  <si>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</si>
  <si>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</si>
  <si>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</si>
  <si>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</si>
  <si>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</si>
  <si>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</si>
  <si>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</si>
  <si>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</si>
  <si>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</si>
  <si>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</si>
  <si>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</si>
  <si>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</si>
  <si>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</si>
  <si>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</si>
  <si>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</si>
  <si>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</si>
  <si>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</si>
  <si>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</si>
  <si>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</si>
  <si>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</si>
  <si>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</si>
  <si>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</si>
  <si>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</si>
  <si>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</si>
  <si>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</si>
  <si>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</si>
  <si>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</si>
  <si>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</si>
  <si>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</si>
  <si>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</si>
  <si>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</si>
  <si>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</si>
  <si>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</si>
  <si>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</si>
  <si>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</si>
  <si>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</si>
  <si>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</si>
  <si>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</si>
  <si>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</si>
  <si>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</si>
  <si>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</si>
  <si>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</si>
  <si>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</si>
  <si>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</si>
  <si>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</si>
  <si>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</si>
  <si>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</si>
  <si>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</si>
  <si>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</si>
  <si>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</si>
  <si>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</si>
  <si>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</si>
  <si>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</si>
  <si>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</si>
  <si>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</si>
  <si>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</si>
  <si>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</si>
  <si>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</si>
  <si>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</si>
  <si>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</si>
  <si>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</si>
  <si>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</si>
  <si>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</si>
  <si>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</si>
  <si>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</si>
  <si>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</si>
  <si>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</si>
  <si>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</si>
  <si>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</si>
  <si>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</si>
  <si>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</si>
  <si>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</si>
  <si>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</si>
  <si>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</si>
  <si>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</si>
  <si>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</si>
  <si>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</si>
  <si>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</si>
  <si>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</si>
  <si>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</si>
  <si>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</si>
  <si>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</si>
  <si>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</si>
  <si>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</si>
  <si>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</si>
  <si>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</si>
  <si>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</si>
  <si>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</si>
  <si>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</si>
  <si>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</si>
  <si>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</si>
  <si>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</si>
  <si>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</si>
  <si>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</si>
  <si>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</si>
  <si>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</si>
  <si>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</si>
  <si>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</si>
  <si>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</si>
  <si>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</si>
  <si>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</si>
  <si>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</si>
  <si>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</si>
  <si>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</si>
  <si>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</si>
  <si>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</si>
  <si>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</si>
  <si>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</si>
  <si>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</si>
  <si>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</si>
  <si>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</si>
  <si>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</si>
  <si>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</si>
  <si>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</si>
  <si>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</si>
  <si>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</si>
  <si>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</si>
  <si>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</si>
  <si>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</si>
  <si>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</si>
  <si>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</si>
  <si>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</si>
  <si>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</si>
  <si>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</si>
  <si>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</si>
  <si>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</si>
  <si>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</si>
  <si>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</si>
  <si>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</si>
  <si>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</si>
  <si>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</si>
  <si>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</si>
  <si>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</si>
  <si>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</si>
  <si>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</si>
  <si>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</si>
  <si>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</si>
  <si>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</si>
  <si>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</si>
  <si>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</si>
  <si>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</si>
  <si>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</si>
  <si>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</si>
  <si>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</si>
  <si>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</si>
  <si>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</si>
  <si>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</si>
  <si>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</si>
  <si>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</si>
  <si>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</si>
  <si>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</si>
  <si>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</si>
  <si>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</si>
  <si>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</si>
  <si>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</si>
  <si>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</si>
  <si>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</si>
  <si>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</si>
  <si>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</si>
  <si>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</si>
  <si>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</si>
  <si>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</si>
  <si>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</si>
  <si>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</si>
  <si>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</si>
  <si>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</si>
  <si>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</si>
  <si>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</si>
  <si>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</si>
  <si>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</si>
  <si>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</si>
  <si>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</si>
  <si>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</si>
  <si>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</si>
  <si>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</si>
  <si>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</si>
  <si>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</si>
  <si>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</si>
  <si>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</si>
  <si>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</si>
  <si>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</si>
  <si>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</si>
  <si>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</si>
  <si>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</si>
  <si>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</si>
  <si>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</si>
  <si>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</si>
  <si>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</si>
  <si>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</si>
  <si>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</si>
  <si>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</si>
  <si>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</si>
  <si>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</si>
  <si>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</si>
  <si>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</si>
  <si>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</si>
  <si>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</si>
  <si>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</si>
  <si>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</si>
  <si>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</si>
  <si>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</si>
  <si>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</si>
  <si>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</si>
  <si>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</si>
  <si>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</si>
  <si>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</si>
  <si>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</si>
  <si>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</si>
  <si>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</si>
  <si>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</si>
  <si>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</si>
  <si>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</si>
  <si>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</si>
  <si>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</si>
  <si>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</si>
  <si>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</si>
  <si>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</si>
  <si>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</si>
  <si>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</si>
  <si>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</si>
  <si>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</si>
  <si>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</si>
  <si>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</si>
  <si>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</si>
  <si>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</si>
  <si>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</si>
  <si>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</si>
  <si>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</si>
  <si>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</si>
  <si>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</si>
  <si>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</si>
  <si>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</si>
  <si>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</si>
  <si>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</si>
  <si>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</si>
  <si>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</si>
  <si>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</si>
  <si>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</si>
  <si>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</si>
  <si>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</si>
  <si>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</si>
  <si>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</si>
  <si>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</si>
  <si>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</si>
  <si>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</si>
  <si>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</si>
  <si>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</si>
  <si>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</si>
  <si>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</si>
  <si>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</si>
  <si>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</si>
  <si>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</si>
  <si>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</si>
  <si>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</si>
  <si>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</si>
  <si>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</si>
  <si>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</si>
  <si>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</si>
  <si>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</si>
  <si>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</si>
  <si>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</si>
  <si>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</si>
  <si>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</si>
  <si>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</si>
  <si>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</si>
  <si>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</si>
  <si>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</si>
  <si>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</si>
  <si>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</si>
  <si>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</si>
  <si>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</si>
  <si>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</si>
  <si>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</si>
  <si>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</si>
  <si>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</si>
  <si>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</si>
  <si>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</si>
  <si>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</si>
  <si>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</si>
  <si>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</si>
  <si>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</si>
  <si>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</si>
  <si>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</si>
  <si>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</si>
  <si>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</si>
  <si>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</si>
  <si>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</si>
  <si>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</si>
  <si>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</si>
  <si>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</si>
  <si>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</si>
  <si>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</si>
  <si>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</si>
  <si>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</si>
  <si>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</si>
  <si>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</si>
  <si>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</si>
  <si>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</si>
  <si>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</si>
  <si>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</si>
  <si>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</si>
  <si>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</si>
  <si>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</si>
  <si>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</si>
  <si>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</si>
  <si>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</si>
  <si>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</si>
  <si>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</si>
  <si>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</si>
  <si>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</si>
  <si>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</si>
  <si>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</si>
  <si>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</si>
  <si>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</si>
  <si>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</si>
  <si>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</si>
  <si>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</si>
  <si>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</si>
  <si>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</si>
  <si>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</si>
  <si>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</si>
  <si>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</si>
  <si>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</si>
  <si>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</si>
  <si>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</si>
  <si>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</si>
  <si>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</si>
  <si>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</si>
  <si>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</si>
  <si>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</si>
  <si>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</si>
  <si>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</si>
  <si>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</si>
  <si>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</si>
  <si>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</si>
  <si>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</si>
  <si>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</si>
  <si>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</si>
  <si>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</si>
  <si>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</si>
  <si>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</si>
  <si>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</si>
  <si>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</si>
  <si>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</si>
  <si>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</si>
  <si>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</si>
  <si>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</si>
  <si>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</si>
  <si>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</si>
  <si>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</si>
  <si>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</si>
  <si>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</si>
  <si>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</si>
  <si>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</si>
  <si>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</si>
  <si>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</si>
  <si>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</si>
  <si>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</si>
  <si>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</si>
  <si>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</si>
  <si>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</si>
  <si>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</si>
  <si>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</si>
  <si>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</si>
  <si>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</si>
  <si>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</si>
  <si>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</si>
  <si>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</si>
  <si>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</si>
  <si>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</si>
  <si>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</si>
  <si>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</si>
  <si>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</si>
  <si>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</si>
  <si>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</si>
  <si>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</si>
  <si>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</si>
  <si>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</si>
  <si>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</si>
  <si>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</si>
  <si>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</si>
  <si>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</si>
  <si>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</si>
  <si>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</si>
  <si>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</si>
  <si>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</si>
  <si>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</si>
  <si>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</si>
  <si>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</si>
  <si>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</si>
  <si>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</si>
  <si>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</si>
  <si>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</si>
  <si>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</si>
  <si>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</si>
  <si>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</si>
  <si>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</si>
  <si>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</si>
  <si>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</si>
  <si>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</si>
  <si>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</si>
  <si>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</si>
  <si>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</si>
  <si>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</si>
  <si>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</si>
  <si>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</si>
  <si>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</si>
  <si>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</si>
  <si>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</si>
  <si>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</si>
  <si>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</si>
  <si>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</si>
  <si>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</si>
  <si>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</si>
  <si>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</si>
  <si>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</si>
  <si>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</si>
  <si>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</si>
  <si>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</si>
  <si>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</si>
  <si>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</si>
  <si>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</si>
  <si>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</si>
  <si>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</si>
  <si>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</si>
  <si>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</si>
  <si>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</si>
  <si>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</si>
  <si>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</si>
  <si>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</si>
  <si>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</si>
  <si>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</si>
  <si>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</si>
  <si>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</si>
  <si>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</si>
  <si>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</si>
  <si>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</si>
  <si>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</si>
  <si>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</si>
  <si>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</si>
  <si>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</si>
  <si>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</si>
  <si>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</si>
  <si>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</si>
  <si>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</si>
  <si>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</si>
  <si>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</si>
  <si>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</si>
  <si>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</si>
  <si>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</si>
  <si>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</si>
  <si>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</si>
  <si>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</si>
  <si>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</si>
  <si>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</si>
  <si>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</si>
  <si>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</si>
  <si>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</si>
  <si>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</si>
  <si>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</si>
  <si>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</si>
  <si>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</si>
  <si>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</si>
  <si>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</si>
  <si>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</si>
  <si>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</si>
  <si>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</si>
  <si>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</si>
  <si>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</si>
  <si>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</si>
  <si>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</si>
  <si>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</si>
  <si>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</si>
  <si>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</si>
  <si>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</si>
  <si>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</si>
  <si>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</si>
  <si>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una odena de 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</si>
</sst>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148553</xdr:colOff>
      <xdr:row>0</xdr:row>
      <xdr:rowOff>92807</xdr:rowOff>
    </xdr:from>
    <xdr:to>
      <xdr:col>25</xdr:col>
      <xdr:colOff>9039</xdr:colOff>
      <xdr:row>6</xdr:row>
      <xdr:rowOff>201622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0548A9-9EAC-F3CF-7926-331752CE8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500197">
          <a:off x="8436868" y="-80208"/>
          <a:ext cx="1861415" cy="2207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2" sqref="D12:N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GP0907-1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45847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1358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32184975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3234274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/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1440</v>
      </c>
      <c r="E5" s="346"/>
      <c r="F5" s="347"/>
      <c r="G5" s="348" t="s">
        <v>16</v>
      </c>
      <c r="H5" s="349"/>
      <c r="I5" s="349"/>
      <c r="J5" s="350"/>
      <c r="K5" s="400">
        <v>80</v>
      </c>
      <c r="L5" s="400"/>
      <c r="M5" s="401" t="s">
        <v>17</v>
      </c>
      <c r="N5" s="401"/>
      <c r="O5" s="397">
        <f>IFERROR(IF(K5=0,"",D5*K5),"")</f>
        <v>115200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1.2500000000000001E-2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27</v>
      </c>
      <c r="B10" s="309"/>
      <c r="C10" s="310"/>
      <c r="D10" s="322" t="s">
        <v>476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1.2</v>
      </c>
      <c r="R10" s="317"/>
      <c r="S10" s="318">
        <f>IFERROR(IF(Q10="Unidad","1",(Q10*$K$5)),"")</f>
        <v>96</v>
      </c>
      <c r="T10" s="319"/>
      <c r="U10" s="320"/>
      <c r="V10" s="326"/>
      <c r="W10" s="321">
        <f>IFERROR(IF(D10="","",INDEX(Tabla_Completa,MATCH('Soli_citud '!D10,Materiales,0),7)*S10),"")</f>
        <v>115200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233</v>
      </c>
      <c r="B11" s="309"/>
      <c r="C11" s="310"/>
      <c r="D11" s="322" t="s">
        <v>382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121</v>
      </c>
      <c r="R11" s="317"/>
      <c r="S11" s="318">
        <f t="shared" ref="S11:S31" si="1">IFERROR(IF(Q11="Unidad","1",(Q11*$K$5)),"")</f>
        <v>9680</v>
      </c>
      <c r="T11" s="319"/>
      <c r="U11" s="320"/>
      <c r="V11" s="320"/>
      <c r="W11" s="321" t="str">
        <f>IFERROR(IF(D11="","",INDEX(Tabla_Completa,MATCH('Soli_citud '!D11,Materiales,0),7)*S11),"")</f>
        <v/>
      </c>
      <c r="X11" s="321"/>
      <c r="Y11" s="321"/>
    </row>
    <row r="12" spans="1:31" ht="15.75" customHeight="1">
      <c r="A12" s="308" t="s">
        <v>27</v>
      </c>
      <c r="B12" s="309"/>
      <c r="C12" s="310"/>
      <c r="D12" s="325" t="s">
        <v>28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kg</v>
      </c>
      <c r="P12" s="315"/>
      <c r="Q12" s="316">
        <v>6</v>
      </c>
      <c r="R12" s="317"/>
      <c r="S12" s="318">
        <f t="shared" si="1"/>
        <v>480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14" sqref="J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45847</v>
      </c>
      <c r="O1" s="417"/>
      <c r="P1" s="452" t="s">
        <v>56</v>
      </c>
      <c r="Q1" s="453"/>
      <c r="R1" s="458" t="str">
        <f>IF('Soli_citud '!D4="","",'Soli_citud '!D4)</f>
        <v/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GP0907-1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3234274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1440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Gloria Pabon Yepes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GP0907-1</v>
      </c>
      <c r="C12" s="494" t="str">
        <f>IFERROR(IF('Soli_citud '!D10="","",'Soli_citud '!D10),"")</f>
        <v>NOBUCK</v>
      </c>
      <c r="D12" s="494"/>
      <c r="E12" s="494"/>
      <c r="F12" s="494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96</v>
      </c>
      <c r="I12" s="214">
        <v>45903</v>
      </c>
      <c r="J12" s="215">
        <v>96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GP0907-1</v>
      </c>
      <c r="C13" s="494" t="str">
        <f>IFERROR(IF('Soli_citud '!D11="","",'Soli_citud '!D11),"")</f>
        <v>ODENA 1,1 mm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9680</v>
      </c>
      <c r="I13" s="214">
        <v>45903</v>
      </c>
      <c r="J13" s="216">
        <v>1</v>
      </c>
      <c r="K13" s="197" cm="1">
        <f t="array" ref="K13">IFERROR(_xlfn.IFS(H13="","",J13=H13,"Cumplido",J13&lt;H13,H13-J13,J13&gt;H13,"Revisar"),"")</f>
        <v>9679</v>
      </c>
      <c r="L13" s="495" t="s">
        <v>1389</v>
      </c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GP0907-1</v>
      </c>
      <c r="C14" s="494" t="str">
        <f>IFERROR(IF('Soli_citud '!D12="","",'Soli_citud '!D12),"")</f>
        <v>Retal</v>
      </c>
      <c r="D14" s="494"/>
      <c r="E14" s="494"/>
      <c r="F14" s="494"/>
      <c r="G14" s="213" t="str">
        <f>IF('Soli_citud '!O12="","",'Soli_citud '!O12)</f>
        <v>kg</v>
      </c>
      <c r="H14" s="213" cm="1">
        <f t="array" ref="H14">_xlfn.IFS('Soli_citud '!S12="","",'Soli_citud '!S12&lt;=0,"",'Soli_citud '!S12&gt;0,'Soli_citud '!S12)</f>
        <v>480</v>
      </c>
      <c r="I14" s="214"/>
      <c r="J14" s="216"/>
      <c r="K14" s="197" cm="1">
        <f t="array" ref="K14">IFERROR(_xlfn.IFS(H14="","",J14=H14,"Cumplido",J14&lt;H14,H14-J14,J14&gt;H14,"Revisar"),"")</f>
        <v>480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2025-09-03T23:38:04Z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