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2. DOCUMENTOS 2025\2908248 TECNOLOGO EN DESARROLLO DE COLECCIONES\PEDIDOS AL ALMACEN\PEDIDOS ALM PROYECTO 2\ALEJANDRO MOLINA\"/>
    </mc:Choice>
  </mc:AlternateContent>
  <xr:revisionPtr revIDLastSave="0" documentId="8_{926F67A1-8A34-4B90-B789-78B8A5C5F146}" xr6:coauthVersionLast="47" xr6:coauthVersionMax="47" xr10:uidLastSave="{00000000-0000-0000-0000-000000000000}"/>
  <bookViews>
    <workbookView xWindow="-120" yWindow="-120" windowWidth="29040" windowHeight="1572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/>
  <c r="P22" i="61" a="1"/>
  <c r="P22" i="6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a="1"/>
  <c r="H15" i="61" s="1"/>
  <c r="S14" i="43"/>
  <c r="H16" i="6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a="1"/>
  <c r="H23" i="61" s="1"/>
  <c r="S22" i="43"/>
  <c r="H24" i="6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/>
  <c r="O22" i="43"/>
  <c r="G24" i="61" s="1"/>
  <c r="O23" i="43"/>
  <c r="G25" i="61" s="1"/>
  <c r="O24" i="43"/>
  <c r="G26" i="61" s="1"/>
  <c r="O25" i="43"/>
  <c r="G27" i="61"/>
  <c r="O26" i="43"/>
  <c r="G28" i="61"/>
  <c r="O27" i="43"/>
  <c r="G29" i="61" s="1"/>
  <c r="O28" i="43"/>
  <c r="G30" i="61" s="1"/>
  <c r="O29" i="43"/>
  <c r="G31" i="61" s="1"/>
  <c r="O30" i="43"/>
  <c r="G32" i="6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D5" i="43" l="1"/>
  <c r="B8" i="61" s="1"/>
  <c r="O29" i="61"/>
  <c r="K29" i="61" a="1"/>
  <c r="K29" i="61" s="1"/>
  <c r="K21" i="61" a="1"/>
  <c r="K21" i="61" s="1"/>
  <c r="B21" i="61"/>
  <c r="K14" i="61" a="1"/>
  <c r="K14" i="61" s="1"/>
  <c r="B14" i="61"/>
  <c r="O14" i="61"/>
  <c r="O23" i="61"/>
  <c r="K23" i="61" a="1"/>
  <c r="K23" i="61" s="1"/>
  <c r="B23" i="61"/>
  <c r="B18" i="61"/>
  <c r="O18" i="61"/>
  <c r="K18" i="61" a="1"/>
  <c r="K18" i="61" s="1"/>
  <c r="O13" i="61"/>
  <c r="B13" i="61"/>
  <c r="K13" i="61" a="1"/>
  <c r="K13" i="61" s="1"/>
  <c r="K19" i="61" a="1"/>
  <c r="K19" i="61" s="1"/>
  <c r="O19" i="61"/>
  <c r="B19" i="61"/>
  <c r="K32" i="61" a="1"/>
  <c r="K32" i="61" s="1"/>
  <c r="B32" i="61"/>
  <c r="O32" i="61"/>
  <c r="K28" i="61" a="1"/>
  <c r="K28" i="61" s="1"/>
  <c r="B28" i="61"/>
  <c r="O28" i="61"/>
  <c r="O17" i="61"/>
  <c r="B17" i="61"/>
  <c r="K17" i="61" a="1"/>
  <c r="K17" i="61" s="1"/>
  <c r="K27" i="61" a="1"/>
  <c r="K27" i="61" s="1"/>
  <c r="B27" i="61"/>
  <c r="O27" i="61"/>
  <c r="O22" i="61"/>
  <c r="K22" i="61" a="1"/>
  <c r="K22" i="61" s="1"/>
  <c r="B22" i="61"/>
  <c r="K12" i="61" a="1"/>
  <c r="K12" i="61" s="1"/>
  <c r="B12" i="61"/>
  <c r="O12" i="61"/>
  <c r="K31" i="61" a="1"/>
  <c r="K31" i="61" s="1"/>
  <c r="B31" i="61"/>
  <c r="O31" i="61"/>
  <c r="K26" i="61" a="1"/>
  <c r="K26" i="61" s="1"/>
  <c r="B26" i="61"/>
  <c r="O26" i="61"/>
  <c r="O16" i="61"/>
  <c r="K16" i="61" a="1"/>
  <c r="K16" i="61" s="1"/>
  <c r="B16" i="61"/>
  <c r="B25" i="61"/>
  <c r="K25" i="61" a="1"/>
  <c r="K25" i="61" s="1"/>
  <c r="O25" i="61"/>
  <c r="K30" i="61" a="1"/>
  <c r="K30" i="61" s="1"/>
  <c r="O30" i="61"/>
  <c r="B30" i="61"/>
  <c r="B15" i="61"/>
  <c r="O15" i="61"/>
  <c r="K15" i="61" a="1"/>
  <c r="K15" i="61" s="1"/>
  <c r="B24" i="61"/>
  <c r="O24" i="61"/>
  <c r="K24" i="61" a="1"/>
  <c r="K24" i="61" s="1"/>
  <c r="B20" i="61"/>
  <c r="O20" i="61"/>
  <c r="K20" i="61" a="1"/>
  <c r="K20" i="61" s="1"/>
  <c r="O21" i="61"/>
  <c r="B29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<sst xmlns="http://schemas.openxmlformats.org/spreadsheetml/2006/main" count="5018" uniqueCount="1390">
  <si>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</si>
  <si>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</si>
  <si>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</si>
  <si>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</si>
  <si>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</si>
  <si>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</si>
  <si>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</si>
  <si>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</si>
  <si>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</si>
  <si>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</si>
  <si>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</si>
  <si>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</si>
  <si>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</si>
  <si>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</si>
  <si>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</si>
  <si>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</si>
  <si>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</si>
  <si>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</si>
  <si>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</si>
  <si>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</si>
  <si>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</si>
  <si>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</si>
  <si>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</si>
  <si>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</si>
  <si>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</si>
  <si>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</si>
  <si>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</si>
  <si>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</si>
  <si>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</si>
  <si>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</si>
  <si>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</si>
  <si>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</si>
  <si>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</si>
  <si>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</si>
  <si>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</si>
  <si>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</si>
  <si>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</si>
  <si>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</si>
  <si>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</si>
  <si>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</si>
  <si>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</si>
  <si>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</si>
  <si>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</si>
  <si>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</si>
  <si>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</si>
  <si>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</si>
  <si>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</si>
  <si>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</si>
  <si>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</si>
  <si>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</si>
  <si>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</si>
  <si>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</si>
  <si>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</si>
  <si>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</si>
  <si>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</si>
  <si>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</si>
  <si>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</si>
  <si>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</si>
  <si>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</si>
  <si>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</si>
  <si>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</si>
  <si>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</si>
  <si>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</si>
  <si>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</si>
  <si>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</si>
  <si>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</si>
  <si>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</si>
  <si>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</si>
  <si>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</si>
  <si>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</si>
  <si>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</si>
  <si>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</si>
  <si>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</si>
  <si>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</si>
  <si>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</si>
  <si>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</si>
  <si>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</si>
  <si>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</si>
  <si>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</si>
  <si>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</si>
  <si>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</si>
  <si>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</si>
  <si>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</si>
  <si>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</si>
  <si>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</si>
  <si>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</si>
  <si>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</si>
  <si>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</si>
  <si>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</si>
  <si>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</si>
  <si>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</si>
  <si>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</si>
  <si>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</si>
  <si>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</si>
  <si>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</si>
  <si>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</si>
  <si>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</si>
  <si>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</si>
  <si>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</si>
  <si>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</si>
  <si>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</si>
  <si>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</si>
  <si>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</si>
  <si>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</si>
  <si>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</si>
  <si>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</si>
  <si>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</si>
  <si>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</si>
  <si>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</si>
  <si>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</si>
  <si>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</si>
  <si>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</si>
  <si>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</si>
  <si>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</si>
  <si>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</si>
  <si>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</si>
  <si>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</si>
  <si>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</si>
  <si>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</si>
  <si>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</si>
  <si>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</si>
  <si>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</si>
  <si>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</si>
  <si>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</si>
  <si>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</si>
  <si>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</si>
  <si>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</si>
  <si>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</si>
  <si>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</si>
  <si>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</si>
  <si>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</si>
  <si>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</si>
  <si>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</si>
  <si>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</si>
  <si>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</si>
  <si>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</si>
  <si>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</si>
  <si>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</si>
  <si>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</si>
  <si>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</si>
  <si>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</si>
  <si>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</si>
  <si>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</si>
  <si>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</si>
  <si>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</si>
  <si>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</si>
  <si>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</si>
  <si>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</si>
  <si>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</si>
  <si>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</si>
  <si>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</si>
  <si>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</si>
  <si>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</si>
  <si>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</si>
  <si>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</si>
  <si>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</si>
  <si>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</si>
  <si>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</si>
  <si>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</si>
  <si>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</si>
  <si>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</si>
  <si>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</si>
  <si>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</si>
  <si>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</si>
  <si>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</si>
  <si>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</si>
  <si>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</si>
  <si>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</si>
  <si>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</si>
  <si>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</si>
  <si>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</si>
  <si>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</si>
  <si>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</si>
  <si>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</si>
  <si>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</si>
  <si>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</si>
  <si>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</si>
  <si>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</si>
  <si>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</si>
  <si>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</si>
  <si>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</si>
  <si>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</si>
  <si>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</si>
  <si>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</si>
  <si>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</si>
  <si>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</si>
  <si>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</si>
  <si>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</si>
  <si>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</si>
  <si>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</si>
  <si>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</si>
  <si>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</si>
  <si>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</si>
  <si>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</si>
  <si>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</si>
  <si>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</si>
  <si>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</si>
  <si>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</si>
  <si>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</si>
  <si>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</si>
  <si>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</si>
  <si>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</si>
  <si>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</si>
  <si>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</si>
  <si>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</si>
  <si>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</si>
  <si>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</si>
  <si>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</si>
  <si>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</si>
  <si>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</si>
  <si>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</si>
  <si>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</si>
  <si>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</si>
  <si>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</si>
  <si>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</si>
  <si>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</si>
  <si>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</si>
  <si>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</si>
  <si>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</si>
  <si>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</si>
  <si>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</si>
  <si>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</si>
  <si>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</si>
  <si>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</si>
  <si>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</si>
  <si>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</si>
  <si>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</si>
  <si>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</si>
  <si>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</si>
  <si>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</si>
  <si>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</si>
  <si>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</si>
  <si>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</si>
  <si>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</si>
  <si>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</si>
  <si>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</si>
  <si>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</si>
  <si>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</si>
  <si>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</si>
  <si>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</si>
  <si>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</si>
  <si>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</si>
  <si>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</si>
  <si>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</si>
  <si>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</si>
  <si>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</si>
  <si>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</si>
  <si>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</si>
  <si>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</si>
  <si>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</si>
  <si>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</si>
  <si>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</si>
  <si>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</si>
  <si>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</si>
  <si>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</si>
  <si>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</si>
  <si>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</si>
  <si>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</si>
  <si>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</si>
  <si>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</si>
  <si>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</si>
  <si>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</si>
  <si>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</si>
  <si>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</si>
  <si>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</si>
  <si>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</si>
  <si>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</si>
  <si>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</si>
  <si>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</si>
  <si>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</si>
  <si>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</si>
  <si>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</si>
  <si>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</si>
  <si>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</si>
  <si>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</si>
  <si>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</si>
  <si>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</si>
  <si>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</si>
  <si>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</si>
  <si>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</si>
  <si>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</si>
  <si>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</si>
  <si>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</si>
  <si>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</si>
  <si>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</si>
  <si>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</si>
  <si>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</si>
  <si>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</si>
  <si>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</si>
  <si>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</si>
  <si>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</si>
  <si>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</si>
  <si>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</si>
  <si>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</si>
  <si>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</si>
  <si>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</si>
  <si>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</si>
  <si>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</si>
  <si>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</si>
  <si>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</si>
  <si>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</si>
  <si>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</si>
  <si>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</si>
  <si>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</si>
  <si>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</si>
  <si>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</si>
  <si>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</si>
  <si>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</si>
  <si>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</si>
  <si>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</si>
  <si>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</si>
  <si>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</si>
  <si>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</si>
  <si>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</si>
  <si>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</si>
  <si>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</si>
  <si>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</si>
  <si>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</si>
  <si>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</si>
  <si>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</si>
  <si>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</si>
  <si>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</si>
  <si>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</si>
  <si>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</si>
  <si>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</si>
  <si>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</si>
  <si>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</si>
  <si>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</si>
  <si>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</si>
  <si>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</si>
  <si>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</si>
  <si>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</si>
  <si>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</si>
  <si>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</si>
  <si>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</si>
  <si>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</si>
  <si>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</si>
  <si>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</si>
  <si>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</si>
  <si>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</si>
  <si>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</si>
  <si>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</si>
  <si>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</si>
  <si>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</si>
  <si>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</si>
  <si>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</si>
  <si>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</si>
  <si>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</si>
  <si>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</si>
  <si>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</si>
  <si>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</si>
  <si>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</si>
  <si>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</si>
  <si>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</si>
  <si>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</si>
  <si>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</si>
  <si>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</si>
  <si>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</si>
  <si>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</si>
  <si>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</si>
  <si>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</si>
  <si>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</si>
  <si>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</si>
  <si>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</si>
  <si>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</si>
  <si>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</si>
  <si>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</si>
  <si>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</si>
  <si>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</si>
  <si>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</si>
  <si>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</si>
  <si>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</si>
  <si>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</si>
  <si>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</si>
  <si>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</si>
  <si>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</si>
  <si>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</si>
  <si>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</si>
  <si>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</si>
  <si>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</si>
  <si>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</si>
  <si>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</si>
  <si>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</si>
  <si>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</si>
  <si>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</si>
  <si>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</si>
  <si>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</si>
  <si>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</si>
  <si>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</si>
  <si>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</si>
  <si>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</si>
  <si>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</si>
  <si>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</si>
  <si>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</si>
  <si>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</si>
  <si>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</si>
  <si>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</si>
  <si>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</si>
  <si>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</si>
  <si>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</si>
  <si>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</si>
  <si>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</si>
  <si>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</si>
  <si>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</si>
  <si>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</si>
  <si>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</si>
  <si>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</si>
  <si>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</si>
  <si>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</si>
  <si>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</si>
  <si>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</si>
  <si>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</si>
  <si>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</si>
  <si>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</si>
  <si>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</si>
  <si>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</si>
  <si>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</si>
  <si>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</si>
  <si>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</si>
  <si>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</si>
  <si>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</si>
  <si>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</si>
  <si>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</si>
  <si>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</si>
  <si>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</si>
  <si>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</si>
  <si>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</si>
  <si>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</si>
  <si>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</si>
  <si>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</si>
  <si>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</si>
  <si>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</si>
  <si>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</si>
  <si>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</si>
  <si>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</si>
  <si>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</si>
  <si>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</si>
  <si>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</si>
  <si>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</si>
  <si>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</si>
  <si>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</si>
  <si>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</si>
  <si>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</si>
  <si>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</si>
  <si>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</si>
  <si>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</si>
  <si>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</si>
  <si>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</si>
  <si>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</si>
  <si>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</si>
  <si>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</si>
  <si>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</si>
  <si>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</si>
  <si>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</si>
  <si>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</si>
  <si>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</si>
  <si>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</si>
  <si>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</si>
  <si>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</si>
  <si>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</si>
  <si>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</si>
  <si>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</si>
  <si>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</si>
  <si>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</si>
  <si>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</si>
  <si>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</si>
  <si>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</si>
  <si>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</si>
  <si>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</si>
  <si>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</si>
  <si>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</si>
  <si>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</si>
  <si>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</si>
  <si>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</si>
  <si>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</si>
  <si>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</si>
  <si>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</si>
  <si>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</si>
  <si>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</si>
  <si>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</si>
  <si>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</si>
  <si>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</si>
  <si>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</si>
  <si>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</si>
  <si>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</si>
  <si>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</si>
  <si>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</si>
  <si>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</si>
  <si>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</si>
  <si>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</si>
  <si>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</si>
  <si>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</si>
  <si>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</si>
  <si>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</si>
  <si>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</si>
  <si>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</si>
  <si>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</si>
  <si>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</si>
  <si>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</si>
  <si>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</si>
  <si>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</si>
  <si>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</si>
  <si>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</si>
  <si>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</si>
  <si>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</si>
  <si>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</si>
  <si>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</si>
  <si>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</si>
  <si>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</si>
  <si>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</si>
  <si>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</si>
  <si>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</si>
  <si>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</si>
  <si>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</si>
  <si>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</si>
  <si>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</si>
  <si>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</si>
  <si>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</si>
  <si>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</si>
  <si>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</si>
  <si>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</si>
  <si>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</si>
  <si>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</si>
  <si>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</si>
  <si>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</si>
  <si>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</si>
  <si>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</si>
  <si>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</si>
  <si>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</si>
  <si>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</si>
  <si>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</si>
  <si>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</si>
  <si>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</si>
  <si>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</si>
  <si>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</si>
  <si>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</si>
  <si>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</si>
  <si>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</si>
  <si>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</si>
  <si>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</si>
  <si>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</si>
  <si>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</si>
  <si>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</si>
  <si>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</si>
  <si>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</si>
  <si>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</si>
  <si>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</si>
  <si>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</si>
  <si>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</si>
  <si>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</si>
  <si>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</si>
  <si>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</si>
  <si>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</si>
  <si>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</si>
  <si>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</si>
  <si>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</si>
  <si>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</si>
  <si>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</si>
  <si>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</si>
  <si>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</si>
  <si>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</si>
  <si>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</si>
  <si>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</si>
  <si>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</si>
  <si>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</si>
  <si>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</si>
  <si>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</si>
  <si>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</si>
  <si>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</si>
  <si>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</si>
  <si>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</si>
  <si>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</si>
  <si>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</si>
  <si>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</si>
  <si>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</si>
  <si>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</si>
  <si>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</si>
  <si>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</si>
  <si>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</si>
  <si>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</si>
  <si>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</si>
  <si>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</si>
  <si>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</si>
  <si>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</si>
  <si>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</si>
  <si>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</si>
  <si>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</si>
  <si>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</si>
  <si>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</si>
  <si>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</si>
  <si>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</si>
  <si>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</si>
  <si>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</si>
  <si>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</si>
  <si>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</si>
  <si>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</si>
  <si>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</si>
  <si>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</si>
  <si>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</si>
  <si>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</si>
  <si>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</si>
  <si>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</si>
  <si>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</si>
  <si>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</si>
  <si>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</si>
  <si>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</si>
  <si>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</si>
  <si>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</si>
  <si>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</si>
  <si>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</si>
  <si>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</si>
  <si>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</si>
  <si>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</si>
  <si>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</si>
  <si>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</si>
  <si>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</si>
  <si>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</si>
  <si>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</si>
  <si>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</si>
  <si>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</si>
  <si>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</si>
  <si>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</si>
  <si>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</si>
  <si>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</si>
  <si>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</si>
  <si>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</si>
  <si>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</si>
  <si>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</si>
  <si>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</si>
  <si>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</si>
  <si>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</si>
  <si>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</si>
  <si>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</si>
  <si>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</si>
  <si>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</si>
  <si>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</si>
  <si>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</si>
  <si>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</si>
  <si>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</si>
  <si>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</si>
  <si>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</si>
  <si>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</si>
  <si>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</si>
  <si>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</si>
  <si>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</si>
  <si>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</si>
  <si>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</si>
  <si>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</si>
  <si>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</si>
  <si>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</si>
  <si>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</si>
  <si>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</si>
  <si>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</si>
  <si>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</si>
  <si>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</si>
  <si>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</si>
  <si>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</si>
  <si>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</si>
  <si>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</si>
  <si>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</si>
  <si>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</si>
  <si>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</si>
  <si>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</si>
  <si>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</si>
  <si>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</si>
  <si>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</si>
  <si>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</si>
  <si>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</si>
  <si>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</si>
  <si>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</si>
  <si>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</si>
  <si>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</si>
  <si>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</si>
  <si>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</si>
  <si>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</si>
  <si>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</si>
  <si>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</si>
  <si>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</si>
  <si>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</si>
  <si>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</si>
  <si>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</si>
  <si>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</si>
  <si>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</si>
  <si>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</si>
  <si>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</si>
  <si>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</si>
  <si>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</si>
  <si>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</si>
  <si>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</si>
  <si>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</si>
  <si>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</si>
  <si>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</si>
  <si>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</si>
  <si>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</si>
  <si>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</si>
  <si>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</si>
  <si>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</si>
  <si>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</si>
  <si>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</si>
  <si>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</si>
  <si>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</si>
  <si>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</si>
  <si>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</si>
  <si>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</si>
  <si>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</si>
  <si>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</si>
  <si>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</si>
  <si>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</si>
  <si>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</si>
  <si>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</si>
  <si>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</si>
  <si>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</si>
  <si>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</si>
  <si>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</si>
  <si>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</si>
  <si>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</si>
  <si>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</si>
  <si>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</si>
  <si>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</si>
  <si>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</si>
  <si>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</si>
  <si>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</si>
  <si>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</si>
  <si>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</si>
  <si>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</si>
  <si>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</si>
  <si>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</si>
  <si>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</si>
  <si>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</si>
  <si>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</si>
  <si>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</si>
  <si>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</si>
  <si>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</si>
  <si>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</si>
  <si>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</si>
  <si>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</si>
  <si>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</si>
  <si>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</si>
  <si>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</si>
  <si>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</si>
  <si>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</si>
  <si>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</si>
  <si>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</si>
  <si>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</si>
  <si>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</si>
  <si>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</si>
  <si>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</si>
  <si>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</si>
  <si>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</si>
  <si>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</si>
  <si>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</si>
  <si>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</si>
  <si>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</si>
  <si>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</si>
  <si>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</si>
  <si>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</si>
  <si>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</si>
  <si>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</si>
  <si>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</si>
  <si>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</si>
  <si>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</si>
  <si>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</si>
  <si>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</si>
  <si>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</si>
  <si>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</si>
  <si>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</si>
  <si>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</si>
  <si>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</si>
  <si>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</si>
  <si>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</si>
  <si>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</si>
  <si>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</si>
  <si>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</si>
  <si>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</si>
  <si>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</si>
  <si>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</si>
  <si>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</si>
  <si>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</si>
  <si>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</si>
  <si>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</si>
  <si>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</si>
  <si>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</si>
  <si>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</si>
  <si>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</si>
  <si>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</si>
  <si>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</si>
  <si>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</si>
  <si>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</si>
  <si>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</si>
  <si>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</si>
  <si>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</si>
  <si>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</si>
  <si>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</si>
  <si>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</si>
  <si>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</si>
  <si>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</si>
  <si>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</si>
  <si>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</si>
  <si>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</si>
  <si>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</si>
  <si>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</si>
  <si>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</si>
  <si>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</si>
  <si>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</si>
  <si>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</si>
  <si>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</si>
  <si>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</si>
  <si>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</si>
  <si>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</si>
  <si>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</si>
  <si>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</si>
  <si>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</si>
  <si>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</si>
  <si>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</si>
  <si>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</si>
  <si>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</si>
  <si>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</si>
  <si>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</si>
  <si>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</si>
  <si>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</si>
  <si>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</si>
  <si>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</si>
  <si>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</si>
  <si>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</si>
  <si>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</si>
  <si>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</si>
  <si>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</si>
  <si>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</si>
  <si>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</si>
  <si>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</si>
  <si>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</si>
  <si>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</si>
  <si>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</si>
  <si>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</si>
  <si>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</si>
  <si>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</si>
  <si>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</si>
  <si>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</si>
  <si>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</si>
  <si>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</si>
  <si>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</si>
  <si>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</si>
  <si>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</si>
  <si>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</si>
  <si>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</si>
  <si>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</si>
  <si>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</si>
  <si>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</si>
  <si>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</si>
  <si>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</si>
  <si>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</si>
  <si>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</si>
  <si>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</si>
  <si>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</si>
  <si>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</si>
  <si>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</si>
  <si>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</si>
  <si>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</si>
  <si>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</si>
  <si>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</si>
  <si>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</si>
  <si>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</si>
  <si>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</si>
  <si>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</si>
  <si>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</si>
  <si>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</si>
  <si>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</si>
  <si>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</si>
  <si>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</si>
  <si>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</si>
  <si>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</si>
  <si>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</si>
  <si>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</si>
  <si>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</si>
  <si>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</si>
  <si>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</si>
  <si>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</si>
  <si>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</si>
  <si>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</si>
  <si>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</si>
  <si>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</si>
  <si>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</si>
  <si>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</si>
  <si>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</si>
  <si>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</si>
  <si>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</si>
  <si>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</si>
  <si>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</si>
  <si>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</si>
  <si>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</si>
  <si>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</si>
  <si>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</si>
  <si>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</si>
  <si>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</si>
  <si>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</si>
  <si>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</si>
  <si>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</si>
  <si>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</si>
  <si>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</si>
  <si>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</si>
  <si>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</si>
  <si>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</si>
  <si>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</si>
  <si>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</si>
  <si>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</si>
  <si>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</si>
  <si>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</si>
  <si>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</si>
  <si>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</si>
  <si>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</si>
  <si>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</si>
  <si>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</si>
  <si>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</si>
  <si>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</si>
  <si>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</si>
  <si>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</si>
  <si>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</si>
  <si>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</si>
  <si>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</si>
  <si>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</si>
  <si>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</si>
  <si>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</si>
  <si>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</si>
  <si>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</si>
  <si>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</si>
  <si>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</si>
  <si>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</si>
  <si>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</si>
  <si>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</si>
  <si>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</si>
  <si>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</si>
  <si>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</si>
  <si>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</si>
  <si>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</si>
  <si>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</si>
  <si>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</si>
  <si>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</si>
  <si>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</si>
  <si>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</si>
  <si>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</si>
  <si>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</si>
  <si>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</si>
  <si>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</si>
  <si>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</si>
  <si>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</si>
  <si>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</si>
  <si>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</si>
  <si>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</si>
  <si>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</si>
  <si>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</si>
  <si>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</si>
  <si>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</si>
  <si>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</si>
  <si>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</si>
  <si>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</si>
  <si>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</si>
  <si>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</si>
  <si>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</si>
  <si>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</si>
  <si>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</si>
  <si>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</si>
  <si>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</si>
  <si>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</si>
  <si>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</si>
  <si>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</si>
  <si>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</si>
  <si>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</si>
  <si>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</si>
  <si>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</si>
  <si>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</si>
  <si>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</si>
  <si>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</si>
  <si>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</si>
  <si>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</si>
  <si>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</si>
  <si>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</si>
  <si>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</si>
  <si>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</si>
  <si>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</si>
  <si>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</si>
  <si>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</si>
  <si>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</si>
  <si>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</si>
  <si>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</si>
  <si>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</si>
  <si>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</si>
  <si>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</si>
  <si>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</si>
  <si>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</si>
  <si>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</si>
  <si>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</si>
  <si>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</si>
  <si>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</si>
  <si>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</si>
  <si>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</si>
  <si>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</si>
  <si>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</si>
  <si>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</si>
  <si>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</si>
  <si>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</si>
  <si>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</si>
  <si>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</si>
  <si>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</si>
  <si>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</si>
  <si>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</si>
  <si>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</si>
  <si>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</si>
  <si>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</si>
  <si>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</si>
  <si>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</si>
  <si>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</si>
  <si>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</si>
  <si>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</si>
  <si>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</si>
  <si>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</si>
  <si>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</si>
  <si>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</si>
  <si>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</si>
  <si>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</si>
  <si>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</si>
  <si>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</si>
  <si>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</si>
  <si>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</si>
  <si>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</si>
  <si>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</si>
  <si>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</si>
  <si>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</si>
  <si>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</si>
  <si>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</si>
  <si>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</si>
  <si>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</si>
  <si>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</si>
  <si>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</si>
  <si>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</si>
  <si>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</si>
  <si>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</si>
  <si>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</si>
  <si>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</si>
  <si>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</si>
  <si>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</si>
  <si>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</si>
  <si>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</si>
  <si>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</si>
  <si>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</si>
  <si>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</si>
  <si>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</si>
  <si>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</si>
  <si>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</si>
  <si>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</si>
  <si>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</si>
  <si>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</si>
  <si>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</si>
  <si>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</si>
  <si>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</si>
  <si>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</si>
  <si>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</si>
  <si>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</si>
  <si>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</si>
  <si>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</si>
  <si>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</si>
  <si>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</si>
  <si>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</si>
  <si>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</si>
  <si>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</si>
  <si>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</si>
  <si>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</si>
  <si>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</si>
  <si>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</si>
  <si>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</si>
  <si>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</si>
  <si>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</si>
  <si>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</si>
  <si>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</si>
  <si>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</si>
  <si>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</si>
  <si>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</si>
  <si>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</si>
  <si>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</si>
  <si>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</si>
  <si>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</si>
  <si>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</si>
  <si>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</si>
  <si>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</si>
  <si>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</si>
  <si>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</si>
  <si>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</si>
  <si>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</si>
  <si>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</si>
  <si>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</si>
  <si>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</si>
  <si>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</si>
  <si>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</si>
  <si>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</si>
  <si>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</si>
  <si>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</si>
  <si>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</si>
  <si>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</si>
  <si>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</si>
  <si>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</si>
  <si>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</si>
  <si>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</si>
  <si>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</si>
  <si>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</si>
  <si>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</si>
  <si>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</si>
  <si>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</si>
  <si>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</si>
  <si>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</si>
  <si>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</si>
  <si>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</si>
  <si>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</si>
  <si>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</si>
  <si>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</si>
  <si>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</si>
  <si>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</si>
  <si>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</si>
  <si>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</si>
  <si>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</si>
  <si>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</si>
  <si>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</si>
  <si>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</si>
  <si>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</si>
  <si>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</si>
  <si>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</si>
  <si>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</si>
  <si>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</si>
  <si>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</si>
  <si>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</si>
  <si>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</si>
  <si>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</si>
  <si>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</si>
  <si>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</si>
  <si>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</si>
  <si>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</si>
  <si>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</si>
  <si>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</si>
  <si>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</si>
  <si>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</si>
  <si>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</si>
  <si>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</si>
  <si>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</si>
  <si>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</si>
  <si>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</si>
  <si>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</si>
  <si>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</si>
  <si>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</si>
  <si>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</si>
  <si>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</si>
  <si>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</si>
  <si>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</si>
  <si>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</si>
  <si>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</si>
  <si>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</si>
  <si>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</si>
  <si>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</si>
  <si>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</si>
  <si>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</si>
  <si>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</si>
  <si>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</si>
  <si>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</si>
  <si>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</si>
  <si>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</si>
  <si>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</si>
  <si>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</si>
  <si>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</si>
  <si>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</si>
  <si>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</si>
  <si>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</si>
  <si>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</si>
  <si>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</si>
  <si>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</si>
  <si>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</si>
  <si>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</si>
  <si>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</si>
  <si>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</si>
  <si>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</si>
  <si>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</si>
  <si>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</si>
  <si>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</si>
  <si>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</si>
  <si>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</si>
  <si>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</si>
  <si>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</si>
  <si>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</si>
  <si>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</si>
  <si>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</si>
  <si>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</si>
  <si>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</si>
  <si>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</si>
  <si>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</si>
  <si>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</si>
  <si>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</si>
  <si>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</si>
  <si>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</si>
  <si>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</si>
  <si>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</si>
  <si>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</si>
  <si>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</si>
  <si>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</si>
  <si>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</si>
  <si>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</si>
  <si>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</si>
  <si>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</si>
  <si>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</si>
  <si>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</si>
  <si>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</si>
  <si>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</si>
  <si>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</si>
  <si>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</si>
  <si>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</si>
  <si>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</si>
  <si>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</si>
  <si>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</si>
  <si>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</si>
  <si>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</si>
  <si>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</si>
  <si>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</si>
  <si>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</si>
  <si>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</si>
  <si>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</si>
  <si>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</si>
  <si>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</si>
  <si>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</si>
  <si>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</si>
  <si>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</si>
  <si>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</si>
  <si>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</si>
  <si>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</si>
  <si>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</si>
  <si>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</si>
  <si>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</si>
  <si>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</si>
  <si>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</si>
  <si>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</si>
  <si>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</si>
  <si>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</si>
  <si>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</si>
  <si>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</si>
  <si>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</si>
  <si>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</si>
  <si>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</si>
  <si>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</si>
  <si>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</si>
  <si>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</si>
  <si>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</si>
  <si>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</si>
  <si>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</si>
  <si>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</si>
  <si>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</si>
  <si>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</si>
  <si>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</si>
  <si>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</si>
  <si>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</si>
  <si>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</si>
  <si>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</si>
  <si>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</si>
  <si>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</si>
  <si>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</si>
  <si>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</si>
  <si>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</si>
  <si>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</si>
  <si>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</si>
  <si>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</si>
  <si>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</si>
  <si>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</si>
  <si>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</si>
  <si>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</si>
  <si>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</si>
  <si>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</si>
  <si>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</si>
  <si>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</si>
  <si>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</si>
  <si>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</si>
  <si>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</si>
  <si>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</si>
  <si>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</si>
  <si>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</si>
  <si>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</si>
  <si>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</si>
  <si>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</si>
  <si>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</si>
  <si>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</si>
  <si>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</si>
  <si>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</si>
  <si>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</si>
  <si>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</si>
  <si>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</si>
  <si>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</si>
  <si>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</si>
  <si>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</si>
  <si>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</si>
  <si>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</si>
  <si>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</si>
  <si>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</si>
  <si>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</si>
  <si>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</si>
  <si>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</si>
  <si>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</si>
  <si>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</si>
  <si>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</si>
  <si>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</si>
  <si>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</si>
  <si>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</si>
  <si>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</si>
  <si>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</si>
  <si>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</si>
  <si>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</si>
  <si>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</si>
  <si>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</si>
  <si>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</si>
  <si>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</si>
  <si>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</si>
  <si>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</si>
  <si>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</si>
  <si>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</si>
  <si>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</si>
  <si>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</si>
  <si>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</si>
  <si>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</si>
  <si>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</si>
  <si>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</si>
  <si>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</si>
  <si>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</si>
  <si>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</si>
  <si>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</si>
  <si>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</si>
  <si>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</si>
  <si>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</si>
  <si>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</si>
  <si>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</si>
  <si>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</si>
  <si>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</si>
  <si>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</si>
  <si>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</si>
  <si>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</si>
  <si>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</si>
  <si>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</si>
  <si>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</si>
  <si>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</si>
  <si>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</si>
  <si>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</si>
  <si>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</si>
  <si>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</si>
  <si>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</si>
  <si>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</si>
  <si>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</si>
  <si>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</si>
  <si>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</si>
  <si>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</si>
  <si>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</si>
  <si>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</si>
  <si>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</si>
  <si>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</si>
  <si>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</si>
  <si>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</si>
  <si>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</si>
  <si>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</si>
  <si>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</si>
  <si>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</si>
  <si>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</si>
  <si>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</si>
  <si>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</si>
  <si>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</si>
  <si>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</si>
  <si>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</si>
  <si>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</si>
  <si>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</si>
  <si>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</si>
  <si>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</si>
  <si>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</si>
  <si>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</si>
  <si>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</si>
  <si>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</si>
  <si>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</si>
  <si>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</si>
  <si>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</si>
  <si>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</si>
  <si>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</si>
  <si>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</si>
  <si>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</si>
  <si>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</si>
  <si>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</si>
  <si>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</si>
  <si>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</si>
  <si>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</si>
  <si>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</si>
  <si>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</si>
  <si>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</si>
  <si>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</si>
  <si>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ALEJANDRO MOLINA- MILITAR SAHARA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</si>
</sst>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180975</xdr:colOff>
      <xdr:row>0</xdr:row>
      <xdr:rowOff>323850</xdr:rowOff>
    </xdr:from>
    <xdr:to>
      <xdr:col>24</xdr:col>
      <xdr:colOff>336455</xdr:colOff>
      <xdr:row>4</xdr:row>
      <xdr:rowOff>276520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AA4845-C89F-4E28-6B7F-8189F02E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8150" y="323850"/>
          <a:ext cx="1898555" cy="1333795"/>
        </a:xfrm>
        <a:prstGeom prst="rect">
          <a:avLst/>
        </a:prstGeom>
      </xdr:spPr>
    </xdr:pic>
    <xdr:clientData/>
  </xdr:twoCellAnchor>
  <xdr:twoCellAnchor editAs="oneCell">
    <xdr:from>
      <xdr:col>20</xdr:col>
      <xdr:colOff>38101</xdr:colOff>
      <xdr:row>0</xdr:row>
      <xdr:rowOff>66676</xdr:rowOff>
    </xdr:from>
    <xdr:to>
      <xdr:col>24</xdr:col>
      <xdr:colOff>485776</xdr:colOff>
      <xdr:row>6</xdr:row>
      <xdr:rowOff>250330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82C36D6-5614-4D9F-BF10-E63F8596E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5276" y="66676"/>
          <a:ext cx="2190750" cy="1955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23" sqref="Q23:R23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JV3004-2</v>
      </c>
      <c r="G1" s="333"/>
      <c r="H1" s="334"/>
      <c r="I1" s="347" t="s">
        <v>1</v>
      </c>
      <c r="J1" s="348"/>
      <c r="K1" s="232">
        <v>2</v>
      </c>
      <c r="L1" s="321" t="s">
        <v>2</v>
      </c>
      <c r="M1" s="349"/>
      <c r="N1" s="349"/>
      <c r="O1" s="350">
        <v>45777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1367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>
        <f>IF(E2="","",INDEX(Listas!H2:I30,MATCH('Soli_citud '!E2,Intructores,0),2))</f>
        <v>71639999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2908248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1321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51812.658809523804</v>
      </c>
      <c r="E5" s="387"/>
      <c r="F5" s="388"/>
      <c r="G5" s="364" t="s">
        <v>16</v>
      </c>
      <c r="H5" s="389"/>
      <c r="I5" s="389"/>
      <c r="J5" s="365"/>
      <c r="K5" s="328">
        <v>1</v>
      </c>
      <c r="L5" s="328"/>
      <c r="M5" s="329" t="s">
        <v>17</v>
      </c>
      <c r="N5" s="329"/>
      <c r="O5" s="325">
        <f>IFERROR(IF(K5=0,"",D5*K5),"")</f>
        <v>51812.658809523804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1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 t="s">
        <v>37</v>
      </c>
      <c r="B10" s="299"/>
      <c r="C10" s="300"/>
      <c r="D10" s="390" t="s">
        <v>474</v>
      </c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>dm2</v>
      </c>
      <c r="P10" s="305"/>
      <c r="Q10" s="306">
        <v>43</v>
      </c>
      <c r="R10" s="307"/>
      <c r="S10" s="308">
        <f>IFERROR(IF(Q10="Unidad","1",(Q10*$K$5)),"")</f>
        <v>43</v>
      </c>
      <c r="T10" s="309"/>
      <c r="U10" s="310"/>
      <c r="V10" s="393"/>
      <c r="W10" s="311">
        <f>IFERROR(IF(D10="","",INDEX(Tabla_Completa,MATCH('Soli_citud '!D10,Materiales,0),7)*S10),"")</f>
        <v>38633.35</v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50</v>
      </c>
      <c r="B11" s="299"/>
      <c r="C11" s="300"/>
      <c r="D11" s="390" t="s">
        <v>902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4532</v>
      </c>
      <c r="R11" s="307"/>
      <c r="S11" s="308">
        <f t="shared" ref="S11:S31" si="1">IFERROR(IF(Q11="Unidad","1",(Q11*$K$5)),"")</f>
        <v>4532</v>
      </c>
      <c r="T11" s="309"/>
      <c r="U11" s="310"/>
      <c r="V11" s="310"/>
      <c r="W11" s="311">
        <f>IFERROR(IF(D11="","",INDEX(Tabla_Completa,MATCH('Soli_citud '!D11,Materiales,0),7)*S11),"")</f>
        <v>9069.1794285714295</v>
      </c>
      <c r="X11" s="311"/>
      <c r="Y11" s="311"/>
    </row>
    <row r="12" spans="1:31" ht="15.75" customHeight="1">
      <c r="A12" s="298" t="s">
        <v>50</v>
      </c>
      <c r="B12" s="299"/>
      <c r="C12" s="300"/>
      <c r="D12" s="394" t="s">
        <v>911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cm2</v>
      </c>
      <c r="P12" s="305"/>
      <c r="Q12" s="306">
        <v>1462</v>
      </c>
      <c r="R12" s="307"/>
      <c r="S12" s="308">
        <f t="shared" si="1"/>
        <v>1462</v>
      </c>
      <c r="T12" s="309"/>
      <c r="U12" s="310"/>
      <c r="V12" s="310"/>
      <c r="W12" s="311">
        <f>IFERROR(IF(D12="","",INDEX(Tabla_Completa,MATCH('Soli_citud '!D12,Materiales,0),7)*S12),"")</f>
        <v>1385.6627142857142</v>
      </c>
      <c r="X12" s="311"/>
      <c r="Y12" s="311"/>
    </row>
    <row r="13" spans="1:31" ht="15.75" customHeight="1">
      <c r="A13" s="298" t="s">
        <v>232</v>
      </c>
      <c r="B13" s="299"/>
      <c r="C13" s="300"/>
      <c r="D13" s="390" t="s">
        <v>331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cm2</v>
      </c>
      <c r="P13" s="305"/>
      <c r="Q13" s="306">
        <v>266</v>
      </c>
      <c r="R13" s="307"/>
      <c r="S13" s="308">
        <f t="shared" si="1"/>
        <v>266</v>
      </c>
      <c r="T13" s="309"/>
      <c r="U13" s="310"/>
      <c r="V13" s="310"/>
      <c r="W13" s="311">
        <f>IFERROR(IF(D13="","",INDEX(Tabla_Completa,MATCH('Soli_citud '!D13,Materiales,0),7)*S13),"")</f>
        <v>372.4</v>
      </c>
      <c r="X13" s="311"/>
      <c r="Y13" s="311"/>
    </row>
    <row r="14" spans="1:31" ht="17.25" customHeight="1">
      <c r="A14" s="298" t="s">
        <v>232</v>
      </c>
      <c r="B14" s="299"/>
      <c r="C14" s="300"/>
      <c r="D14" s="390" t="s">
        <v>332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cm2</v>
      </c>
      <c r="P14" s="305"/>
      <c r="Q14" s="306">
        <v>107</v>
      </c>
      <c r="R14" s="307"/>
      <c r="S14" s="308">
        <f t="shared" si="1"/>
        <v>107</v>
      </c>
      <c r="T14" s="309"/>
      <c r="U14" s="310"/>
      <c r="V14" s="310"/>
      <c r="W14" s="311">
        <f>IFERROR(IF(D14="","",INDEX(Tabla_Completa,MATCH('Soli_citud '!D14,Materiales,0),7)*S14),"")</f>
        <v>107</v>
      </c>
      <c r="X14" s="311"/>
      <c r="Y14" s="311"/>
    </row>
    <row r="15" spans="1:31" ht="15.75" customHeight="1">
      <c r="A15" s="298" t="s">
        <v>232</v>
      </c>
      <c r="B15" s="299"/>
      <c r="C15" s="300"/>
      <c r="D15" s="390" t="s">
        <v>287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Par</v>
      </c>
      <c r="P15" s="305"/>
      <c r="Q15" s="306"/>
      <c r="R15" s="307"/>
      <c r="S15" s="308">
        <f t="shared" si="1"/>
        <v>0</v>
      </c>
      <c r="T15" s="309"/>
      <c r="U15" s="310"/>
      <c r="V15" s="310"/>
      <c r="W15" s="311">
        <f>IFERROR(IF(D15="","",INDEX(Tabla_Completa,MATCH('Soli_citud '!D15,Materiales,0),7)*S15),"")</f>
        <v>0</v>
      </c>
      <c r="X15" s="311"/>
      <c r="Y15" s="311"/>
    </row>
    <row r="16" spans="1:31" ht="15.75" customHeight="1">
      <c r="A16" s="298" t="s">
        <v>232</v>
      </c>
      <c r="B16" s="299"/>
      <c r="C16" s="300"/>
      <c r="D16" s="390" t="s">
        <v>318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cm</v>
      </c>
      <c r="P16" s="305"/>
      <c r="Q16" s="306">
        <v>80</v>
      </c>
      <c r="R16" s="307"/>
      <c r="S16" s="308">
        <f t="shared" si="1"/>
        <v>80</v>
      </c>
      <c r="T16" s="309"/>
      <c r="U16" s="310"/>
      <c r="V16" s="310"/>
      <c r="W16" s="311">
        <f>IFERROR(IF(D16="","",INDEX(Tabla_Completa,MATCH('Soli_citud '!D16,Materiales,0),7)*S16),"")</f>
        <v>978.40000000000009</v>
      </c>
      <c r="X16" s="311"/>
      <c r="Y16" s="311"/>
    </row>
    <row r="17" spans="1:25" ht="15.75" customHeight="1">
      <c r="A17" s="298" t="s">
        <v>52</v>
      </c>
      <c r="B17" s="299"/>
      <c r="C17" s="300"/>
      <c r="D17" s="390" t="s">
        <v>991</v>
      </c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>Par</v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 t="s">
        <v>40</v>
      </c>
      <c r="B18" s="299"/>
      <c r="C18" s="300"/>
      <c r="D18" s="390" t="s">
        <v>713</v>
      </c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>U</v>
      </c>
      <c r="P18" s="305"/>
      <c r="Q18" s="306">
        <v>1</v>
      </c>
      <c r="R18" s="307"/>
      <c r="S18" s="308">
        <f t="shared" si="1"/>
        <v>1</v>
      </c>
      <c r="T18" s="309"/>
      <c r="U18" s="310"/>
      <c r="V18" s="310"/>
      <c r="W18" s="311">
        <f>IFERROR(IF(D18="","",INDEX(Tabla_Completa,MATCH('Soli_citud '!D18,Materiales,0),7)*S18),"")</f>
        <v>1266.6666666666667</v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C1" sqref="C1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45777</v>
      </c>
      <c r="O1" s="489"/>
      <c r="P1" s="427" t="s">
        <v>55</v>
      </c>
      <c r="Q1" s="428"/>
      <c r="R1" s="433" t="str">
        <f>IF('Soli_citud '!D4="","",'Soli_citud '!D4)</f>
        <v>ALEJANDRO MOLINA- MILITAR SAHARA 1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JV3004-2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2908248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Calzado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51812.658809523804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Juan Villa Salazar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JV3004-2</v>
      </c>
      <c r="C12" s="407" t="str">
        <f>IFERROR(IF('Soli_citud '!D10="","",'Soli_citud '!D10),"")</f>
        <v>NAPPA</v>
      </c>
      <c r="D12" s="407"/>
      <c r="E12" s="407"/>
      <c r="F12" s="407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43</v>
      </c>
      <c r="I12" s="214"/>
      <c r="J12" s="215"/>
      <c r="K12" s="197" cm="1">
        <f t="array" ref="K12">IFERROR(_xlfn.IFS(H12="","",J12=H12,"Cumplido",J12&lt;H12,H12-J12,J12&gt;H12,"Revisar"),"")</f>
        <v>43</v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JV3004-2</v>
      </c>
      <c r="C13" s="407" t="str">
        <f>IFERROR(IF('Soli_citud '!D11="","",'Soli_citud '!D11),"")</f>
        <v>FORRO  PIQUET</v>
      </c>
      <c r="D13" s="407"/>
      <c r="E13" s="407"/>
      <c r="F13" s="407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4532</v>
      </c>
      <c r="I13" s="214"/>
      <c r="J13" s="216"/>
      <c r="K13" s="197" cm="1">
        <f t="array" ref="K13">IFERROR(_xlfn.IFS(H13="","",J13=H13,"Cumplido",J13&lt;H13,H13-J13,J13&gt;H13,"Revisar"),"")</f>
        <v>4532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JV3004-2</v>
      </c>
      <c r="C14" s="407" t="str">
        <f>IFERROR(IF('Soli_citud '!D12="","",'Soli_citud '!D12),"")</f>
        <v>MALLA FABRICS</v>
      </c>
      <c r="D14" s="407"/>
      <c r="E14" s="407"/>
      <c r="F14" s="407"/>
      <c r="G14" s="213" t="str">
        <f>IF('Soli_citud '!O12="","",'Soli_citud '!O12)</f>
        <v>cm2</v>
      </c>
      <c r="H14" s="213" cm="1">
        <f t="array" ref="H14">_xlfn.IFS('Soli_citud '!S12="","",'Soli_citud '!S12&lt;=0,"",'Soli_citud '!S12&gt;0,'Soli_citud '!S12)</f>
        <v>1462</v>
      </c>
      <c r="I14" s="214"/>
      <c r="J14" s="216"/>
      <c r="K14" s="197" cm="1">
        <f t="array" ref="K14">IFERROR(_xlfn.IFS(H14="","",J14=H14,"Cumplido",J14&lt;H14,H14-J14,J14&gt;H14,"Revisar"),"")</f>
        <v>1462</v>
      </c>
      <c r="L14" s="408"/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JV3004-2</v>
      </c>
      <c r="C15" s="407" t="str">
        <f>IFERROR(IF('Soli_citud '!D13="","",'Soli_citud '!D13),"")</f>
        <v>ESPUMA MULTIFORM DENSIDAD 40 DE 10 mm</v>
      </c>
      <c r="D15" s="407"/>
      <c r="E15" s="407"/>
      <c r="F15" s="407"/>
      <c r="G15" s="213" t="str">
        <f>IF('Soli_citud '!O13="","",'Soli_citud '!O13)</f>
        <v>cm2</v>
      </c>
      <c r="H15" s="213" cm="1">
        <f t="array" ref="H15">_xlfn.IFS('Soli_citud '!S13="","",'Soli_citud '!S13&lt;=0,"",'Soli_citud '!S13&gt;0,'Soli_citud '!S13)</f>
        <v>266</v>
      </c>
      <c r="I15" s="214"/>
      <c r="J15" s="216"/>
      <c r="K15" s="197" cm="1">
        <f t="array" ref="K15">IFERROR(_xlfn.IFS(H15="","",J15=H15,"Cumplido",J15&lt;H15,H15-J15,J15&gt;H15,"Revisar"),"")</f>
        <v>266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JV3004-2</v>
      </c>
      <c r="C16" s="407" t="str">
        <f>IFERROR(IF('Soli_citud '!D14="","",'Soli_citud '!D14),"")</f>
        <v>ESPUMA MULTIFORM DENSIDAD 40 DE 5 mm</v>
      </c>
      <c r="D16" s="407"/>
      <c r="E16" s="407"/>
      <c r="F16" s="407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107</v>
      </c>
      <c r="I16" s="214"/>
      <c r="J16" s="216"/>
      <c r="K16" s="197" cm="1">
        <f t="array" ref="K16">IFERROR(_xlfn.IFS(H16="","",J16=H16,"Cumplido",J16&lt;H16,H16-J16,J16&gt;H16,"Revisar"),"")</f>
        <v>107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07" t="str">
        <f>IFERROR(IF('Soli_citud '!D15="","",'Soli_citud '!D15),"")</f>
        <v>Cordon REDONDO  CAFÉ 150cm</v>
      </c>
      <c r="D17" s="407"/>
      <c r="E17" s="407"/>
      <c r="F17" s="407"/>
      <c r="G17" s="213" t="str">
        <f>IF('Soli_citud '!O15="","",'Soli_citud '!O15)</f>
        <v>Par</v>
      </c>
      <c r="H17" s="213" t="str" cm="1">
        <f t="array" ref="H17">_xlfn.IFS('Soli_citud '!S15="","",'Soli_citud '!S15&lt;=0,"",'Soli_citud '!S15&gt;0,'Soli_citud '!S15)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JV3004-2</v>
      </c>
      <c r="C18" s="407" t="str">
        <f>IFERROR(IF('Soli_citud '!D16="","",'Soli_citud '!D16),"")</f>
        <v>CREMALLERA POLIÉSTER #6</v>
      </c>
      <c r="D18" s="407"/>
      <c r="E18" s="407"/>
      <c r="F18" s="407"/>
      <c r="G18" s="213" t="str">
        <f>IF('Soli_citud '!O16="","",'Soli_citud '!O16)</f>
        <v>cm</v>
      </c>
      <c r="H18" s="213" cm="1">
        <f t="array" ref="H18">_xlfn.IFS('Soli_citud '!S16="","",'Soli_citud '!S16&lt;=0,"",'Soli_citud '!S16&gt;0,'Soli_citud '!S16)</f>
        <v>80</v>
      </c>
      <c r="I18" s="214"/>
      <c r="J18" s="216"/>
      <c r="K18" s="197" cm="1">
        <f t="array" ref="K18">IFERROR(_xlfn.IFS(H18="","",J18=H18,"Cumplido",J18&lt;H18,H18-J18,J18&gt;H18,"Revisar"),"")</f>
        <v>80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>SUELA HOMBRE  ESPANSO SALOMON NEGRO</v>
      </c>
      <c r="D19" s="407"/>
      <c r="E19" s="407"/>
      <c r="F19" s="407"/>
      <c r="G19" s="213" t="str">
        <f>IF('Soli_citud '!O17="","",'Soli_citud '!O17)</f>
        <v>Par</v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JV3004-2</v>
      </c>
      <c r="C20" s="407" t="str">
        <f>IFERROR(IF('Soli_citud '!D18="","",'Soli_citud '!D18),"")</f>
        <v>LLAVE METÁLICA DE LUJO DESLIZADOR   #6 PARA CREMALLERA - PAVÓN</v>
      </c>
      <c r="D20" s="407"/>
      <c r="E20" s="407"/>
      <c r="F20" s="407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1</v>
      </c>
      <c r="I20" s="214"/>
      <c r="J20" s="216"/>
      <c r="K20" s="197" cm="1">
        <f t="array" ref="K20">IFERROR(_xlfn.IFS(H20="","",J20=H20,"Cumplido",J20&lt;H20,H20-J20,J20&gt;H20,"Revisar"),"")</f>
        <v>1</v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2025-04-30T15:43:23Z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