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ADRIANA POSADA\FICHA 2919415 BOLSA TIPO GIRO\"/>
    </mc:Choice>
  </mc:AlternateContent>
  <xr:revisionPtr revIDLastSave="0" documentId="13_ncr:1_{EFEC3DA0-4CC2-4F44-8D7B-0590F814E379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/>
  <c r="P15" i="61" a="1"/>
  <c r="P15" i="61"/>
  <c r="P16" i="61" a="1"/>
  <c r="P16" i="61"/>
  <c r="P17" i="61" a="1"/>
  <c r="P17" i="6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9" i="43" l="1"/>
  <c r="W13" i="43"/>
  <c r="W17" i="43"/>
  <c r="D5" i="43" s="1"/>
  <c r="O5" i="43" s="1"/>
  <c r="B13" i="61"/>
  <c r="K13" i="61" a="1"/>
  <c r="K13" i="61" s="1"/>
  <c r="O13" i="61"/>
  <c r="K26" i="61" a="1"/>
  <c r="K26" i="61" s="1"/>
  <c r="O26" i="61"/>
  <c r="B26" i="61"/>
  <c r="K14" i="61" a="1"/>
  <c r="K14" i="61" s="1"/>
  <c r="O14" i="61"/>
  <c r="B14" i="61"/>
  <c r="K32" i="61" a="1"/>
  <c r="K32" i="61" s="1"/>
  <c r="O32" i="61"/>
  <c r="B32" i="61"/>
  <c r="K25" i="61" a="1"/>
  <c r="K25" i="61" s="1"/>
  <c r="B25" i="61"/>
  <c r="O25" i="61"/>
  <c r="K22" i="61" a="1"/>
  <c r="K22" i="61" s="1"/>
  <c r="O22" i="61"/>
  <c r="B22" i="61"/>
  <c r="B19" i="61"/>
  <c r="O19" i="61"/>
  <c r="K19" i="61" a="1"/>
  <c r="K19" i="61" s="1"/>
  <c r="K16" i="61" a="1"/>
  <c r="K16" i="61" s="1"/>
  <c r="O16" i="61"/>
  <c r="B16" i="61"/>
  <c r="O28" i="61"/>
  <c r="B28" i="61"/>
  <c r="K28" i="61" a="1"/>
  <c r="K28" i="61" s="1"/>
  <c r="K18" i="61" a="1"/>
  <c r="K18" i="61" s="1"/>
  <c r="O18" i="61"/>
  <c r="B18" i="61"/>
  <c r="K15" i="61" a="1"/>
  <c r="K15" i="61" s="1"/>
  <c r="O15" i="61"/>
  <c r="B15" i="61"/>
  <c r="K31" i="61" a="1"/>
  <c r="K31" i="61" s="1"/>
  <c r="O31" i="61"/>
  <c r="B31" i="61"/>
  <c r="K21" i="61" a="1"/>
  <c r="K21" i="61" s="1"/>
  <c r="B21" i="61"/>
  <c r="O21" i="61"/>
  <c r="K30" i="61" a="1"/>
  <c r="K30" i="61" s="1"/>
  <c r="B30" i="61"/>
  <c r="O30" i="61"/>
  <c r="K27" i="61" a="1"/>
  <c r="K27" i="61" s="1"/>
  <c r="O27" i="61"/>
  <c r="B27" i="61"/>
  <c r="K24" i="61" a="1"/>
  <c r="K24" i="61" s="1"/>
  <c r="O24" i="61"/>
  <c r="B24" i="61"/>
  <c r="K17" i="61" a="1"/>
  <c r="K17" i="61" s="1"/>
  <c r="B17" i="61"/>
  <c r="O17" i="61"/>
  <c r="B29" i="61"/>
  <c r="K29" i="61" a="1"/>
  <c r="K29" i="61" s="1"/>
  <c r="O29" i="61"/>
  <c r="K23" i="61" a="1"/>
  <c r="K23" i="61" s="1"/>
  <c r="O23" i="61"/>
  <c r="B23" i="61"/>
  <c r="O20" i="61"/>
  <c r="K20" i="61" a="1"/>
  <c r="K20" i="61" s="1"/>
  <c r="B20" i="61"/>
  <c r="B12" i="61"/>
  <c r="O12" i="61"/>
  <c r="K12" i="61" a="1"/>
  <c r="K12" i="61" s="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<sst xmlns="http://schemas.openxmlformats.org/spreadsheetml/2006/main" count="5030" uniqueCount="1399">
  <si>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</si>
  <si>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</si>
  <si>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</si>
  <si>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</si>
  <si>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</si>
  <si>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</si>
  <si>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</si>
  <si>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</si>
  <si>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</si>
  <si>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</si>
  <si>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</si>
  <si>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</si>
  <si>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</si>
  <si>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</si>
  <si>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</si>
  <si>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</si>
  <si>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</si>
  <si>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</si>
  <si>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</si>
  <si>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</si>
  <si>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</si>
  <si>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</si>
  <si>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</si>
  <si>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</si>
  <si>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</si>
  <si>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</si>
  <si>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</si>
  <si>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</si>
  <si>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</si>
  <si>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</si>
  <si>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</si>
  <si>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</si>
  <si>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</si>
  <si>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</si>
  <si>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</si>
  <si>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</si>
  <si>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</si>
  <si>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</si>
  <si>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</si>
  <si>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</si>
  <si>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</si>
  <si>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</si>
  <si>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</si>
  <si>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</si>
  <si>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</si>
  <si>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</si>
  <si>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</si>
  <si>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</si>
  <si>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</si>
  <si>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</si>
  <si>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</si>
  <si>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</si>
  <si>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</si>
  <si>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</si>
  <si>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</si>
  <si>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</si>
  <si>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</si>
  <si>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</si>
  <si>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</si>
  <si>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</si>
  <si>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</si>
  <si>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</si>
  <si>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</si>
  <si>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</si>
  <si>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</si>
  <si>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</si>
  <si>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</si>
  <si>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</si>
  <si>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</si>
  <si>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</si>
  <si>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</si>
  <si>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</si>
  <si>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</si>
  <si>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</si>
  <si>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</si>
  <si>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</si>
  <si>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</si>
  <si>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</si>
  <si>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</si>
  <si>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</si>
  <si>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</si>
  <si>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</si>
  <si>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</si>
  <si>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</si>
  <si>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</si>
  <si>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</si>
  <si>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</si>
  <si>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</si>
  <si>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</si>
  <si>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</si>
  <si>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</si>
  <si>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</si>
  <si>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</si>
  <si>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</si>
  <si>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</si>
  <si>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</si>
  <si>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</si>
  <si>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</si>
  <si>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</si>
  <si>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</si>
  <si>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</si>
  <si>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</si>
  <si>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</si>
  <si>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</si>
  <si>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</si>
  <si>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</si>
  <si>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</si>
  <si>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</si>
  <si>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</si>
  <si>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</si>
  <si>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</si>
  <si>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</si>
  <si>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</si>
  <si>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</si>
  <si>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</si>
  <si>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</si>
  <si>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</si>
  <si>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</si>
  <si>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</si>
  <si>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</si>
  <si>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</si>
  <si>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</si>
  <si>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</si>
  <si>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</si>
  <si>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</si>
  <si>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</si>
  <si>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</si>
  <si>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</si>
  <si>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</si>
  <si>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</si>
  <si>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</si>
  <si>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</si>
  <si>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</si>
  <si>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</si>
  <si>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</si>
  <si>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</si>
  <si>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</si>
  <si>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</si>
  <si>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</si>
  <si>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</si>
  <si>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</si>
  <si>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</si>
  <si>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</si>
  <si>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</si>
  <si>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</si>
  <si>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</si>
  <si>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</si>
  <si>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</si>
  <si>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</si>
  <si>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</si>
  <si>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</si>
  <si>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</si>
  <si>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</si>
  <si>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</si>
  <si>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</si>
  <si>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</si>
  <si>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</si>
  <si>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</si>
  <si>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</si>
  <si>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</si>
  <si>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</si>
  <si>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</si>
  <si>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</si>
  <si>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</si>
  <si>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</si>
  <si>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</si>
  <si>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</si>
  <si>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</si>
  <si>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</si>
  <si>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</si>
  <si>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</si>
  <si>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</si>
  <si>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</si>
  <si>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</si>
  <si>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</si>
  <si>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</si>
  <si>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</si>
  <si>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</si>
  <si>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</si>
  <si>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</si>
  <si>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</si>
  <si>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</si>
  <si>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</si>
  <si>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</si>
  <si>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</si>
  <si>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</si>
  <si>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</si>
  <si>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</si>
  <si>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</si>
  <si>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</si>
  <si>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</si>
  <si>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</si>
  <si>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</si>
  <si>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</si>
  <si>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</si>
  <si>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</si>
  <si>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</si>
  <si>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</si>
  <si>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</si>
  <si>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</si>
  <si>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</si>
  <si>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</si>
  <si>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</si>
  <si>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</si>
  <si>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</si>
  <si>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</si>
  <si>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</si>
  <si>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</si>
  <si>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</si>
  <si>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</si>
  <si>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</si>
  <si>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</si>
  <si>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</si>
  <si>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</si>
  <si>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</si>
  <si>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</si>
  <si>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</si>
  <si>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</si>
  <si>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</si>
  <si>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</si>
  <si>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</si>
  <si>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</si>
  <si>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</si>
  <si>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</si>
  <si>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</si>
  <si>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</si>
  <si>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</si>
  <si>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</si>
  <si>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</si>
  <si>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</si>
  <si>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</si>
  <si>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</si>
  <si>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</si>
  <si>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</si>
  <si>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</si>
  <si>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</si>
  <si>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</si>
  <si>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</si>
  <si>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</si>
  <si>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</si>
  <si>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</si>
  <si>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</si>
  <si>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</si>
  <si>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</si>
  <si>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</si>
  <si>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</si>
  <si>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</si>
  <si>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</si>
  <si>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</si>
  <si>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</si>
  <si>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</si>
  <si>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</si>
  <si>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</si>
  <si>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</si>
  <si>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</si>
  <si>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</si>
  <si>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</si>
  <si>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</si>
  <si>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</si>
  <si>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</si>
  <si>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</si>
  <si>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</si>
  <si>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</si>
  <si>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</si>
  <si>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</si>
  <si>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</si>
  <si>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</si>
  <si>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</si>
  <si>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</si>
  <si>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</si>
  <si>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</si>
  <si>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</si>
  <si>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</si>
  <si>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</si>
  <si>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</si>
  <si>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</si>
  <si>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</si>
  <si>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</si>
  <si>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</si>
  <si>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</si>
  <si>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</si>
  <si>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</si>
  <si>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</si>
  <si>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</si>
  <si>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</si>
  <si>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</si>
  <si>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</si>
  <si>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</si>
  <si>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</si>
  <si>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</si>
  <si>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</si>
  <si>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</si>
  <si>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</si>
  <si>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</si>
  <si>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</si>
  <si>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</si>
  <si>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</si>
  <si>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</si>
  <si>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</si>
  <si>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</si>
  <si>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</si>
  <si>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</si>
  <si>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</si>
  <si>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</si>
  <si>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</si>
  <si>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</si>
  <si>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</si>
  <si>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</si>
  <si>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</si>
  <si>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</si>
  <si>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</si>
  <si>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</si>
  <si>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</si>
  <si>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</si>
  <si>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</si>
  <si>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</si>
  <si>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</si>
  <si>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</si>
  <si>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</si>
  <si>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</si>
  <si>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</si>
  <si>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</si>
  <si>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</si>
  <si>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</si>
  <si>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</si>
  <si>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</si>
  <si>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</si>
  <si>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</si>
  <si>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</si>
  <si>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</si>
  <si>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</si>
  <si>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</si>
  <si>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</si>
  <si>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</si>
  <si>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</si>
  <si>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</si>
  <si>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</si>
  <si>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</si>
  <si>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</si>
  <si>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</si>
  <si>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</si>
  <si>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</si>
  <si>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</si>
  <si>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</si>
  <si>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</si>
  <si>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</si>
  <si>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</si>
  <si>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</si>
  <si>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</si>
  <si>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</si>
  <si>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</si>
  <si>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</si>
  <si>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</si>
  <si>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</si>
  <si>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</si>
  <si>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</si>
  <si>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</si>
  <si>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</si>
  <si>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</si>
  <si>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</si>
  <si>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</si>
  <si>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</si>
  <si>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</si>
  <si>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</si>
  <si>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</si>
  <si>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</si>
  <si>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</si>
  <si>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</si>
  <si>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</si>
  <si>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</si>
  <si>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</si>
  <si>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</si>
  <si>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</si>
  <si>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</si>
  <si>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</si>
  <si>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</si>
  <si>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</si>
  <si>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</si>
  <si>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</si>
  <si>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</si>
  <si>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</si>
  <si>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</si>
  <si>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</si>
  <si>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</si>
  <si>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</si>
  <si>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</si>
  <si>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</si>
  <si>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</si>
  <si>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</si>
  <si>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</si>
  <si>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</si>
  <si>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</si>
  <si>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</si>
  <si>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</si>
  <si>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</si>
  <si>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</si>
  <si>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</si>
  <si>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</si>
  <si>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</si>
  <si>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</si>
  <si>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</si>
  <si>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</si>
  <si>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</si>
  <si>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</si>
  <si>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</si>
  <si>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</si>
  <si>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</si>
  <si>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</si>
  <si>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</si>
  <si>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</si>
  <si>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</si>
  <si>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</si>
  <si>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</si>
  <si>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</si>
  <si>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</si>
  <si>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</si>
  <si>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</si>
  <si>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</si>
  <si>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</si>
  <si>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</si>
  <si>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</si>
  <si>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</si>
  <si>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</si>
  <si>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</si>
  <si>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</si>
  <si>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</si>
  <si>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</si>
  <si>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</si>
  <si>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</si>
  <si>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</si>
  <si>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</si>
  <si>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</si>
  <si>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</si>
  <si>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</si>
  <si>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</si>
  <si>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</si>
  <si>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</si>
  <si>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</si>
  <si>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</si>
  <si>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</si>
  <si>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</si>
  <si>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</si>
  <si>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</si>
  <si>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</si>
  <si>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</si>
  <si>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</si>
  <si>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</si>
  <si>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</si>
  <si>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</si>
  <si>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</si>
  <si>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</si>
  <si>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</si>
  <si>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</si>
  <si>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</si>
  <si>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</si>
  <si>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</si>
  <si>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</si>
  <si>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</si>
  <si>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</si>
  <si>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</si>
  <si>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</si>
  <si>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</si>
  <si>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</si>
  <si>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</si>
  <si>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</si>
  <si>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</si>
  <si>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</si>
  <si>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</si>
  <si>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</si>
  <si>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</si>
  <si>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</si>
  <si>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</si>
  <si>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</si>
  <si>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</si>
  <si>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</si>
  <si>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</si>
  <si>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</si>
  <si>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</si>
  <si>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</si>
  <si>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</si>
  <si>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</si>
  <si>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</si>
  <si>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</si>
  <si>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</si>
  <si>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</si>
  <si>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</si>
  <si>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</si>
  <si>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</si>
  <si>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</si>
  <si>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</si>
  <si>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</si>
  <si>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</si>
  <si>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</si>
  <si>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</si>
  <si>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</si>
  <si>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</si>
  <si>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</si>
  <si>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</si>
  <si>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</si>
  <si>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</si>
  <si>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</si>
  <si>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</si>
  <si>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</si>
  <si>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</si>
  <si>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</si>
  <si>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</si>
  <si>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</si>
  <si>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</si>
  <si>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</si>
  <si>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</si>
  <si>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</si>
  <si>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</si>
  <si>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</si>
  <si>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</si>
  <si>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</si>
  <si>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</si>
  <si>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</si>
  <si>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</si>
  <si>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</si>
  <si>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</si>
  <si>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</si>
  <si>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</si>
  <si>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</si>
  <si>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</si>
  <si>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</si>
  <si>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</si>
  <si>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</si>
  <si>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</si>
  <si>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</si>
  <si>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</si>
  <si>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</si>
  <si>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</si>
  <si>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</si>
  <si>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</si>
  <si>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</si>
  <si>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</si>
  <si>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</si>
  <si>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</si>
  <si>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</si>
  <si>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</si>
  <si>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</si>
  <si>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</si>
  <si>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</si>
  <si>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</si>
  <si>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</si>
  <si>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</si>
  <si>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</si>
  <si>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</si>
  <si>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</si>
  <si>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</si>
  <si>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</si>
  <si>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</si>
  <si>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</si>
  <si>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</si>
  <si>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</si>
  <si>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</si>
  <si>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</si>
  <si>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</si>
  <si>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</si>
  <si>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</si>
  <si>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</si>
  <si>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</si>
  <si>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</si>
  <si>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</si>
  <si>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</si>
  <si>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</si>
  <si>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</si>
  <si>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</si>
  <si>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</si>
  <si>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</si>
  <si>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</si>
  <si>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</si>
  <si>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</si>
  <si>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</si>
  <si>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</si>
  <si>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</si>
  <si>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</si>
  <si>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</si>
  <si>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</si>
  <si>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</si>
  <si>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</si>
  <si>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</si>
  <si>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</si>
  <si>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</si>
  <si>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</si>
  <si>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</si>
  <si>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</si>
  <si>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</si>
  <si>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</si>
  <si>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</si>
  <si>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</si>
  <si>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</si>
  <si>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</si>
  <si>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</si>
  <si>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</si>
  <si>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</si>
  <si>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</si>
  <si>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</si>
  <si>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</si>
  <si>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</si>
  <si>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</si>
  <si>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</si>
  <si>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</si>
  <si>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</si>
  <si>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</si>
  <si>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</si>
  <si>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</si>
  <si>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</si>
  <si>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</si>
  <si>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</si>
  <si>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</si>
  <si>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</si>
  <si>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</si>
  <si>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</si>
  <si>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</si>
  <si>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</si>
  <si>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</si>
  <si>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</si>
  <si>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</si>
  <si>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</si>
  <si>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</si>
  <si>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</si>
  <si>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</si>
  <si>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</si>
  <si>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</si>
  <si>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</si>
  <si>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</si>
  <si>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</si>
  <si>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</si>
  <si>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</si>
  <si>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</si>
  <si>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</si>
  <si>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</si>
  <si>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</si>
  <si>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</si>
  <si>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</si>
  <si>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</si>
  <si>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</si>
  <si>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</si>
  <si>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</si>
  <si>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</si>
  <si>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</si>
  <si>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</si>
  <si>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</si>
  <si>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</si>
  <si>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</si>
  <si>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</si>
  <si>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</si>
  <si>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</si>
  <si>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</si>
  <si>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</si>
  <si>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</si>
  <si>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</si>
  <si>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</si>
  <si>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</si>
  <si>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</si>
  <si>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</si>
  <si>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</si>
  <si>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</si>
  <si>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</si>
  <si>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</si>
  <si>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</si>
  <si>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</si>
  <si>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</si>
  <si>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</si>
  <si>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</si>
  <si>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</si>
  <si>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</si>
  <si>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</si>
  <si>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</si>
  <si>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</si>
  <si>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</si>
  <si>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</si>
  <si>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</si>
  <si>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</si>
  <si>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</si>
  <si>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</si>
  <si>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</si>
  <si>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</si>
  <si>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</si>
  <si>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</si>
  <si>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</si>
  <si>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</si>
  <si>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</si>
  <si>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</si>
  <si>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</si>
  <si>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</si>
  <si>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</si>
  <si>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</si>
  <si>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</si>
  <si>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</si>
  <si>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</si>
  <si>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</si>
  <si>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</si>
  <si>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</si>
  <si>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</si>
  <si>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</si>
  <si>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</si>
  <si>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</si>
  <si>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</si>
  <si>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</si>
  <si>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</si>
  <si>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</si>
  <si>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</si>
  <si>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</si>
  <si>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</si>
  <si>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</si>
  <si>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</si>
  <si>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</si>
  <si>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</si>
  <si>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</si>
  <si>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</si>
  <si>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</si>
  <si>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</si>
  <si>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</si>
  <si>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</si>
  <si>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</si>
  <si>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</si>
  <si>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</si>
  <si>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</si>
  <si>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</si>
  <si>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</si>
  <si>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</si>
  <si>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</si>
  <si>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</si>
  <si>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</si>
  <si>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</si>
  <si>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</si>
  <si>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</si>
  <si>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</si>
  <si>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</si>
  <si>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</si>
  <si>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</si>
  <si>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</si>
  <si>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</si>
  <si>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</si>
  <si>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</si>
  <si>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</si>
  <si>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</si>
  <si>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</si>
  <si>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</si>
  <si>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</si>
  <si>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</si>
  <si>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</si>
  <si>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</si>
  <si>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</si>
  <si>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</si>
  <si>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</si>
  <si>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</si>
  <si>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</si>
  <si>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</si>
  <si>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</si>
  <si>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</si>
  <si>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</si>
  <si>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</si>
  <si>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</si>
  <si>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</si>
  <si>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</si>
  <si>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</si>
  <si>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</si>
  <si>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</si>
  <si>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</si>
  <si>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</si>
  <si>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</si>
  <si>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</si>
  <si>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</si>
  <si>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</si>
  <si>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</si>
  <si>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</si>
  <si>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</si>
  <si>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</si>
  <si>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</si>
  <si>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</si>
  <si>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</si>
  <si>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</si>
  <si>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</si>
  <si>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</si>
  <si>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</si>
  <si>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</si>
  <si>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</si>
  <si>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</si>
  <si>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</si>
  <si>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</si>
  <si>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</si>
  <si>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</si>
  <si>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</si>
  <si>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</si>
  <si>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</si>
  <si>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</si>
  <si>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</si>
  <si>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</si>
  <si>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</si>
  <si>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</si>
  <si>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</si>
  <si>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</si>
  <si>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</si>
  <si>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</si>
  <si>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</si>
  <si>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</si>
  <si>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</si>
  <si>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</si>
  <si>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</si>
  <si>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</si>
  <si>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</si>
  <si>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</si>
  <si>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</si>
  <si>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</si>
  <si>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</si>
  <si>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</si>
  <si>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</si>
  <si>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</si>
  <si>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</si>
  <si>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</si>
  <si>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</si>
  <si>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</si>
  <si>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</si>
  <si>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</si>
  <si>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</si>
  <si>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</si>
  <si>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</si>
  <si>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</si>
  <si>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</si>
  <si>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</si>
  <si>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</si>
  <si>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</si>
  <si>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</si>
  <si>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</si>
  <si>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</si>
  <si>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</si>
  <si>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</si>
  <si>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</si>
  <si>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</si>
  <si>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</si>
  <si>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</si>
  <si>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</si>
  <si>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</si>
  <si>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</si>
  <si>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</si>
  <si>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</si>
  <si>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</si>
  <si>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</si>
  <si>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</si>
  <si>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</si>
  <si>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</si>
  <si>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</si>
  <si>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</si>
  <si>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</si>
  <si>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</si>
  <si>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</si>
  <si>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</si>
  <si>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</si>
  <si>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</si>
  <si>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</si>
  <si>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</si>
  <si>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</si>
  <si>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</si>
  <si>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</si>
  <si>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</si>
  <si>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</si>
  <si>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</si>
  <si>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</si>
  <si>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</si>
  <si>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</si>
  <si>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</si>
  <si>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</si>
  <si>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</si>
  <si>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</si>
  <si>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</si>
  <si>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</si>
  <si>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</si>
  <si>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</si>
  <si>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</si>
  <si>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</si>
  <si>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</si>
  <si>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</si>
  <si>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</si>
  <si>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</si>
  <si>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</si>
  <si>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</si>
  <si>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</si>
  <si>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</si>
  <si>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</si>
  <si>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</si>
  <si>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</si>
  <si>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</si>
  <si>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</si>
  <si>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</si>
  <si>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</si>
  <si>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</si>
  <si>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</si>
  <si>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</si>
  <si>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</si>
  <si>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</si>
  <si>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</si>
  <si>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</si>
  <si>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</si>
  <si>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</si>
  <si>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</si>
  <si>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</si>
  <si>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</si>
  <si>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</si>
  <si>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</si>
  <si>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</si>
  <si>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</si>
  <si>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</si>
  <si>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</si>
  <si>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</si>
  <si>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</si>
  <si>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</si>
  <si>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</si>
  <si>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</si>
  <si>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</si>
  <si>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</si>
  <si>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</si>
  <si>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</si>
  <si>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</si>
  <si>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</si>
  <si>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</si>
  <si>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</si>
  <si>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</si>
  <si>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</si>
  <si>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</si>
  <si>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</si>
  <si>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</si>
  <si>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</si>
  <si>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</si>
  <si>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</si>
  <si>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</si>
  <si>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</si>
  <si>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</si>
  <si>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</si>
  <si>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</si>
  <si>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</si>
  <si>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</si>
  <si>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</si>
  <si>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</si>
  <si>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</si>
  <si>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</si>
  <si>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</si>
  <si>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</si>
  <si>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</si>
  <si>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</si>
  <si>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</si>
  <si>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</si>
  <si>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</si>
  <si>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</si>
  <si>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</si>
  <si>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</si>
  <si>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</si>
  <si>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</si>
  <si>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</si>
  <si>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</si>
  <si>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</si>
  <si>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</si>
  <si>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</si>
  <si>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</si>
  <si>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</si>
  <si>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</si>
  <si>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</si>
  <si>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</si>
  <si>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</si>
  <si>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</si>
  <si>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</si>
  <si>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</si>
  <si>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</si>
  <si>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</si>
  <si>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</si>
  <si>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</si>
  <si>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</si>
  <si>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</si>
  <si>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</si>
  <si>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</si>
  <si>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</si>
  <si>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</si>
  <si>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</si>
  <si>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</si>
  <si>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</si>
  <si>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</si>
  <si>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</si>
  <si>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</si>
  <si>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</si>
  <si>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</si>
  <si>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</si>
  <si>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</si>
  <si>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</si>
  <si>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</si>
  <si>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</si>
  <si>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</si>
  <si>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</si>
  <si>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</si>
  <si>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</si>
  <si>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</si>
  <si>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</si>
  <si>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</si>
  <si>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</si>
  <si>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</si>
  <si>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</si>
  <si>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</si>
  <si>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</si>
  <si>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</si>
  <si>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</si>
  <si>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</si>
  <si>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</si>
  <si>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</si>
  <si>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</si>
  <si>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</si>
  <si>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</si>
  <si>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</si>
  <si>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</si>
  <si>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</si>
  <si>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</si>
  <si>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</si>
  <si>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</si>
  <si>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</si>
  <si>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</si>
  <si>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</si>
  <si>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</si>
  <si>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</si>
  <si>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</si>
  <si>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</si>
  <si>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</si>
  <si>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</si>
  <si>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</si>
  <si>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</si>
  <si>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</si>
  <si>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</si>
  <si>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</si>
  <si>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</si>
  <si>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</si>
  <si>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</si>
  <si>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</si>
  <si>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</si>
  <si>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</si>
  <si>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</si>
  <si>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</si>
  <si>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</si>
  <si>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</si>
  <si>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</si>
  <si>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</si>
  <si>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</si>
  <si>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</si>
  <si>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</si>
  <si>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</si>
  <si>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</si>
  <si>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</si>
  <si>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</si>
  <si>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</si>
  <si>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</si>
  <si>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</si>
  <si>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</si>
  <si>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</si>
  <si>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</si>
  <si>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</si>
  <si>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</si>
  <si>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</si>
  <si>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</si>
  <si>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</si>
  <si>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</si>
  <si>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</si>
  <si>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</si>
  <si>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</si>
  <si>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</si>
  <si>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</si>
  <si>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</si>
  <si>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</si>
  <si>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</si>
  <si>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</si>
  <si>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</si>
  <si>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</si>
  <si>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</si>
  <si>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</si>
  <si>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</si>
  <si>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</si>
  <si>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</si>
  <si>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</si>
  <si>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</si>
  <si>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</si>
  <si>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</si>
  <si>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</si>
  <si>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</si>
  <si>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</si>
  <si>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</si>
  <si>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</si>
  <si>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</si>
  <si>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</si>
  <si>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</si>
  <si>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</si>
  <si>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</si>
  <si>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</si>
  <si>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</si>
  <si>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</si>
  <si>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</si>
  <si>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</si>
  <si>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</si>
  <si>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</si>
  <si>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</si>
  <si>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</si>
  <si>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</si>
  <si>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</si>
  <si>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</si>
  <si>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</si>
  <si>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</si>
  <si>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</si>
  <si>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</si>
  <si>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</si>
  <si>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</si>
  <si>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</si>
  <si>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</si>
  <si>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</si>
  <si>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</si>
  <si>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</si>
  <si>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</si>
  <si>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</si>
  <si>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</si>
  <si>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</si>
  <si>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</si>
  <si>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</si>
  <si>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</si>
  <si>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</si>
  <si>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</si>
  <si>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</si>
  <si>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</si>
  <si>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</si>
  <si>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</si>
  <si>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</si>
  <si>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</si>
  <si>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</si>
  <si>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</si>
  <si>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</si>
  <si>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</si>
  <si>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</si>
  <si>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</si>
  <si>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</si>
  <si>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</si>
  <si>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</si>
  <si>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</si>
  <si>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</si>
  <si>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</si>
  <si>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</si>
  <si>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</si>
  <si>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</si>
  <si>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</si>
  <si>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</si>
  <si>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</si>
  <si>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</si>
  <si>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</si>
  <si>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</si>
  <si>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</si>
  <si>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</si>
  <si>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</si>
  <si>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</si>
  <si>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</si>
  <si>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</si>
  <si>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</si>
  <si>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</si>
  <si>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</si>
  <si>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</si>
  <si>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</si>
  <si>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</si>
  <si>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</si>
  <si>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</si>
  <si>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</si>
  <si>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</si>
  <si>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</si>
  <si>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</si>
  <si>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</si>
  <si>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</si>
  <si>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</si>
  <si>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</si>
  <si>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</si>
  <si>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</si>
  <si>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</si>
  <si>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</si>
  <si>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</si>
  <si>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</si>
  <si>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</si>
  <si>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</si>
  <si>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</si>
  <si>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</si>
  <si>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</si>
  <si>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</si>
  <si>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</si>
  <si>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</si>
  <si>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</si>
  <si>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</si>
  <si>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</si>
  <si>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</si>
  <si>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</si>
  <si>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</si>
  <si>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</si>
  <si>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</si>
  <si>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</si>
  <si>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</si>
  <si>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</si>
  <si>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</si>
  <si>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</si>
  <si>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</si>
  <si>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</si>
  <si>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</si>
  <si>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</si>
  <si>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</si>
  <si>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</si>
  <si>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</si>
  <si>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</si>
  <si>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</si>
  <si>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</si>
  <si>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</si>
  <si>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</si>
  <si>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</si>
  <si>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</si>
  <si>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</si>
  <si>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</si>
  <si>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</si>
  <si>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</si>
  <si>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</si>
  <si>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</si>
  <si>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</si>
  <si>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</si>
  <si>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</si>
  <si>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</si>
  <si>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</si>
  <si>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</si>
  <si>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</si>
  <si>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</si>
  <si>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</si>
  <si>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</si>
  <si>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</si>
  <si>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</si>
  <si>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</si>
  <si>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</si>
  <si>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</si>
  <si>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</si>
  <si>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</si>
  <si>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</si>
  <si>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</si>
  <si>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</si>
  <si>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</si>
  <si>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</si>
  <si>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</si>
  <si>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</si>
  <si>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</si>
  <si>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</si>
  <si>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</si>
  <si>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</si>
  <si>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</si>
  <si>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</si>
  <si>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</si>
  <si>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</si>
  <si>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</si>
  <si>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</si>
  <si>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</si>
  <si>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</si>
  <si>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</si>
  <si>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</si>
  <si>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</si>
  <si>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</si>
  <si>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</si>
  <si>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</si>
  <si>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</si>
  <si>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</si>
  <si>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</si>
  <si>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</si>
  <si>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</si>
  <si>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</si>
  <si>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</si>
  <si>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</si>
  <si>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</si>
  <si>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</si>
  <si>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</si>
  <si>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</si>
  <si>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</si>
  <si>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</si>
  <si>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</si>
  <si>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</si>
  <si>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</si>
  <si>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</si>
  <si>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</si>
  <si>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</si>
  <si>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</si>
  <si>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</si>
  <si>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</si>
  <si>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</si>
  <si>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</si>
  <si>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</si>
  <si>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</si>
  <si>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</si>
  <si>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</si>
  <si>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</si>
  <si>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</si>
  <si>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</si>
  <si>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</si>
  <si>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</si>
  <si>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</si>
  <si>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</si>
  <si>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</si>
  <si>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</si>
  <si>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</si>
  <si>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</si>
  <si>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</si>
  <si>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</si>
  <si>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</si>
  <si>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</si>
  <si>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</si>
  <si>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</si>
  <si>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</si>
  <si>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</si>
  <si>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</si>
  <si>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</si>
  <si>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</si>
  <si>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</si>
  <si>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</si>
  <si>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</si>
  <si>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</si>
  <si>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</si>
  <si>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</si>
  <si>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</si>
  <si>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</si>
  <si>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</si>
  <si>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</si>
  <si>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</si>
  <si>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</si>
  <si>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</si>
  <si>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</si>
  <si>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</si>
  <si>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</si>
  <si>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</si>
  <si>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</si>
  <si>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</si>
  <si>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</si>
  <si>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</si>
  <si>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</si>
  <si>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</si>
  <si>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</si>
  <si>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</si>
  <si>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</si>
  <si>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</si>
  <si>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</si>
  <si>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</si>
  <si>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</si>
  <si>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</si>
  <si>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</si>
  <si>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</si>
  <si>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</si>
  <si>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</si>
  <si>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</si>
  <si>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</si>
  <si>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</si>
  <si>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</si>
  <si>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</si>
  <si>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</si>
  <si>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</si>
  <si>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</si>
  <si>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</si>
  <si>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</si>
  <si>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</si>
  <si>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</si>
  <si>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</si>
  <si>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</si>
  <si>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</si>
  <si>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</si>
  <si>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</si>
  <si>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</si>
  <si>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</si>
  <si>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</si>
  <si>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</si>
  <si>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</si>
  <si>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</si>
  <si>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</si>
  <si>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</si>
  <si>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</si>
  <si>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</si>
  <si>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</si>
  <si>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</si>
  <si>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</si>
  <si>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</si>
  <si>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</si>
  <si>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</si>
  <si>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</si>
  <si>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</si>
  <si>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</si>
  <si>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</si>
  <si>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</si>
  <si>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</si>
  <si>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</si>
  <si>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</si>
  <si>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</si>
  <si>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</si>
  <si>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</si>
  <si>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</si>
  <si>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ADRIANA POSADA 43400464</t>
  </si>
  <si>
    <t>BOLSA TIPO GIRO</t>
  </si>
  <si>
    <t xml:space="preserve"> </t>
  </si>
  <si>
    <t>hilo 20 beige</t>
  </si>
  <si>
    <t>33 dm de mas</t>
  </si>
  <si>
    <t>4mts</t>
  </si>
  <si>
    <t>NO HAY</t>
  </si>
  <si>
    <t>SE ENTREGAN 5 UNIDADES</t>
  </si>
  <si>
    <t>5  ODENAS</t>
  </si>
  <si>
    <t>7 DM DE 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</si>
</sst>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390524</xdr:colOff>
      <xdr:row>0</xdr:row>
      <xdr:rowOff>97392</xdr:rowOff>
    </xdr:from>
    <xdr:to>
      <xdr:col>24</xdr:col>
      <xdr:colOff>352424</xdr:colOff>
      <xdr:row>6</xdr:row>
      <xdr:rowOff>209550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7E3C449-381E-5629-0C97-D55963D30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699" y="97392"/>
          <a:ext cx="1704975" cy="18838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2" sqref="Q12:R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AP0308-1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45872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>
        <v>20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2919415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1391</v>
      </c>
      <c r="P4" s="356"/>
      <c r="Q4" s="356"/>
      <c r="R4" s="356"/>
      <c r="S4" s="397">
        <v>29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53927.952380952382</v>
      </c>
      <c r="E5" s="387"/>
      <c r="F5" s="388"/>
      <c r="G5" s="364" t="s">
        <v>16</v>
      </c>
      <c r="H5" s="389"/>
      <c r="I5" s="389"/>
      <c r="J5" s="365"/>
      <c r="K5" s="328">
        <v>10</v>
      </c>
      <c r="L5" s="328"/>
      <c r="M5" s="329" t="s">
        <v>17</v>
      </c>
      <c r="N5" s="329"/>
      <c r="O5" s="325">
        <f>IFERROR(IF(K5=0,"",D5*K5),"")</f>
        <v>539279.52380952379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>
        <v>9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0.1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27</v>
      </c>
      <c r="B10" s="299"/>
      <c r="C10" s="300"/>
      <c r="D10" s="390" t="s">
        <v>467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40</v>
      </c>
      <c r="R10" s="307"/>
      <c r="S10" s="308">
        <f>IFERROR(IF(Q10="Unidad","1",(Q10*$K$5)),"")</f>
        <v>400</v>
      </c>
      <c r="T10" s="309"/>
      <c r="U10" s="310"/>
      <c r="V10" s="393"/>
      <c r="W10" s="311">
        <f>IFERROR(IF(D10="","",INDEX(Tabla_Completa,MATCH('Soli_citud '!D10,Materiales,0),7)*S10),"")</f>
        <v>358904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51</v>
      </c>
      <c r="B11" s="299"/>
      <c r="C11" s="300"/>
      <c r="D11" s="390" t="s">
        <v>936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40</v>
      </c>
      <c r="R11" s="307"/>
      <c r="S11" s="308">
        <f t="shared" ref="S11:S31" si="1">IFERROR(IF(Q11="Unidad","1",(Q11*$K$5)),"")</f>
        <v>400</v>
      </c>
      <c r="T11" s="309"/>
      <c r="U11" s="310"/>
      <c r="V11" s="310"/>
      <c r="W11" s="311">
        <f>IFERROR(IF(D11="","",INDEX(Tabla_Completa,MATCH('Soli_citud '!D11,Materiales,0),7)*S11),"")</f>
        <v>800.45714285714291</v>
      </c>
      <c r="X11" s="311"/>
      <c r="Y11" s="311"/>
    </row>
    <row r="12" spans="1:31" ht="15.75" customHeight="1">
      <c r="A12" s="298" t="s">
        <v>27</v>
      </c>
      <c r="B12" s="299"/>
      <c r="C12" s="300"/>
      <c r="D12" s="394" t="s">
        <v>473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dm2</v>
      </c>
      <c r="P12" s="305"/>
      <c r="Q12" s="306">
        <v>9</v>
      </c>
      <c r="R12" s="307"/>
      <c r="S12" s="308">
        <f t="shared" si="1"/>
        <v>90</v>
      </c>
      <c r="T12" s="309"/>
      <c r="U12" s="310"/>
      <c r="V12" s="310"/>
      <c r="W12" s="311">
        <f>IFERROR(IF(D12="","",INDEX(Tabla_Completa,MATCH('Soli_citud '!D12,Materiales,0),7)*S12),"")</f>
        <v>32130</v>
      </c>
      <c r="X12" s="311"/>
      <c r="Y12" s="311"/>
    </row>
    <row r="13" spans="1:31" ht="15.75" customHeight="1">
      <c r="A13" s="298" t="s">
        <v>41</v>
      </c>
      <c r="B13" s="299"/>
      <c r="C13" s="300"/>
      <c r="D13" s="390" t="s">
        <v>635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1</v>
      </c>
      <c r="R13" s="307"/>
      <c r="S13" s="308">
        <f t="shared" si="1"/>
        <v>10</v>
      </c>
      <c r="T13" s="309"/>
      <c r="U13" s="310"/>
      <c r="V13" s="310"/>
      <c r="W13" s="311">
        <f>IFERROR(IF(D13="","",INDEX(Tabla_Completa,MATCH('Soli_citud '!D13,Materiales,0),7)*S13),"")</f>
        <v>38448.9</v>
      </c>
      <c r="X13" s="311"/>
      <c r="Y13" s="311"/>
    </row>
    <row r="14" spans="1:31" ht="17.25" customHeight="1">
      <c r="A14" s="298" t="s">
        <v>41</v>
      </c>
      <c r="B14" s="299"/>
      <c r="C14" s="300"/>
      <c r="D14" s="390" t="s">
        <v>774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U</v>
      </c>
      <c r="P14" s="305"/>
      <c r="Q14" s="306">
        <v>2</v>
      </c>
      <c r="R14" s="307"/>
      <c r="S14" s="308">
        <f t="shared" si="1"/>
        <v>20</v>
      </c>
      <c r="T14" s="309"/>
      <c r="U14" s="310"/>
      <c r="V14" s="310"/>
      <c r="W14" s="311">
        <f>IFERROR(IF(D14="","",INDEX(Tabla_Completa,MATCH('Soli_citud '!D14,Materiales,0),7)*S14),"")</f>
        <v>25513.600000000002</v>
      </c>
      <c r="X14" s="311"/>
      <c r="Y14" s="311"/>
    </row>
    <row r="15" spans="1:31" ht="15.75" customHeight="1">
      <c r="A15" s="298" t="s">
        <v>41</v>
      </c>
      <c r="B15" s="299"/>
      <c r="C15" s="300"/>
      <c r="D15" s="390" t="s">
        <v>556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1</v>
      </c>
      <c r="R15" s="307"/>
      <c r="S15" s="308">
        <f t="shared" si="1"/>
        <v>10</v>
      </c>
      <c r="T15" s="309"/>
      <c r="U15" s="310"/>
      <c r="V15" s="310"/>
      <c r="W15" s="311">
        <f>IFERROR(IF(D15="","",INDEX(Tabla_Completa,MATCH('Soli_citud '!D15,Materiales,0),7)*S15),"")</f>
        <v>69579.299999999988</v>
      </c>
      <c r="X15" s="311"/>
      <c r="Y15" s="311"/>
    </row>
    <row r="16" spans="1:31" ht="15.75" customHeight="1">
      <c r="A16" s="298" t="s">
        <v>1058</v>
      </c>
      <c r="B16" s="299"/>
      <c r="C16" s="300"/>
      <c r="D16" s="390" t="s">
        <v>1078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U</v>
      </c>
      <c r="P16" s="305"/>
      <c r="Q16" s="306">
        <v>2</v>
      </c>
      <c r="R16" s="307"/>
      <c r="S16" s="308">
        <f t="shared" si="1"/>
        <v>20</v>
      </c>
      <c r="T16" s="309"/>
      <c r="U16" s="310"/>
      <c r="V16" s="310"/>
      <c r="W16" s="311">
        <f>IFERROR(IF(D16="","",INDEX(Tabla_Completa,MATCH('Soli_citud '!D16,Materiales,0),7)*S16),"")</f>
        <v>6166.5999999999995</v>
      </c>
      <c r="X16" s="311"/>
      <c r="Y16" s="311"/>
    </row>
    <row r="17" spans="1:25" ht="15.75" customHeight="1">
      <c r="A17" s="298" t="s">
        <v>1058</v>
      </c>
      <c r="B17" s="299"/>
      <c r="C17" s="300"/>
      <c r="D17" s="390" t="s">
        <v>1092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U</v>
      </c>
      <c r="P17" s="305"/>
      <c r="Q17" s="306">
        <v>0.5</v>
      </c>
      <c r="R17" s="307"/>
      <c r="S17" s="308">
        <f t="shared" si="1"/>
        <v>5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 t="s">
        <v>233</v>
      </c>
      <c r="B18" s="299"/>
      <c r="C18" s="300"/>
      <c r="D18" s="390" t="s">
        <v>317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cm</v>
      </c>
      <c r="P18" s="305"/>
      <c r="Q18" s="306">
        <v>40</v>
      </c>
      <c r="R18" s="307"/>
      <c r="S18" s="308">
        <f t="shared" si="1"/>
        <v>400</v>
      </c>
      <c r="T18" s="309"/>
      <c r="U18" s="310"/>
      <c r="V18" s="310"/>
      <c r="W18" s="311">
        <f>IFERROR(IF(D18="","",INDEX(Tabla_Completa,MATCH('Soli_citud '!D18,Materiales,0),7)*S18),"")</f>
        <v>3774</v>
      </c>
      <c r="X18" s="311"/>
      <c r="Y18" s="311"/>
    </row>
    <row r="19" spans="1:25" ht="15.75">
      <c r="A19" s="298" t="s">
        <v>41</v>
      </c>
      <c r="B19" s="299"/>
      <c r="C19" s="300"/>
      <c r="D19" s="301" t="s">
        <v>754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U</v>
      </c>
      <c r="P19" s="305"/>
      <c r="Q19" s="306">
        <v>2</v>
      </c>
      <c r="R19" s="307"/>
      <c r="S19" s="308">
        <f t="shared" si="1"/>
        <v>20</v>
      </c>
      <c r="T19" s="309"/>
      <c r="U19" s="310"/>
      <c r="V19" s="310"/>
      <c r="W19" s="311">
        <f>IFERROR(IF(D19="","",INDEX(Tabla_Completa,MATCH('Soli_citud '!D19,Materiales,0),7)*S19),"")</f>
        <v>3960</v>
      </c>
      <c r="X19" s="311"/>
      <c r="Y19" s="311"/>
    </row>
    <row r="20" spans="1:25" ht="15.75">
      <c r="A20" s="298" t="s">
        <v>233</v>
      </c>
      <c r="B20" s="299"/>
      <c r="C20" s="300"/>
      <c r="D20" s="301" t="s">
        <v>381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>cm2</v>
      </c>
      <c r="P20" s="305"/>
      <c r="Q20" s="306">
        <v>0.5</v>
      </c>
      <c r="R20" s="307"/>
      <c r="S20" s="308">
        <f t="shared" si="1"/>
        <v>5</v>
      </c>
      <c r="T20" s="309"/>
      <c r="U20" s="310"/>
      <c r="V20" s="310"/>
      <c r="W20" s="311">
        <f>IFERROR(IF(D20="","",INDEX(Tabla_Completa,MATCH('Soli_citud '!D20,Materiales,0),7)*S20),"")</f>
        <v>2.6666666666666665</v>
      </c>
      <c r="X20" s="311"/>
      <c r="Y20" s="311"/>
    </row>
    <row r="21" spans="1:25" ht="15.75">
      <c r="A21" s="298" t="s">
        <v>118</v>
      </c>
      <c r="B21" s="299"/>
      <c r="C21" s="300"/>
      <c r="D21" s="301" t="s">
        <v>1392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>
        <v>0.5</v>
      </c>
      <c r="R21" s="307"/>
      <c r="S21" s="308">
        <f t="shared" si="1"/>
        <v>5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29</v>
      </c>
      <c r="B39" s="336"/>
      <c r="C39" s="336"/>
      <c r="D39" s="337" t="s">
        <v>30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32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33</v>
      </c>
      <c r="O44" s="345"/>
      <c r="P44" s="345"/>
      <c r="Q44" s="345"/>
      <c r="R44" s="342" t="s">
        <v>34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35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36</v>
      </c>
      <c r="O45" s="345"/>
      <c r="P45" s="345"/>
      <c r="Q45" s="345"/>
      <c r="R45" s="343" t="s">
        <v>37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38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27</v>
      </c>
      <c r="O46" s="345"/>
      <c r="P46" s="345"/>
      <c r="Q46" s="345"/>
      <c r="R46" s="344" t="s">
        <v>39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40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41</v>
      </c>
      <c r="O47" s="345"/>
      <c r="P47" s="345"/>
      <c r="Q47" s="345"/>
      <c r="R47" s="344" t="s">
        <v>42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43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44</v>
      </c>
      <c r="O48" s="345"/>
      <c r="P48" s="345"/>
      <c r="Q48" s="345"/>
      <c r="R48" s="344" t="s">
        <v>45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46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47</v>
      </c>
      <c r="O49" s="346"/>
      <c r="P49" s="346"/>
      <c r="Q49" s="346"/>
      <c r="R49" s="343" t="s">
        <v>48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49</v>
      </c>
      <c r="O50" s="345"/>
      <c r="P50" s="345"/>
      <c r="Q50" s="345"/>
      <c r="R50" s="344" t="s">
        <v>50</v>
      </c>
      <c r="S50" s="344"/>
      <c r="T50" s="344"/>
      <c r="U50" s="344"/>
      <c r="V50" s="344"/>
      <c r="W50" s="344"/>
      <c r="X50" s="344"/>
    </row>
    <row r="51" spans="1:24" ht="15.75">
      <c r="N51" s="345" t="s">
        <v>51</v>
      </c>
      <c r="O51" s="345"/>
      <c r="P51" s="345"/>
      <c r="Q51" s="345"/>
      <c r="R51" s="344" t="s">
        <v>52</v>
      </c>
      <c r="S51" s="344"/>
      <c r="T51" s="344"/>
      <c r="U51" s="344"/>
      <c r="V51" s="344"/>
      <c r="W51" s="344"/>
      <c r="X51" s="344"/>
    </row>
    <row r="52" spans="1:24" ht="15.75">
      <c r="N52" s="345" t="s">
        <v>53</v>
      </c>
      <c r="O52" s="345"/>
      <c r="P52" s="345"/>
      <c r="Q52" s="345"/>
      <c r="R52" s="344" t="s">
        <v>42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6" sqref="L16:M16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54</v>
      </c>
      <c r="E1" s="457"/>
      <c r="F1" s="457"/>
      <c r="G1" s="457"/>
      <c r="H1" s="457"/>
      <c r="I1" s="458"/>
      <c r="J1" s="485" t="s">
        <v>55</v>
      </c>
      <c r="K1" s="486"/>
      <c r="L1" s="486"/>
      <c r="M1" s="487"/>
      <c r="N1" s="488">
        <f>IF('Soli_citud '!O1="","",'Soli_citud '!O1)</f>
        <v>45872</v>
      </c>
      <c r="O1" s="489"/>
      <c r="P1" s="427" t="s">
        <v>56</v>
      </c>
      <c r="Q1" s="428"/>
      <c r="R1" s="433" t="str">
        <f>IF('Soli_citud '!D4="","",'Soli_citud '!D4)</f>
        <v>BOLSA TIPO GIRO</v>
      </c>
      <c r="S1" s="434"/>
      <c r="Z1" t="s">
        <v>57</v>
      </c>
      <c r="AA1" s="241" t="s">
        <v>57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58</v>
      </c>
      <c r="K2" s="491"/>
      <c r="L2" s="491"/>
      <c r="M2" s="492"/>
      <c r="N2" s="493" t="str">
        <f>'Soli_citud '!F1</f>
        <v>AP0308-1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59</v>
      </c>
      <c r="K3" s="494"/>
      <c r="L3" s="494"/>
      <c r="M3" s="494"/>
      <c r="N3" s="495">
        <f>IF('Soli_citud '!O3="","",'Soli_citud '!O3)</f>
        <v>2919415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60</v>
      </c>
      <c r="K4" s="442"/>
      <c r="L4" s="442"/>
      <c r="M4" s="443" t="str">
        <f>IF('Soli_citud '!O4="","",'Soli_citud '!O4)</f>
        <v xml:space="preserve"> 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61</v>
      </c>
      <c r="C6" s="446"/>
      <c r="D6" s="447"/>
      <c r="E6" s="451" t="s">
        <v>62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53927.952380952382</v>
      </c>
      <c r="C8" s="420"/>
      <c r="D8" s="421"/>
      <c r="E8" s="422" t="s">
        <v>63</v>
      </c>
      <c r="F8" s="423"/>
      <c r="G8" s="423"/>
      <c r="H8" s="423"/>
      <c r="I8" s="424"/>
      <c r="J8" s="425" t="str">
        <f>IF('Soli_citud '!E2="","",'Soli_citud '!E2)</f>
        <v>ADRIANA POSADA 43400464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64</v>
      </c>
      <c r="C9" s="466"/>
      <c r="D9" s="469"/>
      <c r="E9" s="470" t="s">
        <v>65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66</v>
      </c>
      <c r="K10" s="477"/>
      <c r="L10" s="478"/>
      <c r="M10" s="250">
        <f>'[1]Soli_citud '!K5</f>
        <v>1</v>
      </c>
      <c r="N10" s="440" t="s">
        <v>67</v>
      </c>
      <c r="O10" s="441"/>
      <c r="P10" s="431"/>
      <c r="Q10" s="432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10" t="s">
        <v>71</v>
      </c>
      <c r="D11" s="411"/>
      <c r="E11" s="411"/>
      <c r="F11" s="41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13" t="s">
        <v>25</v>
      </c>
      <c r="M11" s="414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AP0308-1</v>
      </c>
      <c r="C12" s="407" t="str">
        <f>IFERROR(IF('Soli_citud '!D10="","",'Soli_citud '!D10),"")</f>
        <v>CUERO SOFTY</v>
      </c>
      <c r="D12" s="407"/>
      <c r="E12" s="407"/>
      <c r="F12" s="407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400</v>
      </c>
      <c r="I12" s="214">
        <v>45873</v>
      </c>
      <c r="J12" s="215">
        <v>433</v>
      </c>
      <c r="K12" s="197" t="str" cm="1">
        <f t="array" ref="K12">IFERROR(_xlfn.IFS(H12="","",J12=H12,"Cumplido",J12&lt;H12,H12-J12,J12&gt;H12,"Revisar"),"")</f>
        <v>Revisar</v>
      </c>
      <c r="L12" s="408" t="s">
        <v>1393</v>
      </c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AP0308-1</v>
      </c>
      <c r="C13" s="407" t="str">
        <f>IFERROR(IF('Soli_citud '!D11="","",'Soli_citud '!D11),"")</f>
        <v>SEDA LAFAYETTE VENDAVAL CON TECNOLOGIA LAFGARD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400</v>
      </c>
      <c r="I13" s="214">
        <v>45873</v>
      </c>
      <c r="J13" s="216">
        <v>400</v>
      </c>
      <c r="K13" s="197" t="str" cm="1">
        <f t="array" ref="K13">IFERROR(_xlfn.IFS(H13="","",J13=H13,"Cumplido",J13&lt;H13,H13-J13,J13&gt;H13,"Revisar"),"")</f>
        <v>Cumplido</v>
      </c>
      <c r="L13" s="408" t="s">
        <v>1394</v>
      </c>
      <c r="M13" s="409"/>
      <c r="N13" s="215">
        <v>140</v>
      </c>
      <c r="O13" s="198">
        <f t="shared" ref="O13:O15" si="2">IFERROR(H13/N13,"")</f>
        <v>2.8571428571428572</v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AP0308-1</v>
      </c>
      <c r="C14" s="407" t="str">
        <f>IFERROR(IF('Soli_citud '!D12="","",'Soli_citud '!D12),"")</f>
        <v>FORRO CERDO</v>
      </c>
      <c r="D14" s="407"/>
      <c r="E14" s="407"/>
      <c r="F14" s="407"/>
      <c r="G14" s="213" t="str">
        <f>IF('Soli_citud '!O12="","",'Soli_citud '!O12)</f>
        <v>dm2</v>
      </c>
      <c r="H14" s="213" cm="1">
        <f t="array" ref="H14">_xlfn.IFS('Soli_citud '!S12="","",'Soli_citud '!S12&lt;=0,"",'Soli_citud '!S12&gt;0,'Soli_citud '!S12)</f>
        <v>90</v>
      </c>
      <c r="I14" s="214">
        <v>45873</v>
      </c>
      <c r="J14" s="216">
        <v>97</v>
      </c>
      <c r="K14" s="197" t="str" cm="1">
        <f t="array" ref="K14">IFERROR(_xlfn.IFS(H14="","",J14=H14,"Cumplido",J14&lt;H14,H14-J14,J14&gt;H14,"Revisar"),"")</f>
        <v>Revisar</v>
      </c>
      <c r="L14" s="408" t="s">
        <v>1398</v>
      </c>
      <c r="M14" s="409"/>
      <c r="N14" s="215">
        <v>140</v>
      </c>
      <c r="O14" s="198">
        <f t="shared" si="2"/>
        <v>0.6428571428571429</v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AP0308-1</v>
      </c>
      <c r="C15" s="407" t="str">
        <f>IFERROR(IF('Soli_citud '!D13="","",'Soli_citud '!D13),"")</f>
        <v>HEBILLA DE COSCOJO METÁLICA, 1" PAVÓN, CALIBRE 4</v>
      </c>
      <c r="D15" s="407"/>
      <c r="E15" s="407"/>
      <c r="F15" s="407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10</v>
      </c>
      <c r="I15" s="214">
        <v>45873</v>
      </c>
      <c r="J15" s="216">
        <v>10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AP0308-1</v>
      </c>
      <c r="C16" s="407" t="str">
        <f>IFERROR(IF('Soli_citud '!D14="","",'Soli_citud '!D14),"")</f>
        <v>MOSQUETÓN PAVONADO 1"</v>
      </c>
      <c r="D16" s="407"/>
      <c r="E16" s="407"/>
      <c r="F16" s="407"/>
      <c r="G16" s="213" t="str">
        <f>IF('Soli_citud '!O14="","",'Soli_citud '!O14)</f>
        <v>U</v>
      </c>
      <c r="H16" s="213" cm="1">
        <f t="array" ref="H16">_xlfn.IFS('Soli_citud '!S14="","",'Soli_citud '!S14&lt;=0,"",'Soli_citud '!S14&gt;0,'Soli_citud '!S14)</f>
        <v>20</v>
      </c>
      <c r="I16" s="214">
        <v>45873</v>
      </c>
      <c r="J16" s="216">
        <v>20</v>
      </c>
      <c r="K16" s="197" t="str" cm="1">
        <f t="array" ref="K16">IFERROR(_xlfn.IFS(H16="","",J16=H16,"Cumplido",J16&lt;H16,H16-J16,J16&gt;H16,"Revisar"),"")</f>
        <v>Cumplido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AP0308-1</v>
      </c>
      <c r="C17" s="407" t="str">
        <f>IFERROR(IF('Soli_citud '!D15="","",'Soli_citud '!D15),"")</f>
        <v>CIERRE TORNIQUETE OVALADO 3/4" X 1 1/2" PARA BOLSO  1 1/2" PAVÓN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10</v>
      </c>
      <c r="I17" s="214">
        <v>45873</v>
      </c>
      <c r="J17" s="216">
        <v>10</v>
      </c>
      <c r="K17" s="197" t="str" cm="1">
        <f t="array" ref="K17">IFERROR(_xlfn.IFS(H17="","",J17=H17,"Cumplido",J17&lt;H17,H17-J17,J17&gt;H17,"Revisar"),"")</f>
        <v>Cumplido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AP0308-1</v>
      </c>
      <c r="C18" s="407" t="str">
        <f>IFERROR(IF('Soli_citud '!D16="","",'Soli_citud '!D16),"")</f>
        <v xml:space="preserve">AGUJAS CAPOTERA CON PUNTA #5
</v>
      </c>
      <c r="D18" s="407"/>
      <c r="E18" s="407"/>
      <c r="F18" s="407"/>
      <c r="G18" s="213" t="str">
        <f>IF('Soli_citud '!O16="","",'Soli_citud '!O16)</f>
        <v>U</v>
      </c>
      <c r="H18" s="213" cm="1">
        <f t="array" ref="H18">_xlfn.IFS('Soli_citud '!S16="","",'Soli_citud '!S16&lt;=0,"",'Soli_citud '!S16&gt;0,'Soli_citud '!S16)</f>
        <v>20</v>
      </c>
      <c r="I18" s="214">
        <v>45873</v>
      </c>
      <c r="J18" s="216"/>
      <c r="K18" s="197" cm="1">
        <f t="array" ref="K18">IFERROR(_xlfn.IFS(H18="","",J18=H18,"Cumplido",J18&lt;H18,H18-J18,J18&gt;H18,"Revisar"),"")</f>
        <v>20</v>
      </c>
      <c r="L18" s="408" t="s">
        <v>1395</v>
      </c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31.5" customHeight="1">
      <c r="A19" s="73">
        <v>8</v>
      </c>
      <c r="B19" s="243" t="str">
        <f t="shared" si="1"/>
        <v>AP0308-1</v>
      </c>
      <c r="C19" s="407" t="str">
        <f>IFERROR(IF('Soli_citud '!D17="","",'Soli_citud '!D17),"")</f>
        <v>CINTA DE ENMASCARAR  2 "</v>
      </c>
      <c r="D19" s="407"/>
      <c r="E19" s="407"/>
      <c r="F19" s="407"/>
      <c r="G19" s="213" t="str">
        <f>IF('Soli_citud '!O17="","",'Soli_citud '!O17)</f>
        <v>U</v>
      </c>
      <c r="H19" s="213" cm="1">
        <f t="array" ref="H19">_xlfn.IFS('Soli_citud '!S17="","",'Soli_citud '!S17&lt;=0,"",'Soli_citud '!S17&gt;0,'Soli_citud '!S17)</f>
        <v>5</v>
      </c>
      <c r="I19" s="214">
        <v>45873</v>
      </c>
      <c r="J19" s="216">
        <v>5</v>
      </c>
      <c r="K19" s="197" t="str" cm="1">
        <f t="array" ref="K19">IFERROR(_xlfn.IFS(H19="","",J19=H19,"Cumplido",J19&lt;H19,H19-J19,J19&gt;H19,"Revisar"),"")</f>
        <v>Cumplido</v>
      </c>
      <c r="L19" s="408" t="s">
        <v>1396</v>
      </c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AP0308-1</v>
      </c>
      <c r="C20" s="407" t="str">
        <f>IFERROR(IF('Soli_citud '!D18="","",'Soli_citud '!D18),"")</f>
        <v>CREMALLERA POLIÉSTER #3</v>
      </c>
      <c r="D20" s="407"/>
      <c r="E20" s="407"/>
      <c r="F20" s="407"/>
      <c r="G20" s="213" t="str">
        <f>IF('Soli_citud '!O18="","",'Soli_citud '!O18)</f>
        <v>cm</v>
      </c>
      <c r="H20" s="213" cm="1">
        <f t="array" ref="H20">_xlfn.IFS('Soli_citud '!S18="","",'Soli_citud '!S18&lt;=0,"",'Soli_citud '!S18&gt;0,'Soli_citud '!S18)</f>
        <v>400</v>
      </c>
      <c r="I20" s="214">
        <v>45873</v>
      </c>
      <c r="J20" s="216">
        <v>400</v>
      </c>
      <c r="K20" s="197" t="str" cm="1">
        <f t="array" ref="K20">IFERROR(_xlfn.IFS(H20="","",J20=H20,"Cumplido",J20&lt;H20,H20-J20,J20&gt;H20,"Revisar"),"")</f>
        <v>Cumplido</v>
      </c>
      <c r="L20" s="408"/>
      <c r="M20" s="409"/>
      <c r="N20" s="215">
        <v>100</v>
      </c>
      <c r="O20" s="198">
        <f t="shared" si="3"/>
        <v>4</v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AP0308-1</v>
      </c>
      <c r="C21" s="407" t="str">
        <f>IFERROR(IF('Soli_citud '!D19="","",'Soli_citud '!D19),"")</f>
        <v>MEDIA ARGOLLA PAVONADA 1" ALAMBRE GRUESO</v>
      </c>
      <c r="D21" s="407"/>
      <c r="E21" s="407"/>
      <c r="F21" s="407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20</v>
      </c>
      <c r="I21" s="214">
        <v>45873</v>
      </c>
      <c r="J21" s="216">
        <v>20</v>
      </c>
      <c r="K21" s="197" t="str" cm="1">
        <f t="array" ref="K21">IFERROR(_xlfn.IFS(H21="","",J21=H21,"Cumplido",J21&lt;H21,H21-J21,J21&gt;H21,"Revisar"),"")</f>
        <v>Cumplido</v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AP0308-1</v>
      </c>
      <c r="C22" s="407" t="str">
        <f>IFERROR(IF('Soli_citud '!D20="","",'Soli_citud '!D20),"")</f>
        <v>ODENA 0,5 mm</v>
      </c>
      <c r="D22" s="407"/>
      <c r="E22" s="407"/>
      <c r="F22" s="407"/>
      <c r="G22" s="213" t="str">
        <f>IF('Soli_citud '!O20="","",'Soli_citud '!O20)</f>
        <v>cm2</v>
      </c>
      <c r="H22" s="213" cm="1">
        <f t="array" ref="H22">_xlfn.IFS('Soli_citud '!S20="","",'Soli_citud '!S20&lt;=0,"",'Soli_citud '!S20&gt;0,'Soli_citud '!S20)</f>
        <v>5</v>
      </c>
      <c r="I22" s="214">
        <v>45873</v>
      </c>
      <c r="J22" s="216">
        <v>5</v>
      </c>
      <c r="K22" s="197" t="str" cm="1">
        <f t="array" ref="K22">IFERROR(_xlfn.IFS(H22="","",J22=H22,"Cumplido",J22&lt;H22,H22-J22,J22&gt;H22,"Revisar"),"")</f>
        <v>Cumplido</v>
      </c>
      <c r="L22" s="408" t="s">
        <v>1397</v>
      </c>
      <c r="M22" s="409"/>
      <c r="N22" s="215">
        <v>140</v>
      </c>
      <c r="O22" s="198">
        <f t="shared" si="3"/>
        <v>3.5714285714285712E-2</v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AP0308-1</v>
      </c>
      <c r="C23" s="407" t="str">
        <f>IFERROR(IF('Soli_citud '!D21="","",'Soli_citud '!D21),"")</f>
        <v>hilo 20 beige</v>
      </c>
      <c r="D23" s="407"/>
      <c r="E23" s="407"/>
      <c r="F23" s="407"/>
      <c r="G23" s="213" t="str">
        <f>IF('Soli_citud '!O21="","",'Soli_citud '!O21)</f>
        <v/>
      </c>
      <c r="H23" s="213" cm="1">
        <f t="array" ref="H23">_xlfn.IFS('Soli_citud '!S21="","",'Soli_citud '!S21&lt;=0,"",'Soli_citud '!S21&gt;0,'Soli_citud '!S21)</f>
        <v>5</v>
      </c>
      <c r="I23" s="214">
        <v>45873</v>
      </c>
      <c r="J23" s="216">
        <v>5</v>
      </c>
      <c r="K23" s="197" t="str" cm="1">
        <f t="array" ref="K23">IFERROR(_xlfn.IFS(H23="","",J23=H23,"Cumplido",J23&lt;H23,H23-J23,J23&gt;H23,"Revisar"),"")</f>
        <v>Cumplido</v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83</v>
      </c>
      <c r="F1" s="505"/>
      <c r="H1" s="278" t="s">
        <v>84</v>
      </c>
      <c r="Z1" s="241" t="s">
        <v>85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503"/>
      <c r="D6" s="504"/>
      <c r="H6" s="501" t="s">
        <v>87</v>
      </c>
      <c r="I6" s="501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2025-08-04T18:51:19Z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