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DRIANA POSADA\FICHA 3308810 SALVADOR\"/>
    </mc:Choice>
  </mc:AlternateContent>
  <xr:revisionPtr revIDLastSave="0" documentId="8_{8BC72988-E993-496C-9A58-5FFA029B2E00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/>
  <c r="P28" i="61" a="1"/>
  <c r="P28" i="61" s="1"/>
  <c r="P29" i="61" a="1"/>
  <c r="P29" i="61"/>
  <c r="P30" i="61" a="1"/>
  <c r="P30" i="61" s="1"/>
  <c r="P31" i="61" a="1"/>
  <c r="P31" i="61" s="1"/>
  <c r="P32" i="61" a="1"/>
  <c r="P3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R6" i="61"/>
  <c r="O2" i="43"/>
  <c r="G1151" i="38"/>
  <c r="G1365" i="38"/>
  <c r="S10" i="43"/>
  <c r="S11" i="43"/>
  <c r="S12" i="43"/>
  <c r="S13" i="43"/>
  <c r="S14" i="43"/>
  <c r="S15" i="43"/>
  <c r="W15" i="43" s="1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/>
  <c r="A1280" i="38" s="1"/>
  <c r="J1280" i="38" s="1"/>
  <c r="J1277" i="38"/>
  <c r="A661" i="38"/>
  <c r="A662" i="38"/>
  <c r="J662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/>
  <c r="A1111" i="38"/>
  <c r="J1111" i="38" s="1"/>
  <c r="A615" i="38"/>
  <c r="A63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 s="1"/>
  <c r="A11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1419" i="38"/>
  <c r="J615" i="38"/>
  <c r="A1172" i="38"/>
  <c r="A1173" i="38" s="1"/>
  <c r="A1174" i="38"/>
  <c r="A1175" i="38" s="1"/>
  <c r="J1110" i="38"/>
  <c r="J9" i="38"/>
  <c r="J661" i="38"/>
  <c r="E3" i="38"/>
  <c r="W11" i="43"/>
  <c r="J10" i="38"/>
  <c r="J1278" i="38"/>
  <c r="W10" i="43"/>
  <c r="O14" i="43"/>
  <c r="G16" i="61" s="1"/>
  <c r="O13" i="43"/>
  <c r="G15" i="61" s="1"/>
  <c r="A1112" i="38"/>
  <c r="J229" i="38"/>
  <c r="A1421" i="38"/>
  <c r="J1421" i="38" s="1"/>
  <c r="O12" i="43"/>
  <c r="G14" i="61" s="1"/>
  <c r="O15" i="43"/>
  <c r="G17" i="61" s="1"/>
  <c r="W14" i="43"/>
  <c r="A1281" i="38"/>
  <c r="W13" i="43"/>
  <c r="W12" i="43"/>
  <c r="A12" i="38"/>
  <c r="J11" i="38"/>
  <c r="A1113" i="38"/>
  <c r="A1114" i="38" s="1"/>
  <c r="A1115" i="38" s="1"/>
  <c r="A1116" i="38" s="1"/>
  <c r="J1112" i="38"/>
  <c r="J230" i="38"/>
  <c r="A1422" i="38"/>
  <c r="J240" i="38"/>
  <c r="J231" i="38"/>
  <c r="A1423" i="38"/>
  <c r="J1422" i="38"/>
  <c r="J1113" i="38"/>
  <c r="A1333" i="38"/>
  <c r="A1334" i="38" s="1"/>
  <c r="J241" i="38"/>
  <c r="J1114" i="38"/>
  <c r="J1333" i="38"/>
  <c r="J242" i="38"/>
  <c r="J1115" i="38"/>
  <c r="A1335" i="38"/>
  <c r="J1334" i="38"/>
  <c r="J243" i="38"/>
  <c r="A1117" i="38"/>
  <c r="J1117" i="38" s="1"/>
  <c r="J1116" i="38"/>
  <c r="A1118" i="38"/>
  <c r="A1119" i="38"/>
  <c r="J1118" i="38"/>
  <c r="J244" i="38"/>
  <c r="J1119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A617" i="38"/>
  <c r="J267" i="38"/>
  <c r="J268" i="38"/>
  <c r="J269" i="38"/>
  <c r="J270" i="38"/>
  <c r="J271" i="38"/>
  <c r="J272" i="38"/>
  <c r="J273" i="38"/>
  <c r="J274" i="38"/>
  <c r="J275" i="38"/>
  <c r="J276" i="38"/>
  <c r="A1120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6" i="61" a="1"/>
  <c r="P15" i="61" a="1"/>
  <c r="P14" i="61" a="1"/>
  <c r="P13" i="61" a="1"/>
  <c r="H14" i="61" a="1"/>
  <c r="H18" i="61" a="1"/>
  <c r="H22" i="61" a="1"/>
  <c r="H26" i="61" a="1"/>
  <c r="H30" i="61" a="1"/>
  <c r="H17" i="61" a="1"/>
  <c r="H25" i="61" a="1"/>
  <c r="H15" i="61" a="1"/>
  <c r="H19" i="61" a="1"/>
  <c r="H23" i="61" a="1"/>
  <c r="H27" i="61" a="1"/>
  <c r="H31" i="61" a="1"/>
  <c r="H13" i="61" a="1"/>
  <c r="H21" i="61" a="1"/>
  <c r="H29" i="61" a="1"/>
  <c r="H16" i="61" a="1"/>
  <c r="H20" i="61" a="1"/>
  <c r="H24" i="61" a="1"/>
  <c r="H28" i="61" a="1"/>
  <c r="H32" i="61" a="1"/>
  <c r="H12" i="61" a="1"/>
  <c r="P12" i="61" a="1"/>
  <c r="J617" i="38" l="1"/>
  <c r="A618" i="38"/>
  <c r="A1121" i="38"/>
  <c r="J1120" i="38"/>
  <c r="A1424" i="38"/>
  <c r="J1423" i="38"/>
  <c r="A1282" i="38"/>
  <c r="J1281" i="38"/>
  <c r="A1176" i="38"/>
  <c r="J1175" i="38"/>
  <c r="A1336" i="38"/>
  <c r="J1335" i="38"/>
  <c r="A13" i="38"/>
  <c r="J12" i="38"/>
  <c r="A64" i="38"/>
  <c r="J63" i="38"/>
  <c r="J1279" i="38"/>
  <c r="A663" i="38"/>
  <c r="P16" i="61"/>
  <c r="P15" i="61"/>
  <c r="P14" i="61"/>
  <c r="P13" i="61"/>
  <c r="H32" i="61"/>
  <c r="B32" i="61" s="1"/>
  <c r="H28" i="61"/>
  <c r="B28" i="61" s="1"/>
  <c r="H24" i="61"/>
  <c r="B24" i="61" s="1"/>
  <c r="H20" i="61"/>
  <c r="O20" i="61" s="1"/>
  <c r="H16" i="61"/>
  <c r="B16" i="61" s="1"/>
  <c r="H29" i="61"/>
  <c r="O29" i="61" s="1"/>
  <c r="H21" i="61"/>
  <c r="O21" i="61" s="1"/>
  <c r="H13" i="61"/>
  <c r="O13" i="61" s="1"/>
  <c r="H31" i="61"/>
  <c r="B31" i="61" s="1"/>
  <c r="H27" i="61"/>
  <c r="B27" i="61" s="1"/>
  <c r="H23" i="61"/>
  <c r="H19" i="61"/>
  <c r="O19" i="61" s="1"/>
  <c r="H15" i="61"/>
  <c r="O15" i="61" s="1"/>
  <c r="H25" i="61"/>
  <c r="O25" i="61" s="1"/>
  <c r="H17" i="61"/>
  <c r="O17" i="61" s="1"/>
  <c r="H30" i="61"/>
  <c r="O30" i="61" s="1"/>
  <c r="H26" i="61"/>
  <c r="O26" i="61" s="1"/>
  <c r="H22" i="61"/>
  <c r="B22" i="61" s="1"/>
  <c r="H18" i="61"/>
  <c r="H14" i="61"/>
  <c r="B14" i="61" s="1"/>
  <c r="W19" i="43"/>
  <c r="D5" i="43" s="1"/>
  <c r="O5" i="43" s="1"/>
  <c r="H12" i="61"/>
  <c r="O12" i="61" s="1"/>
  <c r="P12" i="61"/>
  <c r="B20" i="61"/>
  <c r="K25" i="61" a="1"/>
  <c r="K16" i="61" a="1"/>
  <c r="K13" i="61" a="1"/>
  <c r="K14" i="61" a="1"/>
  <c r="K15" i="61" a="1"/>
  <c r="K26" i="61" a="1"/>
  <c r="K32" i="61" a="1"/>
  <c r="K21" i="61" a="1"/>
  <c r="K30" i="61" a="1"/>
  <c r="K31" i="61" a="1"/>
  <c r="K19" i="61" a="1"/>
  <c r="K20" i="61" a="1"/>
  <c r="K23" i="61" a="1"/>
  <c r="K18" i="61" a="1"/>
  <c r="K22" i="61" l="1" a="1"/>
  <c r="J64" i="38"/>
  <c r="A65" i="38"/>
  <c r="J1282" i="38"/>
  <c r="A1283" i="38"/>
  <c r="K29" i="61" a="1"/>
  <c r="J13" i="38"/>
  <c r="A14" i="38"/>
  <c r="J1424" i="38"/>
  <c r="A1425" i="38"/>
  <c r="J1336" i="38"/>
  <c r="A1337" i="38"/>
  <c r="J1121" i="38"/>
  <c r="A1122" i="38"/>
  <c r="K28" i="61" a="1"/>
  <c r="A664" i="38"/>
  <c r="J663" i="38"/>
  <c r="J618" i="38"/>
  <c r="A619" i="38"/>
  <c r="K27" i="61" a="1"/>
  <c r="A1177" i="38"/>
  <c r="J1176" i="38"/>
  <c r="B13" i="61"/>
  <c r="B30" i="61"/>
  <c r="B19" i="61"/>
  <c r="O14" i="61"/>
  <c r="O32" i="61"/>
  <c r="O27" i="61"/>
  <c r="B26" i="61"/>
  <c r="B29" i="61"/>
  <c r="O28" i="61"/>
  <c r="B15" i="61"/>
  <c r="O31" i="61"/>
  <c r="B25" i="61"/>
  <c r="O22" i="61"/>
  <c r="O16" i="61"/>
  <c r="B17" i="61"/>
  <c r="B12" i="61"/>
  <c r="K18" i="61"/>
  <c r="K23" i="61"/>
  <c r="K20" i="61"/>
  <c r="K19" i="61"/>
  <c r="K31" i="61"/>
  <c r="K30" i="61"/>
  <c r="K21" i="61"/>
  <c r="K32" i="61"/>
  <c r="K26" i="61"/>
  <c r="K15" i="61"/>
  <c r="K14" i="61"/>
  <c r="K29" i="61"/>
  <c r="K28" i="61"/>
  <c r="K13" i="61"/>
  <c r="K16" i="61"/>
  <c r="K27" i="61"/>
  <c r="K25" i="61"/>
  <c r="K22" i="61"/>
  <c r="O24" i="61"/>
  <c r="O18" i="61"/>
  <c r="O23" i="61"/>
  <c r="B18" i="61"/>
  <c r="B23" i="61"/>
  <c r="B21" i="61"/>
  <c r="B8" i="61"/>
  <c r="K24" i="61" a="1"/>
  <c r="K17" i="61" a="1"/>
  <c r="K12" i="61" a="1"/>
  <c r="A665" i="38" l="1"/>
  <c r="J664" i="38"/>
  <c r="J14" i="38"/>
  <c r="A15" i="38"/>
  <c r="J1122" i="38"/>
  <c r="A1123" i="38"/>
  <c r="A1178" i="38"/>
  <c r="J1177" i="38"/>
  <c r="A1284" i="38"/>
  <c r="J1283" i="38"/>
  <c r="J1337" i="38"/>
  <c r="A1338" i="38"/>
  <c r="A620" i="38"/>
  <c r="J619" i="38"/>
  <c r="A66" i="38"/>
  <c r="J65" i="38"/>
  <c r="J1425" i="38"/>
  <c r="A1426" i="38"/>
  <c r="K17" i="61"/>
  <c r="K24" i="61"/>
  <c r="K12" i="61"/>
  <c r="J66" i="38" l="1"/>
  <c r="A67" i="38"/>
  <c r="A1179" i="38"/>
  <c r="J1178" i="38"/>
  <c r="A1124" i="38"/>
  <c r="J1123" i="38"/>
  <c r="A621" i="38"/>
  <c r="J620" i="38"/>
  <c r="A1339" i="38"/>
  <c r="J1338" i="38"/>
  <c r="A16" i="38"/>
  <c r="J15" i="38"/>
  <c r="J1426" i="38"/>
  <c r="A1427" i="38"/>
  <c r="A1285" i="38"/>
  <c r="J1284" i="38"/>
  <c r="A666" i="38"/>
  <c r="J665" i="38"/>
  <c r="A1286" i="38" l="1"/>
  <c r="J1285" i="38"/>
  <c r="A622" i="38"/>
  <c r="J621" i="38"/>
  <c r="J1124" i="38"/>
  <c r="A1125" i="38"/>
  <c r="J16" i="38"/>
  <c r="A17" i="38"/>
  <c r="J1179" i="38"/>
  <c r="A1180" i="38"/>
  <c r="A1428" i="38"/>
  <c r="J1427" i="38"/>
  <c r="J67" i="38"/>
  <c r="A68" i="38"/>
  <c r="A667" i="38"/>
  <c r="J666" i="38"/>
  <c r="A1340" i="38"/>
  <c r="J1339" i="38"/>
  <c r="J17" i="38" l="1"/>
  <c r="A18" i="38"/>
  <c r="J667" i="38"/>
  <c r="A668" i="38"/>
  <c r="A69" i="38"/>
  <c r="J68" i="38"/>
  <c r="A1126" i="38"/>
  <c r="J1125" i="38"/>
  <c r="J1428" i="38"/>
  <c r="A1429" i="38"/>
  <c r="A623" i="38"/>
  <c r="J622" i="38"/>
  <c r="J1180" i="38"/>
  <c r="A1181" i="38"/>
  <c r="A1341" i="38"/>
  <c r="J1340" i="38"/>
  <c r="A1287" i="38"/>
  <c r="J1286" i="38"/>
  <c r="A1342" i="38" l="1"/>
  <c r="J1341" i="38"/>
  <c r="A1127" i="38"/>
  <c r="J1126" i="38"/>
  <c r="A70" i="38"/>
  <c r="J69" i="38"/>
  <c r="A669" i="38"/>
  <c r="J668" i="38"/>
  <c r="A1182" i="38"/>
  <c r="J1181" i="38"/>
  <c r="J623" i="38"/>
  <c r="A624" i="38"/>
  <c r="J1429" i="38"/>
  <c r="A1430" i="38"/>
  <c r="A19" i="38"/>
  <c r="J18" i="38"/>
  <c r="J1287" i="38"/>
  <c r="A1288" i="38"/>
  <c r="J19" i="38" l="1"/>
  <c r="A20" i="38"/>
  <c r="A670" i="38"/>
  <c r="J669" i="38"/>
  <c r="J70" i="38"/>
  <c r="A71" i="38"/>
  <c r="A1128" i="38"/>
  <c r="J1127" i="38"/>
  <c r="J1430" i="38"/>
  <c r="A1431" i="38"/>
  <c r="A625" i="38"/>
  <c r="J624" i="38"/>
  <c r="J1288" i="38"/>
  <c r="A1289" i="38"/>
  <c r="J1182" i="38"/>
  <c r="A1183" i="38"/>
  <c r="J1342" i="38"/>
  <c r="A1343" i="38"/>
  <c r="J1128" i="38" l="1"/>
  <c r="A1129" i="38"/>
  <c r="A1290" i="38"/>
  <c r="J1289" i="38"/>
  <c r="A72" i="38"/>
  <c r="J71" i="38"/>
  <c r="A1184" i="38"/>
  <c r="J1183" i="38"/>
  <c r="A626" i="38"/>
  <c r="J625" i="38"/>
  <c r="A671" i="38"/>
  <c r="J670" i="38"/>
  <c r="A1344" i="38"/>
  <c r="J1343" i="38"/>
  <c r="A1432" i="38"/>
  <c r="J1431" i="38"/>
  <c r="J1432" i="38" l="1"/>
  <c r="A1433" i="38"/>
  <c r="J1184" i="38"/>
  <c r="A1185" i="38"/>
  <c r="A1345" i="38"/>
  <c r="J1344" i="38"/>
  <c r="J72" i="38"/>
  <c r="A73" i="38"/>
  <c r="A672" i="38"/>
  <c r="J671" i="38"/>
  <c r="J1290" i="38"/>
  <c r="A1291" i="38"/>
  <c r="J1129" i="38"/>
  <c r="A1130" i="38"/>
  <c r="A627" i="38"/>
  <c r="J626" i="38"/>
  <c r="J73" i="38" l="1"/>
  <c r="A74" i="38"/>
  <c r="J627" i="38"/>
  <c r="A628" i="38"/>
  <c r="J1130" i="38"/>
  <c r="A1131" i="38"/>
  <c r="J1345" i="38"/>
  <c r="A1346" i="38"/>
  <c r="A1292" i="38"/>
  <c r="J1291" i="38"/>
  <c r="J1185" i="38"/>
  <c r="A1186" i="38"/>
  <c r="A673" i="38"/>
  <c r="J672" i="38"/>
  <c r="A1434" i="38"/>
  <c r="J1433" i="38"/>
  <c r="A1347" i="38" l="1"/>
  <c r="J1346" i="38"/>
  <c r="J1434" i="38"/>
  <c r="A1435" i="38"/>
  <c r="A1132" i="38"/>
  <c r="J1131" i="38"/>
  <c r="A674" i="38"/>
  <c r="J673" i="38"/>
  <c r="A1187" i="38"/>
  <c r="J1186" i="38"/>
  <c r="A629" i="38"/>
  <c r="J628" i="38"/>
  <c r="J74" i="38"/>
  <c r="A75" i="38"/>
  <c r="J1292" i="38"/>
  <c r="A1293" i="38"/>
  <c r="A675" i="38" l="1"/>
  <c r="J674" i="38"/>
  <c r="A1133" i="38"/>
  <c r="J1132" i="38"/>
  <c r="J629" i="38"/>
  <c r="A630" i="38"/>
  <c r="A1294" i="38"/>
  <c r="J1293" i="38"/>
  <c r="A76" i="38"/>
  <c r="J75" i="38"/>
  <c r="A1436" i="38"/>
  <c r="J1435" i="38"/>
  <c r="J1187" i="38"/>
  <c r="A1188" i="38"/>
  <c r="A1348" i="38"/>
  <c r="J1347" i="38"/>
  <c r="A1349" i="38" l="1"/>
  <c r="J1348" i="38"/>
  <c r="A1295" i="38"/>
  <c r="J1294" i="38"/>
  <c r="J1188" i="38"/>
  <c r="A1189" i="38"/>
  <c r="A631" i="38"/>
  <c r="J630" i="38"/>
  <c r="J1436" i="38"/>
  <c r="A1437" i="38"/>
  <c r="J1133" i="38"/>
  <c r="A1134" i="38"/>
  <c r="A77" i="38"/>
  <c r="J76" i="38"/>
  <c r="A676" i="38"/>
  <c r="J675" i="38"/>
  <c r="A677" i="38" l="1"/>
  <c r="J676" i="38"/>
  <c r="J631" i="38"/>
  <c r="A632" i="38"/>
  <c r="A1190" i="38"/>
  <c r="J1189" i="38"/>
  <c r="A1438" i="38"/>
  <c r="J1437" i="38"/>
  <c r="J77" i="38"/>
  <c r="A78" i="38"/>
  <c r="A1135" i="38"/>
  <c r="J1134" i="38"/>
  <c r="A1296" i="38"/>
  <c r="J1295" i="38"/>
  <c r="J1349" i="38"/>
  <c r="A1350" i="38"/>
  <c r="J1438" i="38" l="1"/>
  <c r="A1439" i="38"/>
  <c r="A1297" i="38"/>
  <c r="J1296" i="38"/>
  <c r="A1191" i="38"/>
  <c r="J1190" i="38"/>
  <c r="A633" i="38"/>
  <c r="J632" i="38"/>
  <c r="A1351" i="38"/>
  <c r="J1350" i="38"/>
  <c r="A1136" i="38"/>
  <c r="J1135" i="38"/>
  <c r="A79" i="38"/>
  <c r="J78" i="38"/>
  <c r="A678" i="38"/>
  <c r="J677" i="38"/>
  <c r="A679" i="38" l="1"/>
  <c r="J678" i="38"/>
  <c r="J633" i="38"/>
  <c r="A634" i="38"/>
  <c r="J79" i="38"/>
  <c r="A80" i="38"/>
  <c r="A1192" i="38"/>
  <c r="J1191" i="38"/>
  <c r="J1351" i="38"/>
  <c r="A1352" i="38"/>
  <c r="A1137" i="38"/>
  <c r="J1136" i="38"/>
  <c r="A1298" i="38"/>
  <c r="J1297" i="38"/>
  <c r="A1440" i="38"/>
  <c r="J1439" i="38"/>
  <c r="J1440" i="38" l="1"/>
  <c r="A1441" i="38"/>
  <c r="A1193" i="38"/>
  <c r="J1192" i="38"/>
  <c r="A81" i="38"/>
  <c r="J80" i="38"/>
  <c r="J634" i="38"/>
  <c r="A635" i="38"/>
  <c r="A1299" i="38"/>
  <c r="J1298" i="38"/>
  <c r="A1138" i="38"/>
  <c r="J1137" i="38"/>
  <c r="A1353" i="38"/>
  <c r="J1352" i="38"/>
  <c r="A680" i="38"/>
  <c r="J679" i="38"/>
  <c r="J635" i="38" l="1"/>
  <c r="A636" i="38"/>
  <c r="A681" i="38"/>
  <c r="J680" i="38"/>
  <c r="J81" i="38"/>
  <c r="A82" i="38"/>
  <c r="A1300" i="38"/>
  <c r="J1299" i="38"/>
  <c r="A1139" i="38"/>
  <c r="J1138" i="38"/>
  <c r="J1193" i="38"/>
  <c r="A1194" i="38"/>
  <c r="A1354" i="38"/>
  <c r="J1353" i="38"/>
  <c r="J1441" i="38"/>
  <c r="A1442" i="38"/>
  <c r="A1301" i="38" l="1"/>
  <c r="J1300" i="38"/>
  <c r="A83" i="38"/>
  <c r="J82" i="38"/>
  <c r="A1443" i="38"/>
  <c r="J1442" i="38"/>
  <c r="A682" i="38"/>
  <c r="J681" i="38"/>
  <c r="J636" i="38"/>
  <c r="A637" i="38"/>
  <c r="A1355" i="38"/>
  <c r="J1354" i="38"/>
  <c r="A1195" i="38"/>
  <c r="J1194" i="38"/>
  <c r="J1139" i="38"/>
  <c r="A1140" i="38"/>
  <c r="A683" i="38" l="1"/>
  <c r="J682" i="38"/>
  <c r="J1195" i="38"/>
  <c r="A1196" i="38"/>
  <c r="A1444" i="38"/>
  <c r="J1443" i="38"/>
  <c r="A1141" i="38"/>
  <c r="J1140" i="38"/>
  <c r="J1355" i="38"/>
  <c r="A1356" i="38"/>
  <c r="A84" i="38"/>
  <c r="J83" i="38"/>
  <c r="A638" i="38"/>
  <c r="J638" i="38" s="1"/>
  <c r="J637" i="38"/>
  <c r="A1302" i="38"/>
  <c r="A1303" i="38" s="1"/>
  <c r="J1301" i="38"/>
  <c r="A1304" i="38" l="1"/>
  <c r="J1303" i="38"/>
  <c r="A1142" i="38"/>
  <c r="J1141" i="38"/>
  <c r="A1445" i="38"/>
  <c r="J1444" i="38"/>
  <c r="J1196" i="38"/>
  <c r="A1197" i="38"/>
  <c r="A85" i="38"/>
  <c r="J84" i="38"/>
  <c r="J1356" i="38"/>
  <c r="A1357" i="38"/>
  <c r="A684" i="38"/>
  <c r="J683" i="38"/>
  <c r="A685" i="38" l="1"/>
  <c r="J684" i="38"/>
  <c r="J1445" i="38"/>
  <c r="A1446" i="38"/>
  <c r="A1143" i="38"/>
  <c r="J1142" i="38"/>
  <c r="J1197" i="38"/>
  <c r="A1198" i="38"/>
  <c r="J1357" i="38"/>
  <c r="A1358" i="38"/>
  <c r="J85" i="38"/>
  <c r="A86" i="38"/>
  <c r="A1305" i="38"/>
  <c r="J1304" i="38"/>
  <c r="J1358" i="38" l="1"/>
  <c r="A1359" i="38"/>
  <c r="J1198" i="38"/>
  <c r="A1199" i="38"/>
  <c r="A1306" i="38"/>
  <c r="J1305" i="38"/>
  <c r="A1144" i="38"/>
  <c r="J1143" i="38"/>
  <c r="A87" i="38"/>
  <c r="J86" i="38"/>
  <c r="J1446" i="38"/>
  <c r="A1447" i="38"/>
  <c r="A686" i="38"/>
  <c r="J685" i="38"/>
  <c r="A1145" i="38" l="1"/>
  <c r="J1144" i="38"/>
  <c r="A88" i="38"/>
  <c r="J87" i="38"/>
  <c r="A687" i="38"/>
  <c r="J686" i="38"/>
  <c r="A1307" i="38"/>
  <c r="J1306" i="38"/>
  <c r="J1447" i="38"/>
  <c r="A1448" i="38"/>
  <c r="J1199" i="38"/>
  <c r="A1200" i="38"/>
  <c r="A1360" i="38"/>
  <c r="J1359" i="38"/>
  <c r="A1449" i="38" l="1"/>
  <c r="J1448" i="38"/>
  <c r="A1308" i="38"/>
  <c r="J1307" i="38"/>
  <c r="A1361" i="38"/>
  <c r="J1360" i="38"/>
  <c r="A688" i="38"/>
  <c r="J687" i="38"/>
  <c r="A1201" i="38"/>
  <c r="J1200" i="38"/>
  <c r="A89" i="38"/>
  <c r="J88" i="38"/>
  <c r="J1145" i="38"/>
  <c r="A1146" i="38"/>
  <c r="A689" i="38" l="1"/>
  <c r="J688" i="38"/>
  <c r="J1361" i="38"/>
  <c r="A1362" i="38"/>
  <c r="J1146" i="38"/>
  <c r="A1147" i="38"/>
  <c r="A90" i="38"/>
  <c r="J89" i="38"/>
  <c r="A1309" i="38"/>
  <c r="A1310" i="38" s="1"/>
  <c r="J1308" i="38"/>
  <c r="J1201" i="38"/>
  <c r="A1202" i="38"/>
  <c r="A1450" i="38"/>
  <c r="J1449" i="38"/>
  <c r="A91" i="38" l="1"/>
  <c r="J90" i="38"/>
  <c r="A1148" i="38"/>
  <c r="J1147" i="38"/>
  <c r="A1451" i="38"/>
  <c r="J1450" i="38"/>
  <c r="A1203" i="38"/>
  <c r="J1202" i="38"/>
  <c r="J1362" i="38"/>
  <c r="A1363" i="38"/>
  <c r="A1311" i="38"/>
  <c r="J1310" i="38"/>
  <c r="A690" i="38"/>
  <c r="J689" i="38"/>
  <c r="J1363" i="38" l="1"/>
  <c r="A1364" i="38"/>
  <c r="A1204" i="38"/>
  <c r="J1203" i="38"/>
  <c r="A691" i="38"/>
  <c r="J690" i="38"/>
  <c r="A1452" i="38"/>
  <c r="J1451" i="38"/>
  <c r="A1312" i="38"/>
  <c r="J1311" i="38"/>
  <c r="A1149" i="38"/>
  <c r="J1148" i="38"/>
  <c r="J91" i="38"/>
  <c r="A92" i="38"/>
  <c r="A1453" i="38" l="1"/>
  <c r="J1452" i="38"/>
  <c r="A692" i="38"/>
  <c r="J691" i="38"/>
  <c r="A1313" i="38"/>
  <c r="J1312" i="38"/>
  <c r="A93" i="38"/>
  <c r="J92" i="38"/>
  <c r="A1150" i="38"/>
  <c r="J1149" i="38"/>
  <c r="A1205" i="38"/>
  <c r="J1204" i="38"/>
  <c r="A1365" i="38"/>
  <c r="J1364" i="38"/>
  <c r="J93" i="38" l="1"/>
  <c r="A94" i="38"/>
  <c r="J1365" i="38"/>
  <c r="A1366" i="38"/>
  <c r="A1314" i="38"/>
  <c r="J1313" i="38"/>
  <c r="A1206" i="38"/>
  <c r="J1205" i="38"/>
  <c r="A693" i="38"/>
  <c r="J692" i="38"/>
  <c r="J1150" i="38"/>
  <c r="A1151" i="38"/>
  <c r="J1151" i="38" s="1"/>
  <c r="J1453" i="38"/>
  <c r="A1454" i="38"/>
  <c r="A694" i="38" l="1"/>
  <c r="J693" i="38"/>
  <c r="A1207" i="38"/>
  <c r="J1206" i="38"/>
  <c r="A1315" i="38"/>
  <c r="J1314" i="38"/>
  <c r="A1455" i="38"/>
  <c r="J1454" i="38"/>
  <c r="A1367" i="38"/>
  <c r="J1366" i="38"/>
  <c r="J94" i="38"/>
  <c r="A95" i="38"/>
  <c r="J1455" i="38" l="1"/>
  <c r="A1456" i="38"/>
  <c r="A1316" i="38"/>
  <c r="J1316" i="38" s="1"/>
  <c r="J1315" i="38"/>
  <c r="A1208" i="38"/>
  <c r="J1207" i="38"/>
  <c r="J95" i="38"/>
  <c r="A96" i="38"/>
  <c r="A1368" i="38"/>
  <c r="J1367" i="38"/>
  <c r="A695" i="38"/>
  <c r="J694" i="38"/>
  <c r="A696" i="38" l="1"/>
  <c r="J695" i="38"/>
  <c r="J1368" i="38"/>
  <c r="A1369" i="38"/>
  <c r="A97" i="38"/>
  <c r="J96" i="38"/>
  <c r="J1208" i="38"/>
  <c r="A1209" i="38"/>
  <c r="J1456" i="38"/>
  <c r="A1457" i="38"/>
  <c r="A1458" i="38" l="1"/>
  <c r="J1457" i="38"/>
  <c r="A1210" i="38"/>
  <c r="J1209" i="38"/>
  <c r="A98" i="38"/>
  <c r="J97" i="38"/>
  <c r="J1369" i="38"/>
  <c r="A1370" i="38"/>
  <c r="A697" i="38"/>
  <c r="J696" i="38"/>
  <c r="J1370" i="38" l="1"/>
  <c r="A1371" i="38"/>
  <c r="A99" i="38"/>
  <c r="J98" i="38"/>
  <c r="A1211" i="38"/>
  <c r="J1210" i="38"/>
  <c r="A698" i="38"/>
  <c r="J697" i="38"/>
  <c r="A1459" i="38"/>
  <c r="J1458" i="38"/>
  <c r="A699" i="38" l="1"/>
  <c r="J698" i="38"/>
  <c r="A1460" i="38"/>
  <c r="J1459" i="38"/>
  <c r="J1211" i="38"/>
  <c r="A1212" i="38"/>
  <c r="A100" i="38"/>
  <c r="J99" i="38"/>
  <c r="J1371" i="38"/>
  <c r="A1372" i="38"/>
  <c r="A101" i="38" l="1"/>
  <c r="J100" i="38"/>
  <c r="J1372" i="38"/>
  <c r="A1373" i="38"/>
  <c r="A1213" i="38"/>
  <c r="J1212" i="38"/>
  <c r="J1460" i="38"/>
  <c r="A1461" i="38"/>
  <c r="A700" i="38"/>
  <c r="J699" i="38"/>
  <c r="A1462" i="38" l="1"/>
  <c r="J1461" i="38"/>
  <c r="A1214" i="38"/>
  <c r="J1213" i="38"/>
  <c r="A1374" i="38"/>
  <c r="J1373" i="38"/>
  <c r="A701" i="38"/>
  <c r="J700" i="38"/>
  <c r="A102" i="38"/>
  <c r="J101" i="38"/>
  <c r="A702" i="38" l="1"/>
  <c r="J701" i="38"/>
  <c r="A1375" i="38"/>
  <c r="J1374" i="38"/>
  <c r="A1215" i="38"/>
  <c r="J1214" i="38"/>
  <c r="A103" i="38"/>
  <c r="J102" i="38"/>
  <c r="J1462" i="38"/>
  <c r="A1463" i="38"/>
  <c r="J103" i="38" l="1"/>
  <c r="A104" i="38"/>
  <c r="J1463" i="38"/>
  <c r="A1464" i="38"/>
  <c r="A1216" i="38"/>
  <c r="J1215" i="38"/>
  <c r="A1376" i="38"/>
  <c r="J1375" i="38"/>
  <c r="A703" i="38"/>
  <c r="J702" i="38"/>
  <c r="A1377" i="38" l="1"/>
  <c r="J1376" i="38"/>
  <c r="A704" i="38"/>
  <c r="J703" i="38"/>
  <c r="A1217" i="38"/>
  <c r="J1216" i="38"/>
  <c r="A1465" i="38"/>
  <c r="J1464" i="38"/>
  <c r="J104" i="38"/>
  <c r="A105" i="38"/>
  <c r="A1466" i="38" l="1"/>
  <c r="J1465" i="38"/>
  <c r="J105" i="38"/>
  <c r="A106" i="38"/>
  <c r="J1217" i="38"/>
  <c r="A1218" i="38"/>
  <c r="A705" i="38"/>
  <c r="J704" i="38"/>
  <c r="A1378" i="38"/>
  <c r="J1377" i="38"/>
  <c r="A706" i="38" l="1"/>
  <c r="J705" i="38"/>
  <c r="A1219" i="38"/>
  <c r="J1218" i="38"/>
  <c r="A107" i="38"/>
  <c r="J106" i="38"/>
  <c r="J1378" i="38"/>
  <c r="A1379" i="38"/>
  <c r="J1466" i="38"/>
  <c r="A1467" i="38"/>
  <c r="A1380" i="38" l="1"/>
  <c r="J1379" i="38"/>
  <c r="A108" i="38"/>
  <c r="J107" i="38"/>
  <c r="A1468" i="38"/>
  <c r="J1467" i="38"/>
  <c r="A1220" i="38"/>
  <c r="J1219" i="38"/>
  <c r="A707" i="38"/>
  <c r="J706" i="38"/>
  <c r="A1221" i="38" l="1"/>
  <c r="J1220" i="38"/>
  <c r="J1468" i="38"/>
  <c r="A1469" i="38"/>
  <c r="A109" i="38"/>
  <c r="J108" i="38"/>
  <c r="A708" i="38"/>
  <c r="J707" i="38"/>
  <c r="J1380" i="38"/>
  <c r="A1381" i="38"/>
  <c r="A709" i="38" l="1"/>
  <c r="J708" i="38"/>
  <c r="A1382" i="38"/>
  <c r="J1381" i="38"/>
  <c r="A110" i="38"/>
  <c r="J109" i="38"/>
  <c r="A1470" i="38"/>
  <c r="J1469" i="38"/>
  <c r="J1221" i="38"/>
  <c r="A1222" i="38"/>
  <c r="J1470" i="38" l="1"/>
  <c r="A1471" i="38"/>
  <c r="A1223" i="38"/>
  <c r="J1222" i="38"/>
  <c r="A111" i="38"/>
  <c r="J110" i="38"/>
  <c r="A1383" i="38"/>
  <c r="J1382" i="38"/>
  <c r="A710" i="38"/>
  <c r="J709" i="38"/>
  <c r="J1383" i="38" l="1"/>
  <c r="A1384" i="38"/>
  <c r="A711" i="38"/>
  <c r="J710" i="38"/>
  <c r="J111" i="38"/>
  <c r="A112" i="38"/>
  <c r="J1223" i="38"/>
  <c r="A1224" i="38"/>
  <c r="J1471" i="38"/>
  <c r="A1472" i="38"/>
  <c r="J1224" i="38" l="1"/>
  <c r="A1225" i="38"/>
  <c r="J112" i="38"/>
  <c r="A113" i="38"/>
  <c r="A712" i="38"/>
  <c r="J711" i="38"/>
  <c r="A1473" i="38"/>
  <c r="J1472" i="38"/>
  <c r="A1385" i="38"/>
  <c r="J1384" i="38"/>
  <c r="A1474" i="38" l="1"/>
  <c r="J1473" i="38"/>
  <c r="J1385" i="38"/>
  <c r="A1386" i="38"/>
  <c r="A713" i="38"/>
  <c r="J712" i="38"/>
  <c r="A114" i="38"/>
  <c r="J113" i="38"/>
  <c r="J1225" i="38"/>
  <c r="A1226" i="38"/>
  <c r="A115" i="38" l="1"/>
  <c r="J114" i="38"/>
  <c r="J1226" i="38"/>
  <c r="A1227" i="38"/>
  <c r="A714" i="38"/>
  <c r="J713" i="38"/>
  <c r="J1386" i="38"/>
  <c r="A1387" i="38"/>
  <c r="J1474" i="38"/>
  <c r="A1475" i="38"/>
  <c r="A1476" i="38" l="1"/>
  <c r="J1475" i="38"/>
  <c r="J1387" i="38"/>
  <c r="A1388" i="38"/>
  <c r="A715" i="38"/>
  <c r="J714" i="38"/>
  <c r="A1228" i="38"/>
  <c r="J1227" i="38"/>
  <c r="J115" i="38"/>
  <c r="A116" i="38"/>
  <c r="A1229" i="38" l="1"/>
  <c r="J1228" i="38"/>
  <c r="J116" i="38"/>
  <c r="A117" i="38"/>
  <c r="A716" i="38"/>
  <c r="J715" i="38"/>
  <c r="J1388" i="38"/>
  <c r="A1389" i="38"/>
  <c r="J1476" i="38"/>
  <c r="A1477" i="38"/>
  <c r="A1478" i="38" l="1"/>
  <c r="J1477" i="38"/>
  <c r="J1389" i="38"/>
  <c r="A1390" i="38"/>
  <c r="A717" i="38"/>
  <c r="J716" i="38"/>
  <c r="A118" i="38"/>
  <c r="J117" i="38"/>
  <c r="J1229" i="38"/>
  <c r="A1230" i="38"/>
  <c r="J1230" i="38" s="1"/>
  <c r="A119" i="38" l="1"/>
  <c r="J118" i="38"/>
  <c r="A718" i="38"/>
  <c r="J717" i="38"/>
  <c r="A1391" i="38"/>
  <c r="J1390" i="38"/>
  <c r="A1479" i="38"/>
  <c r="J1478" i="38"/>
  <c r="A1480" i="38" l="1"/>
  <c r="J1479" i="38"/>
  <c r="A1392" i="38"/>
  <c r="J1391" i="38"/>
  <c r="A719" i="38"/>
  <c r="J718" i="38"/>
  <c r="A120" i="38"/>
  <c r="J119" i="38"/>
  <c r="A121" i="38" l="1"/>
  <c r="J120" i="38"/>
  <c r="A720" i="38"/>
  <c r="J719" i="38"/>
  <c r="J1392" i="38"/>
  <c r="A1393" i="38"/>
  <c r="A1481" i="38"/>
  <c r="J1480" i="38"/>
  <c r="J1481" i="38" l="1"/>
  <c r="A1482" i="38"/>
  <c r="J1393" i="38"/>
  <c r="A1394" i="38"/>
  <c r="A721" i="38"/>
  <c r="J720" i="38"/>
  <c r="A122" i="38"/>
  <c r="J121" i="38"/>
  <c r="J122" i="38" l="1"/>
  <c r="A123" i="38"/>
  <c r="A722" i="38"/>
  <c r="J721" i="38"/>
  <c r="A1395" i="38"/>
  <c r="J1394" i="38"/>
  <c r="A1483" i="38"/>
  <c r="J1482" i="38"/>
  <c r="J1483" i="38" l="1"/>
  <c r="A1484" i="38"/>
  <c r="A1396" i="38"/>
  <c r="J1396" i="38" s="1"/>
  <c r="J1395" i="38"/>
  <c r="A723" i="38"/>
  <c r="J722" i="38"/>
  <c r="J123" i="38"/>
  <c r="A124" i="38"/>
  <c r="J124" i="38" l="1"/>
  <c r="A125" i="38"/>
  <c r="A724" i="38"/>
  <c r="J723" i="38"/>
  <c r="J1484" i="38"/>
  <c r="A1485" i="38"/>
  <c r="A725" i="38" l="1"/>
  <c r="J724" i="38"/>
  <c r="J1485" i="38"/>
  <c r="A1486" i="38"/>
  <c r="A126" i="38"/>
  <c r="J125" i="38"/>
  <c r="A127" i="38" l="1"/>
  <c r="J126" i="38"/>
  <c r="A1487" i="38"/>
  <c r="J1486" i="38"/>
  <c r="A726" i="38"/>
  <c r="J725" i="38"/>
  <c r="A727" i="38" l="1"/>
  <c r="J726" i="38"/>
  <c r="A1488" i="38"/>
  <c r="J1487" i="38"/>
  <c r="A128" i="38"/>
  <c r="J127" i="38"/>
  <c r="J128" i="38" l="1"/>
  <c r="A129" i="38"/>
  <c r="J1488" i="38"/>
  <c r="A1489" i="38"/>
  <c r="A728" i="38"/>
  <c r="J727" i="38"/>
  <c r="A729" i="38" l="1"/>
  <c r="J728" i="38"/>
  <c r="A130" i="38"/>
  <c r="J129" i="38"/>
  <c r="J1489" i="38"/>
  <c r="A1490" i="38"/>
  <c r="A1491" i="38" l="1"/>
  <c r="J1490" i="38"/>
  <c r="A131" i="38"/>
  <c r="J130" i="38"/>
  <c r="A730" i="38"/>
  <c r="J729" i="38"/>
  <c r="A731" i="38" l="1"/>
  <c r="J730" i="38"/>
  <c r="J131" i="38"/>
  <c r="A132" i="38"/>
  <c r="J1491" i="38"/>
  <c r="A1492" i="38"/>
  <c r="J1492" i="38" l="1"/>
  <c r="A1493" i="38"/>
  <c r="A133" i="38"/>
  <c r="J132" i="38"/>
  <c r="A732" i="38"/>
  <c r="J731" i="38"/>
  <c r="A733" i="38" l="1"/>
  <c r="J732" i="38"/>
  <c r="J133" i="38"/>
  <c r="A134" i="38"/>
  <c r="A1494" i="38"/>
  <c r="J1493" i="38"/>
  <c r="A135" i="38" l="1"/>
  <c r="J134" i="38"/>
  <c r="J1494" i="38"/>
  <c r="A1495" i="38"/>
  <c r="A734" i="38"/>
  <c r="J733" i="38"/>
  <c r="A735" i="38" l="1"/>
  <c r="J734" i="38"/>
  <c r="J1495" i="38"/>
  <c r="A1496" i="38"/>
  <c r="A136" i="38"/>
  <c r="J135" i="38"/>
  <c r="A137" i="38" l="1"/>
  <c r="J136" i="38"/>
  <c r="J1496" i="38"/>
  <c r="A1497" i="38"/>
  <c r="A736" i="38"/>
  <c r="J735" i="38"/>
  <c r="A737" i="38" l="1"/>
  <c r="J736" i="38"/>
  <c r="A1498" i="38"/>
  <c r="J1497" i="38"/>
  <c r="A138" i="38"/>
  <c r="J137" i="38"/>
  <c r="J138" i="38" l="1"/>
  <c r="A139" i="38"/>
  <c r="A1499" i="38"/>
  <c r="J1499" i="38" s="1"/>
  <c r="J1498" i="38"/>
  <c r="A738" i="38"/>
  <c r="J737" i="38"/>
  <c r="A739" i="38" l="1"/>
  <c r="J738" i="38"/>
  <c r="A140" i="38"/>
  <c r="J139" i="38"/>
  <c r="J140" i="38" l="1"/>
  <c r="A141" i="38"/>
  <c r="A740" i="38"/>
  <c r="J739" i="38"/>
  <c r="A741" i="38" l="1"/>
  <c r="J740" i="38"/>
  <c r="J141" i="38"/>
  <c r="A142" i="38"/>
  <c r="J142" i="38" l="1"/>
  <c r="A143" i="38"/>
  <c r="A742" i="38"/>
  <c r="J741" i="38"/>
  <c r="A743" i="38" l="1"/>
  <c r="J742" i="38"/>
  <c r="A144" i="38"/>
  <c r="J143" i="38"/>
  <c r="A145" i="38" l="1"/>
  <c r="J144" i="38"/>
  <c r="A744" i="38"/>
  <c r="J743" i="38"/>
  <c r="A745" i="38" l="1"/>
  <c r="J744" i="38"/>
  <c r="A146" i="38"/>
  <c r="J145" i="38"/>
  <c r="J146" i="38" l="1"/>
  <c r="A147" i="38"/>
  <c r="A746" i="38"/>
  <c r="J745" i="38"/>
  <c r="A747" i="38" l="1"/>
  <c r="J746" i="38"/>
  <c r="J147" i="38"/>
  <c r="A148" i="38"/>
  <c r="A149" i="38" l="1"/>
  <c r="J148" i="38"/>
  <c r="A748" i="38"/>
  <c r="J747" i="38"/>
  <c r="A749" i="38" l="1"/>
  <c r="J748" i="38"/>
  <c r="A150" i="38"/>
  <c r="J149" i="38"/>
  <c r="J150" i="38" l="1"/>
  <c r="A151" i="38"/>
  <c r="A750" i="38"/>
  <c r="J749" i="38"/>
  <c r="A751" i="38" l="1"/>
  <c r="J750" i="38"/>
  <c r="J151" i="38"/>
  <c r="A152" i="38"/>
  <c r="A153" i="38" l="1"/>
  <c r="J152" i="38"/>
  <c r="A752" i="38"/>
  <c r="J751" i="38"/>
  <c r="A753" i="38" l="1"/>
  <c r="J752" i="38"/>
  <c r="J153" i="38"/>
  <c r="A154" i="38"/>
  <c r="J154" i="38" l="1"/>
  <c r="A155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J157" i="38"/>
  <c r="A158" i="38"/>
  <c r="A159" i="38" l="1"/>
  <c r="J158" i="38"/>
  <c r="A758" i="38"/>
  <c r="J757" i="38"/>
  <c r="A759" i="38" l="1"/>
  <c r="J758" i="38"/>
  <c r="A160" i="38"/>
  <c r="J159" i="38"/>
  <c r="A161" i="38" l="1"/>
  <c r="J160" i="38"/>
  <c r="A760" i="38"/>
  <c r="J759" i="38"/>
  <c r="A761" i="38" l="1"/>
  <c r="J760" i="38"/>
  <c r="A162" i="38"/>
  <c r="J161" i="38"/>
  <c r="J162" i="38" l="1"/>
  <c r="A163" i="38"/>
  <c r="A762" i="38"/>
  <c r="J761" i="38"/>
  <c r="A763" i="38" l="1"/>
  <c r="J762" i="38"/>
  <c r="J163" i="38"/>
  <c r="A164" i="38"/>
  <c r="A764" i="38" l="1"/>
  <c r="J763" i="38"/>
  <c r="A165" i="38"/>
  <c r="J164" i="38"/>
  <c r="A166" i="38" l="1"/>
  <c r="J165" i="38"/>
  <c r="A765" i="38"/>
  <c r="J764" i="38"/>
  <c r="A766" i="38" l="1"/>
  <c r="J765" i="38"/>
  <c r="A167" i="38"/>
  <c r="J166" i="38"/>
  <c r="J167" i="38" l="1"/>
  <c r="A168" i="38"/>
  <c r="A767" i="38"/>
  <c r="J766" i="38"/>
  <c r="A768" i="38" l="1"/>
  <c r="J767" i="38"/>
  <c r="J168" i="38"/>
  <c r="A169" i="38"/>
  <c r="J169" i="38" s="1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J986" i="38" l="1"/>
  <c r="A987" i="38"/>
  <c r="J987" i="38" l="1"/>
  <c r="A988" i="38"/>
  <c r="A989" i="38" l="1"/>
  <c r="J988" i="38"/>
  <c r="J989" i="38" l="1"/>
  <c r="A990" i="38"/>
  <c r="A991" i="38" l="1"/>
  <c r="J990" i="38"/>
  <c r="A992" i="38" l="1"/>
  <c r="J991" i="38"/>
  <c r="A993" i="38" l="1"/>
  <c r="J992" i="38"/>
  <c r="J993" i="38" l="1"/>
  <c r="A994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J1011" i="38" l="1"/>
  <c r="A1012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<sst xmlns="http://schemas.openxmlformats.org/spreadsheetml/2006/main" count="5015" uniqueCount="1391">
  <si>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</si>
  <si>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</si>
  <si>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</si>
  <si>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</si>
  <si>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</si>
  <si>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</si>
  <si>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</si>
  <si>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</si>
  <si>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</si>
  <si>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</si>
  <si>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</si>
  <si>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</si>
  <si>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</si>
  <si>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</si>
  <si>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</si>
  <si>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</si>
  <si>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</si>
  <si>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</si>
  <si>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</si>
  <si>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</si>
  <si>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</si>
  <si>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</si>
  <si>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</si>
  <si>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</si>
  <si>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</si>
  <si>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</si>
  <si>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</si>
  <si>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</si>
  <si>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</si>
  <si>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</si>
  <si>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</si>
  <si>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</si>
  <si>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</si>
  <si>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</si>
  <si>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</si>
  <si>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</si>
  <si>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</si>
  <si>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</si>
  <si>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</si>
  <si>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</si>
  <si>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</si>
  <si>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</si>
  <si>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</si>
  <si>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</si>
  <si>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</si>
  <si>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</si>
  <si>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</si>
  <si>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</si>
  <si>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</si>
  <si>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</si>
  <si>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</si>
  <si>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</si>
  <si>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</si>
  <si>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</si>
  <si>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</si>
  <si>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</si>
  <si>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</si>
  <si>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</si>
  <si>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</si>
  <si>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</si>
  <si>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</si>
  <si>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</si>
  <si>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</si>
  <si>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</si>
  <si>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</si>
  <si>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</si>
  <si>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</si>
  <si>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</si>
  <si>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</si>
  <si>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</si>
  <si>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</si>
  <si>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</si>
  <si>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</si>
  <si>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</si>
  <si>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</si>
  <si>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</si>
  <si>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</si>
  <si>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</si>
  <si>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</si>
  <si>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</si>
  <si>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</si>
  <si>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</si>
  <si>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</si>
  <si>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</si>
  <si>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</si>
  <si>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</si>
  <si>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</si>
  <si>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</si>
  <si>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</si>
  <si>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</si>
  <si>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</si>
  <si>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</si>
  <si>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</si>
  <si>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</si>
  <si>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</si>
  <si>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</si>
  <si>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</si>
  <si>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</si>
  <si>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</si>
  <si>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</si>
  <si>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</si>
  <si>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</si>
  <si>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</si>
  <si>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</si>
  <si>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</si>
  <si>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</si>
  <si>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</si>
  <si>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</si>
  <si>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</si>
  <si>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</si>
  <si>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</si>
  <si>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</si>
  <si>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</si>
  <si>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</si>
  <si>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</si>
  <si>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</si>
  <si>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</si>
  <si>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</si>
  <si>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</si>
  <si>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</si>
  <si>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</si>
  <si>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</si>
  <si>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</si>
  <si>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</si>
  <si>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</si>
  <si>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</si>
  <si>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</si>
  <si>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</si>
  <si>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</si>
  <si>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</si>
  <si>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</si>
  <si>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</si>
  <si>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</si>
  <si>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</si>
  <si>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</si>
  <si>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</si>
  <si>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</si>
  <si>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</si>
  <si>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</si>
  <si>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</si>
  <si>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</si>
  <si>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</si>
  <si>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</si>
  <si>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</si>
  <si>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</si>
  <si>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</si>
  <si>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</si>
  <si>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</si>
  <si>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</si>
  <si>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</si>
  <si>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</si>
  <si>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</si>
  <si>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</si>
  <si>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</si>
  <si>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</si>
  <si>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</si>
  <si>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</si>
  <si>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</si>
  <si>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</si>
  <si>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</si>
  <si>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</si>
  <si>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</si>
  <si>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</si>
  <si>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</si>
  <si>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</si>
  <si>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</si>
  <si>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</si>
  <si>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</si>
  <si>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</si>
  <si>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</si>
  <si>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</si>
  <si>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</si>
  <si>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</si>
  <si>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</si>
  <si>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</si>
  <si>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</si>
  <si>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</si>
  <si>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</si>
  <si>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</si>
  <si>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</si>
  <si>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</si>
  <si>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</si>
  <si>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</si>
  <si>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</si>
  <si>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</si>
  <si>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</si>
  <si>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</si>
  <si>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</si>
  <si>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</si>
  <si>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</si>
  <si>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</si>
  <si>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</si>
  <si>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</si>
  <si>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</si>
  <si>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</si>
  <si>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</si>
  <si>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</si>
  <si>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</si>
  <si>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</si>
  <si>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</si>
  <si>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</si>
  <si>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</si>
  <si>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</si>
  <si>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</si>
  <si>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</si>
  <si>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</si>
  <si>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</si>
  <si>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</si>
  <si>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</si>
  <si>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</si>
  <si>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</si>
  <si>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</si>
  <si>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</si>
  <si>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</si>
  <si>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</si>
  <si>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</si>
  <si>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</si>
  <si>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</si>
  <si>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</si>
  <si>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</si>
  <si>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</si>
  <si>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</si>
  <si>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</si>
  <si>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</si>
  <si>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</si>
  <si>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</si>
  <si>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</si>
  <si>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</si>
  <si>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</si>
  <si>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</si>
  <si>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</si>
  <si>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</si>
  <si>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</si>
  <si>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</si>
  <si>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</si>
  <si>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</si>
  <si>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</si>
  <si>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</si>
  <si>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</si>
  <si>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</si>
  <si>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</si>
  <si>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</si>
  <si>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</si>
  <si>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</si>
  <si>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</si>
  <si>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</si>
  <si>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</si>
  <si>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</si>
  <si>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</si>
  <si>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</si>
  <si>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</si>
  <si>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</si>
  <si>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</si>
  <si>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</si>
  <si>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</si>
  <si>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</si>
  <si>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</si>
  <si>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</si>
  <si>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</si>
  <si>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</si>
  <si>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</si>
  <si>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</si>
  <si>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</si>
  <si>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</si>
  <si>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</si>
  <si>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</si>
  <si>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</si>
  <si>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</si>
  <si>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</si>
  <si>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</si>
  <si>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</si>
  <si>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</si>
  <si>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</si>
  <si>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</si>
  <si>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</si>
  <si>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</si>
  <si>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</si>
  <si>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</si>
  <si>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</si>
  <si>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</si>
  <si>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</si>
  <si>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</si>
  <si>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</si>
  <si>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</si>
  <si>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</si>
  <si>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</si>
  <si>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</si>
  <si>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</si>
  <si>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</si>
  <si>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</si>
  <si>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</si>
  <si>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</si>
  <si>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</si>
  <si>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</si>
  <si>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</si>
  <si>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</si>
  <si>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</si>
  <si>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</si>
  <si>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</si>
  <si>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</si>
  <si>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</si>
  <si>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</si>
  <si>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</si>
  <si>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</si>
  <si>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</si>
  <si>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</si>
  <si>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</si>
  <si>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</si>
  <si>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</si>
  <si>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</si>
  <si>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</si>
  <si>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</si>
  <si>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</si>
  <si>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</si>
  <si>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</si>
  <si>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</si>
  <si>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</si>
  <si>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</si>
  <si>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</si>
  <si>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</si>
  <si>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</si>
  <si>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</si>
  <si>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</si>
  <si>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</si>
  <si>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</si>
  <si>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</si>
  <si>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</si>
  <si>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</si>
  <si>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</si>
  <si>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</si>
  <si>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</si>
  <si>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</si>
  <si>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</si>
  <si>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</si>
  <si>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</si>
  <si>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</si>
  <si>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</si>
  <si>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</si>
  <si>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</si>
  <si>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</si>
  <si>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</si>
  <si>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</si>
  <si>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</si>
  <si>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</si>
  <si>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</si>
  <si>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</si>
  <si>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</si>
  <si>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</si>
  <si>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</si>
  <si>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</si>
  <si>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</si>
  <si>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</si>
  <si>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</si>
  <si>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</si>
  <si>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</si>
  <si>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</si>
  <si>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</si>
  <si>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</si>
  <si>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</si>
  <si>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</si>
  <si>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</si>
  <si>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</si>
  <si>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</si>
  <si>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</si>
  <si>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</si>
  <si>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</si>
  <si>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</si>
  <si>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</si>
  <si>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</si>
  <si>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</si>
  <si>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</si>
  <si>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</si>
  <si>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</si>
  <si>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</si>
  <si>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</si>
  <si>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</si>
  <si>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</si>
  <si>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</si>
  <si>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</si>
  <si>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</si>
  <si>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</si>
  <si>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</si>
  <si>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</si>
  <si>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</si>
  <si>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</si>
  <si>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</si>
  <si>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</si>
  <si>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</si>
  <si>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</si>
  <si>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</si>
  <si>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</si>
  <si>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</si>
  <si>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</si>
  <si>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</si>
  <si>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</si>
  <si>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</si>
  <si>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</si>
  <si>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</si>
  <si>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</si>
  <si>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</si>
  <si>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</si>
  <si>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</si>
  <si>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</si>
  <si>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</si>
  <si>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</si>
  <si>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</si>
  <si>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</si>
  <si>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</si>
  <si>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</si>
  <si>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</si>
  <si>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</si>
  <si>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</si>
  <si>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</si>
  <si>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</si>
  <si>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</si>
  <si>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</si>
  <si>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</si>
  <si>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</si>
  <si>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</si>
  <si>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</si>
  <si>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</si>
  <si>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</si>
  <si>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</si>
  <si>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</si>
  <si>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</si>
  <si>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</si>
  <si>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</si>
  <si>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</si>
  <si>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</si>
  <si>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</si>
  <si>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</si>
  <si>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</si>
  <si>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</si>
  <si>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</si>
  <si>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</si>
  <si>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</si>
  <si>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</si>
  <si>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</si>
  <si>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</si>
  <si>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</si>
  <si>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</si>
  <si>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</si>
  <si>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</si>
  <si>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</si>
  <si>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</si>
  <si>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</si>
  <si>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</si>
  <si>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</si>
  <si>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</si>
  <si>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</si>
  <si>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</si>
  <si>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</si>
  <si>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</si>
  <si>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</si>
  <si>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</si>
  <si>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</si>
  <si>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</si>
  <si>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</si>
  <si>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</si>
  <si>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</si>
  <si>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</si>
  <si>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</si>
  <si>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</si>
  <si>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</si>
  <si>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</si>
  <si>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</si>
  <si>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</si>
  <si>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</si>
  <si>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</si>
  <si>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</si>
  <si>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</si>
  <si>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</si>
  <si>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</si>
  <si>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</si>
  <si>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</si>
  <si>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</si>
  <si>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</si>
  <si>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</si>
  <si>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</si>
  <si>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</si>
  <si>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</si>
  <si>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</si>
  <si>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</si>
  <si>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</si>
  <si>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</si>
  <si>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</si>
  <si>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</si>
  <si>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</si>
  <si>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</si>
  <si>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</si>
  <si>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</si>
  <si>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</si>
  <si>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</si>
  <si>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</si>
  <si>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</si>
  <si>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</si>
  <si>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</si>
  <si>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</si>
  <si>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</si>
  <si>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</si>
  <si>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</si>
  <si>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</si>
  <si>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</si>
  <si>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</si>
  <si>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</si>
  <si>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</si>
  <si>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</si>
  <si>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</si>
  <si>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</si>
  <si>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</si>
  <si>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</si>
  <si>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</si>
  <si>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</si>
  <si>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</si>
  <si>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</si>
  <si>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</si>
  <si>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</si>
  <si>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</si>
  <si>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</si>
  <si>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</si>
  <si>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</si>
  <si>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</si>
  <si>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</si>
  <si>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</si>
  <si>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</si>
  <si>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</si>
  <si>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</si>
  <si>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</si>
  <si>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</si>
  <si>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</si>
  <si>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</si>
  <si>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</si>
  <si>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</si>
  <si>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</si>
  <si>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</si>
  <si>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</si>
  <si>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</si>
  <si>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</si>
  <si>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</si>
  <si>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</si>
  <si>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</si>
  <si>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</si>
  <si>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</si>
  <si>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</si>
  <si>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</si>
  <si>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</si>
  <si>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</si>
  <si>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</si>
  <si>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</si>
  <si>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</si>
  <si>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</si>
  <si>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</si>
  <si>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</si>
  <si>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</si>
  <si>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</si>
  <si>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</si>
  <si>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</si>
  <si>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</si>
  <si>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</si>
  <si>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</si>
  <si>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</si>
  <si>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</si>
  <si>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</si>
  <si>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</si>
  <si>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</si>
  <si>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</si>
  <si>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</si>
  <si>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</si>
  <si>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</si>
  <si>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</si>
  <si>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</si>
  <si>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</si>
  <si>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</si>
  <si>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</si>
  <si>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</si>
  <si>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</si>
  <si>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</si>
  <si>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</si>
  <si>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</si>
  <si>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</si>
  <si>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</si>
  <si>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</si>
  <si>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</si>
  <si>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</si>
  <si>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</si>
  <si>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</si>
  <si>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</si>
  <si>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</si>
  <si>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</si>
  <si>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</si>
  <si>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</si>
  <si>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</si>
  <si>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</si>
  <si>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</si>
  <si>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</si>
  <si>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</si>
  <si>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</si>
  <si>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</si>
  <si>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</si>
  <si>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</si>
  <si>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</si>
  <si>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</si>
  <si>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</si>
  <si>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</si>
  <si>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</si>
  <si>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</si>
  <si>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</si>
  <si>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</si>
  <si>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</si>
  <si>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</si>
  <si>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</si>
  <si>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</si>
  <si>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</si>
  <si>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</si>
  <si>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</si>
  <si>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</si>
  <si>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</si>
  <si>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</si>
  <si>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</si>
  <si>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</si>
  <si>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</si>
  <si>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</si>
  <si>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</si>
  <si>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</si>
  <si>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</si>
  <si>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</si>
  <si>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</si>
  <si>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</si>
  <si>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</si>
  <si>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</si>
  <si>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</si>
  <si>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</si>
  <si>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</si>
  <si>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</si>
  <si>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</si>
  <si>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</si>
  <si>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</si>
  <si>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</si>
  <si>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</si>
  <si>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</si>
  <si>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</si>
  <si>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</si>
  <si>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</si>
  <si>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</si>
  <si>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</si>
  <si>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</si>
  <si>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</si>
  <si>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</si>
  <si>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</si>
  <si>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</si>
  <si>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</si>
  <si>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</si>
  <si>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</si>
  <si>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</si>
  <si>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</si>
  <si>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</si>
  <si>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</si>
  <si>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</si>
  <si>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</si>
  <si>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</si>
  <si>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</si>
  <si>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</si>
  <si>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</si>
  <si>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</si>
  <si>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</si>
  <si>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</si>
  <si>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</si>
  <si>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</si>
  <si>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</si>
  <si>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</si>
  <si>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</si>
  <si>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</si>
  <si>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</si>
  <si>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</si>
  <si>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</si>
  <si>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</si>
  <si>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</si>
  <si>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</si>
  <si>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</si>
  <si>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</si>
  <si>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</si>
  <si>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</si>
  <si>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</si>
  <si>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</si>
  <si>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</si>
  <si>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</si>
  <si>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</si>
  <si>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</si>
  <si>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</si>
  <si>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</si>
  <si>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</si>
  <si>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</si>
  <si>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</si>
  <si>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</si>
  <si>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</si>
  <si>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</si>
  <si>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</si>
  <si>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</si>
  <si>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</si>
  <si>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</si>
  <si>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</si>
  <si>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</si>
  <si>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</si>
  <si>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</si>
  <si>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</si>
  <si>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</si>
  <si>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</si>
  <si>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</si>
  <si>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</si>
  <si>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</si>
  <si>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</si>
  <si>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</si>
  <si>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</si>
  <si>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</si>
  <si>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</si>
  <si>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</si>
  <si>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</si>
  <si>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</si>
  <si>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</si>
  <si>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</si>
  <si>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</si>
  <si>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</si>
  <si>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</si>
  <si>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</si>
  <si>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</si>
  <si>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</si>
  <si>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</si>
  <si>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</si>
  <si>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</si>
  <si>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</si>
  <si>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</si>
  <si>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</si>
  <si>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</si>
  <si>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</si>
  <si>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</si>
  <si>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</si>
  <si>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</si>
  <si>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</si>
  <si>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</si>
  <si>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</si>
  <si>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</si>
  <si>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</si>
  <si>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</si>
  <si>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</si>
  <si>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</si>
  <si>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</si>
  <si>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</si>
  <si>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</si>
  <si>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</si>
  <si>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</si>
  <si>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</si>
  <si>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</si>
  <si>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</si>
  <si>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</si>
  <si>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</si>
  <si>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</si>
  <si>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</si>
  <si>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</si>
  <si>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</si>
  <si>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</si>
  <si>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</si>
  <si>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</si>
  <si>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</si>
  <si>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</si>
  <si>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</si>
  <si>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</si>
  <si>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</si>
  <si>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</si>
  <si>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</si>
  <si>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</si>
  <si>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</si>
  <si>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</si>
  <si>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</si>
  <si>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</si>
  <si>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</si>
  <si>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</si>
  <si>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</si>
  <si>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</si>
  <si>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</si>
  <si>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</si>
  <si>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</si>
  <si>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</si>
  <si>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</si>
  <si>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</si>
  <si>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</si>
  <si>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</si>
  <si>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</si>
  <si>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</si>
  <si>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</si>
  <si>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</si>
  <si>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</si>
  <si>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</si>
  <si>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</si>
  <si>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</si>
  <si>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</si>
  <si>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</si>
  <si>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</si>
  <si>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</si>
  <si>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</si>
  <si>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</si>
  <si>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</si>
  <si>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</si>
  <si>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</si>
  <si>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</si>
  <si>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</si>
  <si>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</si>
  <si>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</si>
  <si>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</si>
  <si>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</si>
  <si>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</si>
  <si>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</si>
  <si>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</si>
  <si>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</si>
  <si>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</si>
  <si>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</si>
  <si>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</si>
  <si>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</si>
  <si>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</si>
  <si>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</si>
  <si>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</si>
  <si>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</si>
  <si>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</si>
  <si>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</si>
  <si>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</si>
  <si>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</si>
  <si>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</si>
  <si>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</si>
  <si>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</si>
  <si>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</si>
  <si>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</si>
  <si>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</si>
  <si>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</si>
  <si>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</si>
  <si>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</si>
  <si>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</si>
  <si>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</si>
  <si>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</si>
  <si>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</si>
  <si>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</si>
  <si>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</si>
  <si>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</si>
  <si>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</si>
  <si>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</si>
  <si>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</si>
  <si>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</si>
  <si>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</si>
  <si>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</si>
  <si>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</si>
  <si>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</si>
  <si>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</si>
  <si>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</si>
  <si>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</si>
  <si>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</si>
  <si>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</si>
  <si>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</si>
  <si>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</si>
  <si>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</si>
  <si>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</si>
  <si>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</si>
  <si>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</si>
  <si>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</si>
  <si>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</si>
  <si>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</si>
  <si>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</si>
  <si>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</si>
  <si>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</si>
  <si>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</si>
  <si>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</si>
  <si>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</si>
  <si>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</si>
  <si>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</si>
  <si>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</si>
  <si>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</si>
  <si>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</si>
  <si>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</si>
  <si>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</si>
  <si>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</si>
  <si>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</si>
  <si>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</si>
  <si>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</si>
  <si>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</si>
  <si>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</si>
  <si>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</si>
  <si>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</si>
  <si>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</si>
  <si>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</si>
  <si>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</si>
  <si>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</si>
  <si>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</si>
  <si>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</si>
  <si>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</si>
  <si>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</si>
  <si>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</si>
  <si>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</si>
  <si>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</si>
  <si>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</si>
  <si>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</si>
  <si>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</si>
  <si>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</si>
  <si>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</si>
  <si>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</si>
  <si>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</si>
  <si>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</si>
  <si>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</si>
  <si>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</si>
  <si>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</si>
  <si>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</si>
  <si>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</si>
  <si>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</si>
  <si>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</si>
  <si>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</si>
  <si>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</si>
  <si>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</si>
  <si>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</si>
  <si>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</si>
  <si>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</si>
  <si>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</si>
  <si>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</si>
  <si>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</si>
  <si>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</si>
  <si>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</si>
  <si>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</si>
  <si>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</si>
  <si>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</si>
  <si>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</si>
  <si>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</si>
  <si>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</si>
  <si>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</si>
  <si>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</si>
  <si>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</si>
  <si>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</si>
  <si>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</si>
  <si>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</si>
  <si>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</si>
  <si>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</si>
  <si>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</si>
  <si>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</si>
  <si>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</si>
  <si>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</si>
  <si>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</si>
  <si>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</si>
  <si>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</si>
  <si>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</si>
  <si>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</si>
  <si>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</si>
  <si>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</si>
  <si>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</si>
  <si>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</si>
  <si>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</si>
  <si>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</si>
  <si>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</si>
  <si>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</si>
  <si>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</si>
  <si>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</si>
  <si>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</si>
  <si>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</si>
  <si>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</si>
  <si>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</si>
  <si>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</si>
  <si>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</si>
  <si>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</si>
  <si>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</si>
  <si>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</si>
  <si>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</si>
  <si>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</si>
  <si>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</si>
  <si>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</si>
  <si>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</si>
  <si>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</si>
  <si>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</si>
  <si>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</si>
  <si>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</si>
  <si>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</si>
  <si>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</si>
  <si>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</si>
  <si>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</si>
  <si>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</si>
  <si>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</si>
  <si>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</si>
  <si>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</si>
  <si>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</si>
  <si>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</si>
  <si>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</si>
  <si>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</si>
  <si>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</si>
  <si>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</si>
  <si>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</si>
  <si>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</si>
  <si>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</si>
  <si>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</si>
  <si>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</si>
  <si>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</si>
  <si>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</si>
  <si>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</si>
  <si>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</si>
  <si>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</si>
  <si>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</si>
  <si>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</si>
  <si>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</si>
  <si>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</si>
  <si>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</si>
  <si>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</si>
  <si>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</si>
  <si>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</si>
  <si>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</si>
  <si>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</si>
  <si>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</si>
  <si>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</si>
  <si>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</si>
  <si>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</si>
  <si>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</si>
  <si>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</si>
  <si>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</si>
  <si>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</si>
  <si>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</si>
  <si>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</si>
  <si>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</si>
  <si>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</si>
  <si>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</si>
  <si>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</si>
  <si>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</si>
  <si>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</si>
  <si>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</si>
  <si>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</si>
  <si>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</si>
  <si>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</si>
  <si>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</si>
  <si>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</si>
  <si>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</si>
  <si>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</si>
  <si>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</si>
  <si>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</si>
  <si>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</si>
  <si>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</si>
  <si>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</si>
  <si>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</si>
  <si>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</si>
  <si>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</si>
  <si>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</si>
  <si>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</si>
  <si>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</si>
  <si>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</si>
  <si>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</si>
  <si>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</si>
  <si>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</si>
  <si>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</si>
  <si>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</si>
  <si>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</si>
  <si>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</si>
  <si>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</si>
  <si>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</si>
  <si>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</si>
  <si>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</si>
  <si>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</si>
  <si>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</si>
  <si>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</si>
  <si>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</si>
  <si>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</si>
  <si>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</si>
  <si>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</si>
  <si>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</si>
  <si>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</si>
  <si>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</si>
  <si>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</si>
  <si>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</si>
  <si>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</si>
  <si>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</si>
  <si>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</si>
  <si>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</si>
  <si>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</si>
  <si>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</si>
  <si>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</si>
  <si>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</si>
  <si>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</si>
  <si>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</si>
  <si>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</si>
  <si>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</si>
  <si>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</si>
  <si>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</si>
  <si>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</si>
  <si>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</si>
  <si>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</si>
  <si>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</si>
  <si>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</si>
  <si>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</si>
  <si>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</si>
  <si>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</si>
  <si>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</si>
  <si>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</si>
  <si>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</si>
  <si>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</si>
  <si>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</si>
  <si>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</si>
  <si>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</si>
  <si>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</si>
  <si>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</si>
  <si>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</si>
  <si>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</si>
  <si>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</si>
  <si>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</si>
  <si>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</si>
  <si>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</si>
  <si>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</si>
  <si>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</si>
  <si>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</si>
  <si>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</si>
  <si>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</si>
  <si>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</si>
  <si>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</si>
  <si>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</si>
  <si>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</si>
  <si>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</si>
  <si>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</si>
  <si>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</si>
  <si>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</si>
  <si>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</si>
  <si>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</si>
  <si>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</si>
  <si>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</si>
  <si>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</si>
  <si>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</si>
  <si>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</si>
  <si>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</si>
  <si>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</si>
  <si>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</si>
  <si>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</si>
  <si>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</si>
  <si>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</si>
  <si>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</si>
  <si>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</si>
  <si>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</si>
  <si>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</si>
  <si>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</si>
  <si>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</si>
  <si>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</si>
  <si>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</si>
  <si>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</si>
  <si>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</si>
  <si>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</si>
  <si>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</si>
  <si>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</si>
  <si>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</si>
  <si>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</si>
  <si>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</si>
  <si>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</si>
  <si>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</si>
  <si>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</si>
  <si>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</si>
  <si>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</si>
  <si>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</si>
  <si>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</si>
  <si>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</si>
  <si>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</si>
  <si>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</si>
  <si>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</si>
  <si>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</si>
  <si>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</si>
  <si>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</si>
  <si>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</si>
  <si>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</si>
  <si>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</si>
  <si>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</si>
  <si>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</si>
  <si>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</si>
  <si>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</si>
  <si>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</si>
  <si>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</si>
  <si>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</si>
  <si>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</si>
  <si>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</si>
  <si>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</si>
  <si>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</si>
  <si>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</si>
  <si>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</si>
  <si>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</si>
  <si>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</si>
  <si>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</si>
  <si>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</si>
  <si>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</si>
  <si>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</si>
  <si>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</si>
  <si>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</si>
  <si>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</si>
  <si>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</si>
  <si>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</si>
  <si>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</si>
  <si>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</si>
  <si>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</si>
  <si>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</si>
  <si>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</si>
  <si>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</si>
  <si>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</si>
  <si>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</si>
  <si>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</si>
  <si>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</si>
  <si>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</si>
  <si>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</si>
  <si>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</si>
  <si>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</si>
  <si>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</si>
  <si>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</si>
  <si>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</si>
  <si>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</si>
  <si>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</si>
  <si>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</si>
  <si>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</si>
  <si>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</si>
  <si>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</si>
  <si>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</si>
  <si>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</si>
  <si>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</si>
  <si>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</si>
  <si>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</si>
  <si>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</si>
  <si>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</si>
  <si>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</si>
  <si>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</si>
  <si>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</si>
  <si>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</si>
  <si>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</si>
  <si>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</si>
  <si>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</si>
  <si>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</si>
  <si>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</si>
  <si>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</si>
  <si>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</si>
  <si>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</si>
  <si>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</si>
  <si>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</si>
  <si>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</si>
  <si>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</si>
  <si>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</si>
  <si>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</si>
  <si>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</si>
  <si>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</si>
  <si>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</si>
  <si>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</si>
  <si>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</si>
  <si>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</si>
  <si>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</si>
  <si>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</si>
  <si>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</si>
  <si>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</si>
  <si>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</si>
  <si>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</si>
  <si>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</si>
  <si>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</si>
  <si>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</si>
  <si>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</si>
  <si>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</si>
  <si>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</si>
  <si>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</si>
  <si>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</si>
  <si>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</si>
  <si>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</si>
  <si>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</si>
  <si>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</si>
  <si>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</si>
  <si>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</si>
  <si>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</si>
  <si>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</si>
  <si>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</si>
  <si>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</si>
  <si>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</si>
  <si>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</si>
  <si>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</si>
  <si>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</si>
  <si>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</si>
  <si>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</si>
  <si>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</si>
  <si>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</si>
  <si>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</si>
  <si>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</si>
  <si>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</si>
  <si>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</si>
  <si>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</si>
  <si>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</si>
  <si>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</si>
  <si>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</si>
  <si>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</si>
  <si>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</si>
  <si>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</si>
  <si>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</si>
  <si>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</si>
  <si>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</si>
  <si>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</si>
  <si>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</si>
  <si>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</si>
  <si>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</si>
  <si>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</si>
  <si>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</si>
  <si>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</si>
  <si>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</si>
  <si>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</si>
  <si>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</si>
  <si>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</si>
  <si>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</si>
  <si>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</si>
  <si>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</si>
  <si>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</si>
  <si>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</si>
  <si>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</si>
  <si>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</si>
  <si>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</si>
  <si>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</si>
  <si>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</si>
  <si>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</si>
  <si>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</si>
  <si>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</si>
  <si>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</si>
  <si>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</si>
  <si>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</si>
  <si>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</si>
  <si>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</si>
  <si>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</si>
  <si>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</si>
  <si>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</si>
  <si>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</si>
  <si>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</si>
  <si>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</si>
  <si>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</si>
  <si>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</si>
  <si>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</si>
  <si>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</si>
  <si>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</si>
  <si>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</si>
  <si>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</si>
  <si>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</si>
  <si>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</si>
  <si>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</si>
  <si>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</si>
  <si>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</si>
  <si>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</si>
  <si>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</si>
  <si>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</si>
  <si>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</si>
  <si>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</si>
  <si>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</si>
  <si>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</si>
  <si>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</si>
  <si>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</si>
  <si>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</si>
  <si>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</si>
  <si>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</si>
  <si>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</si>
  <si>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</si>
  <si>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</si>
  <si>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</si>
  <si>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</si>
  <si>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</si>
  <si>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</si>
  <si>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</si>
  <si>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</si>
  <si>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</si>
  <si>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</si>
  <si>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</si>
  <si>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</si>
  <si>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</si>
  <si>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</si>
  <si>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</si>
  <si>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</si>
  <si>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</si>
  <si>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</si>
  <si>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</si>
  <si>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</si>
  <si>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</si>
  <si>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</si>
  <si>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</si>
  <si>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</si>
  <si>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</si>
  <si>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</si>
  <si>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</si>
  <si>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</si>
  <si>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</si>
  <si>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</si>
  <si>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</si>
  <si>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</si>
  <si>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</si>
  <si>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</si>
  <si>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</si>
  <si>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</si>
  <si>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</si>
  <si>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</si>
  <si>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</si>
  <si>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</si>
  <si>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</si>
  <si>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</si>
  <si>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</si>
  <si>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</si>
  <si>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</si>
  <si>
    <t>MANOS LIBRES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</si>
</sst>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</xdr:colOff>
      <xdr:row>0</xdr:row>
      <xdr:rowOff>0</xdr:rowOff>
    </xdr:from>
    <xdr:to>
      <xdr:col>21</xdr:col>
      <xdr:colOff>442051</xdr:colOff>
      <xdr:row>7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6" y="0"/>
          <a:ext cx="937350" cy="2085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AP0809-1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45908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16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3308810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13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14824.425000000001</v>
      </c>
      <c r="E5" s="346"/>
      <c r="F5" s="347"/>
      <c r="G5" s="348" t="s">
        <v>16</v>
      </c>
      <c r="H5" s="349"/>
      <c r="I5" s="349"/>
      <c r="J5" s="350"/>
      <c r="K5" s="400">
        <v>12</v>
      </c>
      <c r="L5" s="400"/>
      <c r="M5" s="401" t="s">
        <v>17</v>
      </c>
      <c r="N5" s="401"/>
      <c r="O5" s="397">
        <f>IFERROR(IF(K5=0,"",D5*K5),"")</f>
        <v>177893.1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6.5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8.3333333333333329E-2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27</v>
      </c>
      <c r="B10" s="309"/>
      <c r="C10" s="310"/>
      <c r="D10" s="322" t="s">
        <v>475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16.5</v>
      </c>
      <c r="R10" s="317"/>
      <c r="S10" s="318">
        <f>IFERROR(IF(Q10="Unidad","1",(Q10*$K$5)),"")</f>
        <v>198</v>
      </c>
      <c r="T10" s="319"/>
      <c r="U10" s="320"/>
      <c r="V10" s="326"/>
      <c r="W10" s="321">
        <f>IFERROR(IF(D10="","",INDEX(Tabla_Completa,MATCH('Soli_citud '!D10,Materiales,0),7)*S10),"")</f>
        <v>177893.1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1215</v>
      </c>
      <c r="B11" s="309"/>
      <c r="C11" s="310"/>
      <c r="D11" s="322" t="s">
        <v>1233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0.05</v>
      </c>
      <c r="R11" s="317"/>
      <c r="S11" s="318">
        <f t="shared" ref="S11:S31" si="1">IFERROR(IF(Q11="Unidad","1",(Q11*$K$5)),"")</f>
        <v>0.60000000000000009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1215</v>
      </c>
      <c r="B12" s="309"/>
      <c r="C12" s="310"/>
      <c r="D12" s="325" t="s">
        <v>1277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>IFERROR(IF(D12="","",INDEX(Tabla_Completa,MATCH(D12,Materiales,0),6)),"")</f>
        <v>ml</v>
      </c>
      <c r="P12" s="315"/>
      <c r="Q12" s="316">
        <v>0.05</v>
      </c>
      <c r="R12" s="317"/>
      <c r="S12" s="318">
        <f t="shared" si="1"/>
        <v>0.60000000000000009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1215</v>
      </c>
      <c r="B13" s="309"/>
      <c r="C13" s="310"/>
      <c r="D13" s="322" t="s">
        <v>1291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ml</v>
      </c>
      <c r="P13" s="315"/>
      <c r="Q13" s="316">
        <v>0.05</v>
      </c>
      <c r="R13" s="317"/>
      <c r="S13" s="318">
        <f t="shared" si="1"/>
        <v>0.60000000000000009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1215</v>
      </c>
      <c r="B14" s="309"/>
      <c r="C14" s="310"/>
      <c r="D14" s="322" t="s">
        <v>1244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g</v>
      </c>
      <c r="P14" s="315"/>
      <c r="Q14" s="316">
        <v>0.05</v>
      </c>
      <c r="R14" s="317"/>
      <c r="S14" s="318">
        <f t="shared" si="1"/>
        <v>0.60000000000000009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27</v>
      </c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1215</v>
      </c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1215</v>
      </c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1215</v>
      </c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 t="s">
        <v>1215</v>
      </c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45908</v>
      </c>
      <c r="O1" s="417"/>
      <c r="P1" s="452" t="s">
        <v>56</v>
      </c>
      <c r="Q1" s="453"/>
      <c r="R1" s="458" t="str">
        <f>IF('Soli_citud '!D4="","",'Soli_citud '!D4)</f>
        <v>MANOS LIBRES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AP0809-1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3308810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14824.425000000001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Adriana Posada C.C. 43400464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AP0809-1</v>
      </c>
      <c r="C12" s="494" t="str">
        <f>IFERROR(IF('Soli_citud '!D10="","",'Soli_citud '!D10),"")</f>
        <v>NAPPA</v>
      </c>
      <c r="D12" s="494"/>
      <c r="E12" s="494"/>
      <c r="F12" s="494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198</v>
      </c>
      <c r="I12" s="214"/>
      <c r="J12" s="215"/>
      <c r="K12" s="197" cm="1">
        <f t="array" ref="K12">IFERROR(_xlfn.IFS(H12="","",J12=H12,"Cumplido",J12&lt;H12,H12-J12,J12&gt;H12,"Revisar"),"")</f>
        <v>198</v>
      </c>
      <c r="L12" s="495"/>
      <c r="M12" s="496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>AP0809-1</v>
      </c>
      <c r="C13" s="494" t="str">
        <f>IFERROR(IF('Soli_citud '!D11="","",'Soli_citud '!D11),"")</f>
        <v>Cemento de contacto</v>
      </c>
      <c r="D13" s="494"/>
      <c r="E13" s="494"/>
      <c r="F13" s="494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0.60000000000000009</v>
      </c>
      <c r="I13" s="214"/>
      <c r="J13" s="216"/>
      <c r="K13" s="197" cm="1">
        <f t="array" ref="K13">IFERROR(_xlfn.IFS(H13="","",J13=H13,"Cumplido",J13&lt;H13,H13-J13,J13&gt;H13,"Revisar"),"")</f>
        <v>0.60000000000000009</v>
      </c>
      <c r="L13" s="495"/>
      <c r="M13" s="496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>AP0809-1</v>
      </c>
      <c r="C14" s="494" t="str">
        <f>IFERROR(IF('Soli_citud '!D12="","",'Soli_citud '!D12),"")</f>
        <v>Sellafix</v>
      </c>
      <c r="D14" s="494"/>
      <c r="E14" s="494"/>
      <c r="F14" s="494"/>
      <c r="G14" s="213" t="str">
        <f>IF('Soli_citud '!O12="","",'Soli_citud '!O12)</f>
        <v>ml</v>
      </c>
      <c r="H14" s="213" cm="1">
        <f t="array" ref="H14">_xlfn.IFS('Soli_citud '!S12="","",'Soli_citud '!S12&lt;=0,"",'Soli_citud '!S12&gt;0,'Soli_citud '!S12)</f>
        <v>0.60000000000000009</v>
      </c>
      <c r="I14" s="214"/>
      <c r="J14" s="216"/>
      <c r="K14" s="197" cm="1">
        <f t="array" ref="K14">IFERROR(_xlfn.IFS(H14="","",J14=H14,"Cumplido",J14&lt;H14,H14-J14,J14&gt;H14,"Revisar"),"")</f>
        <v>0.60000000000000009</v>
      </c>
      <c r="L14" s="495"/>
      <c r="M14" s="496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>AP0809-1</v>
      </c>
      <c r="C15" s="494" t="str">
        <f>IFERROR(IF('Soli_citud '!D13="","",'Soli_citud '!D13),"")</f>
        <v>Tinta marroquinera marrón</v>
      </c>
      <c r="D15" s="494"/>
      <c r="E15" s="494"/>
      <c r="F15" s="49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0.60000000000000009</v>
      </c>
      <c r="I15" s="214"/>
      <c r="J15" s="216"/>
      <c r="K15" s="197" cm="1">
        <f t="array" ref="K15">IFERROR(_xlfn.IFS(H15="","",J15=H15,"Cumplido",J15&lt;H15,H15-J15,J15&gt;H15,"Revisar"),"")</f>
        <v>0.60000000000000009</v>
      </c>
      <c r="L15" s="495"/>
      <c r="M15" s="496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>AP0809-1</v>
      </c>
      <c r="C16" s="494" t="str">
        <f>IFERROR(IF('Soli_citud '!D14="","",'Soli_citud '!D14),"")</f>
        <v>Grasas lubricantes</v>
      </c>
      <c r="D16" s="494"/>
      <c r="E16" s="494"/>
      <c r="F16" s="494"/>
      <c r="G16" s="213" t="str">
        <f>IF('Soli_citud '!O14="","",'Soli_citud '!O14)</f>
        <v>g</v>
      </c>
      <c r="H16" s="213" cm="1">
        <f t="array" ref="H16">_xlfn.IFS('Soli_citud '!S14="","",'Soli_citud '!S14&lt;=0,"",'Soli_citud '!S14&gt;0,'Soli_citud '!S14)</f>
        <v>0.60000000000000009</v>
      </c>
      <c r="I16" s="214"/>
      <c r="J16" s="216"/>
      <c r="K16" s="197" cm="1">
        <f t="array" ref="K16">IFERROR(_xlfn.IFS(H16="","",J16=H16,"Cumplido",J16&lt;H16,H16-J16,J16&gt;H16,"Revisar"),"")</f>
        <v>0.60000000000000009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2025-09-09T21:45:15Z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