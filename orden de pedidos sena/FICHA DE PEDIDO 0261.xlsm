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ia\OneDrive\Escritorio\TECNICO CDMC\"/>
    </mc:Choice>
  </mc:AlternateContent>
  <xr:revisionPtr revIDLastSave="15" documentId="13_ncr:1_{5CDA1E55-DBB5-40EB-87FB-4EA44A484FF0}" xr6:coauthVersionLast="47" xr6:coauthVersionMax="47" xr10:uidLastSave="{07706075-BDA6-436D-9524-6F2DBF9C679B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<sst xmlns="http://schemas.openxmlformats.org/spreadsheetml/2006/main" count="5063" uniqueCount="1392">
  <si>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</si>
  <si>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</si>
  <si>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</si>
  <si>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</si>
  <si>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</si>
  <si>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</si>
  <si>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</si>
  <si>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</si>
  <si>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MAN_ PROD_ EN CUERO CON TÉCNICAS MANUALES</t>
  </si>
  <si>
    <t>FICHA(#)</t>
  </si>
  <si>
    <t>NOMBRE DEL PRODUCTO</t>
  </si>
  <si>
    <t xml:space="preserve">Proyectos Media tecnica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</si>
  <si>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</si>
  <si>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</si>
  <si>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</si>
  <si>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</si>
  <si>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</si>
  <si>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</si>
  <si>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</si>
  <si>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</si>
  <si>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</si>
  <si>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</si>
  <si>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</si>
  <si>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</si>
  <si>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INSUMOS_COMPL_</t>
  </si>
  <si>
    <t>AGUJA CORTA CABO GRUESO 120</t>
  </si>
  <si>
    <t>AGUJA LARGA CABO GRUESO 125</t>
  </si>
  <si>
    <t xml:space="preserve">CARTULINA PLANA </t>
  </si>
  <si>
    <t>SECUNDARIO_MEDULAR</t>
  </si>
  <si>
    <t xml:space="preserve">HILO NYLON #40
</t>
  </si>
  <si>
    <t xml:space="preserve">HILO NYLON #60
</t>
  </si>
  <si>
    <t>ADHESIVOS_Solventes</t>
  </si>
  <si>
    <t>SOLUCIÓN DE CAUCHO</t>
  </si>
  <si>
    <t xml:space="preserve">PEGANTE CEMENTO DE CONTACTO BASE CLOROPRENO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</si>
  <si>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</si>
  <si>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</si>
  <si>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</si>
  <si>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</si>
  <si>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</si>
  <si>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</si>
  <si>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</si>
  <si>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</si>
  <si>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</si>
  <si>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</si>
  <si>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</si>
  <si>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</si>
  <si>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</si>
  <si>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</si>
  <si>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</si>
  <si>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</si>
  <si>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</si>
  <si>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</si>
  <si>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</si>
  <si>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</si>
  <si>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</si>
  <si>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</si>
  <si>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</si>
  <si>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</si>
  <si>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</si>
  <si>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</si>
  <si>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</si>
  <si>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</si>
  <si>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</si>
  <si>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</si>
  <si>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</si>
  <si>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</si>
  <si>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</si>
  <si>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</si>
  <si>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</si>
  <si>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</si>
  <si>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</si>
  <si>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</si>
  <si>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</si>
  <si>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</si>
  <si>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</si>
  <si>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</si>
  <si>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</si>
  <si>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</si>
  <si>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</si>
  <si>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</si>
  <si>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</si>
  <si>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</si>
  <si>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</si>
  <si>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</si>
  <si>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</si>
  <si>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</si>
  <si>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</si>
  <si>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</si>
  <si>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</si>
  <si>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</si>
  <si>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30/08/2023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</si>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</sst>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107674</xdr:colOff>
      <xdr:row>0</xdr:row>
      <xdr:rowOff>74543</xdr:rowOff>
    </xdr:from>
    <xdr:to>
      <xdr:col>23</xdr:col>
      <xdr:colOff>107674</xdr:colOff>
      <xdr:row>6</xdr:row>
      <xdr:rowOff>253536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916FE68-AD79-602A-3804-5AB6A7410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3" t="9386" r="12592" b="23287"/>
        <a:stretch/>
      </xdr:blipFill>
      <xdr:spPr>
        <a:xfrm>
          <a:off x="7230717" y="74543"/>
          <a:ext cx="2120348" cy="1951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AM2308-1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45161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2487724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303978.28971818584</v>
      </c>
      <c r="E5" s="395"/>
      <c r="F5" s="396"/>
      <c r="G5" s="380" t="s">
        <v>15</v>
      </c>
      <c r="H5" s="397"/>
      <c r="I5" s="397"/>
      <c r="J5" s="381"/>
      <c r="K5" s="355">
        <v>1</v>
      </c>
      <c r="L5" s="355"/>
      <c r="M5" s="356" t="s">
        <v>16</v>
      </c>
      <c r="N5" s="356"/>
      <c r="O5" s="345">
        <f ca="1">IFERROR(IF(K5=0,"",D5*K5),"")</f>
        <v>303978.28971818584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21</v>
      </c>
      <c r="T9" s="335"/>
      <c r="U9" s="334" t="s">
        <v>22</v>
      </c>
      <c r="V9" s="334"/>
      <c r="W9" s="334" t="s">
        <v>23</v>
      </c>
      <c r="X9" s="334"/>
      <c r="Y9" s="334"/>
    </row>
    <row r="10" spans="1:28" ht="17.25" customHeight="1">
      <c r="A10" s="308" t="s">
        <v>24</v>
      </c>
      <c r="B10" s="308"/>
      <c r="C10" s="309"/>
      <c r="D10" s="398" t="s">
        <v>25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U</v>
      </c>
      <c r="P10" s="314"/>
      <c r="Q10" s="315">
        <v>20</v>
      </c>
      <c r="R10" s="316"/>
      <c r="S10" s="317">
        <f>IFERROR(IF(Q10="Unidad","1",(Q10*$K$5)),"")</f>
        <v>20</v>
      </c>
      <c r="T10" s="318"/>
      <c r="U10" s="305"/>
      <c r="V10" s="401"/>
      <c r="W10" s="306">
        <f ca="1">IFERROR(IF(D10="","",INDEX(Tabla_Completa,MATCH('Soli_citud '!D10,Materiales,0),7)*S10),"")</f>
        <v>6866.5999999999995</v>
      </c>
      <c r="X10" s="306"/>
      <c r="Y10" s="306"/>
      <c r="Z10" s="34"/>
    </row>
    <row r="11" spans="1:28" ht="17.25" customHeight="1">
      <c r="A11" s="307" t="s">
        <v>24</v>
      </c>
      <c r="B11" s="308"/>
      <c r="C11" s="309"/>
      <c r="D11" s="398" t="s">
        <v>26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U</v>
      </c>
      <c r="P11" s="314"/>
      <c r="Q11" s="315">
        <v>20</v>
      </c>
      <c r="R11" s="316"/>
      <c r="S11" s="317">
        <f t="shared" ref="S11:S31" si="1">IFERROR(IF(Q11="Unidad","1",(Q11*$K$5)),"")</f>
        <v>20</v>
      </c>
      <c r="T11" s="318"/>
      <c r="U11" s="305"/>
      <c r="V11" s="305"/>
      <c r="W11" s="306">
        <f ca="1">IFERROR(IF(D11="","",INDEX(Tabla_Completa,MATCH('Soli_citud '!D11,Materiales,0),7)*S11),"")</f>
        <v>6866.5999999999995</v>
      </c>
      <c r="X11" s="306"/>
      <c r="Y11" s="306"/>
    </row>
    <row r="12" spans="1:28" ht="15.75" customHeight="1">
      <c r="A12" s="307" t="s">
        <v>24</v>
      </c>
      <c r="B12" s="308"/>
      <c r="C12" s="309"/>
      <c r="D12" s="402" t="s">
        <v>27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30</v>
      </c>
      <c r="R12" s="316"/>
      <c r="S12" s="317">
        <f t="shared" si="1"/>
        <v>30</v>
      </c>
      <c r="T12" s="318"/>
      <c r="U12" s="305"/>
      <c r="V12" s="305"/>
      <c r="W12" s="306">
        <f ca="1">IFERROR(IF(D12="","",INDEX(Tabla_Completa,MATCH('Soli_citud '!D12,Materiales,0),7)*S12),"")</f>
        <v>47494.600000000006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Cono</v>
      </c>
      <c r="P13" s="314"/>
      <c r="Q13" s="315">
        <v>10</v>
      </c>
      <c r="R13" s="316"/>
      <c r="S13" s="317">
        <f t="shared" si="1"/>
        <v>10</v>
      </c>
      <c r="T13" s="318"/>
      <c r="U13" s="305"/>
      <c r="V13" s="305"/>
      <c r="W13" s="306">
        <f ca="1">IFERROR(IF(D13="","",INDEX(Tabla_Completa,MATCH('Soli_citud '!D13,Materiales,0),7)*S13),"")</f>
        <v>72666.666666666672</v>
      </c>
      <c r="X13" s="306"/>
      <c r="Y13" s="306"/>
    </row>
    <row r="14" spans="1:28" ht="17.25" customHeight="1">
      <c r="A14" s="307" t="s">
        <v>28</v>
      </c>
      <c r="B14" s="308"/>
      <c r="C14" s="309"/>
      <c r="D14" s="398" t="s">
        <v>30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Cono</v>
      </c>
      <c r="P14" s="314"/>
      <c r="Q14" s="315">
        <v>10</v>
      </c>
      <c r="R14" s="316"/>
      <c r="S14" s="317">
        <f t="shared" si="1"/>
        <v>10</v>
      </c>
      <c r="T14" s="318"/>
      <c r="U14" s="305"/>
      <c r="V14" s="305"/>
      <c r="W14" s="306">
        <f ca="1">IFERROR(IF(D14="","",INDEX(Tabla_Completa,MATCH('Soli_citud '!D14,Materiales,0),7)*S14),"")</f>
        <v>72666.649999999994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32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ml</v>
      </c>
      <c r="P15" s="314"/>
      <c r="Q15" s="315">
        <v>6000</v>
      </c>
      <c r="R15" s="316"/>
      <c r="S15" s="317">
        <f t="shared" si="1"/>
        <v>6000</v>
      </c>
      <c r="T15" s="318"/>
      <c r="U15" s="305"/>
      <c r="V15" s="305"/>
      <c r="W15" s="306">
        <f ca="1">IFERROR(IF(D15="","",INDEX(Tabla_Completa,MATCH('Soli_citud '!D15,Materiales,0),7)*S15),"")</f>
        <v>45019.81505944518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33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ml</v>
      </c>
      <c r="P16" s="314"/>
      <c r="Q16" s="315">
        <v>3000</v>
      </c>
      <c r="R16" s="316"/>
      <c r="S16" s="317">
        <f t="shared" si="1"/>
        <v>3000</v>
      </c>
      <c r="T16" s="318"/>
      <c r="U16" s="305"/>
      <c r="V16" s="305"/>
      <c r="W16" s="306">
        <f ca="1">IFERROR(IF(D16="","",INDEX(Tabla_Completa,MATCH('Soli_citud '!D16,Materiales,0),7)*S16),"")</f>
        <v>52397.357992073972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34</v>
      </c>
      <c r="B39" s="319"/>
      <c r="C39" s="319"/>
      <c r="D39" s="320" t="s">
        <v>35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31</v>
      </c>
      <c r="O44" s="332"/>
      <c r="P44" s="332"/>
      <c r="Q44" s="332"/>
      <c r="R44" s="327" t="s">
        <v>39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40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41</v>
      </c>
      <c r="O45" s="332"/>
      <c r="P45" s="332"/>
      <c r="Q45" s="332"/>
      <c r="R45" s="328" t="s">
        <v>42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43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44</v>
      </c>
      <c r="O46" s="332"/>
      <c r="P46" s="332"/>
      <c r="Q46" s="332"/>
      <c r="R46" s="329" t="s">
        <v>45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46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47</v>
      </c>
      <c r="O47" s="332"/>
      <c r="P47" s="332"/>
      <c r="Q47" s="332"/>
      <c r="R47" s="329" t="s">
        <v>48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49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50</v>
      </c>
      <c r="O48" s="332"/>
      <c r="P48" s="332"/>
      <c r="Q48" s="332"/>
      <c r="R48" s="329" t="s">
        <v>51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52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53</v>
      </c>
      <c r="O49" s="333"/>
      <c r="P49" s="333"/>
      <c r="Q49" s="333"/>
      <c r="R49" s="328" t="s">
        <v>54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55</v>
      </c>
      <c r="O50" s="332"/>
      <c r="P50" s="332"/>
      <c r="Q50" s="332"/>
      <c r="R50" s="329" t="s">
        <v>56</v>
      </c>
      <c r="S50" s="329"/>
      <c r="T50" s="329"/>
      <c r="U50" s="329"/>
      <c r="V50" s="329"/>
      <c r="W50" s="329"/>
      <c r="X50" s="329"/>
    </row>
    <row r="51" spans="1:24" ht="15.75">
      <c r="N51" s="332" t="s">
        <v>57</v>
      </c>
      <c r="O51" s="332"/>
      <c r="P51" s="332"/>
      <c r="Q51" s="332"/>
      <c r="R51" s="329" t="s">
        <v>58</v>
      </c>
      <c r="S51" s="329"/>
      <c r="T51" s="329"/>
      <c r="U51" s="329"/>
      <c r="V51" s="329"/>
      <c r="W51" s="329"/>
      <c r="X51" s="329"/>
    </row>
    <row r="52" spans="1:24" ht="15.75">
      <c r="N52" s="332" t="s">
        <v>59</v>
      </c>
      <c r="O52" s="332"/>
      <c r="P52" s="332"/>
      <c r="Q52" s="332"/>
      <c r="R52" s="329" t="s">
        <v>48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I21" sqref="I2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60</v>
      </c>
      <c r="E1" s="415"/>
      <c r="F1" s="415"/>
      <c r="G1" s="415"/>
      <c r="H1" s="415"/>
      <c r="I1" s="415"/>
      <c r="J1" s="421" t="s">
        <v>61</v>
      </c>
      <c r="K1" s="422"/>
      <c r="L1" s="422"/>
      <c r="M1" s="423"/>
      <c r="N1" s="416">
        <f>IF('Soli_citud '!O1="","",'Soli_citud '!O1)</f>
        <v>45161</v>
      </c>
      <c r="O1" s="417"/>
      <c r="P1" s="467" t="s">
        <v>62</v>
      </c>
      <c r="Q1" s="468"/>
      <c r="R1" s="463" t="str">
        <f>IF('Soli_citud '!D4="","",'Soli_citud '!D4)</f>
        <v xml:space="preserve">Proyectos Media tecnica
</v>
      </c>
      <c r="S1" s="464"/>
      <c r="Z1" t="s">
        <v>63</v>
      </c>
      <c r="AA1" s="252" t="s">
        <v>63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64</v>
      </c>
      <c r="K2" s="425"/>
      <c r="L2" s="425"/>
      <c r="M2" s="426"/>
      <c r="N2" s="418" t="str">
        <f>'Soli_citud '!F1</f>
        <v>AM2308-1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65</v>
      </c>
      <c r="K3" s="420"/>
      <c r="L3" s="420"/>
      <c r="M3" s="420"/>
      <c r="N3" s="406">
        <f>IF('Soli_citud '!O3="","",'Soli_citud '!O3)</f>
        <v>2487724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66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67</v>
      </c>
      <c r="C6" s="453"/>
      <c r="D6" s="454"/>
      <c r="E6" s="408" t="s">
        <v>68</v>
      </c>
      <c r="F6" s="408"/>
      <c r="G6" s="408"/>
      <c r="H6" s="408"/>
      <c r="I6" s="409"/>
      <c r="J6" s="443" t="s">
        <v>69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303978.28971818584</v>
      </c>
      <c r="C8" s="431"/>
      <c r="D8" s="432"/>
      <c r="E8" s="449" t="s">
        <v>70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71</v>
      </c>
      <c r="C9" s="434"/>
      <c r="D9" s="459"/>
      <c r="E9" s="458" t="s">
        <v>72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73</v>
      </c>
      <c r="K10" s="428"/>
      <c r="L10" s="429"/>
      <c r="M10" s="242">
        <f>'Soli_citud '!K5</f>
        <v>1</v>
      </c>
      <c r="N10" s="447" t="s">
        <v>74</v>
      </c>
      <c r="O10" s="448"/>
      <c r="P10" s="471"/>
      <c r="Q10" s="472"/>
      <c r="R10" s="243" t="s">
        <v>75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76</v>
      </c>
      <c r="B11" s="264" t="s">
        <v>77</v>
      </c>
      <c r="C11" s="460" t="s">
        <v>78</v>
      </c>
      <c r="D11" s="461"/>
      <c r="E11" s="461"/>
      <c r="F11" s="462"/>
      <c r="G11" s="112" t="s">
        <v>79</v>
      </c>
      <c r="H11" s="112" t="s">
        <v>80</v>
      </c>
      <c r="I11" s="237" t="s">
        <v>81</v>
      </c>
      <c r="J11" s="110" t="s">
        <v>82</v>
      </c>
      <c r="K11" s="223" t="s">
        <v>83</v>
      </c>
      <c r="L11" s="419" t="s">
        <v>22</v>
      </c>
      <c r="M11" s="427"/>
      <c r="N11" s="240" t="s">
        <v>84</v>
      </c>
      <c r="O11" s="240" t="s">
        <v>85</v>
      </c>
      <c r="P11" s="244" t="s">
        <v>86</v>
      </c>
      <c r="Q11" s="245" t="s">
        <v>87</v>
      </c>
      <c r="R11" s="236" t="s">
        <v>88</v>
      </c>
      <c r="S11" s="224" t="s">
        <v>89</v>
      </c>
    </row>
    <row r="12" spans="1:27" ht="19.5" customHeight="1">
      <c r="A12" s="78">
        <v>1</v>
      </c>
      <c r="B12" s="265" t="str">
        <f>IF(H12="","",$N$2)</f>
        <v>AM2308-1</v>
      </c>
      <c r="C12" s="403" t="str">
        <f>IFERROR(IF('Soli_citud '!D10="","",'Soli_citud '!D10),"")</f>
        <v>AGUJA CORTA CABO GRUESO 120</v>
      </c>
      <c r="D12" s="403"/>
      <c r="E12" s="403"/>
      <c r="F12" s="403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20</v>
      </c>
      <c r="I12" s="227" t="s">
        <v>90</v>
      </c>
      <c r="J12" s="228">
        <v>20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AM2308-1</v>
      </c>
      <c r="C13" s="403" t="str">
        <f>IFERROR(IF('Soli_citud '!D11="","",'Soli_citud '!D11),"")</f>
        <v>AGUJA LARGA CABO GRUESO 125</v>
      </c>
      <c r="D13" s="403"/>
      <c r="E13" s="403"/>
      <c r="F13" s="403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20</v>
      </c>
      <c r="I13" s="227" t="s">
        <v>90</v>
      </c>
      <c r="J13" s="229">
        <v>20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AM2308-1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30</v>
      </c>
      <c r="I14" s="227" t="s">
        <v>90</v>
      </c>
      <c r="J14" s="229">
        <v>30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AM2308-1</v>
      </c>
      <c r="C15" s="403" t="str">
        <f>IFERROR(IF('Soli_citud '!D13="","",'Soli_citud '!D13),"")</f>
        <v xml:space="preserve">HILO NYLON #40
</v>
      </c>
      <c r="D15" s="403"/>
      <c r="E15" s="403"/>
      <c r="F15" s="403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10</v>
      </c>
      <c r="I15" s="230" t="s">
        <v>90</v>
      </c>
      <c r="J15" s="229">
        <v>4</v>
      </c>
      <c r="K15" s="207" cm="1">
        <f t="array" ref="K15">IFERROR(_xlfn.IFS(H15="","",J15=H15,"Cumplido",J15&lt;H15,H15-J15,J15&gt;H15,"Revisar"),"")</f>
        <v>6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AM2308-1</v>
      </c>
      <c r="C16" s="403" t="str">
        <f>IFERROR(IF('Soli_citud '!D14="","",'Soli_citud '!D14),"")</f>
        <v xml:space="preserve">HILO NYLON #60
</v>
      </c>
      <c r="D16" s="403"/>
      <c r="E16" s="403"/>
      <c r="F16" s="403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10</v>
      </c>
      <c r="I16" s="230"/>
      <c r="J16" s="229"/>
      <c r="K16" s="207" cm="1">
        <f t="array" ref="K16">IFERROR(_xlfn.IFS(H16="","",J16=H16,"Cumplido",J16&lt;H16,H16-J16,J16&gt;H16,"Revisar"),"")</f>
        <v>10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AM2308-1</v>
      </c>
      <c r="C17" s="403" t="str">
        <f>IFERROR(IF('Soli_citud '!D15="","",'Soli_citud '!D15),"")</f>
        <v>SOLUCIÓN DE CAUCHO</v>
      </c>
      <c r="D17" s="403"/>
      <c r="E17" s="403"/>
      <c r="F17" s="403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6000</v>
      </c>
      <c r="I17" s="230" t="s">
        <v>90</v>
      </c>
      <c r="J17" s="229">
        <v>6000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AM2308-1</v>
      </c>
      <c r="C18" s="403" t="str">
        <f>IFERROR(IF('Soli_citud '!D16="","",'Soli_citud '!D16),"")</f>
        <v xml:space="preserve">PEGANTE CEMENTO DE CONTACTO BASE CLOROPRENO
</v>
      </c>
      <c r="D18" s="403"/>
      <c r="E18" s="403"/>
      <c r="F18" s="403"/>
      <c r="G18" s="226" t="str">
        <f ca="1">IF('Soli_citud '!O16="","",'Soli_citud '!O16)</f>
        <v>ml</v>
      </c>
      <c r="H18" s="226" cm="1">
        <f t="array" ref="H18">_xlfn.IFS('Soli_citud '!S16="","",'Soli_citud '!S16&lt;=0,"",'Soli_citud '!S16&gt;0,'Soli_citud '!S16)</f>
        <v>3000</v>
      </c>
      <c r="I18" s="230" t="s">
        <v>90</v>
      </c>
      <c r="J18" s="229">
        <v>3000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91</v>
      </c>
      <c r="F1" s="490"/>
      <c r="Z1" s="252" t="s">
        <v>63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8"/>
      <c r="D6" s="489"/>
      <c r="H6" s="486" t="s">
        <v>93</v>
      </c>
      <c r="I6" s="486"/>
    </row>
    <row r="7" spans="1:26" ht="47.25">
      <c r="A7" s="73" t="s">
        <v>76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31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31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31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31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31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31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31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33</v>
      </c>
      <c r="C15" s="140" t="s">
        <v>31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113</v>
      </c>
      <c r="C16" s="140" t="s">
        <v>31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114</v>
      </c>
      <c r="C17" s="140" t="s">
        <v>31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32</v>
      </c>
      <c r="C18" s="140" t="s">
        <v>31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31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5" t="s">
        <v>31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118</v>
      </c>
      <c r="C34" s="219" t="s">
        <v>119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9" t="s">
        <v>119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9" t="s">
        <v>119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9" t="s">
        <v>119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9" t="s">
        <v>119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9" t="s">
        <v>119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9" t="s">
        <v>119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9" t="s">
        <v>119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9" t="s">
        <v>119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9" t="s">
        <v>119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9" t="s">
        <v>119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9" t="s">
        <v>119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9" t="s">
        <v>119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9" t="s">
        <v>119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9" t="s">
        <v>119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9" t="s">
        <v>119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9" t="s">
        <v>119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9" t="s">
        <v>119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9" t="s">
        <v>119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9" t="s">
        <v>119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9" t="s">
        <v>119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9" t="s">
        <v>119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9" t="s">
        <v>119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9" t="s">
        <v>119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9" t="s">
        <v>119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9" t="s">
        <v>119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9" t="s">
        <v>119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9" t="s">
        <v>119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9" t="s">
        <v>119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9" t="s">
        <v>119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9" t="s">
        <v>119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9" t="s">
        <v>119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9" t="s">
        <v>119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9" t="s">
        <v>119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9" t="s">
        <v>119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9" t="s">
        <v>119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9" t="s">
        <v>119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9" t="s">
        <v>119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9" t="s">
        <v>119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9" t="s">
        <v>119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9" t="s">
        <v>119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9" t="s">
        <v>119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9" t="s">
        <v>119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9" t="s">
        <v>119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9" t="s">
        <v>119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9" t="s">
        <v>119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9" t="s">
        <v>119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9" t="s">
        <v>119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9" t="s">
        <v>119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9" t="s">
        <v>119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9" t="s">
        <v>119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9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9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9" t="s">
        <v>119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9" t="s">
        <v>119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9" t="s">
        <v>119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9" t="s">
        <v>119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9" t="s">
        <v>119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9" t="s">
        <v>119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9" t="s">
        <v>119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9" t="s">
        <v>119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9" t="s">
        <v>119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9" t="s">
        <v>119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9" t="s">
        <v>119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9" t="s">
        <v>119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9" t="s">
        <v>119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9" t="s">
        <v>119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9" t="s">
        <v>119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9" t="s">
        <v>119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9" t="s">
        <v>119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9" t="s">
        <v>119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9" t="s">
        <v>119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9" t="s">
        <v>119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9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9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9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9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9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9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9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119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119</v>
      </c>
      <c r="D115" s="48" t="s">
        <v>203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119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119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119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119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119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119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119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119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119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119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119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119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119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119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119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119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119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119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233</v>
      </c>
      <c r="C162" s="219" t="s">
        <v>28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19" t="s">
        <v>28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19" t="s">
        <v>28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19" t="s">
        <v>28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19" t="s">
        <v>28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19" t="s">
        <v>28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19" t="s">
        <v>28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19" t="s">
        <v>28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19" t="s">
        <v>28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19" t="s">
        <v>28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19" t="s">
        <v>28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19" t="s">
        <v>28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19" t="s">
        <v>28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19" t="s">
        <v>28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19" t="s">
        <v>28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19" t="s">
        <v>28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19" t="s">
        <v>28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19" t="s">
        <v>28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19" t="s">
        <v>28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19" t="s">
        <v>28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19" t="s">
        <v>28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19" t="s">
        <v>28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19" t="s">
        <v>28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19" t="s">
        <v>28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19" t="s">
        <v>28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19" t="s">
        <v>28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19" t="s">
        <v>28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19" t="s">
        <v>28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19" t="s">
        <v>28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19" t="s">
        <v>28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19" t="s">
        <v>28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19" t="s">
        <v>28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19" t="s">
        <v>28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19" t="s">
        <v>28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19" t="s">
        <v>28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19" t="s">
        <v>28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19" t="s">
        <v>28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19" t="s">
        <v>28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19" t="s">
        <v>28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19" t="s">
        <v>28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19" t="s">
        <v>28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19" t="s">
        <v>28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19" t="s">
        <v>28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19" t="s">
        <v>28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19" t="s">
        <v>28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19" t="s">
        <v>28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19" t="s">
        <v>28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19" t="s">
        <v>28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19" t="s">
        <v>28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19" t="s">
        <v>28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19" t="s">
        <v>28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19" t="s">
        <v>28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19" t="s">
        <v>28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19" t="s">
        <v>28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19" t="s">
        <v>28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19" t="s">
        <v>28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19" t="s">
        <v>28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19" t="s">
        <v>28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19" t="s">
        <v>28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19" t="s">
        <v>28</v>
      </c>
      <c r="D221" s="48" t="s">
        <v>171</v>
      </c>
      <c r="E221" s="43">
        <v>475.34</v>
      </c>
      <c r="F221" s="300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19" t="s">
        <v>28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19" t="s">
        <v>28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19" t="s">
        <v>28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19" t="s">
        <v>28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19" t="s">
        <v>28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19" t="s">
        <v>28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19" t="s">
        <v>28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19" t="s">
        <v>28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306</v>
      </c>
      <c r="C230" s="219" t="s">
        <v>28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19" t="s">
        <v>28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19" t="s">
        <v>28</v>
      </c>
      <c r="D232" s="49" t="s">
        <v>235</v>
      </c>
      <c r="E232" s="166">
        <v>16471.25</v>
      </c>
      <c r="F232" s="301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19" t="s">
        <v>28</v>
      </c>
      <c r="D233" s="49" t="s">
        <v>235</v>
      </c>
      <c r="E233" s="166">
        <v>32931.5</v>
      </c>
      <c r="F233" s="301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19" t="s">
        <v>28</v>
      </c>
      <c r="D234" s="49" t="s">
        <v>235</v>
      </c>
      <c r="E234" s="166">
        <v>16209.5</v>
      </c>
      <c r="F234" s="301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19" t="s">
        <v>28</v>
      </c>
      <c r="D235" s="49" t="s">
        <v>235</v>
      </c>
      <c r="E235" s="166">
        <v>32417</v>
      </c>
      <c r="F235" s="301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19" t="s">
        <v>28</v>
      </c>
      <c r="D236" s="49" t="s">
        <v>235</v>
      </c>
      <c r="E236" s="166">
        <v>50250</v>
      </c>
      <c r="F236" s="301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19" t="s">
        <v>28</v>
      </c>
      <c r="D237" s="49" t="s">
        <v>235</v>
      </c>
      <c r="E237" s="166">
        <v>25131.5</v>
      </c>
      <c r="F237" s="301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19" t="s">
        <v>28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19" t="s">
        <v>28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19" t="s">
        <v>28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19" t="s">
        <v>28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19" t="s">
        <v>28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19" t="s">
        <v>28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19" t="s">
        <v>28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19" t="s">
        <v>28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6" t="s">
        <v>28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6" t="s">
        <v>28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6" t="s">
        <v>28</v>
      </c>
      <c r="D248" s="48" t="s">
        <v>110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29</v>
      </c>
      <c r="C249" s="276" t="s">
        <v>28</v>
      </c>
      <c r="D249" s="48" t="s">
        <v>110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30</v>
      </c>
      <c r="C250" s="276" t="s">
        <v>28</v>
      </c>
      <c r="D250" s="277" t="s">
        <v>110</v>
      </c>
      <c r="E250" s="141">
        <v>7266.665</v>
      </c>
      <c r="F250" s="278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28</v>
      </c>
      <c r="D251" s="277" t="s">
        <v>237</v>
      </c>
      <c r="E251" s="141">
        <v>5000</v>
      </c>
      <c r="F251" s="278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28</v>
      </c>
      <c r="D252" s="277" t="s">
        <v>238</v>
      </c>
      <c r="E252" s="303">
        <v>7183</v>
      </c>
      <c r="F252" s="278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28</v>
      </c>
      <c r="D253" s="277" t="s">
        <v>238</v>
      </c>
      <c r="E253" s="303">
        <v>10597</v>
      </c>
      <c r="F253" s="278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28</v>
      </c>
      <c r="D254" s="277" t="s">
        <v>110</v>
      </c>
      <c r="E254" s="141">
        <v>2866.6666666666665</v>
      </c>
      <c r="F254" s="278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28</v>
      </c>
      <c r="D255" s="277" t="s">
        <v>110</v>
      </c>
      <c r="E255" s="141">
        <v>2866.6666666666665</v>
      </c>
      <c r="F255" s="278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28</v>
      </c>
      <c r="D256" s="277" t="s">
        <v>241</v>
      </c>
      <c r="E256" s="141"/>
      <c r="F256" s="278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28</v>
      </c>
      <c r="D257" s="277" t="s">
        <v>235</v>
      </c>
      <c r="E257" s="141">
        <v>8000</v>
      </c>
      <c r="F257" s="278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28</v>
      </c>
      <c r="D258" s="277" t="s">
        <v>235</v>
      </c>
      <c r="E258" s="141">
        <v>10000</v>
      </c>
      <c r="F258" s="278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28</v>
      </c>
      <c r="D259" s="277" t="s">
        <v>235</v>
      </c>
      <c r="E259" s="141">
        <v>10000</v>
      </c>
      <c r="F259" s="278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28</v>
      </c>
      <c r="D260" s="277" t="s">
        <v>241</v>
      </c>
      <c r="E260" s="141"/>
      <c r="F260" s="278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28</v>
      </c>
      <c r="D261" s="277" t="s">
        <v>203</v>
      </c>
      <c r="E261" s="141">
        <v>636792</v>
      </c>
      <c r="F261" s="278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28</v>
      </c>
      <c r="D262" s="277" t="s">
        <v>304</v>
      </c>
      <c r="E262" s="141">
        <v>28.18</v>
      </c>
      <c r="F262" s="278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28</v>
      </c>
      <c r="D263" s="277" t="s">
        <v>304</v>
      </c>
      <c r="E263" s="141">
        <v>2700</v>
      </c>
      <c r="F263" s="278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28</v>
      </c>
      <c r="D264" s="277" t="s">
        <v>304</v>
      </c>
      <c r="E264" s="141">
        <v>18.53</v>
      </c>
      <c r="F264" s="278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28</v>
      </c>
      <c r="D265" s="277" t="s">
        <v>238</v>
      </c>
      <c r="E265" s="141">
        <v>1800</v>
      </c>
      <c r="F265" s="278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28</v>
      </c>
      <c r="D266" s="277" t="s">
        <v>238</v>
      </c>
      <c r="E266" s="141">
        <v>1057</v>
      </c>
      <c r="F266" s="278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28</v>
      </c>
      <c r="D267" s="277" t="s">
        <v>304</v>
      </c>
      <c r="E267" s="141">
        <v>18.53</v>
      </c>
      <c r="F267" s="278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28</v>
      </c>
      <c r="D268" s="277" t="s">
        <v>304</v>
      </c>
      <c r="E268" s="141">
        <v>22.8</v>
      </c>
      <c r="F268" s="278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28</v>
      </c>
      <c r="D269" s="277" t="s">
        <v>304</v>
      </c>
      <c r="E269" s="141">
        <v>22.8</v>
      </c>
      <c r="F269" s="278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28</v>
      </c>
      <c r="D270" s="277" t="s">
        <v>304</v>
      </c>
      <c r="E270" s="141">
        <v>14.73</v>
      </c>
      <c r="F270" s="278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28</v>
      </c>
      <c r="D271" s="277" t="s">
        <v>304</v>
      </c>
      <c r="E271" s="141">
        <v>14.73</v>
      </c>
      <c r="F271" s="278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28</v>
      </c>
      <c r="D272" s="277" t="s">
        <v>238</v>
      </c>
      <c r="E272" s="141">
        <v>819.99999999999989</v>
      </c>
      <c r="F272" s="278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28</v>
      </c>
      <c r="D273" s="277" t="s">
        <v>238</v>
      </c>
      <c r="E273" s="141">
        <v>1170</v>
      </c>
      <c r="F273" s="278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28</v>
      </c>
      <c r="D274" s="277" t="s">
        <v>238</v>
      </c>
      <c r="E274" s="141">
        <v>8000</v>
      </c>
      <c r="F274" s="278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28</v>
      </c>
      <c r="D275" s="277" t="s">
        <v>238</v>
      </c>
      <c r="E275" s="141">
        <v>11000</v>
      </c>
      <c r="F275" s="278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28</v>
      </c>
      <c r="D276" s="277" t="s">
        <v>238</v>
      </c>
      <c r="E276" s="141">
        <v>10858</v>
      </c>
      <c r="F276" s="278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28</v>
      </c>
      <c r="D277" s="277" t="s">
        <v>238</v>
      </c>
      <c r="E277" s="141">
        <v>13999.16</v>
      </c>
      <c r="F277" s="278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28</v>
      </c>
      <c r="D278" s="277" t="s">
        <v>235</v>
      </c>
      <c r="E278" s="141"/>
      <c r="F278" s="278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28</v>
      </c>
      <c r="D279" s="277" t="s">
        <v>241</v>
      </c>
      <c r="E279" s="141"/>
      <c r="F279" s="278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28</v>
      </c>
      <c r="D280" s="277" t="s">
        <v>241</v>
      </c>
      <c r="E280" s="141"/>
      <c r="F280" s="278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28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28</v>
      </c>
      <c r="D282" s="277" t="s">
        <v>213</v>
      </c>
      <c r="E282" s="141">
        <v>4776.666666666667</v>
      </c>
      <c r="F282" s="278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28</v>
      </c>
      <c r="D283" s="277" t="s">
        <v>238</v>
      </c>
      <c r="E283" s="141">
        <v>1035.3</v>
      </c>
      <c r="F283" s="278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28</v>
      </c>
      <c r="D284" s="277" t="s">
        <v>237</v>
      </c>
      <c r="E284" s="141">
        <v>700</v>
      </c>
      <c r="F284" s="278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28</v>
      </c>
      <c r="D285" s="277" t="s">
        <v>237</v>
      </c>
      <c r="E285" s="141">
        <v>1100</v>
      </c>
      <c r="F285" s="278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28</v>
      </c>
      <c r="D286" s="277" t="s">
        <v>304</v>
      </c>
      <c r="E286" s="141">
        <v>1000</v>
      </c>
      <c r="F286" s="278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28</v>
      </c>
      <c r="D287" s="277" t="s">
        <v>238</v>
      </c>
      <c r="E287" s="141">
        <v>700</v>
      </c>
      <c r="F287" s="278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28</v>
      </c>
      <c r="D288" s="48" t="s">
        <v>238</v>
      </c>
      <c r="E288" s="166">
        <v>84</v>
      </c>
      <c r="F288" s="278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28</v>
      </c>
      <c r="D289" s="277" t="s">
        <v>238</v>
      </c>
      <c r="E289" s="166">
        <v>10780</v>
      </c>
      <c r="F289" s="278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76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366</v>
      </c>
      <c r="C516" s="219" t="s">
        <v>44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44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44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44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44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44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44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44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44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44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44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44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44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44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44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44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44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44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44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44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44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44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44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76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390</v>
      </c>
      <c r="C562" s="219" t="s">
        <v>47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47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47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47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47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47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47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47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47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47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47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47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47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47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47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47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47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47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47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47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47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47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47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47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47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47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47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47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47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47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47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47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47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47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47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47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47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47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47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47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47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47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47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47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47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47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47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47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47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47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47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47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47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47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47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47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47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47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47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47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47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47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47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47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47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47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47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47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47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47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47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47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47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47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47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47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47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47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47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47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47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47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47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47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47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47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47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47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47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47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47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47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47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47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47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47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47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47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47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47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47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47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47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47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47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47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47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47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47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47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47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47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47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47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47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47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47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47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47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47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47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47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47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47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47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47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47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47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47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47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47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47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47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47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47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47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47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47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47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47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47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47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47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47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47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47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47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47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47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47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47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47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47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47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47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47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47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47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47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47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47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47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47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47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47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47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47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47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47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47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47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47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47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47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47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47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47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47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47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47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47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47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47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47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47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47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47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47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47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47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47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47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47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47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47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47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47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47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47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47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47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47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47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47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47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47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47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47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47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47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47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47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47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47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47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47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47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47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47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47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47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47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47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47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47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47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47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47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47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47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47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47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47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47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47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47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47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47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47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47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47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47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47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47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47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47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47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47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47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47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47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47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47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47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47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47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47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47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47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47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47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47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47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47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47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47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47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47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47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47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47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47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47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47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47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47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47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47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47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47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47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47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47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47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47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47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47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47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47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47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47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47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47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47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47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47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47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47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47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47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47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47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47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47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47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47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47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47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47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47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47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47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47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47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47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47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47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47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47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47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47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47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47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47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47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47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47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47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47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47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47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47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47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47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47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47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47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47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47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47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47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47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47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47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47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47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47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47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47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47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47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47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47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47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47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47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47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47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47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47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47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47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47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47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47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47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47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47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47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47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47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47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47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47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47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47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47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47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47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47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47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47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47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47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47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47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47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47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47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47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47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47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47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47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47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47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47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47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47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47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47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47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47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47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47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47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47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47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47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47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47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47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47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47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47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47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47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47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47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47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47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76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811</v>
      </c>
      <c r="C1011" s="160" t="s">
        <v>57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57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57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57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57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57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57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57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57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57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57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57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57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57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57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57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57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57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57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57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57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57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57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57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57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57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57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57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57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57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57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57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57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844</v>
      </c>
      <c r="C1067" s="219" t="s">
        <v>59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59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59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59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59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59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59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76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110</v>
      </c>
      <c r="E1273" s="141">
        <v>44533.333333333336</v>
      </c>
      <c r="F1273" s="278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110</v>
      </c>
      <c r="E1274" s="141">
        <v>30900</v>
      </c>
      <c r="F1274" s="278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110</v>
      </c>
      <c r="E1276" s="141">
        <v>22370</v>
      </c>
      <c r="F1276" s="278" t="s">
        <v>110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110</v>
      </c>
      <c r="E1277" s="141">
        <v>184100</v>
      </c>
      <c r="F1277" s="278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110</v>
      </c>
      <c r="E1278" s="141">
        <v>6333.3374999999996</v>
      </c>
      <c r="F1278" s="278" t="s">
        <v>110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110</v>
      </c>
      <c r="E1279" s="141">
        <v>17266.599999999999</v>
      </c>
      <c r="F1279" s="278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110</v>
      </c>
      <c r="E1280" s="141">
        <v>6796.7</v>
      </c>
      <c r="F1280" s="278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110</v>
      </c>
      <c r="E1281" s="141">
        <v>182666.66666666666</v>
      </c>
      <c r="F1281" s="278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110</v>
      </c>
      <c r="E1283" s="141">
        <v>46996.6</v>
      </c>
      <c r="F1283" s="278" t="s">
        <v>110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110</v>
      </c>
      <c r="E1284" s="141">
        <v>48330</v>
      </c>
      <c r="F1284" s="278" t="s">
        <v>110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110</v>
      </c>
      <c r="E1286" s="141">
        <v>104388.75</v>
      </c>
      <c r="F1286" s="278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110</v>
      </c>
      <c r="E1287" s="141">
        <v>79760</v>
      </c>
      <c r="F1287" s="278" t="s">
        <v>110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203</v>
      </c>
      <c r="E1288" s="141">
        <v>62000</v>
      </c>
      <c r="F1288" s="278" t="s">
        <v>203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110</v>
      </c>
      <c r="E1289" s="141">
        <v>152500</v>
      </c>
      <c r="F1289" s="278" t="s">
        <v>110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110</v>
      </c>
      <c r="E1290" s="141">
        <v>432050</v>
      </c>
      <c r="F1290" s="278" t="s">
        <v>110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76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1037</v>
      </c>
      <c r="C1328" s="37" t="s">
        <v>24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24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24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24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24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24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24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25</v>
      </c>
      <c r="C1335" s="37" t="s">
        <v>24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24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24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24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24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24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24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24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24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26</v>
      </c>
      <c r="C1344" s="37" t="s">
        <v>24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24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24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24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24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24</v>
      </c>
      <c r="D1349" s="48" t="s">
        <v>1057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24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24</v>
      </c>
      <c r="D1351" s="48" t="s">
        <v>1061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24</v>
      </c>
      <c r="D1352" s="48" t="s">
        <v>1059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24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27</v>
      </c>
      <c r="C1354" s="37" t="s">
        <v>24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24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24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24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24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24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24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24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24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24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24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24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24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24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24</v>
      </c>
      <c r="D1368" s="48" t="s">
        <v>1080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24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24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24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24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24</v>
      </c>
      <c r="D1373" s="297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24</v>
      </c>
      <c r="D1374" s="290" t="s">
        <v>110</v>
      </c>
      <c r="E1374" s="62"/>
      <c r="F1374" s="191" t="s">
        <v>110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24</v>
      </c>
      <c r="D1375" s="290" t="s">
        <v>110</v>
      </c>
      <c r="E1375" s="62"/>
      <c r="F1375" s="191" t="s">
        <v>110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24</v>
      </c>
      <c r="D1376" s="290" t="s">
        <v>110</v>
      </c>
      <c r="E1376" s="62"/>
      <c r="F1376" s="191" t="s">
        <v>110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24</v>
      </c>
      <c r="D1377" s="290" t="s">
        <v>110</v>
      </c>
      <c r="E1377" s="62"/>
      <c r="F1377" s="191" t="s">
        <v>110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24</v>
      </c>
      <c r="D1378" s="290" t="s">
        <v>110</v>
      </c>
      <c r="E1378" s="62"/>
      <c r="F1378" s="191" t="s">
        <v>110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24</v>
      </c>
      <c r="D1379" s="291" t="s">
        <v>110</v>
      </c>
      <c r="E1379" s="43"/>
      <c r="F1379" s="188" t="s">
        <v>110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24</v>
      </c>
      <c r="D1380" s="292" t="s">
        <v>110</v>
      </c>
      <c r="E1380" s="166"/>
      <c r="F1380" s="192" t="s">
        <v>110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24</v>
      </c>
      <c r="D1381" s="292" t="s">
        <v>110</v>
      </c>
      <c r="E1381" s="166"/>
      <c r="F1381" s="192" t="s">
        <v>110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24</v>
      </c>
      <c r="D1382" s="293" t="s">
        <v>110</v>
      </c>
      <c r="E1382" s="222"/>
      <c r="F1382" s="193" t="s">
        <v>110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24</v>
      </c>
      <c r="D1383" s="10" t="s">
        <v>110</v>
      </c>
      <c r="E1383" s="222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24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24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24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24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24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24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24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24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24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24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24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24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24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24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24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24</v>
      </c>
      <c r="D1399" s="248" t="s">
        <v>110</v>
      </c>
      <c r="E1399" s="166">
        <v>19073</v>
      </c>
      <c r="F1399" s="193" t="s">
        <v>110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24</v>
      </c>
      <c r="D1400" s="248" t="s">
        <v>110</v>
      </c>
      <c r="E1400" s="166">
        <v>866.66499999999996</v>
      </c>
      <c r="F1400" s="193" t="s">
        <v>110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24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24</v>
      </c>
      <c r="D1402" s="248" t="s">
        <v>110</v>
      </c>
      <c r="E1402" s="166">
        <v>19000</v>
      </c>
      <c r="F1402" s="193" t="s">
        <v>110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24</v>
      </c>
      <c r="D1403" s="248" t="s">
        <v>110</v>
      </c>
      <c r="E1403" s="166">
        <v>3800</v>
      </c>
      <c r="F1403" s="193" t="s">
        <v>110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1117</v>
      </c>
      <c r="C1404" s="219" t="s">
        <v>24</v>
      </c>
      <c r="D1404" s="248" t="s">
        <v>171</v>
      </c>
      <c r="E1404" s="166">
        <v>3200</v>
      </c>
      <c r="F1404" s="193" t="s">
        <v>171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24</v>
      </c>
      <c r="D1405" s="248" t="s">
        <v>213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24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24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24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24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24</v>
      </c>
      <c r="D1410" s="248" t="s">
        <v>110</v>
      </c>
      <c r="E1410" s="166">
        <v>6013.33</v>
      </c>
      <c r="F1410" s="273" t="s">
        <v>110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24</v>
      </c>
      <c r="D1411" s="248" t="s">
        <v>110</v>
      </c>
      <c r="E1411" s="166">
        <v>1101.5</v>
      </c>
      <c r="F1411" s="273" t="s">
        <v>110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24</v>
      </c>
      <c r="D1412" s="248" t="s">
        <v>110</v>
      </c>
      <c r="E1412" s="166">
        <v>11100</v>
      </c>
      <c r="F1412" s="273" t="s">
        <v>110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24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24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24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76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1129</v>
      </c>
      <c r="C1428" s="219" t="s">
        <v>55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55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55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55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55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55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55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55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55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55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55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55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55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55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55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55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55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19" t="s">
        <v>55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19" t="s">
        <v>55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55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55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55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55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55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55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55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55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55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55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55</v>
      </c>
      <c r="D1457" s="48" t="s">
        <v>1065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55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55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55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55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55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55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55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55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55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55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55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55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55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55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55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55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55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55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55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55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55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55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55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19" t="s">
        <v>55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19" t="s">
        <v>55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55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55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55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55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55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55</v>
      </c>
      <c r="D1488" s="48" t="s">
        <v>1065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55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55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55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55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55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55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55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55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55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55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55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55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55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55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19" t="s">
        <v>55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19" t="s">
        <v>55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55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55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55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55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19" t="s">
        <v>55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24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76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22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5</v>
      </c>
      <c r="I2" s="17">
        <v>71765586</v>
      </c>
      <c r="K2" t="s">
        <v>1314</v>
      </c>
      <c r="M2" s="79" t="s">
        <v>31</v>
      </c>
    </row>
    <row r="3" spans="1:13" outlineLevel="1">
      <c r="A3" s="3" t="s">
        <v>1315</v>
      </c>
      <c r="B3" s="5" t="s">
        <v>213</v>
      </c>
      <c r="D3" s="266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44</v>
      </c>
    </row>
    <row r="4" spans="1:13" ht="30" outlineLevel="1">
      <c r="A4" s="2" t="s">
        <v>1320</v>
      </c>
      <c r="B4" s="5" t="s">
        <v>304</v>
      </c>
      <c r="D4" s="267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47</v>
      </c>
    </row>
    <row r="5" spans="1:13" ht="30" outlineLevel="1">
      <c r="A5" s="3" t="s">
        <v>1325</v>
      </c>
      <c r="B5" s="5" t="s">
        <v>1326</v>
      </c>
      <c r="D5" s="269" t="s">
        <v>13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852</v>
      </c>
    </row>
    <row r="6" spans="1:13" outlineLevel="1">
      <c r="A6" s="2" t="s">
        <v>323</v>
      </c>
      <c r="B6" s="5" t="s">
        <v>323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24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28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57</v>
      </c>
    </row>
    <row r="9" spans="1:13" outlineLevel="1">
      <c r="A9" s="2" t="s">
        <v>1344</v>
      </c>
      <c r="B9" s="5" t="s">
        <v>1198</v>
      </c>
      <c r="F9" s="2" t="s">
        <v>1345</v>
      </c>
      <c r="H9" t="s">
        <v>1346</v>
      </c>
      <c r="I9">
        <v>70323724</v>
      </c>
      <c r="K9" t="s">
        <v>1347</v>
      </c>
      <c r="M9" s="79" t="s">
        <v>59</v>
      </c>
    </row>
    <row r="10" spans="1:13" outlineLevel="1">
      <c r="A10" s="2" t="s">
        <v>1348</v>
      </c>
      <c r="B10" s="5" t="s">
        <v>104</v>
      </c>
      <c r="F10" s="3" t="s">
        <v>1349</v>
      </c>
      <c r="H10" s="24" t="s">
        <v>1350</v>
      </c>
      <c r="I10" s="20">
        <v>32142539</v>
      </c>
      <c r="K10" t="s">
        <v>1351</v>
      </c>
      <c r="M10" s="233" t="s">
        <v>119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55</v>
      </c>
    </row>
    <row r="12" spans="1:13" ht="30" outlineLevel="1">
      <c r="A12" s="3" t="s">
        <v>1357</v>
      </c>
      <c r="B12" s="5" t="s">
        <v>1031</v>
      </c>
      <c r="F12" s="302" t="s">
        <v>8</v>
      </c>
      <c r="H12" s="27" t="s">
        <v>1358</v>
      </c>
      <c r="I12" s="28">
        <v>32184975</v>
      </c>
      <c r="M12" s="233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235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357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238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105</v>
      </c>
      <c r="H21" s="21" t="s">
        <v>1377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171</v>
      </c>
      <c r="H24" s="21" t="s">
        <v>1382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110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2024-02-26T16:22:42Z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