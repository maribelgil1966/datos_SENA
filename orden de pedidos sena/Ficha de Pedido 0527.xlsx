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DEISY GUISAO\FICHA CINTURONES 3378960\"/>
    </mc:Choice>
  </mc:AlternateContent>
  <xr:revisionPtr revIDLastSave="0" documentId="13_ncr:1_{0D98DEFB-73BB-43DA-A8D5-3DBAC0343D2B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2" i="43" l="1"/>
  <c r="W11" i="43"/>
  <c r="B26" i="61"/>
  <c r="O26" i="61"/>
  <c r="W23" i="43"/>
  <c r="D5" i="43" s="1"/>
  <c r="K26" i="61" a="1"/>
  <c r="K26" i="61" s="1"/>
  <c r="K25" i="61" a="1"/>
  <c r="K25" i="61" s="1"/>
  <c r="O25" i="61"/>
  <c r="B25" i="61"/>
  <c r="K24" i="61" a="1"/>
  <c r="K24" i="61" s="1"/>
  <c r="B24" i="61"/>
  <c r="O24" i="61"/>
  <c r="K19" i="61" a="1"/>
  <c r="K19" i="61" s="1"/>
  <c r="B19" i="61"/>
  <c r="O19" i="61"/>
  <c r="K29" i="61" a="1"/>
  <c r="K29" i="61" s="1"/>
  <c r="O29" i="61"/>
  <c r="B29" i="61"/>
  <c r="K13" i="61" a="1"/>
  <c r="K13" i="61" s="1"/>
  <c r="O13" i="61"/>
  <c r="B13" i="61"/>
  <c r="K28" i="61" a="1"/>
  <c r="K28" i="61" s="1"/>
  <c r="B28" i="61"/>
  <c r="O28" i="61"/>
  <c r="K23" i="61" a="1"/>
  <c r="K23" i="61" s="1"/>
  <c r="B23" i="61"/>
  <c r="O23" i="61"/>
  <c r="K18" i="61" a="1"/>
  <c r="K18" i="61" s="1"/>
  <c r="B18" i="61"/>
  <c r="O18" i="61"/>
  <c r="K12" i="61" a="1"/>
  <c r="K12" i="61" s="1"/>
  <c r="B12" i="61"/>
  <c r="O12" i="61"/>
  <c r="K20" i="61" a="1"/>
  <c r="K20" i="61" s="1"/>
  <c r="B20" i="61"/>
  <c r="O20" i="61"/>
  <c r="K22" i="61" a="1"/>
  <c r="K22" i="61" s="1"/>
  <c r="B22" i="61"/>
  <c r="O22" i="61"/>
  <c r="K17" i="61" a="1"/>
  <c r="K17" i="61" s="1"/>
  <c r="O17" i="61"/>
  <c r="B17" i="61"/>
  <c r="K32" i="61" a="1"/>
  <c r="K32" i="61" s="1"/>
  <c r="B32" i="61"/>
  <c r="O32" i="61"/>
  <c r="K27" i="61" a="1"/>
  <c r="K27" i="61" s="1"/>
  <c r="B27" i="61"/>
  <c r="O27" i="61"/>
  <c r="B16" i="61"/>
  <c r="O16" i="61"/>
  <c r="K16" i="61" a="1"/>
  <c r="K16" i="61" s="1"/>
  <c r="K31" i="61" a="1"/>
  <c r="K31" i="61" s="1"/>
  <c r="B31" i="61"/>
  <c r="O31" i="61"/>
  <c r="K21" i="61" a="1"/>
  <c r="K21" i="61" s="1"/>
  <c r="O21" i="61"/>
  <c r="B21" i="61"/>
  <c r="K15" i="61" a="1"/>
  <c r="K15" i="61" s="1"/>
  <c r="B15" i="61"/>
  <c r="O15" i="61"/>
  <c r="K30" i="61" a="1"/>
  <c r="K30" i="61" s="1"/>
  <c r="O30" i="61"/>
  <c r="B30" i="61"/>
  <c r="K14" i="61" a="1"/>
  <c r="K14" i="61" s="1"/>
  <c r="B14" i="61"/>
  <c r="O14" i="61"/>
  <c r="B8" i="61" l="1"/>
  <c r="O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<sst xmlns="http://schemas.openxmlformats.org/spreadsheetml/2006/main" count="5016" uniqueCount="1392">
  <si>
    <t xml:space="preserve">CÓDIGO ÚNICO  DE   PEDIDO
</t>
  </si>
  <si>
    <t xml:space="preserve"> Pedido #</t>
  </si>
  <si>
    <t>FECHA DE 
ELABORACION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</si>
  <si>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</si>
  <si>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</si>
  <si>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</si>
  <si>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</si>
  <si>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</si>
  <si>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</si>
  <si>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</si>
  <si>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</si>
  <si>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</si>
  <si>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</si>
  <si>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</si>
  <si>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</si>
  <si>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</si>
  <si>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</si>
  <si>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</si>
  <si>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</si>
  <si>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</si>
  <si>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</si>
  <si>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</si>
  <si>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</si>
  <si>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</si>
  <si>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</si>
  <si>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</si>
  <si>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</si>
  <si>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</si>
  <si>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</si>
  <si>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</si>
  <si>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</si>
  <si>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</si>
  <si>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</si>
  <si>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</si>
  <si>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</si>
  <si>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</si>
  <si>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</si>
  <si>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</si>
  <si>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</si>
  <si>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</si>
  <si>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</si>
  <si>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</si>
  <si>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</si>
  <si>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</si>
  <si>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</si>
  <si>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</si>
  <si>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</si>
  <si>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</si>
  <si>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</si>
  <si>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</si>
  <si>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</si>
  <si>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</si>
  <si>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</si>
  <si>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</si>
  <si>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</si>
  <si>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</si>
  <si>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</si>
  <si>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</si>
  <si>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</si>
  <si>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</si>
  <si>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</si>
  <si>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</si>
  <si>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</si>
  <si>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</si>
  <si>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</si>
  <si>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</si>
  <si>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</si>
  <si>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</si>
  <si>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</si>
  <si>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</si>
  <si>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</si>
  <si>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</si>
  <si>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</si>
  <si>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</si>
  <si>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</si>
  <si>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</si>
  <si>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</si>
  <si>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</si>
  <si>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</si>
  <si>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</si>
  <si>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</si>
  <si>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</si>
  <si>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</si>
  <si>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</si>
  <si>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</si>
  <si>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</si>
  <si>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</si>
  <si>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</si>
  <si>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</si>
  <si>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</si>
  <si>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</si>
  <si>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</si>
  <si>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</si>
  <si>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</si>
  <si>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</si>
  <si>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</si>
  <si>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</si>
  <si>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</si>
  <si>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</si>
  <si>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</si>
  <si>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</si>
  <si>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</si>
  <si>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</si>
  <si>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</si>
  <si>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</si>
  <si>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</si>
  <si>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</si>
  <si>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</si>
  <si>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</si>
  <si>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</si>
  <si>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</si>
  <si>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</si>
  <si>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</si>
  <si>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</si>
  <si>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</si>
  <si>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</si>
  <si>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</si>
  <si>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</si>
  <si>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</si>
  <si>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</si>
  <si>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</si>
  <si>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</si>
  <si>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</si>
  <si>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</si>
  <si>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</si>
  <si>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</si>
  <si>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</si>
  <si>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</si>
  <si>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</si>
  <si>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</si>
  <si>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</si>
  <si>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</si>
  <si>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</si>
  <si>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</si>
  <si>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</si>
  <si>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</si>
  <si>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</si>
  <si>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</si>
  <si>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</si>
  <si>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</si>
  <si>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</si>
  <si>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</si>
  <si>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</si>
  <si>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</si>
  <si>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</si>
  <si>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</si>
  <si>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</si>
  <si>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</si>
  <si>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</si>
  <si>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</si>
  <si>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</si>
  <si>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</si>
  <si>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</si>
  <si>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</si>
  <si>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</si>
  <si>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</si>
  <si>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</si>
  <si>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</si>
  <si>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</si>
  <si>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</si>
  <si>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</si>
  <si>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</si>
  <si>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</si>
  <si>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</si>
  <si>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</si>
  <si>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</si>
  <si>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</si>
  <si>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</si>
  <si>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</si>
  <si>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</si>
  <si>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</si>
  <si>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</si>
  <si>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</si>
  <si>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</si>
  <si>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</si>
  <si>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</si>
  <si>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</si>
  <si>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</si>
  <si>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</si>
  <si>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</si>
  <si>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</si>
  <si>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</si>
  <si>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</si>
  <si>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</si>
  <si>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</si>
  <si>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</si>
  <si>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</si>
  <si>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</si>
  <si>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</si>
  <si>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</si>
  <si>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</si>
  <si>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</si>
  <si>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</si>
  <si>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</si>
  <si>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</si>
  <si>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</si>
  <si>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</si>
  <si>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</si>
  <si>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</si>
  <si>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</si>
  <si>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</si>
  <si>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</si>
  <si>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</si>
  <si>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</si>
  <si>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</si>
  <si>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</si>
  <si>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</si>
  <si>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</si>
  <si>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</si>
  <si>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</si>
  <si>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</si>
  <si>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</si>
  <si>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</si>
  <si>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</si>
  <si>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</si>
  <si>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</si>
  <si>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</si>
  <si>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</si>
  <si>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</si>
  <si>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</si>
  <si>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</si>
  <si>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</si>
  <si>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</si>
  <si>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</si>
  <si>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</si>
  <si>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</si>
  <si>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</si>
  <si>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</si>
  <si>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</si>
  <si>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</si>
  <si>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</si>
  <si>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</si>
  <si>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</si>
  <si>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</si>
  <si>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</si>
  <si>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</si>
  <si>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</si>
  <si>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</si>
  <si>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</si>
  <si>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</si>
  <si>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</si>
  <si>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</si>
  <si>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</si>
  <si>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</si>
  <si>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</si>
  <si>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</si>
  <si>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</si>
  <si>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</si>
  <si>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</si>
  <si>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</si>
  <si>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</si>
  <si>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</si>
  <si>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</si>
  <si>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</si>
  <si>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</si>
  <si>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</si>
  <si>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</si>
  <si>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</si>
  <si>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</si>
  <si>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</si>
  <si>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</si>
  <si>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</si>
  <si>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</si>
  <si>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</si>
  <si>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</si>
  <si>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</si>
  <si>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</si>
  <si>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</si>
  <si>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</si>
  <si>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</si>
  <si>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</si>
  <si>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</si>
  <si>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</si>
  <si>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</si>
  <si>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</si>
  <si>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</si>
  <si>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</si>
  <si>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</si>
  <si>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</si>
  <si>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</si>
  <si>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</si>
  <si>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</si>
  <si>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</si>
  <si>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</si>
  <si>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</si>
  <si>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</si>
  <si>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</si>
  <si>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</si>
  <si>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</si>
  <si>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</si>
  <si>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</si>
  <si>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</si>
  <si>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</si>
  <si>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</si>
  <si>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</si>
  <si>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</si>
  <si>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</si>
  <si>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</si>
  <si>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</si>
  <si>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</si>
  <si>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</si>
  <si>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</si>
  <si>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</si>
  <si>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</si>
  <si>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</si>
  <si>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</si>
  <si>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</si>
  <si>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</si>
  <si>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</si>
  <si>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</si>
  <si>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</si>
  <si>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</si>
  <si>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</si>
  <si>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</si>
  <si>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</si>
  <si>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</si>
  <si>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</si>
  <si>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</si>
  <si>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</si>
  <si>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</si>
  <si>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</si>
  <si>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</si>
  <si>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</si>
  <si>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</si>
  <si>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</si>
  <si>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</si>
  <si>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</si>
  <si>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</si>
  <si>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</si>
  <si>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</si>
  <si>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</si>
  <si>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</si>
  <si>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</si>
  <si>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</si>
  <si>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</si>
  <si>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</si>
  <si>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</si>
  <si>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</si>
  <si>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</si>
  <si>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</si>
  <si>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</si>
  <si>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</si>
  <si>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</si>
  <si>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</si>
  <si>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</si>
  <si>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</si>
  <si>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</si>
  <si>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</si>
  <si>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</si>
  <si>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</si>
  <si>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</si>
  <si>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</si>
  <si>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</si>
  <si>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</si>
  <si>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</si>
  <si>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</si>
  <si>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</si>
  <si>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</si>
  <si>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</si>
  <si>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</si>
  <si>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</si>
  <si>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</si>
  <si>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</si>
  <si>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</si>
  <si>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</si>
  <si>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</si>
  <si>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</si>
  <si>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</si>
  <si>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</si>
  <si>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</si>
  <si>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</si>
  <si>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</si>
  <si>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</si>
  <si>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</si>
  <si>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</si>
  <si>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</si>
  <si>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</si>
  <si>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</si>
  <si>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</si>
  <si>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</si>
  <si>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</si>
  <si>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</si>
  <si>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</si>
  <si>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</si>
  <si>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</si>
  <si>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</si>
  <si>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</si>
  <si>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</si>
  <si>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</si>
  <si>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</si>
  <si>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</si>
  <si>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</si>
  <si>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</si>
  <si>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</si>
  <si>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</si>
  <si>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</si>
  <si>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</si>
  <si>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</si>
  <si>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</si>
  <si>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</si>
  <si>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</si>
  <si>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</si>
  <si>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</si>
  <si>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</si>
  <si>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</si>
  <si>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</si>
  <si>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</si>
  <si>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</si>
  <si>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</si>
  <si>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</si>
  <si>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</si>
  <si>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</si>
  <si>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</si>
  <si>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</si>
  <si>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</si>
  <si>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</si>
  <si>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</si>
  <si>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</si>
  <si>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</si>
  <si>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</si>
  <si>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</si>
  <si>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</si>
  <si>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</si>
  <si>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</si>
  <si>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</si>
  <si>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</si>
  <si>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</si>
  <si>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</si>
  <si>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</si>
  <si>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</si>
  <si>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</si>
  <si>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</si>
  <si>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</si>
  <si>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</si>
  <si>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</si>
  <si>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</si>
  <si>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</si>
  <si>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</si>
  <si>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</si>
  <si>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</si>
  <si>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</si>
  <si>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</si>
  <si>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</si>
  <si>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</si>
  <si>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</si>
  <si>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</si>
  <si>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</si>
  <si>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</si>
  <si>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</si>
  <si>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</si>
  <si>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</si>
  <si>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</si>
  <si>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</si>
  <si>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</si>
  <si>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</si>
  <si>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</si>
  <si>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</si>
  <si>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</si>
  <si>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</si>
  <si>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</si>
  <si>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</si>
  <si>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</si>
  <si>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</si>
  <si>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</si>
  <si>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</si>
  <si>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</si>
  <si>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</si>
  <si>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</si>
  <si>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</si>
  <si>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</si>
  <si>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</si>
  <si>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</si>
  <si>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</si>
  <si>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</si>
  <si>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</si>
  <si>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</si>
  <si>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</si>
  <si>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</si>
  <si>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</si>
  <si>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</si>
  <si>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</si>
  <si>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</si>
  <si>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</si>
  <si>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</si>
  <si>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</si>
  <si>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</si>
  <si>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</si>
  <si>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</si>
  <si>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</si>
  <si>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</si>
  <si>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</si>
  <si>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</si>
  <si>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</si>
  <si>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</si>
  <si>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</si>
  <si>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</si>
  <si>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</si>
  <si>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</si>
  <si>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</si>
  <si>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</si>
  <si>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</si>
  <si>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</si>
  <si>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</si>
  <si>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</si>
  <si>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</si>
  <si>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</si>
  <si>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</si>
  <si>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</si>
  <si>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</si>
  <si>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</si>
  <si>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</si>
  <si>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</si>
  <si>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</si>
  <si>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</si>
  <si>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</si>
  <si>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</si>
  <si>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</si>
  <si>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</si>
  <si>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</si>
  <si>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</si>
  <si>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</si>
  <si>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</si>
  <si>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</si>
  <si>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</si>
  <si>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</si>
  <si>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</si>
  <si>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</si>
  <si>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</si>
  <si>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</si>
  <si>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</si>
  <si>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</si>
  <si>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</si>
  <si>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</si>
  <si>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</si>
  <si>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</si>
  <si>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</si>
  <si>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</si>
  <si>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</si>
  <si>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</si>
  <si>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</si>
  <si>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</si>
  <si>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</si>
  <si>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</si>
  <si>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</si>
  <si>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</si>
  <si>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</si>
  <si>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</si>
  <si>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</si>
  <si>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</si>
  <si>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</si>
  <si>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</si>
  <si>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</si>
  <si>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</si>
  <si>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</si>
  <si>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</si>
  <si>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</si>
  <si>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</si>
  <si>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</si>
  <si>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</si>
  <si>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</si>
  <si>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</si>
  <si>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</si>
  <si>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</si>
  <si>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</si>
  <si>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</si>
  <si>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</si>
  <si>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</si>
  <si>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</si>
  <si>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</si>
  <si>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</si>
  <si>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</si>
  <si>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</si>
  <si>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</si>
  <si>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</si>
  <si>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</si>
  <si>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</si>
  <si>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</si>
  <si>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</si>
  <si>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</si>
  <si>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</si>
  <si>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</si>
  <si>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</si>
  <si>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</si>
  <si>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</si>
  <si>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</si>
  <si>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</si>
  <si>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</si>
  <si>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</si>
  <si>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</si>
  <si>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</si>
  <si>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</si>
  <si>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</si>
  <si>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</si>
  <si>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</si>
  <si>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</si>
  <si>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</si>
  <si>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</si>
  <si>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</si>
  <si>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</si>
  <si>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</si>
  <si>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</si>
  <si>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</si>
  <si>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</si>
  <si>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</si>
  <si>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</si>
  <si>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</si>
  <si>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</si>
  <si>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</si>
  <si>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</si>
  <si>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</si>
  <si>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</si>
  <si>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</si>
  <si>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</si>
  <si>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</si>
  <si>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</si>
  <si>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</si>
  <si>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</si>
  <si>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</si>
  <si>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</si>
  <si>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</si>
  <si>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</si>
  <si>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</si>
  <si>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</si>
  <si>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</si>
  <si>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</si>
  <si>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</si>
  <si>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</si>
  <si>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</si>
  <si>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</si>
  <si>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</si>
  <si>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</si>
  <si>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</si>
  <si>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</si>
  <si>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</si>
  <si>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</si>
  <si>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</si>
  <si>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</si>
  <si>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</si>
  <si>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</si>
  <si>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</si>
  <si>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</si>
  <si>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</si>
  <si>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</si>
  <si>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</si>
  <si>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</si>
  <si>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</si>
  <si>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</si>
  <si>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</si>
  <si>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</si>
  <si>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</si>
  <si>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</si>
  <si>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</si>
  <si>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</si>
  <si>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</si>
  <si>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</si>
  <si>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</si>
  <si>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</si>
  <si>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</si>
  <si>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</si>
  <si>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</si>
  <si>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</si>
  <si>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</si>
  <si>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</si>
  <si>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</si>
  <si>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</si>
  <si>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</si>
  <si>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</si>
  <si>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</si>
  <si>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</si>
  <si>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</si>
  <si>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</si>
  <si>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</si>
  <si>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</si>
  <si>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</si>
  <si>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</si>
  <si>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</si>
  <si>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</si>
  <si>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</si>
  <si>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</si>
  <si>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</si>
  <si>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</si>
  <si>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</si>
  <si>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</si>
  <si>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</si>
  <si>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</si>
  <si>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</si>
  <si>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</si>
  <si>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</si>
  <si>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</si>
  <si>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</si>
  <si>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</si>
  <si>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</si>
  <si>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</si>
  <si>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</si>
  <si>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</si>
  <si>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</si>
  <si>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</si>
  <si>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</si>
  <si>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</si>
  <si>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</si>
  <si>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</si>
  <si>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</si>
  <si>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</si>
  <si>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</si>
  <si>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</si>
  <si>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</si>
  <si>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</si>
  <si>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</si>
  <si>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</si>
  <si>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</si>
  <si>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</si>
  <si>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</si>
  <si>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</si>
  <si>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</si>
  <si>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</si>
  <si>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</si>
  <si>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</si>
  <si>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</si>
  <si>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</si>
  <si>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</si>
  <si>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</si>
  <si>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</si>
  <si>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</si>
  <si>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</si>
  <si>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</si>
  <si>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</si>
  <si>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</si>
  <si>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</si>
  <si>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</si>
  <si>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</si>
  <si>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</si>
  <si>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</si>
  <si>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</si>
  <si>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</si>
  <si>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</si>
  <si>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</si>
  <si>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</si>
  <si>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</si>
  <si>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</si>
  <si>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</si>
  <si>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</si>
  <si>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</si>
  <si>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</si>
  <si>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</si>
  <si>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</si>
  <si>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</si>
  <si>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</si>
  <si>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</si>
  <si>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</si>
  <si>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</si>
  <si>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</si>
  <si>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</si>
  <si>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</si>
  <si>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</si>
  <si>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</si>
  <si>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</si>
  <si>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</si>
  <si>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</si>
  <si>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</si>
  <si>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</si>
  <si>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</si>
  <si>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</si>
  <si>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</si>
  <si>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</si>
  <si>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</si>
  <si>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</si>
  <si>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</si>
  <si>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</si>
  <si>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</si>
  <si>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</si>
  <si>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</si>
  <si>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</si>
  <si>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</si>
  <si>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</si>
  <si>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</si>
  <si>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</si>
  <si>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</si>
  <si>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</si>
  <si>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</si>
  <si>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</si>
  <si>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</si>
  <si>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</si>
  <si>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</si>
  <si>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</si>
  <si>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</si>
  <si>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</si>
  <si>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</si>
  <si>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</si>
  <si>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</si>
  <si>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</si>
  <si>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</si>
  <si>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</si>
  <si>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</si>
  <si>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</si>
  <si>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</si>
  <si>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</si>
  <si>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</si>
  <si>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</si>
  <si>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</si>
  <si>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</si>
  <si>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</si>
  <si>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</si>
  <si>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</si>
  <si>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</si>
  <si>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</si>
  <si>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</si>
  <si>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</si>
  <si>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</si>
  <si>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</si>
  <si>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</si>
  <si>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</si>
  <si>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</si>
  <si>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</si>
  <si>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</si>
  <si>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</si>
  <si>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</si>
  <si>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</si>
  <si>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</si>
  <si>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</si>
  <si>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</si>
  <si>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</si>
  <si>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</si>
  <si>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</si>
  <si>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</si>
  <si>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</si>
  <si>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</si>
  <si>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</si>
  <si>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</si>
  <si>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</si>
  <si>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</si>
  <si>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</si>
  <si>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</si>
  <si>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</si>
  <si>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</si>
  <si>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</si>
  <si>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</si>
  <si>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</si>
  <si>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</si>
  <si>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</si>
  <si>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</si>
  <si>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</si>
  <si>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</si>
  <si>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</si>
  <si>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</si>
  <si>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</si>
  <si>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</si>
  <si>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</si>
  <si>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</si>
  <si>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</si>
  <si>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</si>
  <si>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</si>
  <si>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</si>
  <si>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</si>
  <si>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</si>
  <si>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</si>
  <si>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</si>
  <si>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</si>
  <si>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</si>
  <si>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</si>
  <si>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</si>
  <si>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</si>
  <si>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</si>
  <si>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</si>
  <si>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</si>
  <si>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</si>
  <si>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</si>
  <si>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</si>
  <si>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</si>
  <si>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</si>
  <si>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</si>
  <si>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</si>
  <si>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</si>
  <si>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</si>
  <si>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</si>
  <si>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</si>
  <si>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</si>
  <si>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</si>
  <si>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</si>
  <si>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</si>
  <si>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</si>
  <si>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</si>
  <si>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</si>
  <si>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</si>
  <si>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</si>
  <si>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</si>
  <si>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</si>
  <si>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</si>
  <si>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</si>
  <si>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</si>
  <si>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</si>
  <si>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</si>
  <si>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</si>
  <si>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</si>
  <si>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</si>
  <si>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</si>
  <si>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</si>
  <si>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</si>
  <si>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</si>
  <si>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</si>
  <si>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</si>
  <si>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</si>
  <si>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</si>
  <si>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</si>
  <si>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</si>
  <si>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</si>
  <si>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</si>
  <si>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</si>
  <si>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</si>
  <si>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</si>
  <si>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</si>
  <si>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</si>
  <si>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</si>
  <si>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</si>
  <si>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</si>
  <si>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</si>
  <si>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</si>
  <si>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</si>
  <si>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</si>
  <si>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</si>
  <si>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</si>
  <si>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</si>
  <si>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</si>
  <si>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</si>
  <si>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</si>
  <si>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</si>
  <si>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</si>
  <si>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</si>
  <si>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</si>
  <si>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</si>
  <si>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</si>
  <si>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</si>
  <si>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</si>
  <si>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</si>
  <si>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</si>
  <si>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</si>
  <si>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</si>
  <si>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</si>
  <si>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</si>
  <si>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</si>
  <si>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</si>
  <si>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</si>
  <si>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</si>
  <si>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</si>
  <si>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</si>
  <si>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</si>
  <si>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</si>
  <si>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</si>
  <si>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</si>
  <si>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</si>
  <si>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</si>
  <si>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</si>
  <si>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</si>
  <si>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</si>
  <si>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</si>
  <si>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</si>
  <si>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</si>
  <si>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</si>
  <si>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</si>
  <si>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</si>
  <si>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</si>
  <si>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</si>
  <si>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</si>
  <si>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</si>
  <si>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</si>
  <si>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</si>
  <si>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</si>
  <si>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</si>
  <si>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</si>
  <si>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</si>
  <si>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</si>
  <si>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</si>
  <si>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</si>
  <si>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</si>
  <si>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</si>
  <si>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</si>
  <si>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</si>
  <si>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</si>
  <si>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</si>
  <si>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</si>
  <si>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</si>
  <si>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</si>
  <si>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</si>
  <si>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</si>
  <si>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</si>
  <si>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</si>
  <si>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</si>
  <si>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</si>
  <si>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</si>
  <si>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</si>
  <si>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</si>
  <si>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</si>
  <si>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</si>
  <si>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</si>
  <si>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</si>
  <si>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</si>
  <si>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</si>
  <si>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</si>
  <si>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</si>
  <si>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</si>
  <si>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</si>
  <si>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</si>
  <si>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</si>
  <si>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</si>
  <si>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</si>
  <si>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</si>
  <si>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</si>
  <si>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</si>
  <si>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</si>
  <si>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</si>
  <si>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</si>
  <si>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</si>
  <si>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</si>
  <si>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</si>
  <si>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</si>
  <si>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</si>
  <si>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</si>
  <si>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</si>
  <si>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</si>
  <si>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</si>
  <si>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</si>
  <si>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</si>
  <si>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</si>
  <si>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</si>
  <si>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</si>
  <si>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</si>
  <si>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</si>
  <si>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</si>
  <si>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</si>
  <si>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</si>
  <si>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</si>
  <si>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</si>
  <si>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</si>
  <si>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</si>
  <si>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</si>
  <si>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</si>
  <si>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</si>
  <si>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</si>
  <si>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</si>
  <si>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</si>
  <si>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</si>
  <si>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</si>
  <si>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</si>
  <si>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</si>
  <si>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</si>
  <si>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</si>
  <si>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</si>
  <si>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</si>
  <si>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</si>
  <si>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</si>
  <si>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</si>
  <si>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</si>
  <si>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</si>
  <si>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</si>
  <si>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</si>
  <si>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</si>
  <si>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</si>
  <si>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</si>
  <si>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</si>
  <si>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</si>
  <si>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</si>
  <si>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</si>
  <si>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</si>
  <si>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</si>
  <si>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</si>
  <si>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</si>
  <si>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</si>
  <si>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</si>
  <si>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</si>
  <si>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</si>
  <si>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</si>
  <si>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</si>
  <si>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</si>
  <si>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</si>
  <si>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</si>
  <si>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</si>
  <si>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</si>
  <si>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</si>
  <si>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</si>
  <si>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</si>
  <si>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</si>
  <si>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</si>
  <si>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</si>
  <si>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</si>
  <si>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</si>
  <si>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</si>
  <si>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</si>
  <si>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</si>
  <si>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</si>
  <si>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</si>
  <si>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</si>
  <si>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</si>
  <si>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</si>
  <si>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</si>
  <si>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</si>
  <si>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</si>
  <si>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</si>
  <si>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</si>
  <si>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</si>
  <si>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</si>
  <si>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</si>
  <si>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</si>
  <si>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</si>
  <si>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</si>
  <si>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</si>
  <si>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</si>
  <si>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</si>
  <si>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</si>
  <si>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</si>
  <si>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</si>
  <si>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</si>
  <si>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</si>
  <si>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</si>
  <si>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</si>
  <si>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</si>
  <si>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</si>
  <si>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</si>
  <si>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</si>
  <si>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</si>
  <si>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</si>
  <si>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</si>
  <si>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</si>
  <si>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</si>
  <si>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</si>
  <si>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</si>
  <si>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</si>
  <si>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</si>
  <si>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</si>
  <si>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</si>
  <si>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</si>
  <si>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</si>
  <si>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</si>
  <si>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</si>
  <si>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</si>
  <si>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</si>
  <si>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</si>
  <si>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</si>
  <si>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</si>
  <si>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</si>
  <si>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</si>
  <si>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</si>
  <si>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</si>
  <si>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</si>
  <si>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</si>
  <si>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</si>
  <si>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</si>
  <si>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</si>
  <si>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</si>
  <si>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</si>
  <si>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</si>
  <si>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</si>
  <si>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</si>
  <si>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</si>
  <si>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</si>
  <si>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</si>
  <si>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</si>
  <si>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</si>
  <si>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</si>
  <si>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</si>
  <si>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</si>
  <si>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</si>
  <si>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</si>
  <si>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</si>
  <si>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</si>
  <si>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</si>
  <si>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</si>
  <si>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</si>
  <si>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</si>
  <si>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</si>
  <si>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</si>
  <si>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</si>
  <si>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</si>
  <si>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</si>
  <si>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</si>
  <si>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</si>
  <si>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</si>
  <si>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</si>
  <si>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</si>
  <si>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</si>
  <si>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</si>
  <si>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</si>
  <si>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</si>
  <si>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</si>
  <si>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</si>
  <si>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</si>
  <si>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</si>
  <si>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</si>
  <si>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</si>
  <si>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</si>
  <si>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</si>
  <si>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</si>
  <si>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</si>
  <si>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</si>
  <si>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</si>
  <si>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</si>
  <si>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</si>
  <si>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</si>
  <si>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</si>
  <si>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</si>
  <si>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</si>
  <si>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</si>
  <si>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</si>
  <si>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</si>
  <si>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</si>
  <si>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</si>
  <si>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</si>
  <si>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</si>
  <si>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</si>
  <si>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</si>
  <si>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</si>
  <si>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</si>
  <si>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</si>
  <si>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</si>
  <si>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</si>
  <si>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</si>
  <si>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</si>
  <si>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</si>
  <si>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</si>
  <si>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</si>
  <si>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</si>
  <si>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</si>
  <si>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</si>
  <si>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</si>
  <si>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</si>
  <si>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</si>
  <si>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</si>
  <si>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</si>
  <si>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</si>
  <si>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</si>
  <si>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</si>
  <si>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</si>
  <si>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</si>
  <si>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</si>
  <si>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</si>
  <si>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</si>
  <si>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</si>
  <si>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</si>
  <si>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</si>
  <si>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</si>
  <si>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</si>
  <si>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</si>
  <si>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</si>
  <si>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</si>
  <si>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</si>
  <si>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</si>
  <si>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</si>
  <si>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</si>
  <si>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</si>
  <si>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</si>
  <si>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</si>
  <si>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</si>
  <si>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</si>
  <si>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</si>
  <si>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</si>
  <si>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</si>
  <si>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</si>
  <si>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</si>
  <si>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</si>
  <si>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</si>
  <si>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</si>
  <si>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</si>
  <si>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</si>
  <si>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</si>
  <si>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</si>
  <si>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</si>
  <si>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</si>
  <si>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</si>
  <si>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</si>
  <si>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</si>
  <si>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</si>
  <si>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</si>
  <si>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</si>
  <si>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</si>
  <si>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</si>
  <si>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</si>
  <si>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</si>
  <si>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</si>
  <si>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</si>
  <si>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</si>
  <si>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</si>
  <si>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</si>
  <si>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</si>
  <si>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</si>
  <si>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</si>
  <si>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</si>
  <si>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</si>
  <si>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</si>
  <si>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</si>
  <si>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</si>
  <si>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</si>
  <si>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</si>
  <si>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</si>
  <si>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</si>
  <si>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</si>
  <si>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</si>
  <si>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</si>
  <si>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</si>
  <si>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</si>
  <si>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</si>
  <si>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</si>
  <si>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</si>
  <si>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</si>
  <si>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</si>
  <si>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</si>
  <si>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</si>
  <si>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</si>
  <si>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</si>
  <si>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</si>
  <si>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</si>
  <si>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</si>
  <si>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</si>
  <si>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</si>
  <si>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</si>
  <si>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</si>
  <si>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</si>
  <si>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</si>
  <si>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</si>
  <si>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</si>
  <si>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</si>
  <si>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</si>
  <si>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</si>
  <si>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</si>
  <si>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</si>
  <si>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</si>
  <si>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</si>
  <si>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</si>
  <si>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</si>
  <si>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</si>
  <si>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</si>
  <si>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</si>
  <si>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</si>
  <si>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</si>
  <si>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</si>
  <si>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</si>
  <si>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</si>
  <si>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</si>
  <si>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</si>
  <si>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</si>
  <si>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</si>
  <si>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</si>
  <si>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</si>
  <si>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</si>
  <si>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</si>
  <si>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</si>
  <si>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</si>
  <si>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</si>
  <si>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</si>
  <si>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</si>
  <si>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</si>
  <si>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</si>
  <si>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</si>
  <si>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</si>
  <si>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</si>
  <si>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</si>
  <si>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</si>
  <si>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</si>
  <si>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</si>
  <si>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</si>
  <si>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</si>
  <si>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</si>
  <si>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</si>
  <si>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</si>
  <si>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</si>
  <si>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</si>
  <si>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</si>
  <si>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</si>
  <si>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</si>
  <si>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</si>
  <si>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</si>
  <si>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</si>
  <si>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</si>
  <si>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</si>
  <si>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</si>
  <si>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</si>
  <si>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</si>
  <si>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</si>
  <si>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</si>
  <si>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</si>
  <si>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</si>
  <si>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</si>
  <si>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</si>
  <si>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</si>
  <si>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</si>
  <si>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</si>
  <si>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</si>
  <si>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>Orlando Bolaños Carlosama</t>
  </si>
  <si>
    <t>MONICA ANDREA BRAVO LEITON</t>
  </si>
  <si>
    <t>Cinturones</t>
  </si>
  <si>
    <t>Alto             (Largo)(120cm)</t>
  </si>
  <si>
    <t>Ancho(4cm)</t>
  </si>
  <si>
    <t>Profundidad  (0cm)</t>
  </si>
  <si>
    <t>correas</t>
  </si>
  <si>
    <t>Para los cinturones de reata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</si>
</sst>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52" fillId="24" borderId="0" xfId="0" applyFont="1" applyFill="1"/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0" sqref="D10:N1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4"/>
      <c r="B1" s="365"/>
      <c r="C1" s="403" t="s">
        <v>0</v>
      </c>
      <c r="D1" s="404"/>
      <c r="E1" s="404"/>
      <c r="F1" s="405" t="str">
        <f>IF(E2="","",CONCATENATE(LEFT(E2,1),MID(E2,SEARCH(" ",E2)+1,1),TEXT(O1,"DD"),TEXT(O1,"MM"),"-",IF(K1="",1,K1)))</f>
        <v/>
      </c>
      <c r="G1" s="406"/>
      <c r="H1" s="407"/>
      <c r="I1" s="352" t="s">
        <v>1</v>
      </c>
      <c r="J1" s="353"/>
      <c r="K1" s="232"/>
      <c r="L1" s="354" t="s">
        <v>2</v>
      </c>
      <c r="M1" s="355"/>
      <c r="N1" s="355"/>
      <c r="O1" s="356">
        <v>45986</v>
      </c>
      <c r="P1" s="356"/>
      <c r="Q1" s="356"/>
      <c r="R1" s="357"/>
      <c r="S1" s="297" t="s">
        <v>1387</v>
      </c>
      <c r="T1" s="298"/>
      <c r="U1" s="303"/>
      <c r="V1" s="304"/>
      <c r="W1" s="304"/>
      <c r="X1" s="304"/>
      <c r="Y1" s="305"/>
      <c r="Z1" s="385" t="s">
        <v>3</v>
      </c>
      <c r="AA1" s="386"/>
      <c r="AB1" s="386"/>
      <c r="AC1" s="386"/>
      <c r="AD1" s="386"/>
      <c r="AE1" s="386"/>
    </row>
    <row r="2" spans="1:31" ht="23.25" customHeight="1">
      <c r="A2" s="366"/>
      <c r="B2" s="367"/>
      <c r="C2" s="349" t="s">
        <v>4</v>
      </c>
      <c r="D2" s="351"/>
      <c r="E2" s="370"/>
      <c r="F2" s="371"/>
      <c r="G2" s="371"/>
      <c r="H2" s="371"/>
      <c r="I2" s="371"/>
      <c r="J2" s="371"/>
      <c r="K2" s="372"/>
      <c r="L2" s="393" t="s">
        <v>5</v>
      </c>
      <c r="M2" s="394"/>
      <c r="N2" s="354"/>
      <c r="O2" s="395" t="str">
        <f>IF(E2="","",INDEX(Listas!H2:I30,MATCH('Soli_citud '!E2,Intructores,0),2))</f>
        <v/>
      </c>
      <c r="P2" s="395"/>
      <c r="Q2" s="395"/>
      <c r="R2" s="396"/>
      <c r="S2" s="299"/>
      <c r="T2" s="300"/>
      <c r="U2" s="303"/>
      <c r="V2" s="304"/>
      <c r="W2" s="304"/>
      <c r="X2" s="304"/>
      <c r="Y2" s="305"/>
      <c r="Z2" s="385"/>
      <c r="AA2" s="386"/>
      <c r="AB2" s="386"/>
      <c r="AC2" s="386"/>
      <c r="AD2" s="386"/>
      <c r="AE2" s="386"/>
    </row>
    <row r="3" spans="1:31" ht="24.75" customHeight="1">
      <c r="A3" s="368"/>
      <c r="B3" s="369"/>
      <c r="C3" s="340" t="s">
        <v>6</v>
      </c>
      <c r="D3" s="341"/>
      <c r="E3" s="342" t="s">
        <v>7</v>
      </c>
      <c r="F3" s="343"/>
      <c r="G3" s="343"/>
      <c r="H3" s="343"/>
      <c r="I3" s="343"/>
      <c r="J3" s="343"/>
      <c r="K3" s="344"/>
      <c r="L3" s="393" t="s">
        <v>8</v>
      </c>
      <c r="M3" s="394"/>
      <c r="N3" s="354"/>
      <c r="O3" s="317">
        <v>3378960</v>
      </c>
      <c r="P3" s="397"/>
      <c r="Q3" s="397"/>
      <c r="R3" s="397"/>
      <c r="S3" s="299" t="s">
        <v>1388</v>
      </c>
      <c r="T3" s="300"/>
      <c r="U3" s="303"/>
      <c r="V3" s="304"/>
      <c r="W3" s="304"/>
      <c r="X3" s="304"/>
      <c r="Y3" s="305"/>
      <c r="Z3" s="385"/>
      <c r="AA3" s="386"/>
      <c r="AB3" s="386"/>
      <c r="AC3" s="386"/>
      <c r="AD3" s="386"/>
      <c r="AE3" s="386"/>
    </row>
    <row r="4" spans="1:31" ht="30.75" customHeight="1">
      <c r="A4" s="363" t="s">
        <v>9</v>
      </c>
      <c r="B4" s="363"/>
      <c r="C4" s="363"/>
      <c r="D4" s="358" t="s">
        <v>1386</v>
      </c>
      <c r="E4" s="359"/>
      <c r="F4" s="359"/>
      <c r="G4" s="359"/>
      <c r="H4" s="359"/>
      <c r="I4" s="359"/>
      <c r="J4" s="359"/>
      <c r="K4" s="359"/>
      <c r="L4" s="360" t="s">
        <v>10</v>
      </c>
      <c r="M4" s="360"/>
      <c r="N4" s="360"/>
      <c r="O4" s="361" t="s">
        <v>11</v>
      </c>
      <c r="P4" s="362"/>
      <c r="Q4" s="362"/>
      <c r="R4" s="362"/>
      <c r="S4" s="299"/>
      <c r="T4" s="300"/>
      <c r="U4" s="303"/>
      <c r="V4" s="304"/>
      <c r="W4" s="304"/>
      <c r="X4" s="304"/>
      <c r="Y4" s="305"/>
      <c r="Z4" s="385"/>
      <c r="AA4" s="386"/>
      <c r="AB4" s="386"/>
      <c r="AC4" s="386"/>
      <c r="AD4" s="386"/>
      <c r="AE4" s="386"/>
    </row>
    <row r="5" spans="1:31" ht="29.25" customHeight="1">
      <c r="A5" s="345" t="s">
        <v>12</v>
      </c>
      <c r="B5" s="345"/>
      <c r="C5" s="345"/>
      <c r="D5" s="346">
        <f>IF(K5="","",(SUM(W10:Y28)-(SUMIF(U10:V28,"Restar_Pedido",W10:Y28)))/$K$5)</f>
        <v>10416.503000000001</v>
      </c>
      <c r="E5" s="347"/>
      <c r="F5" s="348"/>
      <c r="G5" s="349" t="s">
        <v>13</v>
      </c>
      <c r="H5" s="350"/>
      <c r="I5" s="350"/>
      <c r="J5" s="351"/>
      <c r="K5" s="401">
        <v>21</v>
      </c>
      <c r="L5" s="401"/>
      <c r="M5" s="402" t="s">
        <v>14</v>
      </c>
      <c r="N5" s="402"/>
      <c r="O5" s="398">
        <f>IFERROR(IF(K5=0,"",D5*K5),"")</f>
        <v>218746.56300000002</v>
      </c>
      <c r="P5" s="399"/>
      <c r="Q5" s="399"/>
      <c r="R5" s="399"/>
      <c r="S5" s="301" t="s">
        <v>1389</v>
      </c>
      <c r="T5" s="302"/>
      <c r="U5" s="303"/>
      <c r="V5" s="304"/>
      <c r="W5" s="304"/>
      <c r="X5" s="304"/>
      <c r="Y5" s="305"/>
      <c r="Z5" s="385"/>
      <c r="AA5" s="386"/>
      <c r="AB5" s="386"/>
      <c r="AC5" s="386"/>
      <c r="AD5" s="386"/>
      <c r="AE5" s="386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3"/>
      <c r="V6" s="304"/>
      <c r="W6" s="304"/>
      <c r="X6" s="304"/>
      <c r="Y6" s="305"/>
      <c r="Z6" s="385"/>
      <c r="AA6" s="386"/>
      <c r="AB6" s="386"/>
      <c r="AC6" s="386"/>
      <c r="AD6" s="386"/>
      <c r="AE6" s="386"/>
    </row>
    <row r="7" spans="1:31" ht="24" customHeight="1" thickBot="1">
      <c r="A7" s="328" t="s">
        <v>15</v>
      </c>
      <c r="B7" s="328"/>
      <c r="C7" s="329"/>
      <c r="D7" s="330" t="s">
        <v>16</v>
      </c>
      <c r="E7" s="331"/>
      <c r="F7" s="331"/>
      <c r="G7" s="331"/>
      <c r="H7" s="331"/>
      <c r="I7" s="331"/>
      <c r="J7" s="331"/>
      <c r="K7" s="331"/>
      <c r="L7" s="331"/>
      <c r="M7" s="331"/>
      <c r="N7" s="332"/>
      <c r="O7" s="336" t="s">
        <v>17</v>
      </c>
      <c r="P7" s="337"/>
      <c r="Q7" s="338" t="s">
        <v>18</v>
      </c>
      <c r="R7" s="339"/>
      <c r="S7" s="299"/>
      <c r="T7" s="300"/>
      <c r="U7" s="306"/>
      <c r="V7" s="307"/>
      <c r="W7" s="307"/>
      <c r="X7" s="307"/>
      <c r="Y7" s="308"/>
      <c r="Z7" s="385"/>
      <c r="AA7" s="386"/>
      <c r="AB7" s="386"/>
      <c r="AC7" s="386"/>
      <c r="AD7" s="386"/>
      <c r="AE7" s="386"/>
    </row>
    <row r="8" spans="1:31" ht="18.75" customHeight="1" thickBot="1">
      <c r="A8" s="328"/>
      <c r="B8" s="328"/>
      <c r="C8" s="329"/>
      <c r="D8" s="333"/>
      <c r="E8" s="334"/>
      <c r="F8" s="334"/>
      <c r="G8" s="334"/>
      <c r="H8" s="334"/>
      <c r="I8" s="334"/>
      <c r="J8" s="334"/>
      <c r="K8" s="334"/>
      <c r="L8" s="334"/>
      <c r="M8" s="334"/>
      <c r="N8" s="335"/>
      <c r="O8" s="336"/>
      <c r="P8" s="337"/>
      <c r="Q8" s="338"/>
      <c r="R8" s="338"/>
      <c r="S8" s="389" t="s">
        <v>19</v>
      </c>
      <c r="T8" s="389"/>
      <c r="U8" s="390"/>
      <c r="V8" s="391">
        <f>IF(K5="","",1/K5)</f>
        <v>4.7619047619047616E-2</v>
      </c>
      <c r="W8" s="392"/>
      <c r="X8" s="103">
        <v>2</v>
      </c>
      <c r="Y8" s="104">
        <f>IFERROR((V8*X8)," ")</f>
        <v>9.5238095238095233E-2</v>
      </c>
      <c r="Z8" s="385"/>
      <c r="AA8" s="386"/>
      <c r="AB8" s="386"/>
      <c r="AC8" s="386"/>
      <c r="AD8" s="386"/>
      <c r="AE8" s="386"/>
    </row>
    <row r="9" spans="1:31" ht="12" customHeight="1">
      <c r="A9" s="400"/>
      <c r="B9" s="400"/>
      <c r="C9" s="400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8" t="s">
        <v>20</v>
      </c>
      <c r="T9" s="388"/>
      <c r="U9" s="337" t="s">
        <v>21</v>
      </c>
      <c r="V9" s="337"/>
      <c r="W9" s="337" t="s">
        <v>22</v>
      </c>
      <c r="X9" s="337"/>
      <c r="Y9" s="337"/>
    </row>
    <row r="10" spans="1:31" ht="17.25" customHeight="1">
      <c r="A10" s="310" t="s">
        <v>33</v>
      </c>
      <c r="B10" s="310"/>
      <c r="C10" s="311"/>
      <c r="D10" s="323" t="s">
        <v>473</v>
      </c>
      <c r="E10" s="324"/>
      <c r="F10" s="324"/>
      <c r="G10" s="324"/>
      <c r="H10" s="324"/>
      <c r="I10" s="324"/>
      <c r="J10" s="324"/>
      <c r="K10" s="324"/>
      <c r="L10" s="324"/>
      <c r="M10" s="324"/>
      <c r="N10" s="325"/>
      <c r="O10" s="315" t="str">
        <f t="shared" ref="O10:O31" si="0">IFERROR(IF(D10="","",INDEX(Tabla_Completa,MATCH(D10,Materiales,0),6)),"")</f>
        <v>kg</v>
      </c>
      <c r="P10" s="316"/>
      <c r="Q10" s="317">
        <v>2</v>
      </c>
      <c r="R10" s="318"/>
      <c r="S10" s="319">
        <f>IFERROR(IF(Q10="Unidad","1",(Q10*$K$5)),"")</f>
        <v>42</v>
      </c>
      <c r="T10" s="320"/>
      <c r="U10" s="321" t="s">
        <v>1390</v>
      </c>
      <c r="V10" s="327"/>
      <c r="W10" s="322">
        <f>IFERROR(IF(D10="","",INDEX(Tabla_Completa,MATCH('Soli_citud '!D10,Materiales,0),7)*S10),"")</f>
        <v>0</v>
      </c>
      <c r="X10" s="322"/>
      <c r="Y10" s="322"/>
      <c r="Z10" s="34"/>
      <c r="AA10" s="34"/>
      <c r="AB10" s="34"/>
      <c r="AC10" s="34"/>
      <c r="AD10" s="34"/>
      <c r="AE10" s="34"/>
    </row>
    <row r="11" spans="1:31" ht="17.25" customHeight="1">
      <c r="A11" s="309" t="s">
        <v>36</v>
      </c>
      <c r="B11" s="310"/>
      <c r="C11" s="311"/>
      <c r="D11" s="323" t="s">
        <v>683</v>
      </c>
      <c r="E11" s="324"/>
      <c r="F11" s="324"/>
      <c r="G11" s="324"/>
      <c r="H11" s="324"/>
      <c r="I11" s="324"/>
      <c r="J11" s="324"/>
      <c r="K11" s="324"/>
      <c r="L11" s="324"/>
      <c r="M11" s="324"/>
      <c r="N11" s="325"/>
      <c r="O11" s="315" t="str">
        <f t="shared" si="0"/>
        <v>U</v>
      </c>
      <c r="P11" s="316"/>
      <c r="Q11" s="317">
        <v>0.5</v>
      </c>
      <c r="R11" s="318"/>
      <c r="S11" s="319">
        <f t="shared" ref="S11:S31" si="1">IFERROR(IF(Q11="Unidad","1",(Q11*$K$5)),"")</f>
        <v>10.5</v>
      </c>
      <c r="T11" s="320"/>
      <c r="U11" s="321"/>
      <c r="V11" s="321"/>
      <c r="W11" s="322">
        <f>IFERROR(IF(D11="","",INDEX(Tabla_Completa,MATCH('Soli_citud '!D11,Materiales,0),7)*S11),"")</f>
        <v>40425</v>
      </c>
      <c r="X11" s="322"/>
      <c r="Y11" s="322"/>
    </row>
    <row r="12" spans="1:31" ht="15.75" customHeight="1">
      <c r="A12" s="309" t="s">
        <v>36</v>
      </c>
      <c r="B12" s="310"/>
      <c r="C12" s="311"/>
      <c r="D12" s="326" t="s">
        <v>859</v>
      </c>
      <c r="E12" s="324"/>
      <c r="F12" s="324"/>
      <c r="G12" s="324"/>
      <c r="H12" s="324"/>
      <c r="I12" s="324"/>
      <c r="J12" s="324"/>
      <c r="K12" s="324"/>
      <c r="L12" s="324"/>
      <c r="M12" s="324"/>
      <c r="N12" s="325"/>
      <c r="O12" s="315" t="str">
        <f t="shared" ref="O12" si="2">IFERROR(IF(D12="","",INDEX(Tabla_Completa,MATCH(D12,Materiales,0),6)),"")</f>
        <v>U</v>
      </c>
      <c r="P12" s="316"/>
      <c r="Q12" s="317">
        <v>1</v>
      </c>
      <c r="R12" s="318"/>
      <c r="S12" s="319">
        <f t="shared" si="1"/>
        <v>21</v>
      </c>
      <c r="T12" s="320"/>
      <c r="U12" s="321"/>
      <c r="V12" s="321"/>
      <c r="W12" s="322">
        <f>IFERROR(IF(D12="","",INDEX(Tabla_Completa,MATCH('Soli_citud '!D12,Materiales,0),7)*S12),"")</f>
        <v>32550</v>
      </c>
      <c r="X12" s="322"/>
      <c r="Y12" s="322"/>
    </row>
    <row r="13" spans="1:31" ht="15.75" customHeight="1">
      <c r="A13" s="309" t="s">
        <v>36</v>
      </c>
      <c r="B13" s="310"/>
      <c r="C13" s="311"/>
      <c r="D13" s="323" t="s">
        <v>797</v>
      </c>
      <c r="E13" s="324"/>
      <c r="F13" s="324"/>
      <c r="G13" s="324"/>
      <c r="H13" s="324"/>
      <c r="I13" s="324"/>
      <c r="J13" s="324"/>
      <c r="K13" s="324"/>
      <c r="L13" s="324"/>
      <c r="M13" s="324"/>
      <c r="N13" s="325"/>
      <c r="O13" s="315" t="str">
        <f t="shared" si="0"/>
        <v>U</v>
      </c>
      <c r="P13" s="316"/>
      <c r="Q13" s="317">
        <v>5</v>
      </c>
      <c r="R13" s="318"/>
      <c r="S13" s="319">
        <f t="shared" si="1"/>
        <v>105</v>
      </c>
      <c r="T13" s="320"/>
      <c r="U13" s="321"/>
      <c r="V13" s="321"/>
      <c r="W13" s="322">
        <f>IFERROR(IF(D13="","",INDEX(Tabla_Completa,MATCH('Soli_citud '!D13,Materiales,0),7)*S13),"")</f>
        <v>13856.85</v>
      </c>
      <c r="X13" s="322"/>
      <c r="Y13" s="322"/>
    </row>
    <row r="14" spans="1:31" ht="17.25" customHeight="1">
      <c r="A14" s="309" t="s">
        <v>228</v>
      </c>
      <c r="B14" s="310"/>
      <c r="C14" s="311"/>
      <c r="D14" s="323" t="s">
        <v>383</v>
      </c>
      <c r="E14" s="324"/>
      <c r="F14" s="324"/>
      <c r="G14" s="324"/>
      <c r="H14" s="324"/>
      <c r="I14" s="324"/>
      <c r="J14" s="324"/>
      <c r="K14" s="324"/>
      <c r="L14" s="324"/>
      <c r="M14" s="324"/>
      <c r="N14" s="325"/>
      <c r="O14" s="315" t="str">
        <f t="shared" si="0"/>
        <v>cm</v>
      </c>
      <c r="P14" s="316"/>
      <c r="Q14" s="317">
        <v>120</v>
      </c>
      <c r="R14" s="318"/>
      <c r="S14" s="319">
        <f t="shared" si="1"/>
        <v>2520</v>
      </c>
      <c r="T14" s="320"/>
      <c r="U14" s="321" t="s">
        <v>1335</v>
      </c>
      <c r="V14" s="321"/>
      <c r="W14" s="322">
        <f>IFERROR(IF(D14="","",INDEX(Tabla_Completa,MATCH('Soli_citud '!D14,Materiales,0),7)*S14),"")</f>
        <v>0</v>
      </c>
      <c r="X14" s="322"/>
      <c r="Y14" s="322"/>
    </row>
    <row r="15" spans="1:31" ht="15.75" customHeight="1">
      <c r="A15" s="309" t="s">
        <v>36</v>
      </c>
      <c r="B15" s="310"/>
      <c r="C15" s="311"/>
      <c r="D15" s="323" t="s">
        <v>688</v>
      </c>
      <c r="E15" s="324"/>
      <c r="F15" s="324"/>
      <c r="G15" s="324"/>
      <c r="H15" s="324"/>
      <c r="I15" s="324"/>
      <c r="J15" s="324"/>
      <c r="K15" s="324"/>
      <c r="L15" s="324"/>
      <c r="M15" s="324"/>
      <c r="N15" s="325"/>
      <c r="O15" s="315" t="str">
        <f t="shared" si="0"/>
        <v>U</v>
      </c>
      <c r="P15" s="316"/>
      <c r="Q15" s="317">
        <v>0.7</v>
      </c>
      <c r="R15" s="318"/>
      <c r="S15" s="319">
        <f t="shared" si="1"/>
        <v>14.7</v>
      </c>
      <c r="T15" s="320"/>
      <c r="U15" s="321"/>
      <c r="V15" s="321"/>
      <c r="W15" s="322">
        <f>IFERROR(IF(D15="","",INDEX(Tabla_Completa,MATCH('Soli_citud '!D15,Materiales,0),7)*S15),"")</f>
        <v>131914.71300000002</v>
      </c>
      <c r="X15" s="322"/>
      <c r="Y15" s="322"/>
    </row>
    <row r="16" spans="1:31" ht="15.75" customHeight="1">
      <c r="A16" s="309" t="s">
        <v>36</v>
      </c>
      <c r="B16" s="310"/>
      <c r="C16" s="311"/>
      <c r="D16" s="323" t="s">
        <v>691</v>
      </c>
      <c r="E16" s="324"/>
      <c r="F16" s="324"/>
      <c r="G16" s="324"/>
      <c r="H16" s="324"/>
      <c r="I16" s="324"/>
      <c r="J16" s="324"/>
      <c r="K16" s="324"/>
      <c r="L16" s="324"/>
      <c r="M16" s="324"/>
      <c r="N16" s="325"/>
      <c r="O16" s="315" t="str">
        <f t="shared" si="0"/>
        <v>U</v>
      </c>
      <c r="P16" s="316"/>
      <c r="Q16" s="317">
        <v>0</v>
      </c>
      <c r="R16" s="318"/>
      <c r="S16" s="319">
        <f t="shared" si="1"/>
        <v>0</v>
      </c>
      <c r="T16" s="320"/>
      <c r="U16" s="321"/>
      <c r="V16" s="321"/>
      <c r="W16" s="322">
        <f>IFERROR(IF(D16="","",INDEX(Tabla_Completa,MATCH('Soli_citud '!D16,Materiales,0),7)*S16),"")</f>
        <v>0</v>
      </c>
      <c r="X16" s="322"/>
      <c r="Y16" s="322"/>
    </row>
    <row r="17" spans="1:25" ht="15.75" customHeight="1">
      <c r="A17" s="309"/>
      <c r="B17" s="310"/>
      <c r="C17" s="311"/>
      <c r="D17" s="323"/>
      <c r="E17" s="324"/>
      <c r="F17" s="324"/>
      <c r="G17" s="324"/>
      <c r="H17" s="324"/>
      <c r="I17" s="324"/>
      <c r="J17" s="324"/>
      <c r="K17" s="324"/>
      <c r="L17" s="324"/>
      <c r="M17" s="324"/>
      <c r="N17" s="325"/>
      <c r="O17" s="315" t="str">
        <f t="shared" si="0"/>
        <v/>
      </c>
      <c r="P17" s="316"/>
      <c r="Q17" s="317"/>
      <c r="R17" s="318"/>
      <c r="S17" s="319">
        <f t="shared" si="1"/>
        <v>0</v>
      </c>
      <c r="T17" s="320"/>
      <c r="U17" s="321"/>
      <c r="V17" s="321"/>
      <c r="W17" s="322" t="str">
        <f>IFERROR(IF(D17="","",INDEX(Tabla_Completa,MATCH('Soli_citud '!D17,Materiales,0),7)*S17),"")</f>
        <v/>
      </c>
      <c r="X17" s="322"/>
      <c r="Y17" s="322"/>
    </row>
    <row r="18" spans="1:25" ht="15.75" customHeight="1">
      <c r="A18" s="309"/>
      <c r="B18" s="310"/>
      <c r="C18" s="311"/>
      <c r="D18" s="323"/>
      <c r="E18" s="324"/>
      <c r="F18" s="324"/>
      <c r="G18" s="324"/>
      <c r="H18" s="324"/>
      <c r="I18" s="324"/>
      <c r="J18" s="324"/>
      <c r="K18" s="324"/>
      <c r="L18" s="324"/>
      <c r="M18" s="324"/>
      <c r="N18" s="325"/>
      <c r="O18" s="315" t="str">
        <f t="shared" si="0"/>
        <v/>
      </c>
      <c r="P18" s="316"/>
      <c r="Q18" s="317"/>
      <c r="R18" s="318"/>
      <c r="S18" s="319">
        <f t="shared" si="1"/>
        <v>0</v>
      </c>
      <c r="T18" s="320"/>
      <c r="U18" s="321"/>
      <c r="V18" s="321"/>
      <c r="W18" s="322" t="str">
        <f>IFERROR(IF(D18="","",INDEX(Tabla_Completa,MATCH('Soli_citud '!D18,Materiales,0),7)*S18),"")</f>
        <v/>
      </c>
      <c r="X18" s="322"/>
      <c r="Y18" s="322"/>
    </row>
    <row r="19" spans="1:25" ht="15.75">
      <c r="A19" s="309"/>
      <c r="B19" s="310"/>
      <c r="C19" s="311"/>
      <c r="D19" s="312"/>
      <c r="E19" s="313"/>
      <c r="F19" s="313"/>
      <c r="G19" s="313"/>
      <c r="H19" s="313"/>
      <c r="I19" s="313"/>
      <c r="J19" s="313"/>
      <c r="K19" s="313"/>
      <c r="L19" s="313"/>
      <c r="M19" s="313"/>
      <c r="N19" s="314"/>
      <c r="O19" s="315" t="str">
        <f t="shared" si="0"/>
        <v/>
      </c>
      <c r="P19" s="316"/>
      <c r="Q19" s="317"/>
      <c r="R19" s="318"/>
      <c r="S19" s="319">
        <f t="shared" si="1"/>
        <v>0</v>
      </c>
      <c r="T19" s="320"/>
      <c r="U19" s="321"/>
      <c r="V19" s="321"/>
      <c r="W19" s="322" t="str">
        <f>IFERROR(IF(D19="","",INDEX(Tabla_Completa,MATCH('Soli_citud '!D19,Materiales,0),7)*S19),"")</f>
        <v/>
      </c>
      <c r="X19" s="322"/>
      <c r="Y19" s="322"/>
    </row>
    <row r="20" spans="1:25" ht="15.75">
      <c r="A20" s="309"/>
      <c r="B20" s="310"/>
      <c r="C20" s="311"/>
      <c r="D20" s="312"/>
      <c r="E20" s="313"/>
      <c r="F20" s="313"/>
      <c r="G20" s="313"/>
      <c r="H20" s="313"/>
      <c r="I20" s="313"/>
      <c r="J20" s="313"/>
      <c r="K20" s="313"/>
      <c r="L20" s="313"/>
      <c r="M20" s="313"/>
      <c r="N20" s="314"/>
      <c r="O20" s="315" t="str">
        <f>IFERROR(IF(D20="","",INDEX(Tabla_Completa,MATCH(D20,Materiales,0),6)),"")</f>
        <v/>
      </c>
      <c r="P20" s="316"/>
      <c r="Q20" s="317"/>
      <c r="R20" s="318"/>
      <c r="S20" s="319">
        <f t="shared" si="1"/>
        <v>0</v>
      </c>
      <c r="T20" s="320"/>
      <c r="U20" s="321"/>
      <c r="V20" s="321"/>
      <c r="W20" s="322" t="str">
        <f>IFERROR(IF(D20="","",INDEX(Tabla_Completa,MATCH('Soli_citud '!D20,Materiales,0),7)*S20),"")</f>
        <v/>
      </c>
      <c r="X20" s="322"/>
      <c r="Y20" s="322"/>
    </row>
    <row r="21" spans="1:25" ht="15.75">
      <c r="A21" s="309"/>
      <c r="B21" s="310"/>
      <c r="C21" s="311"/>
      <c r="D21" s="312"/>
      <c r="E21" s="313"/>
      <c r="F21" s="313"/>
      <c r="G21" s="313"/>
      <c r="H21" s="313"/>
      <c r="I21" s="313"/>
      <c r="J21" s="313"/>
      <c r="K21" s="313"/>
      <c r="L21" s="313"/>
      <c r="M21" s="313"/>
      <c r="N21" s="314"/>
      <c r="O21" s="315" t="str">
        <f>IFERROR(IF(D21="","",INDEX(Tabla_Completa,MATCH(D21,Materiales,0),6)),"")</f>
        <v/>
      </c>
      <c r="P21" s="316"/>
      <c r="Q21" s="317"/>
      <c r="R21" s="318"/>
      <c r="S21" s="319">
        <f t="shared" si="1"/>
        <v>0</v>
      </c>
      <c r="T21" s="320"/>
      <c r="U21" s="321"/>
      <c r="V21" s="321"/>
      <c r="W21" s="322" t="str">
        <f>IFERROR(IF(D21="","",INDEX(Tabla_Completa,MATCH('Soli_citud '!D21,Materiales,0),7)*S21),"")</f>
        <v/>
      </c>
      <c r="X21" s="322"/>
      <c r="Y21" s="322"/>
    </row>
    <row r="22" spans="1:25" ht="15.75">
      <c r="A22" s="309"/>
      <c r="B22" s="310"/>
      <c r="C22" s="311"/>
      <c r="D22" s="312"/>
      <c r="E22" s="313"/>
      <c r="F22" s="313"/>
      <c r="G22" s="313"/>
      <c r="H22" s="313"/>
      <c r="I22" s="313"/>
      <c r="J22" s="313"/>
      <c r="K22" s="313"/>
      <c r="L22" s="313"/>
      <c r="M22" s="313"/>
      <c r="N22" s="314"/>
      <c r="O22" s="315" t="str">
        <f t="shared" si="0"/>
        <v/>
      </c>
      <c r="P22" s="316"/>
      <c r="Q22" s="317"/>
      <c r="R22" s="318"/>
      <c r="S22" s="319">
        <f t="shared" si="1"/>
        <v>0</v>
      </c>
      <c r="T22" s="320"/>
      <c r="U22" s="321"/>
      <c r="V22" s="321"/>
      <c r="W22" s="322" t="str">
        <f>IFERROR(IF(D22="","",INDEX(Tabla_Completa,MATCH('Soli_citud '!D22,Materiales,0),7)*S22),"")</f>
        <v/>
      </c>
      <c r="X22" s="322"/>
      <c r="Y22" s="322"/>
    </row>
    <row r="23" spans="1:25" ht="15.75">
      <c r="A23" s="309"/>
      <c r="B23" s="310"/>
      <c r="C23" s="311"/>
      <c r="D23" s="312"/>
      <c r="E23" s="313"/>
      <c r="F23" s="313"/>
      <c r="G23" s="313"/>
      <c r="H23" s="313"/>
      <c r="I23" s="313"/>
      <c r="J23" s="313"/>
      <c r="K23" s="313"/>
      <c r="L23" s="313"/>
      <c r="M23" s="313"/>
      <c r="N23" s="314"/>
      <c r="O23" s="315" t="str">
        <f t="shared" si="0"/>
        <v/>
      </c>
      <c r="P23" s="316"/>
      <c r="Q23" s="317"/>
      <c r="R23" s="318"/>
      <c r="S23" s="319">
        <f t="shared" si="1"/>
        <v>0</v>
      </c>
      <c r="T23" s="320"/>
      <c r="U23" s="321"/>
      <c r="V23" s="321"/>
      <c r="W23" s="322" t="str">
        <f>IFERROR(IF(D23="","",INDEX(Tabla_Completa,MATCH('Soli_citud '!D23,Materiales,0),7)*S23),"")</f>
        <v/>
      </c>
      <c r="X23" s="322"/>
      <c r="Y23" s="322"/>
    </row>
    <row r="24" spans="1:25" ht="15.75">
      <c r="A24" s="309"/>
      <c r="B24" s="310"/>
      <c r="C24" s="311"/>
      <c r="D24" s="312"/>
      <c r="E24" s="313"/>
      <c r="F24" s="313"/>
      <c r="G24" s="313"/>
      <c r="H24" s="313"/>
      <c r="I24" s="313"/>
      <c r="J24" s="313"/>
      <c r="K24" s="313"/>
      <c r="L24" s="313"/>
      <c r="M24" s="313"/>
      <c r="N24" s="314"/>
      <c r="O24" s="315" t="str">
        <f t="shared" si="0"/>
        <v/>
      </c>
      <c r="P24" s="316"/>
      <c r="Q24" s="317"/>
      <c r="R24" s="318"/>
      <c r="S24" s="319">
        <f t="shared" si="1"/>
        <v>0</v>
      </c>
      <c r="T24" s="320"/>
      <c r="U24" s="321"/>
      <c r="V24" s="321"/>
      <c r="W24" s="322" t="str">
        <f>IFERROR(IF(D24="","",INDEX(Tabla_Completa,MATCH('Soli_citud '!D24,Materiales,0),7)*S24),"")</f>
        <v/>
      </c>
      <c r="X24" s="322"/>
      <c r="Y24" s="322"/>
    </row>
    <row r="25" spans="1:25" ht="15.75">
      <c r="A25" s="309"/>
      <c r="B25" s="310"/>
      <c r="C25" s="311"/>
      <c r="D25" s="312"/>
      <c r="E25" s="313"/>
      <c r="F25" s="313"/>
      <c r="G25" s="313"/>
      <c r="H25" s="313"/>
      <c r="I25" s="313"/>
      <c r="J25" s="313"/>
      <c r="K25" s="313"/>
      <c r="L25" s="313"/>
      <c r="M25" s="313"/>
      <c r="N25" s="314"/>
      <c r="O25" s="315" t="str">
        <f t="shared" si="0"/>
        <v/>
      </c>
      <c r="P25" s="316"/>
      <c r="Q25" s="317"/>
      <c r="R25" s="318"/>
      <c r="S25" s="319">
        <f t="shared" si="1"/>
        <v>0</v>
      </c>
      <c r="T25" s="320"/>
      <c r="U25" s="321"/>
      <c r="V25" s="321"/>
      <c r="W25" s="322" t="str">
        <f>IFERROR(IF(D25="","",INDEX(Tabla_Completa,MATCH('Soli_citud '!D25,Materiales,0),7)*S25),"")</f>
        <v/>
      </c>
      <c r="X25" s="322"/>
      <c r="Y25" s="322"/>
    </row>
    <row r="26" spans="1:25" ht="15.75">
      <c r="A26" s="309"/>
      <c r="B26" s="310"/>
      <c r="C26" s="311"/>
      <c r="D26" s="312"/>
      <c r="E26" s="313"/>
      <c r="F26" s="313"/>
      <c r="G26" s="313"/>
      <c r="H26" s="313"/>
      <c r="I26" s="313"/>
      <c r="J26" s="313"/>
      <c r="K26" s="313"/>
      <c r="L26" s="313"/>
      <c r="M26" s="313"/>
      <c r="N26" s="314"/>
      <c r="O26" s="315" t="str">
        <f t="shared" si="0"/>
        <v/>
      </c>
      <c r="P26" s="316"/>
      <c r="Q26" s="317"/>
      <c r="R26" s="318"/>
      <c r="S26" s="319">
        <f t="shared" si="1"/>
        <v>0</v>
      </c>
      <c r="T26" s="320"/>
      <c r="U26" s="321"/>
      <c r="V26" s="321"/>
      <c r="W26" s="322" t="str">
        <f>IFERROR(IF(D26="","",INDEX(Tabla_Completa,MATCH('Soli_citud '!D26,Materiales,0),7)*S26),"")</f>
        <v/>
      </c>
      <c r="X26" s="322"/>
      <c r="Y26" s="322"/>
    </row>
    <row r="27" spans="1:25" ht="15.75">
      <c r="A27" s="309"/>
      <c r="B27" s="310"/>
      <c r="C27" s="311"/>
      <c r="D27" s="312"/>
      <c r="E27" s="313"/>
      <c r="F27" s="313"/>
      <c r="G27" s="313"/>
      <c r="H27" s="313"/>
      <c r="I27" s="313"/>
      <c r="J27" s="313"/>
      <c r="K27" s="313"/>
      <c r="L27" s="313"/>
      <c r="M27" s="313"/>
      <c r="N27" s="314"/>
      <c r="O27" s="315" t="str">
        <f t="shared" si="0"/>
        <v/>
      </c>
      <c r="P27" s="316"/>
      <c r="Q27" s="317"/>
      <c r="R27" s="318"/>
      <c r="S27" s="319">
        <f t="shared" si="1"/>
        <v>0</v>
      </c>
      <c r="T27" s="320"/>
      <c r="U27" s="321"/>
      <c r="V27" s="321"/>
      <c r="W27" s="322" t="str">
        <f>IFERROR(IF(D27="","",INDEX(Tabla_Completa,MATCH('Soli_citud '!D27,Materiales,0),7)*S27),"")</f>
        <v/>
      </c>
      <c r="X27" s="322"/>
      <c r="Y27" s="322"/>
    </row>
    <row r="28" spans="1:25" ht="15.75">
      <c r="A28" s="309"/>
      <c r="B28" s="310"/>
      <c r="C28" s="311"/>
      <c r="D28" s="312"/>
      <c r="E28" s="313"/>
      <c r="F28" s="313"/>
      <c r="G28" s="313"/>
      <c r="H28" s="313"/>
      <c r="I28" s="313"/>
      <c r="J28" s="313"/>
      <c r="K28" s="313"/>
      <c r="L28" s="313"/>
      <c r="M28" s="313"/>
      <c r="N28" s="314"/>
      <c r="O28" s="315" t="str">
        <f t="shared" si="0"/>
        <v/>
      </c>
      <c r="P28" s="316"/>
      <c r="Q28" s="317"/>
      <c r="R28" s="318"/>
      <c r="S28" s="319">
        <f t="shared" si="1"/>
        <v>0</v>
      </c>
      <c r="T28" s="320"/>
      <c r="U28" s="321"/>
      <c r="V28" s="321"/>
      <c r="W28" s="322" t="str">
        <f>IFERROR(IF(D28="","",INDEX(Tabla_Completa,MATCH('Soli_citud '!D28,Materiales,0),7)*S28),"")</f>
        <v/>
      </c>
      <c r="X28" s="322"/>
      <c r="Y28" s="322"/>
    </row>
    <row r="29" spans="1:25" ht="15.75">
      <c r="A29" s="309"/>
      <c r="B29" s="310"/>
      <c r="C29" s="311"/>
      <c r="D29" s="312"/>
      <c r="E29" s="313"/>
      <c r="F29" s="313"/>
      <c r="G29" s="313"/>
      <c r="H29" s="313"/>
      <c r="I29" s="313"/>
      <c r="J29" s="313"/>
      <c r="K29" s="313"/>
      <c r="L29" s="313"/>
      <c r="M29" s="313"/>
      <c r="N29" s="314"/>
      <c r="O29" s="315" t="str">
        <f t="shared" si="0"/>
        <v/>
      </c>
      <c r="P29" s="316"/>
      <c r="Q29" s="317"/>
      <c r="R29" s="318"/>
      <c r="S29" s="319">
        <f t="shared" si="1"/>
        <v>0</v>
      </c>
      <c r="T29" s="320"/>
      <c r="U29" s="321"/>
      <c r="V29" s="321"/>
      <c r="W29" s="322" t="str">
        <f>IFERROR(IF(D29="","",INDEX(Tabla_Completa,MATCH('Soli_citud '!D29,Materiales,0),7)*S29),"")</f>
        <v/>
      </c>
      <c r="X29" s="322"/>
      <c r="Y29" s="322"/>
    </row>
    <row r="30" spans="1:25" ht="15.75">
      <c r="A30" s="309"/>
      <c r="B30" s="310"/>
      <c r="C30" s="311"/>
      <c r="D30" s="312"/>
      <c r="E30" s="313"/>
      <c r="F30" s="313"/>
      <c r="G30" s="313"/>
      <c r="H30" s="313"/>
      <c r="I30" s="313"/>
      <c r="J30" s="313"/>
      <c r="K30" s="313"/>
      <c r="L30" s="313"/>
      <c r="M30" s="313"/>
      <c r="N30" s="314"/>
      <c r="O30" s="315" t="str">
        <f t="shared" si="0"/>
        <v/>
      </c>
      <c r="P30" s="316"/>
      <c r="Q30" s="317"/>
      <c r="R30" s="318"/>
      <c r="S30" s="319">
        <f t="shared" si="1"/>
        <v>0</v>
      </c>
      <c r="T30" s="320"/>
      <c r="U30" s="321"/>
      <c r="V30" s="321"/>
      <c r="W30" s="322" t="str">
        <f>IFERROR(IF(D30="","",INDEX(Tabla_Completa,MATCH('Soli_citud '!D30,Materiales,0),7)*S30),"")</f>
        <v/>
      </c>
      <c r="X30" s="322"/>
      <c r="Y30" s="322"/>
    </row>
    <row r="31" spans="1:25" ht="15.75">
      <c r="A31" s="309"/>
      <c r="B31" s="310"/>
      <c r="C31" s="311"/>
      <c r="D31" s="312"/>
      <c r="E31" s="313"/>
      <c r="F31" s="313"/>
      <c r="G31" s="313"/>
      <c r="H31" s="313"/>
      <c r="I31" s="313"/>
      <c r="J31" s="313"/>
      <c r="K31" s="313"/>
      <c r="L31" s="313"/>
      <c r="M31" s="313"/>
      <c r="N31" s="314"/>
      <c r="O31" s="315" t="str">
        <f t="shared" si="0"/>
        <v/>
      </c>
      <c r="P31" s="316"/>
      <c r="Q31" s="317"/>
      <c r="R31" s="318"/>
      <c r="S31" s="319">
        <f t="shared" si="1"/>
        <v>0</v>
      </c>
      <c r="T31" s="320"/>
      <c r="U31" s="321"/>
      <c r="V31" s="321"/>
      <c r="W31" s="322" t="str">
        <f>IFERROR(IF(D31="","",INDEX(Tabla_Completa,MATCH('Soli_citud '!D31,Materiales,0),7)*S31),"")</f>
        <v/>
      </c>
      <c r="X31" s="322"/>
      <c r="Y31" s="32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7" t="s">
        <v>23</v>
      </c>
      <c r="B39" s="377"/>
      <c r="C39" s="377"/>
      <c r="D39" s="378" t="s">
        <v>24</v>
      </c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</row>
    <row r="40" spans="1:24" ht="15">
      <c r="A40" s="225" t="s">
        <v>25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7" t="s">
        <v>26</v>
      </c>
      <c r="B44" s="387"/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N44" s="374" t="s">
        <v>27</v>
      </c>
      <c r="O44" s="374"/>
      <c r="P44" s="374"/>
      <c r="Q44" s="374"/>
      <c r="R44" s="383" t="s">
        <v>28</v>
      </c>
      <c r="S44" s="383"/>
      <c r="T44" s="383"/>
      <c r="U44" s="383"/>
      <c r="V44" s="383"/>
      <c r="W44" s="383"/>
      <c r="X44" s="383"/>
    </row>
    <row r="45" spans="1:24" ht="29.25" customHeight="1">
      <c r="A45" s="376" t="s">
        <v>29</v>
      </c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6"/>
      <c r="N45" s="374" t="s">
        <v>30</v>
      </c>
      <c r="O45" s="374"/>
      <c r="P45" s="374"/>
      <c r="Q45" s="374"/>
      <c r="R45" s="384" t="s">
        <v>31</v>
      </c>
      <c r="S45" s="384"/>
      <c r="T45" s="384"/>
      <c r="U45" s="384"/>
      <c r="V45" s="384"/>
      <c r="W45" s="384"/>
      <c r="X45" s="384"/>
    </row>
    <row r="46" spans="1:24" ht="31.5" customHeight="1">
      <c r="A46" s="379" t="s">
        <v>32</v>
      </c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N46" s="374" t="s">
        <v>33</v>
      </c>
      <c r="O46" s="374"/>
      <c r="P46" s="374"/>
      <c r="Q46" s="374"/>
      <c r="R46" s="373" t="s">
        <v>34</v>
      </c>
      <c r="S46" s="373"/>
      <c r="T46" s="373"/>
      <c r="U46" s="373"/>
      <c r="V46" s="373"/>
      <c r="W46" s="373"/>
      <c r="X46" s="373"/>
    </row>
    <row r="47" spans="1:24" ht="28.5" customHeight="1">
      <c r="A47" s="380" t="s">
        <v>35</v>
      </c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N47" s="374" t="s">
        <v>36</v>
      </c>
      <c r="O47" s="374"/>
      <c r="P47" s="374"/>
      <c r="Q47" s="374"/>
      <c r="R47" s="373" t="s">
        <v>37</v>
      </c>
      <c r="S47" s="373"/>
      <c r="T47" s="373"/>
      <c r="U47" s="373"/>
      <c r="V47" s="373"/>
      <c r="W47" s="373"/>
      <c r="X47" s="373"/>
    </row>
    <row r="48" spans="1:24" ht="42.75" customHeight="1">
      <c r="A48" s="381" t="s">
        <v>38</v>
      </c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N48" s="374" t="s">
        <v>39</v>
      </c>
      <c r="O48" s="374"/>
      <c r="P48" s="374"/>
      <c r="Q48" s="374"/>
      <c r="R48" s="373" t="s">
        <v>40</v>
      </c>
      <c r="S48" s="373"/>
      <c r="T48" s="373"/>
      <c r="U48" s="373"/>
      <c r="V48" s="373"/>
      <c r="W48" s="373"/>
      <c r="X48" s="373"/>
    </row>
    <row r="49" spans="1:24" ht="36" customHeight="1">
      <c r="A49" s="381" t="s">
        <v>41</v>
      </c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N49" s="375" t="s">
        <v>42</v>
      </c>
      <c r="O49" s="375"/>
      <c r="P49" s="375"/>
      <c r="Q49" s="375"/>
      <c r="R49" s="384" t="s">
        <v>43</v>
      </c>
      <c r="S49" s="384"/>
      <c r="T49" s="384"/>
      <c r="U49" s="384"/>
      <c r="V49" s="384"/>
      <c r="W49" s="384"/>
      <c r="X49" s="384"/>
    </row>
    <row r="50" spans="1:24" ht="15.75">
      <c r="A50" s="382"/>
      <c r="B50" s="382"/>
      <c r="C50" s="382"/>
      <c r="D50" s="382"/>
      <c r="N50" s="374" t="s">
        <v>44</v>
      </c>
      <c r="O50" s="374"/>
      <c r="P50" s="374"/>
      <c r="Q50" s="374"/>
      <c r="R50" s="373" t="s">
        <v>45</v>
      </c>
      <c r="S50" s="373"/>
      <c r="T50" s="373"/>
      <c r="U50" s="373"/>
      <c r="V50" s="373"/>
      <c r="W50" s="373"/>
      <c r="X50" s="373"/>
    </row>
    <row r="51" spans="1:24" ht="15.75">
      <c r="N51" s="374" t="s">
        <v>46</v>
      </c>
      <c r="O51" s="374"/>
      <c r="P51" s="374"/>
      <c r="Q51" s="374"/>
      <c r="R51" s="373" t="s">
        <v>47</v>
      </c>
      <c r="S51" s="373"/>
      <c r="T51" s="373"/>
      <c r="U51" s="373"/>
      <c r="V51" s="373"/>
      <c r="W51" s="373"/>
      <c r="X51" s="373"/>
    </row>
    <row r="52" spans="1:24" ht="15.75">
      <c r="N52" s="374" t="s">
        <v>48</v>
      </c>
      <c r="O52" s="374"/>
      <c r="P52" s="374"/>
      <c r="Q52" s="374"/>
      <c r="R52" s="373" t="s">
        <v>37</v>
      </c>
      <c r="S52" s="373"/>
      <c r="T52" s="373"/>
      <c r="U52" s="373"/>
      <c r="V52" s="373"/>
      <c r="W52" s="373"/>
      <c r="X52" s="373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7" activePane="bottomLeft" state="frozen"/>
      <selection activeCell="C1" sqref="C1"/>
      <selection pane="bottomLeft" activeCell="C18" sqref="C18:F18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8"/>
      <c r="C1" s="409"/>
      <c r="D1" s="482" t="s">
        <v>49</v>
      </c>
      <c r="E1" s="483"/>
      <c r="F1" s="483"/>
      <c r="G1" s="483"/>
      <c r="H1" s="483"/>
      <c r="I1" s="484"/>
      <c r="J1" s="414" t="s">
        <v>50</v>
      </c>
      <c r="K1" s="415"/>
      <c r="L1" s="415"/>
      <c r="M1" s="416"/>
      <c r="N1" s="417">
        <f>IF('Soli_citud '!O1="","",'Soli_citud '!O1)</f>
        <v>45986</v>
      </c>
      <c r="O1" s="418"/>
      <c r="P1" s="453" t="s">
        <v>51</v>
      </c>
      <c r="Q1" s="454"/>
      <c r="R1" s="459" t="str">
        <f>IF('Soli_citud '!D4="","",'Soli_citud '!D4)</f>
        <v>Cinturones</v>
      </c>
      <c r="S1" s="460"/>
      <c r="Z1" t="s">
        <v>52</v>
      </c>
      <c r="AA1" s="241" t="s">
        <v>52</v>
      </c>
    </row>
    <row r="2" spans="1:27" ht="15.75" customHeight="1" thickBot="1">
      <c r="A2" s="240"/>
      <c r="B2" s="410"/>
      <c r="C2" s="411"/>
      <c r="D2" s="485"/>
      <c r="E2" s="486"/>
      <c r="F2" s="486"/>
      <c r="G2" s="486"/>
      <c r="H2" s="486"/>
      <c r="I2" s="487"/>
      <c r="J2" s="419" t="s">
        <v>53</v>
      </c>
      <c r="K2" s="420"/>
      <c r="L2" s="420"/>
      <c r="M2" s="421"/>
      <c r="N2" s="422" t="str">
        <f>'Soli_citud '!F1</f>
        <v/>
      </c>
      <c r="O2" s="423"/>
      <c r="P2" s="455"/>
      <c r="Q2" s="456"/>
      <c r="R2" s="461"/>
      <c r="S2" s="462"/>
    </row>
    <row r="3" spans="1:27" ht="15.75" customHeight="1">
      <c r="A3" s="240"/>
      <c r="B3" s="410"/>
      <c r="C3" s="411"/>
      <c r="D3" s="485"/>
      <c r="E3" s="486"/>
      <c r="F3" s="486"/>
      <c r="G3" s="486"/>
      <c r="H3" s="486"/>
      <c r="I3" s="487"/>
      <c r="J3" s="424" t="s">
        <v>54</v>
      </c>
      <c r="K3" s="424"/>
      <c r="L3" s="424"/>
      <c r="M3" s="424"/>
      <c r="N3" s="425">
        <f>IF('Soli_citud '!O3="","",'Soli_citud '!O3)</f>
        <v>3378960</v>
      </c>
      <c r="O3" s="426"/>
      <c r="P3" s="455"/>
      <c r="Q3" s="456"/>
      <c r="R3" s="463" t="str" cm="1">
        <f t="array" ref="R3">IFERROR(_xlfn.IFS(L4="Calzado Producción","Entrega de Producto",L4="Marroquinería  Producción","Entrega Producto"),"")</f>
        <v/>
      </c>
      <c r="S3" s="464"/>
    </row>
    <row r="4" spans="1:27" ht="15.75" customHeight="1">
      <c r="A4" s="240"/>
      <c r="B4" s="412"/>
      <c r="C4" s="413"/>
      <c r="D4" s="488"/>
      <c r="E4" s="489"/>
      <c r="F4" s="489"/>
      <c r="G4" s="489"/>
      <c r="H4" s="489"/>
      <c r="I4" s="490"/>
      <c r="J4" s="468" t="s">
        <v>55</v>
      </c>
      <c r="K4" s="468"/>
      <c r="L4" s="468"/>
      <c r="M4" s="469" t="str">
        <f>IF('Soli_citud '!O4="","",'Soli_citud '!O4)</f>
        <v>Marroquinería Formación</v>
      </c>
      <c r="N4" s="469"/>
      <c r="O4" s="470"/>
      <c r="P4" s="455"/>
      <c r="Q4" s="456"/>
      <c r="R4" s="316"/>
      <c r="S4" s="465"/>
    </row>
    <row r="5" spans="1:27" ht="2.25" customHeight="1">
      <c r="A5" s="240"/>
      <c r="P5" s="455"/>
      <c r="Q5" s="456"/>
    </row>
    <row r="6" spans="1:27" ht="27" customHeight="1">
      <c r="A6" s="240"/>
      <c r="B6" s="471" t="s">
        <v>56</v>
      </c>
      <c r="C6" s="472"/>
      <c r="D6" s="473"/>
      <c r="E6" s="477" t="s">
        <v>57</v>
      </c>
      <c r="F6" s="477"/>
      <c r="G6" s="477"/>
      <c r="H6" s="477"/>
      <c r="I6" s="478"/>
      <c r="J6" s="479"/>
      <c r="K6" s="480"/>
      <c r="L6" s="480"/>
      <c r="M6" s="480"/>
      <c r="N6" s="481"/>
      <c r="O6" s="481"/>
      <c r="P6" s="455"/>
      <c r="Q6" s="456"/>
      <c r="R6" s="441" t="str">
        <f>IF(R3="","","Valor de Producción ($)")</f>
        <v/>
      </c>
      <c r="S6" s="442"/>
    </row>
    <row r="7" spans="1:27" ht="3.75" customHeight="1">
      <c r="A7" s="240"/>
      <c r="B7" s="474"/>
      <c r="C7" s="475"/>
      <c r="D7" s="476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5"/>
      <c r="Q7" s="456"/>
      <c r="R7" s="443" t="str">
        <f>IFERROR(IF(R3="","",G9*M10),"")</f>
        <v/>
      </c>
      <c r="S7" s="444"/>
    </row>
    <row r="8" spans="1:27" ht="20.25" customHeight="1">
      <c r="A8" s="240"/>
      <c r="B8" s="445">
        <f>IF('Soli_citud '!D5&lt;= 0,"",'Soli_citud '!D5)</f>
        <v>10416.503000000001</v>
      </c>
      <c r="C8" s="446"/>
      <c r="D8" s="447"/>
      <c r="E8" s="448" t="s">
        <v>58</v>
      </c>
      <c r="F8" s="449"/>
      <c r="G8" s="449"/>
      <c r="H8" s="449"/>
      <c r="I8" s="450"/>
      <c r="J8" s="451" t="str">
        <f>IF('Soli_citud '!E2="","",'Soli_citud '!E2)</f>
        <v/>
      </c>
      <c r="K8" s="452"/>
      <c r="L8" s="452"/>
      <c r="M8" s="452"/>
      <c r="N8" s="452"/>
      <c r="O8" s="452"/>
      <c r="P8" s="455"/>
      <c r="Q8" s="456"/>
      <c r="R8" s="443"/>
      <c r="S8" s="444"/>
    </row>
    <row r="9" spans="1:27" ht="3.75" customHeight="1">
      <c r="A9" s="240"/>
      <c r="B9" s="427" t="s">
        <v>59</v>
      </c>
      <c r="C9" s="428"/>
      <c r="D9" s="431"/>
      <c r="E9" s="432" t="s">
        <v>60</v>
      </c>
      <c r="F9" s="432"/>
      <c r="G9" s="433" t="str">
        <f>IFERROR(IF(D9="","",ROUNDUP(B8*(1+D9),-2)),"")</f>
        <v/>
      </c>
      <c r="H9" s="434"/>
      <c r="I9" s="435"/>
      <c r="J9" s="105"/>
      <c r="K9" s="105"/>
      <c r="L9" s="105"/>
      <c r="M9" s="105"/>
      <c r="N9" s="105"/>
      <c r="O9" s="105"/>
      <c r="P9" s="455"/>
      <c r="Q9" s="456"/>
    </row>
    <row r="10" spans="1:27" ht="27.75" customHeight="1" thickBot="1">
      <c r="A10" s="240"/>
      <c r="B10" s="429"/>
      <c r="C10" s="430"/>
      <c r="D10" s="431"/>
      <c r="E10" s="432"/>
      <c r="F10" s="432"/>
      <c r="G10" s="436"/>
      <c r="H10" s="437"/>
      <c r="I10" s="438"/>
      <c r="J10" s="439" t="s">
        <v>61</v>
      </c>
      <c r="K10" s="439"/>
      <c r="L10" s="440"/>
      <c r="M10" s="250">
        <f>'[1]Soli_citud '!K5</f>
        <v>1</v>
      </c>
      <c r="N10" s="466" t="s">
        <v>62</v>
      </c>
      <c r="O10" s="467"/>
      <c r="P10" s="457"/>
      <c r="Q10" s="458"/>
      <c r="R10" s="229" t="s">
        <v>63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64</v>
      </c>
      <c r="B11" s="242" t="s">
        <v>65</v>
      </c>
      <c r="C11" s="491" t="s">
        <v>66</v>
      </c>
      <c r="D11" s="492"/>
      <c r="E11" s="492"/>
      <c r="F11" s="493"/>
      <c r="G11" s="108" t="s">
        <v>67</v>
      </c>
      <c r="H11" s="108" t="s">
        <v>68</v>
      </c>
      <c r="I11" s="224" t="s">
        <v>69</v>
      </c>
      <c r="J11" s="106" t="s">
        <v>70</v>
      </c>
      <c r="K11" s="209" t="s">
        <v>71</v>
      </c>
      <c r="L11" s="423" t="s">
        <v>21</v>
      </c>
      <c r="M11" s="494"/>
      <c r="N11" s="227" t="s">
        <v>72</v>
      </c>
      <c r="O11" s="227" t="s">
        <v>73</v>
      </c>
      <c r="P11" s="230" t="s">
        <v>74</v>
      </c>
      <c r="Q11" s="231" t="s">
        <v>75</v>
      </c>
      <c r="R11" s="223" t="s">
        <v>76</v>
      </c>
      <c r="S11" s="210" t="s">
        <v>77</v>
      </c>
    </row>
    <row r="12" spans="1:27" ht="19.5" customHeight="1">
      <c r="A12" s="74">
        <v>1</v>
      </c>
      <c r="B12" s="243" t="str">
        <f>IF(H12="","",$N$2)</f>
        <v/>
      </c>
      <c r="C12" s="495" t="str">
        <f>IFERROR(IF('Soli_citud '!D10="","",'Soli_citud '!D10),"")</f>
        <v>Retal</v>
      </c>
      <c r="D12" s="495"/>
      <c r="E12" s="495"/>
      <c r="F12" s="495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42</v>
      </c>
      <c r="I12" s="214">
        <v>45992</v>
      </c>
      <c r="J12" s="215">
        <v>60</v>
      </c>
      <c r="K12" s="197" t="str" cm="1">
        <f t="array" ref="K12">IFERROR(_xlfn.IFS(H12="","",J12=H12,"Cumplido",J12&lt;H12,H12-J12,J12&gt;H12,"Revisar"),"")</f>
        <v>Revisar</v>
      </c>
      <c r="L12" s="496"/>
      <c r="M12" s="497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95" t="str">
        <f>IFERROR(IF('Soli_citud '!D11="","",'Soli_citud '!D11),"")</f>
        <v>HEBILLA PARA CINTURÓN DAMA DOBLE PASO 1 1/4" OVALADA NÍQUEL</v>
      </c>
      <c r="D13" s="495"/>
      <c r="E13" s="495"/>
      <c r="F13" s="495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10.5</v>
      </c>
      <c r="I13" s="214">
        <v>45992</v>
      </c>
      <c r="J13" s="216">
        <v>15</v>
      </c>
      <c r="K13" s="197" t="str" cm="1">
        <f t="array" ref="K13">IFERROR(_xlfn.IFS(H13="","",J13=H13,"Cumplido",J13&lt;H13,H13-J13,J13&gt;H13,"Revisar"),"")</f>
        <v>Revisar</v>
      </c>
      <c r="L13" s="496"/>
      <c r="M13" s="497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95" t="str">
        <f>IFERROR(IF('Soli_citud '!D12="","",'Soli_citud '!D12),"")</f>
        <v>REMACHE TORNILLO   CABEZA PLANA NÍQUEL 10 MM</v>
      </c>
      <c r="D14" s="495"/>
      <c r="E14" s="495"/>
      <c r="F14" s="495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21</v>
      </c>
      <c r="I14" s="214">
        <v>45992</v>
      </c>
      <c r="J14" s="216">
        <v>30</v>
      </c>
      <c r="K14" s="197" t="str" cm="1">
        <f t="array" ref="K14">IFERROR(_xlfn.IFS(H14="","",J14=H14,"Cumplido",J14&lt;H14,H14-J14,J14&gt;H14,"Revisar"),"")</f>
        <v>Revisar</v>
      </c>
      <c r="L14" s="496"/>
      <c r="M14" s="497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9.25" customHeight="1">
      <c r="A15" s="73">
        <v>4</v>
      </c>
      <c r="B15" s="243" t="str">
        <f t="shared" si="1"/>
        <v/>
      </c>
      <c r="C15" s="495" t="str">
        <f>IFERROR(IF('Soli_citud '!D13="","",'Soli_citud '!D13),"")</f>
        <v>OJALETE LATÓN NÍQUEL 3/16"</v>
      </c>
      <c r="D15" s="495"/>
      <c r="E15" s="495"/>
      <c r="F15" s="495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105</v>
      </c>
      <c r="I15" s="214">
        <v>45992</v>
      </c>
      <c r="J15" s="216">
        <v>150</v>
      </c>
      <c r="K15" s="197" t="str" cm="1">
        <f t="array" ref="K15">IFERROR(_xlfn.IFS(H15="","",J15=H15,"Cumplido",J15&lt;H15,H15-J15,J15&gt;H15,"Revisar"),"")</f>
        <v>Revisar</v>
      </c>
      <c r="L15" s="496" t="s">
        <v>1391</v>
      </c>
      <c r="M15" s="497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5" t="str">
        <f>IFERROR(IF('Soli_citud '!D14="","",'Soli_citud '!D14),"")</f>
        <v>REATA  ALGODÓN  40 mm beige _ rollo</v>
      </c>
      <c r="D16" s="495"/>
      <c r="E16" s="495"/>
      <c r="F16" s="495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2520</v>
      </c>
      <c r="I16" s="214">
        <v>45992</v>
      </c>
      <c r="J16" s="216">
        <v>3600</v>
      </c>
      <c r="K16" s="197" t="str" cm="1">
        <f t="array" ref="K16">IFERROR(_xlfn.IFS(H16="","",J16=H16,"Cumplido",J16&lt;H16,H16-J16,J16&gt;H16,"Revisar"),"")</f>
        <v>Revisar</v>
      </c>
      <c r="L16" s="496"/>
      <c r="M16" s="497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5" t="str">
        <f>IFERROR(IF('Soli_citud '!D15="","",'Soli_citud '!D15),"")</f>
        <v>HEBILLA PARA CINTURÓN HOMBRE CLÁSICA DE UNA ESPIGA 1 1/2" PAVÓN</v>
      </c>
      <c r="D17" s="495"/>
      <c r="E17" s="495"/>
      <c r="F17" s="495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14.7</v>
      </c>
      <c r="I17" s="214">
        <v>45992</v>
      </c>
      <c r="J17" s="216">
        <v>21</v>
      </c>
      <c r="K17" s="197" t="str" cm="1">
        <f t="array" ref="K17">IFERROR(_xlfn.IFS(H17="","",J17=H17,"Cumplido",J17&lt;H17,H17-J17,J17&gt;H17,"Revisar"),"")</f>
        <v>Revisar</v>
      </c>
      <c r="L17" s="496"/>
      <c r="M17" s="497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5" t="str">
        <f>IFERROR(IF('Soli_citud '!D16="","",'Soli_citud '!D16),"")</f>
        <v>HEBILLA PARA CINTURÓN HOMBRE SENCILLA  REJILLA 1 1/4" PAVÓN</v>
      </c>
      <c r="D18" s="495"/>
      <c r="E18" s="495"/>
      <c r="F18" s="495"/>
      <c r="G18" s="213" t="str">
        <f>IF('Soli_citud '!O16="","",'Soli_citud '!O16)</f>
        <v>U</v>
      </c>
      <c r="H18" s="213" t="str" cm="1">
        <f t="array" ref="H18">_xlfn.IFS('Soli_citud '!S16="","",'Soli_citud '!S16&lt;=0,"",'Soli_citud '!S16&gt;0,'Soli_citud '!S16)</f>
        <v/>
      </c>
      <c r="I18" s="214">
        <v>45992</v>
      </c>
      <c r="J18" s="216">
        <v>30</v>
      </c>
      <c r="K18" s="197" t="str" cm="1">
        <f t="array" ref="K18">IFERROR(_xlfn.IFS(H18="","",J18=H18,"Cumplido",J18&lt;H18,H18-J18,J18&gt;H18,"Revisar"),"")</f>
        <v/>
      </c>
      <c r="L18" s="496"/>
      <c r="M18" s="497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5" t="str">
        <f>IFERROR(IF('Soli_citud '!D17="","",'Soli_citud '!D17),"")</f>
        <v/>
      </c>
      <c r="D19" s="495"/>
      <c r="E19" s="495"/>
      <c r="F19" s="495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6"/>
      <c r="M19" s="497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5" t="str">
        <f>IFERROR(IF('Soli_citud '!D18="","",'Soli_citud '!D18),"")</f>
        <v/>
      </c>
      <c r="D20" s="495"/>
      <c r="E20" s="495"/>
      <c r="F20" s="495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6"/>
      <c r="M20" s="497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5" t="str">
        <f>IFERROR(IF('Soli_citud '!D19="","",'Soli_citud '!D19),"")</f>
        <v/>
      </c>
      <c r="D21" s="495"/>
      <c r="E21" s="495"/>
      <c r="F21" s="495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6"/>
      <c r="M21" s="497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5" t="str">
        <f>IFERROR(IF('Soli_citud '!D20="","",'Soli_citud '!D20),"")</f>
        <v/>
      </c>
      <c r="D22" s="495"/>
      <c r="E22" s="495"/>
      <c r="F22" s="495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6"/>
      <c r="M22" s="497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5" t="str">
        <f>IFERROR(IF('Soli_citud '!D21="","",'Soli_citud '!D21),"")</f>
        <v/>
      </c>
      <c r="D23" s="495"/>
      <c r="E23" s="495"/>
      <c r="F23" s="495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6"/>
      <c r="M23" s="497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5" t="str">
        <f>IFERROR(IF('Soli_citud '!D22="","",'Soli_citud '!D22),"")</f>
        <v/>
      </c>
      <c r="D24" s="495"/>
      <c r="E24" s="495"/>
      <c r="F24" s="495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6"/>
      <c r="M24" s="497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5" t="str">
        <f>IFERROR(IF('Soli_citud '!D23="","",'Soli_citud '!D23),"")</f>
        <v/>
      </c>
      <c r="D25" s="495"/>
      <c r="E25" s="495"/>
      <c r="F25" s="495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6"/>
      <c r="M25" s="497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5" t="str">
        <f>IFERROR(IF('Soli_citud '!D24="","",'Soli_citud '!D24),"")</f>
        <v/>
      </c>
      <c r="D26" s="495"/>
      <c r="E26" s="495"/>
      <c r="F26" s="495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6"/>
      <c r="M26" s="497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5" t="str">
        <f>IFERROR(IF('Soli_citud '!D25="","",'Soli_citud '!D25),"")</f>
        <v/>
      </c>
      <c r="D27" s="495"/>
      <c r="E27" s="495"/>
      <c r="F27" s="495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6"/>
      <c r="M27" s="497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5" t="str">
        <f>IFERROR(IF('Soli_citud '!D26="","",'Soli_citud '!D26),"")</f>
        <v/>
      </c>
      <c r="D28" s="495"/>
      <c r="E28" s="495"/>
      <c r="F28" s="495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6"/>
      <c r="M28" s="497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5" t="str">
        <f>IFERROR(IF('Soli_citud '!D27="","",'Soli_citud '!D27),"")</f>
        <v/>
      </c>
      <c r="D29" s="495"/>
      <c r="E29" s="495"/>
      <c r="F29" s="495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6"/>
      <c r="M29" s="497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5" t="str">
        <f>IFERROR(IF('Soli_citud '!D28="","",'Soli_citud '!D28),"")</f>
        <v/>
      </c>
      <c r="D30" s="495"/>
      <c r="E30" s="495"/>
      <c r="F30" s="495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6"/>
      <c r="M30" s="497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5" t="str">
        <f>IFERROR(IF('Soli_citud '!D29="","",'Soli_citud '!D29),"")</f>
        <v/>
      </c>
      <c r="D31" s="495"/>
      <c r="E31" s="495"/>
      <c r="F31" s="495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6"/>
      <c r="M31" s="497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5" t="str">
        <f>IFERROR(IF('Soli_citud '!D30="","",'Soli_citud '!D30),"")</f>
        <v/>
      </c>
      <c r="D32" s="495"/>
      <c r="E32" s="495"/>
      <c r="F32" s="495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6"/>
      <c r="M32" s="497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9"/>
      <c r="B1" s="499"/>
      <c r="C1" s="499"/>
      <c r="D1" s="499"/>
      <c r="E1" s="503" t="s">
        <v>78</v>
      </c>
      <c r="F1" s="503"/>
      <c r="H1" s="278" t="s">
        <v>79</v>
      </c>
      <c r="Z1" s="241" t="s">
        <v>80</v>
      </c>
    </row>
    <row r="2" spans="1:26" ht="18.75" customHeight="1">
      <c r="A2" s="499"/>
      <c r="B2" s="499"/>
      <c r="C2" s="499"/>
      <c r="D2" s="499"/>
      <c r="E2" s="503"/>
      <c r="F2" s="503"/>
    </row>
    <row r="3" spans="1:26" ht="24" customHeight="1">
      <c r="A3" s="499"/>
      <c r="B3" s="499"/>
      <c r="C3" s="499"/>
      <c r="D3" s="499"/>
      <c r="E3" s="504">
        <f>SUM(Total_AdhySol,Total_SECUNDARIO_MEDULAR,Total_Cuero,Total_Herrajes,Total_Sint_y_Tex,Total_Suelas,Total_Herramientas,Total_Ins_Compl)</f>
        <v>860</v>
      </c>
      <c r="F3" s="504"/>
      <c r="G3" s="10"/>
    </row>
    <row r="5" spans="1:26" ht="40.5" customHeight="1">
      <c r="B5"/>
      <c r="C5"/>
      <c r="D5"/>
    </row>
    <row r="6" spans="1:26" ht="34.5" customHeight="1">
      <c r="A6" s="111" t="s">
        <v>81</v>
      </c>
      <c r="B6" s="245">
        <f>SUBTOTAL(3,(BD!$B$8:$B$20))</f>
        <v>13</v>
      </c>
      <c r="C6" s="500"/>
      <c r="D6" s="501"/>
      <c r="H6" s="498" t="s">
        <v>82</v>
      </c>
      <c r="I6" s="498"/>
    </row>
    <row r="7" spans="1:26" ht="47.25">
      <c r="A7" s="71" t="s">
        <v>64</v>
      </c>
      <c r="B7" s="112" t="s">
        <v>83</v>
      </c>
      <c r="C7" s="68" t="s">
        <v>84</v>
      </c>
      <c r="D7" s="69" t="s">
        <v>85</v>
      </c>
      <c r="E7" s="87" t="s">
        <v>86</v>
      </c>
      <c r="F7" s="175" t="s">
        <v>87</v>
      </c>
      <c r="G7" s="69" t="s">
        <v>88</v>
      </c>
      <c r="H7" s="70" t="s">
        <v>89</v>
      </c>
      <c r="I7" s="70" t="s">
        <v>90</v>
      </c>
      <c r="J7" s="72" t="s">
        <v>91</v>
      </c>
      <c r="K7" s="257" t="s">
        <v>92</v>
      </c>
    </row>
    <row r="8" spans="1:26" ht="15" customHeight="1">
      <c r="A8" s="41">
        <v>1</v>
      </c>
      <c r="B8" s="36" t="s">
        <v>93</v>
      </c>
      <c r="C8" s="133" t="s">
        <v>27</v>
      </c>
      <c r="D8" s="48" t="s">
        <v>94</v>
      </c>
      <c r="E8" s="43">
        <v>74650</v>
      </c>
      <c r="F8" s="176" t="s">
        <v>95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96</v>
      </c>
      <c r="C9" s="133" t="s">
        <v>27</v>
      </c>
      <c r="D9" s="48" t="s">
        <v>94</v>
      </c>
      <c r="E9" s="43">
        <v>231671.5</v>
      </c>
      <c r="F9" s="176" t="s">
        <v>95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97</v>
      </c>
      <c r="C10" s="133" t="s">
        <v>27</v>
      </c>
      <c r="D10" s="48" t="s">
        <v>94</v>
      </c>
      <c r="E10" s="43">
        <v>231671.5</v>
      </c>
      <c r="F10" s="176" t="s">
        <v>95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98</v>
      </c>
      <c r="C11" s="133" t="s">
        <v>27</v>
      </c>
      <c r="D11" s="48" t="s">
        <v>94</v>
      </c>
      <c r="E11" s="43">
        <v>78666.625</v>
      </c>
      <c r="F11" s="176" t="s">
        <v>95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99</v>
      </c>
      <c r="C12" s="133" t="s">
        <v>27</v>
      </c>
      <c r="D12" s="48" t="s">
        <v>100</v>
      </c>
      <c r="E12" s="43">
        <v>72665</v>
      </c>
      <c r="F12" s="176" t="s">
        <v>100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101</v>
      </c>
      <c r="C13" s="133" t="s">
        <v>27</v>
      </c>
      <c r="D13" s="48" t="s">
        <v>94</v>
      </c>
      <c r="E13" s="43">
        <v>59690.625</v>
      </c>
      <c r="F13" s="176" t="s">
        <v>95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102</v>
      </c>
      <c r="C14" s="133" t="s">
        <v>27</v>
      </c>
      <c r="D14" s="48" t="s">
        <v>94</v>
      </c>
      <c r="E14" s="43">
        <v>50200</v>
      </c>
      <c r="F14" s="176" t="s">
        <v>95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103</v>
      </c>
      <c r="C15" s="133" t="s">
        <v>27</v>
      </c>
      <c r="D15" s="58" t="s">
        <v>94</v>
      </c>
      <c r="E15" s="62">
        <v>66108</v>
      </c>
      <c r="F15" s="176" t="s">
        <v>95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104</v>
      </c>
      <c r="C16" s="133" t="s">
        <v>27</v>
      </c>
      <c r="D16" s="58" t="s">
        <v>94</v>
      </c>
      <c r="E16" s="43"/>
      <c r="F16" s="176" t="s">
        <v>95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105</v>
      </c>
      <c r="C17" s="133" t="s">
        <v>27</v>
      </c>
      <c r="D17" s="58" t="s">
        <v>94</v>
      </c>
      <c r="E17" s="43">
        <v>61960</v>
      </c>
      <c r="F17" s="176" t="s">
        <v>95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106</v>
      </c>
      <c r="C18" s="133" t="s">
        <v>27</v>
      </c>
      <c r="D18" s="48" t="s">
        <v>94</v>
      </c>
      <c r="E18" s="43">
        <v>28400</v>
      </c>
      <c r="F18" s="176" t="s">
        <v>95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107</v>
      </c>
      <c r="C19" s="133" t="s">
        <v>27</v>
      </c>
      <c r="D19" s="48" t="s">
        <v>94</v>
      </c>
      <c r="E19" s="43">
        <v>36816</v>
      </c>
      <c r="F19" s="176" t="s">
        <v>94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108</v>
      </c>
      <c r="C20" s="235" t="s">
        <v>27</v>
      </c>
      <c r="D20" s="48" t="s">
        <v>95</v>
      </c>
      <c r="E20" s="43"/>
      <c r="F20" s="176" t="s">
        <v>95</v>
      </c>
      <c r="G20" s="9" t="s">
        <v>109</v>
      </c>
      <c r="H20" s="8">
        <v>1</v>
      </c>
      <c r="I20" s="8">
        <v>1</v>
      </c>
      <c r="J20" s="11" t="s">
        <v>110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111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81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64</v>
      </c>
      <c r="B61" s="117" t="s">
        <v>83</v>
      </c>
      <c r="C61" s="64" t="s">
        <v>84</v>
      </c>
      <c r="D61" s="65" t="s">
        <v>85</v>
      </c>
      <c r="E61" s="67" t="s">
        <v>86</v>
      </c>
      <c r="F61" s="175" t="s">
        <v>87</v>
      </c>
      <c r="G61" s="69" t="s">
        <v>88</v>
      </c>
      <c r="H61" s="70" t="s">
        <v>89</v>
      </c>
      <c r="I61" s="70" t="s">
        <v>90</v>
      </c>
      <c r="J61" s="279" t="s">
        <v>91</v>
      </c>
      <c r="K61" s="280" t="s">
        <v>92</v>
      </c>
    </row>
    <row r="62" spans="1:11" ht="15" customHeight="1">
      <c r="A62" s="41">
        <v>1</v>
      </c>
      <c r="B62" s="36" t="s">
        <v>112</v>
      </c>
      <c r="C62" s="205" t="s">
        <v>113</v>
      </c>
      <c r="D62" s="48" t="s">
        <v>100</v>
      </c>
      <c r="E62" s="43">
        <v>8995</v>
      </c>
      <c r="F62" s="176" t="s">
        <v>100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114</v>
      </c>
      <c r="C63" s="205" t="s">
        <v>113</v>
      </c>
      <c r="D63" s="48" t="s">
        <v>100</v>
      </c>
      <c r="E63" s="43">
        <v>109707</v>
      </c>
      <c r="F63" s="176" t="s">
        <v>100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115</v>
      </c>
      <c r="C64" s="205" t="s">
        <v>113</v>
      </c>
      <c r="D64" s="48" t="s">
        <v>100</v>
      </c>
      <c r="E64" s="43">
        <v>65500</v>
      </c>
      <c r="F64" s="176" t="s">
        <v>100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116</v>
      </c>
      <c r="C65" s="205" t="s">
        <v>113</v>
      </c>
      <c r="D65" s="48" t="s">
        <v>100</v>
      </c>
      <c r="E65" s="43">
        <v>24994</v>
      </c>
      <c r="F65" s="176" t="s">
        <v>100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117</v>
      </c>
      <c r="C66" s="205" t="s">
        <v>113</v>
      </c>
      <c r="D66" s="48" t="s">
        <v>100</v>
      </c>
      <c r="E66" s="43">
        <v>20237</v>
      </c>
      <c r="F66" s="176" t="s">
        <v>100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118</v>
      </c>
      <c r="C67" s="205" t="s">
        <v>113</v>
      </c>
      <c r="D67" s="48" t="s">
        <v>100</v>
      </c>
      <c r="E67" s="43">
        <v>24994</v>
      </c>
      <c r="F67" s="176" t="s">
        <v>100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119</v>
      </c>
      <c r="C68" s="205" t="s">
        <v>113</v>
      </c>
      <c r="D68" s="48" t="s">
        <v>100</v>
      </c>
      <c r="E68" s="43">
        <v>24994</v>
      </c>
      <c r="F68" s="176" t="s">
        <v>100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120</v>
      </c>
      <c r="C69" s="205" t="s">
        <v>113</v>
      </c>
      <c r="D69" s="48" t="s">
        <v>100</v>
      </c>
      <c r="E69" s="43">
        <v>24994</v>
      </c>
      <c r="F69" s="176" t="s">
        <v>100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121</v>
      </c>
      <c r="C70" s="205" t="s">
        <v>113</v>
      </c>
      <c r="D70" s="48" t="s">
        <v>100</v>
      </c>
      <c r="E70" s="43">
        <v>24994</v>
      </c>
      <c r="F70" s="176" t="s">
        <v>100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122</v>
      </c>
      <c r="C71" s="205" t="s">
        <v>113</v>
      </c>
      <c r="D71" s="48" t="s">
        <v>100</v>
      </c>
      <c r="E71" s="43">
        <v>24994</v>
      </c>
      <c r="F71" s="176" t="s">
        <v>100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123</v>
      </c>
      <c r="C72" s="205" t="s">
        <v>113</v>
      </c>
      <c r="D72" s="48" t="s">
        <v>100</v>
      </c>
      <c r="E72" s="43">
        <v>24994</v>
      </c>
      <c r="F72" s="176" t="s">
        <v>100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124</v>
      </c>
      <c r="C73" s="205" t="s">
        <v>113</v>
      </c>
      <c r="D73" s="48" t="s">
        <v>100</v>
      </c>
      <c r="E73" s="43">
        <v>24994</v>
      </c>
      <c r="F73" s="176" t="s">
        <v>100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125</v>
      </c>
      <c r="C74" s="205" t="s">
        <v>113</v>
      </c>
      <c r="D74" s="48" t="s">
        <v>100</v>
      </c>
      <c r="E74" s="43">
        <v>24994</v>
      </c>
      <c r="F74" s="176" t="s">
        <v>100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126</v>
      </c>
      <c r="C75" s="205" t="s">
        <v>113</v>
      </c>
      <c r="D75" s="48" t="s">
        <v>100</v>
      </c>
      <c r="E75" s="43">
        <v>24994</v>
      </c>
      <c r="F75" s="176" t="s">
        <v>100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127</v>
      </c>
      <c r="C76" s="205" t="s">
        <v>113</v>
      </c>
      <c r="D76" s="48" t="s">
        <v>100</v>
      </c>
      <c r="E76" s="43">
        <v>24994</v>
      </c>
      <c r="F76" s="176" t="s">
        <v>100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128</v>
      </c>
      <c r="C77" s="205" t="s">
        <v>113</v>
      </c>
      <c r="D77" s="48" t="s">
        <v>100</v>
      </c>
      <c r="E77" s="43">
        <v>24994</v>
      </c>
      <c r="F77" s="176" t="s">
        <v>100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129</v>
      </c>
      <c r="C78" s="205" t="s">
        <v>113</v>
      </c>
      <c r="D78" s="48" t="s">
        <v>100</v>
      </c>
      <c r="E78" s="43">
        <v>24994</v>
      </c>
      <c r="F78" s="176" t="s">
        <v>100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130</v>
      </c>
      <c r="C79" s="205" t="s">
        <v>113</v>
      </c>
      <c r="D79" s="48" t="s">
        <v>100</v>
      </c>
      <c r="E79" s="43">
        <v>24994</v>
      </c>
      <c r="F79" s="176" t="s">
        <v>100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131</v>
      </c>
      <c r="C80" s="205" t="s">
        <v>113</v>
      </c>
      <c r="D80" s="48" t="s">
        <v>100</v>
      </c>
      <c r="E80" s="43">
        <v>24994</v>
      </c>
      <c r="F80" s="176" t="s">
        <v>100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132</v>
      </c>
      <c r="C81" s="205" t="s">
        <v>113</v>
      </c>
      <c r="D81" s="48" t="s">
        <v>100</v>
      </c>
      <c r="E81" s="43">
        <v>24994</v>
      </c>
      <c r="F81" s="176" t="s">
        <v>100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133</v>
      </c>
      <c r="C82" s="205" t="s">
        <v>113</v>
      </c>
      <c r="D82" s="48" t="s">
        <v>100</v>
      </c>
      <c r="E82" s="43">
        <v>24994</v>
      </c>
      <c r="F82" s="176" t="s">
        <v>100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134</v>
      </c>
      <c r="C83" s="205" t="s">
        <v>113</v>
      </c>
      <c r="D83" s="48" t="s">
        <v>100</v>
      </c>
      <c r="E83" s="43">
        <v>24994</v>
      </c>
      <c r="F83" s="176" t="s">
        <v>100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135</v>
      </c>
      <c r="C84" s="205" t="s">
        <v>113</v>
      </c>
      <c r="D84" s="48" t="s">
        <v>100</v>
      </c>
      <c r="E84" s="43">
        <v>24994</v>
      </c>
      <c r="F84" s="176" t="s">
        <v>100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136</v>
      </c>
      <c r="C85" s="205" t="s">
        <v>113</v>
      </c>
      <c r="D85" s="48" t="s">
        <v>100</v>
      </c>
      <c r="E85" s="43">
        <v>24994</v>
      </c>
      <c r="F85" s="176" t="s">
        <v>100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137</v>
      </c>
      <c r="C86" s="205" t="s">
        <v>113</v>
      </c>
      <c r="D86" s="48" t="s">
        <v>100</v>
      </c>
      <c r="E86" s="43">
        <v>24994</v>
      </c>
      <c r="F86" s="176" t="s">
        <v>100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138</v>
      </c>
      <c r="C87" s="205" t="s">
        <v>113</v>
      </c>
      <c r="D87" s="48" t="s">
        <v>100</v>
      </c>
      <c r="E87" s="43">
        <v>24994</v>
      </c>
      <c r="F87" s="176" t="s">
        <v>100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139</v>
      </c>
      <c r="C88" s="205" t="s">
        <v>113</v>
      </c>
      <c r="D88" s="48" t="s">
        <v>100</v>
      </c>
      <c r="E88" s="43">
        <v>24994</v>
      </c>
      <c r="F88" s="176" t="s">
        <v>100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140</v>
      </c>
      <c r="C89" s="205" t="s">
        <v>113</v>
      </c>
      <c r="D89" s="48" t="s">
        <v>100</v>
      </c>
      <c r="E89" s="43">
        <v>24994</v>
      </c>
      <c r="F89" s="176" t="s">
        <v>100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141</v>
      </c>
      <c r="C90" s="205" t="s">
        <v>113</v>
      </c>
      <c r="D90" s="48" t="s">
        <v>100</v>
      </c>
      <c r="E90" s="43">
        <v>24994</v>
      </c>
      <c r="F90" s="176" t="s">
        <v>100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142</v>
      </c>
      <c r="C91" s="205" t="s">
        <v>113</v>
      </c>
      <c r="D91" s="48" t="s">
        <v>100</v>
      </c>
      <c r="E91" s="43">
        <v>24994</v>
      </c>
      <c r="F91" s="176" t="s">
        <v>100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143</v>
      </c>
      <c r="C92" s="205" t="s">
        <v>113</v>
      </c>
      <c r="D92" s="48" t="s">
        <v>100</v>
      </c>
      <c r="E92" s="43">
        <v>20111</v>
      </c>
      <c r="F92" s="176" t="s">
        <v>100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144</v>
      </c>
      <c r="C93" s="205" t="s">
        <v>113</v>
      </c>
      <c r="D93" s="48" t="s">
        <v>100</v>
      </c>
      <c r="E93" s="43">
        <v>20111</v>
      </c>
      <c r="F93" s="176" t="s">
        <v>100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145</v>
      </c>
      <c r="C94" s="205" t="s">
        <v>113</v>
      </c>
      <c r="D94" s="48" t="s">
        <v>100</v>
      </c>
      <c r="E94" s="43">
        <v>20111</v>
      </c>
      <c r="F94" s="176" t="s">
        <v>100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146</v>
      </c>
      <c r="C95" s="205" t="s">
        <v>113</v>
      </c>
      <c r="D95" s="48" t="s">
        <v>100</v>
      </c>
      <c r="E95" s="43">
        <v>5611</v>
      </c>
      <c r="F95" s="176" t="s">
        <v>100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147</v>
      </c>
      <c r="C96" s="205" t="s">
        <v>113</v>
      </c>
      <c r="D96" s="48" t="s">
        <v>100</v>
      </c>
      <c r="E96" s="43">
        <v>20111</v>
      </c>
      <c r="F96" s="176" t="s">
        <v>100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148</v>
      </c>
      <c r="C97" s="205" t="s">
        <v>113</v>
      </c>
      <c r="D97" s="48" t="s">
        <v>100</v>
      </c>
      <c r="E97" s="43">
        <v>5611</v>
      </c>
      <c r="F97" s="176" t="s">
        <v>100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149</v>
      </c>
      <c r="C98" s="205" t="s">
        <v>113</v>
      </c>
      <c r="D98" s="48" t="s">
        <v>100</v>
      </c>
      <c r="E98" s="43">
        <v>5611</v>
      </c>
      <c r="F98" s="176" t="s">
        <v>100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150</v>
      </c>
      <c r="C99" s="205" t="s">
        <v>113</v>
      </c>
      <c r="D99" s="48" t="s">
        <v>100</v>
      </c>
      <c r="E99" s="43">
        <v>5611</v>
      </c>
      <c r="F99" s="176" t="s">
        <v>100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151</v>
      </c>
      <c r="C100" s="205" t="s">
        <v>113</v>
      </c>
      <c r="D100" s="48" t="s">
        <v>100</v>
      </c>
      <c r="E100" s="43">
        <v>20111</v>
      </c>
      <c r="F100" s="176" t="s">
        <v>100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152</v>
      </c>
      <c r="C101" s="205" t="s">
        <v>113</v>
      </c>
      <c r="D101" s="48" t="s">
        <v>100</v>
      </c>
      <c r="E101" s="43">
        <v>20111</v>
      </c>
      <c r="F101" s="176" t="s">
        <v>100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153</v>
      </c>
      <c r="C102" s="205" t="s">
        <v>113</v>
      </c>
      <c r="D102" s="48" t="s">
        <v>100</v>
      </c>
      <c r="E102" s="43">
        <v>20111</v>
      </c>
      <c r="F102" s="176" t="s">
        <v>100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154</v>
      </c>
      <c r="C103" s="205" t="s">
        <v>113</v>
      </c>
      <c r="D103" s="48" t="s">
        <v>100</v>
      </c>
      <c r="E103" s="43">
        <v>20111</v>
      </c>
      <c r="F103" s="176" t="s">
        <v>100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155</v>
      </c>
      <c r="C104" s="205" t="s">
        <v>113</v>
      </c>
      <c r="D104" s="48" t="s">
        <v>100</v>
      </c>
      <c r="E104" s="43">
        <v>229095</v>
      </c>
      <c r="F104" s="176" t="s">
        <v>100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156</v>
      </c>
      <c r="C105" s="205" t="s">
        <v>113</v>
      </c>
      <c r="D105" s="48" t="s">
        <v>100</v>
      </c>
      <c r="E105" s="43">
        <v>279854.5</v>
      </c>
      <c r="F105" s="176" t="s">
        <v>100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157</v>
      </c>
      <c r="C106" s="205" t="s">
        <v>113</v>
      </c>
      <c r="D106" s="48" t="s">
        <v>100</v>
      </c>
      <c r="E106" s="43">
        <v>157271</v>
      </c>
      <c r="F106" s="176" t="s">
        <v>100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158</v>
      </c>
      <c r="C107" s="205" t="s">
        <v>113</v>
      </c>
      <c r="D107" s="48" t="s">
        <v>100</v>
      </c>
      <c r="E107" s="43">
        <v>284545</v>
      </c>
      <c r="F107" s="176" t="s">
        <v>100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159</v>
      </c>
      <c r="C108" s="205" t="s">
        <v>113</v>
      </c>
      <c r="D108" s="48" t="s">
        <v>100</v>
      </c>
      <c r="E108" s="43">
        <v>120557.6</v>
      </c>
      <c r="F108" s="176" t="s">
        <v>100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160</v>
      </c>
      <c r="C109" s="205" t="s">
        <v>113</v>
      </c>
      <c r="D109" s="48" t="s">
        <v>100</v>
      </c>
      <c r="E109" s="43">
        <v>31797.599999999999</v>
      </c>
      <c r="F109" s="176" t="s">
        <v>100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161</v>
      </c>
      <c r="C110" s="205" t="s">
        <v>113</v>
      </c>
      <c r="D110" s="48" t="s">
        <v>100</v>
      </c>
      <c r="E110" s="43">
        <v>25200</v>
      </c>
      <c r="F110" s="176" t="s">
        <v>100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162</v>
      </c>
      <c r="C111" s="205" t="s">
        <v>113</v>
      </c>
      <c r="D111" s="48" t="s">
        <v>100</v>
      </c>
      <c r="E111" s="43">
        <v>131707</v>
      </c>
      <c r="F111" s="176" t="s">
        <v>100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163</v>
      </c>
      <c r="C112" s="205" t="s">
        <v>113</v>
      </c>
      <c r="D112" s="48" t="s">
        <v>100</v>
      </c>
      <c r="E112" s="43">
        <v>446666</v>
      </c>
      <c r="F112" s="176" t="s">
        <v>100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164</v>
      </c>
      <c r="C113" s="205" t="s">
        <v>113</v>
      </c>
      <c r="D113" s="48" t="s">
        <v>165</v>
      </c>
      <c r="E113" s="43">
        <v>97321</v>
      </c>
      <c r="F113" s="176" t="s">
        <v>165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166</v>
      </c>
      <c r="C114" s="205" t="s">
        <v>113</v>
      </c>
      <c r="D114" s="48" t="s">
        <v>165</v>
      </c>
      <c r="E114" s="43">
        <v>99191</v>
      </c>
      <c r="F114" s="176" t="s">
        <v>165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167</v>
      </c>
      <c r="C115" s="205" t="s">
        <v>113</v>
      </c>
      <c r="D115" s="48" t="s">
        <v>100</v>
      </c>
      <c r="E115" s="43">
        <v>30600</v>
      </c>
      <c r="F115" s="176" t="s">
        <v>100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168</v>
      </c>
      <c r="C116" s="205" t="s">
        <v>113</v>
      </c>
      <c r="D116" s="48" t="s">
        <v>100</v>
      </c>
      <c r="E116" s="43">
        <v>27800</v>
      </c>
      <c r="F116" s="176" t="s">
        <v>100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169</v>
      </c>
      <c r="C117" s="205" t="s">
        <v>113</v>
      </c>
      <c r="D117" s="48" t="s">
        <v>100</v>
      </c>
      <c r="E117" s="43">
        <v>25955</v>
      </c>
      <c r="F117" s="176" t="s">
        <v>100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170</v>
      </c>
      <c r="C118" s="205" t="s">
        <v>113</v>
      </c>
      <c r="D118" s="48" t="s">
        <v>100</v>
      </c>
      <c r="E118" s="43">
        <v>58187.6</v>
      </c>
      <c r="F118" s="176" t="s">
        <v>100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171</v>
      </c>
      <c r="C119" s="205" t="s">
        <v>113</v>
      </c>
      <c r="D119" s="48" t="s">
        <v>100</v>
      </c>
      <c r="E119" s="43">
        <v>40505.5</v>
      </c>
      <c r="F119" s="176" t="s">
        <v>100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172</v>
      </c>
      <c r="C120" s="205" t="s">
        <v>113</v>
      </c>
      <c r="D120" s="48" t="s">
        <v>100</v>
      </c>
      <c r="E120" s="43">
        <v>28585</v>
      </c>
      <c r="F120" s="176" t="s">
        <v>100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173</v>
      </c>
      <c r="C121" s="205" t="s">
        <v>113</v>
      </c>
      <c r="D121" s="48" t="s">
        <v>100</v>
      </c>
      <c r="E121" s="43">
        <v>204785</v>
      </c>
      <c r="F121" s="176" t="s">
        <v>100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174</v>
      </c>
      <c r="C122" s="205" t="s">
        <v>113</v>
      </c>
      <c r="D122" s="48" t="s">
        <v>100</v>
      </c>
      <c r="E122" s="43">
        <v>64500</v>
      </c>
      <c r="F122" s="176" t="s">
        <v>100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175</v>
      </c>
      <c r="C123" s="205" t="s">
        <v>113</v>
      </c>
      <c r="D123" s="48" t="s">
        <v>100</v>
      </c>
      <c r="E123" s="43">
        <v>111250</v>
      </c>
      <c r="F123" s="176" t="s">
        <v>100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176</v>
      </c>
      <c r="C124" s="205" t="s">
        <v>113</v>
      </c>
      <c r="D124" s="48" t="s">
        <v>100</v>
      </c>
      <c r="E124" s="43">
        <v>79000</v>
      </c>
      <c r="F124" s="176" t="s">
        <v>100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177</v>
      </c>
      <c r="C125" s="205" t="s">
        <v>113</v>
      </c>
      <c r="D125" s="48" t="s">
        <v>100</v>
      </c>
      <c r="E125" s="43">
        <v>108010</v>
      </c>
      <c r="F125" s="176" t="s">
        <v>100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178</v>
      </c>
      <c r="C126" s="205" t="s">
        <v>113</v>
      </c>
      <c r="D126" s="48" t="s">
        <v>100</v>
      </c>
      <c r="E126" s="43">
        <v>71816.5</v>
      </c>
      <c r="F126" s="176" t="s">
        <v>100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179</v>
      </c>
      <c r="C127" s="205" t="s">
        <v>113</v>
      </c>
      <c r="D127" s="48" t="s">
        <v>100</v>
      </c>
      <c r="E127" s="43">
        <v>89211</v>
      </c>
      <c r="F127" s="176" t="s">
        <v>100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180</v>
      </c>
      <c r="C128" s="205" t="s">
        <v>113</v>
      </c>
      <c r="D128" s="48" t="s">
        <v>100</v>
      </c>
      <c r="E128" s="43">
        <v>603076</v>
      </c>
      <c r="F128" s="176" t="s">
        <v>100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181</v>
      </c>
      <c r="C129" s="205" t="s">
        <v>113</v>
      </c>
      <c r="D129" s="48" t="s">
        <v>100</v>
      </c>
      <c r="E129" s="43">
        <v>248532</v>
      </c>
      <c r="F129" s="176" t="s">
        <v>100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182</v>
      </c>
      <c r="C130" s="205" t="s">
        <v>113</v>
      </c>
      <c r="D130" s="48" t="s">
        <v>100</v>
      </c>
      <c r="E130" s="43">
        <v>33000</v>
      </c>
      <c r="F130" s="176" t="s">
        <v>100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183</v>
      </c>
      <c r="C131" s="205" t="s">
        <v>113</v>
      </c>
      <c r="D131" s="48" t="s">
        <v>100</v>
      </c>
      <c r="E131" s="43">
        <v>26141</v>
      </c>
      <c r="F131" s="176" t="s">
        <v>100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184</v>
      </c>
      <c r="C132" s="205" t="s">
        <v>113</v>
      </c>
      <c r="D132" s="48" t="s">
        <v>100</v>
      </c>
      <c r="E132" s="43">
        <v>9818</v>
      </c>
      <c r="F132" s="176" t="s">
        <v>100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185</v>
      </c>
      <c r="C133" s="205" t="s">
        <v>113</v>
      </c>
      <c r="D133" s="48" t="s">
        <v>100</v>
      </c>
      <c r="E133" s="43">
        <v>37905</v>
      </c>
      <c r="F133" s="176" t="s">
        <v>100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186</v>
      </c>
      <c r="C134" s="205" t="s">
        <v>113</v>
      </c>
      <c r="D134" s="48" t="s">
        <v>100</v>
      </c>
      <c r="E134" s="43">
        <v>17500</v>
      </c>
      <c r="F134" s="176" t="s">
        <v>100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187</v>
      </c>
      <c r="C135" s="205" t="s">
        <v>113</v>
      </c>
      <c r="D135" s="48" t="s">
        <v>165</v>
      </c>
      <c r="E135" s="43">
        <v>47662</v>
      </c>
      <c r="F135" s="176" t="s">
        <v>165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188</v>
      </c>
      <c r="C136" s="205" t="s">
        <v>113</v>
      </c>
      <c r="D136" s="48" t="s">
        <v>165</v>
      </c>
      <c r="E136" s="43">
        <v>8533</v>
      </c>
      <c r="F136" s="176" t="s">
        <v>165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189</v>
      </c>
      <c r="C137" s="205" t="s">
        <v>113</v>
      </c>
      <c r="D137" s="48" t="s">
        <v>165</v>
      </c>
      <c r="E137" s="43">
        <v>8367</v>
      </c>
      <c r="F137" s="176" t="s">
        <v>165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190</v>
      </c>
      <c r="C138" s="205" t="s">
        <v>113</v>
      </c>
      <c r="D138" s="48" t="s">
        <v>165</v>
      </c>
      <c r="E138" s="43">
        <v>32859</v>
      </c>
      <c r="F138" s="176" t="s">
        <v>165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191</v>
      </c>
      <c r="C139" s="205" t="s">
        <v>113</v>
      </c>
      <c r="D139" s="48" t="s">
        <v>165</v>
      </c>
      <c r="E139" s="43">
        <v>9366</v>
      </c>
      <c r="F139" s="176" t="s">
        <v>165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192</v>
      </c>
      <c r="C140" s="205" t="s">
        <v>113</v>
      </c>
      <c r="D140" s="48" t="s">
        <v>165</v>
      </c>
      <c r="E140" s="43">
        <v>54502</v>
      </c>
      <c r="F140" s="176" t="s">
        <v>165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193</v>
      </c>
      <c r="C141" s="205" t="s">
        <v>113</v>
      </c>
      <c r="D141" s="48" t="s">
        <v>194</v>
      </c>
      <c r="E141" s="43">
        <v>14170</v>
      </c>
      <c r="F141" s="176" t="s">
        <v>194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195</v>
      </c>
      <c r="C142" s="205" t="s">
        <v>113</v>
      </c>
      <c r="D142" s="48" t="s">
        <v>100</v>
      </c>
      <c r="E142" s="43">
        <v>57850</v>
      </c>
      <c r="F142" s="176" t="s">
        <v>100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196</v>
      </c>
      <c r="C143" s="205" t="s">
        <v>113</v>
      </c>
      <c r="D143" s="48" t="s">
        <v>197</v>
      </c>
      <c r="E143" s="43">
        <v>33800</v>
      </c>
      <c r="F143" s="176" t="s">
        <v>100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198</v>
      </c>
      <c r="C144" s="205" t="s">
        <v>113</v>
      </c>
      <c r="D144" s="48" t="s">
        <v>199</v>
      </c>
      <c r="E144" s="43">
        <v>50178</v>
      </c>
      <c r="F144" s="176" t="s">
        <v>199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200</v>
      </c>
      <c r="C145" s="205" t="s">
        <v>113</v>
      </c>
      <c r="D145" s="48" t="s">
        <v>165</v>
      </c>
      <c r="E145" s="43">
        <v>35105</v>
      </c>
      <c r="F145" s="176" t="s">
        <v>165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201</v>
      </c>
      <c r="C146" s="205" t="s">
        <v>113</v>
      </c>
      <c r="D146" s="48" t="s">
        <v>100</v>
      </c>
      <c r="E146" s="43">
        <v>175000</v>
      </c>
      <c r="F146" s="176" t="s">
        <v>100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202</v>
      </c>
      <c r="C147" s="205" t="s">
        <v>113</v>
      </c>
      <c r="D147" s="48" t="s">
        <v>100</v>
      </c>
      <c r="E147" s="43">
        <v>283333.33333333331</v>
      </c>
      <c r="F147" s="176" t="s">
        <v>100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203</v>
      </c>
      <c r="C148" s="205" t="s">
        <v>113</v>
      </c>
      <c r="D148" s="48" t="s">
        <v>100</v>
      </c>
      <c r="E148" s="43">
        <v>40333.5</v>
      </c>
      <c r="F148" s="176" t="s">
        <v>100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204</v>
      </c>
      <c r="C149" s="205" t="s">
        <v>113</v>
      </c>
      <c r="D149" s="48" t="s">
        <v>100</v>
      </c>
      <c r="E149" s="43">
        <v>15547.5</v>
      </c>
      <c r="F149" s="176" t="s">
        <v>100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205</v>
      </c>
      <c r="C150" s="205" t="s">
        <v>113</v>
      </c>
      <c r="D150" s="48" t="s">
        <v>100</v>
      </c>
      <c r="E150" s="43">
        <v>18172.599999999999</v>
      </c>
      <c r="F150" s="176" t="s">
        <v>100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206</v>
      </c>
      <c r="C151" s="205" t="s">
        <v>113</v>
      </c>
      <c r="D151" s="48" t="s">
        <v>207</v>
      </c>
      <c r="E151" s="43">
        <v>38591.666666666664</v>
      </c>
      <c r="F151" s="176" t="s">
        <v>207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208</v>
      </c>
      <c r="C152" s="205" t="s">
        <v>113</v>
      </c>
      <c r="D152" s="48" t="s">
        <v>165</v>
      </c>
      <c r="E152" s="43">
        <v>22134</v>
      </c>
      <c r="F152" s="176" t="s">
        <v>165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209</v>
      </c>
      <c r="C153" s="205" t="s">
        <v>113</v>
      </c>
      <c r="D153" s="48" t="s">
        <v>100</v>
      </c>
      <c r="E153" s="43">
        <v>18125</v>
      </c>
      <c r="F153" s="176" t="s">
        <v>100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210</v>
      </c>
      <c r="C154" s="205" t="s">
        <v>113</v>
      </c>
      <c r="D154" s="48" t="s">
        <v>100</v>
      </c>
      <c r="E154" s="43">
        <v>102685</v>
      </c>
      <c r="F154" s="176" t="s">
        <v>100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211</v>
      </c>
      <c r="C155" s="205" t="s">
        <v>113</v>
      </c>
      <c r="D155" s="48" t="s">
        <v>100</v>
      </c>
      <c r="E155" s="43">
        <v>25163</v>
      </c>
      <c r="F155" s="176" t="s">
        <v>100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212</v>
      </c>
      <c r="C156" s="205" t="s">
        <v>113</v>
      </c>
      <c r="D156" s="48" t="s">
        <v>165</v>
      </c>
      <c r="E156" s="43">
        <v>149370</v>
      </c>
      <c r="F156" s="176" t="s">
        <v>165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213</v>
      </c>
      <c r="C157" s="205" t="s">
        <v>113</v>
      </c>
      <c r="D157" s="48" t="s">
        <v>100</v>
      </c>
      <c r="E157" s="43">
        <v>83922.5</v>
      </c>
      <c r="F157" s="176" t="s">
        <v>100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214</v>
      </c>
      <c r="C158" s="205" t="s">
        <v>113</v>
      </c>
      <c r="D158" s="48" t="s">
        <v>100</v>
      </c>
      <c r="E158" s="43">
        <v>547525</v>
      </c>
      <c r="F158" s="176" t="s">
        <v>100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215</v>
      </c>
      <c r="C159" s="205" t="s">
        <v>113</v>
      </c>
      <c r="D159" s="48" t="s">
        <v>199</v>
      </c>
      <c r="E159" s="43">
        <v>8850</v>
      </c>
      <c r="F159" s="176" t="s">
        <v>199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216</v>
      </c>
      <c r="C160" s="205" t="s">
        <v>113</v>
      </c>
      <c r="D160" s="48" t="s">
        <v>217</v>
      </c>
      <c r="E160" s="43">
        <v>135533.5</v>
      </c>
      <c r="F160" s="176" t="s">
        <v>217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218</v>
      </c>
      <c r="C161" s="205" t="s">
        <v>113</v>
      </c>
      <c r="D161" s="48" t="s">
        <v>100</v>
      </c>
      <c r="E161" s="43">
        <v>313317.5</v>
      </c>
      <c r="F161" s="176" t="s">
        <v>100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219</v>
      </c>
      <c r="C162" s="205" t="s">
        <v>113</v>
      </c>
      <c r="D162" s="48" t="s">
        <v>100</v>
      </c>
      <c r="E162" s="43">
        <v>22214</v>
      </c>
      <c r="F162" s="176" t="s">
        <v>100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220</v>
      </c>
      <c r="C163" s="205" t="s">
        <v>113</v>
      </c>
      <c r="D163" s="48" t="s">
        <v>100</v>
      </c>
      <c r="E163" s="43">
        <v>293333.33500000002</v>
      </c>
      <c r="F163" s="176" t="s">
        <v>100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221</v>
      </c>
      <c r="C164" s="205" t="s">
        <v>113</v>
      </c>
      <c r="D164" s="48" t="s">
        <v>100</v>
      </c>
      <c r="E164" s="43">
        <v>30290</v>
      </c>
      <c r="F164" s="176" t="s">
        <v>100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222</v>
      </c>
      <c r="C165" s="205" t="s">
        <v>113</v>
      </c>
      <c r="D165" s="48" t="s">
        <v>100</v>
      </c>
      <c r="E165" s="43">
        <v>69202</v>
      </c>
      <c r="F165" s="176" t="s">
        <v>100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223</v>
      </c>
      <c r="C166" s="205" t="s">
        <v>113</v>
      </c>
      <c r="D166" s="48" t="s">
        <v>207</v>
      </c>
      <c r="E166" s="43">
        <v>90800</v>
      </c>
      <c r="F166" s="176" t="s">
        <v>207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224</v>
      </c>
      <c r="C167" s="205" t="s">
        <v>113</v>
      </c>
      <c r="D167" s="48" t="s">
        <v>100</v>
      </c>
      <c r="E167" s="43">
        <v>79333.666666666672</v>
      </c>
      <c r="F167" s="176" t="s">
        <v>100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225</v>
      </c>
      <c r="C168" s="205" t="s">
        <v>113</v>
      </c>
      <c r="D168" s="48" t="s">
        <v>100</v>
      </c>
      <c r="E168" s="43">
        <v>27500</v>
      </c>
      <c r="F168" s="176" t="s">
        <v>100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226</v>
      </c>
      <c r="C169" s="205" t="s">
        <v>113</v>
      </c>
      <c r="D169" s="48" t="s">
        <v>100</v>
      </c>
      <c r="E169" s="43">
        <v>16548</v>
      </c>
      <c r="F169" s="176" t="s">
        <v>100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111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81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64</v>
      </c>
      <c r="B216" s="119" t="s">
        <v>83</v>
      </c>
      <c r="C216" s="115" t="s">
        <v>84</v>
      </c>
      <c r="D216" s="99" t="s">
        <v>85</v>
      </c>
      <c r="E216" s="67" t="s">
        <v>86</v>
      </c>
      <c r="F216" s="175" t="s">
        <v>87</v>
      </c>
      <c r="G216" s="69" t="s">
        <v>88</v>
      </c>
      <c r="H216" s="70" t="s">
        <v>89</v>
      </c>
      <c r="I216" s="70" t="s">
        <v>90</v>
      </c>
      <c r="J216" s="279" t="s">
        <v>91</v>
      </c>
      <c r="K216" s="280" t="s">
        <v>92</v>
      </c>
    </row>
    <row r="217" spans="1:11" ht="15" customHeight="1">
      <c r="A217" s="41">
        <v>1</v>
      </c>
      <c r="B217" s="188" t="s">
        <v>227</v>
      </c>
      <c r="C217" s="205" t="s">
        <v>228</v>
      </c>
      <c r="D217" s="48" t="s">
        <v>165</v>
      </c>
      <c r="E217" s="43">
        <v>760</v>
      </c>
      <c r="F217" s="176" t="s">
        <v>165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229</v>
      </c>
      <c r="C218" s="205" t="s">
        <v>228</v>
      </c>
      <c r="D218" s="48" t="s">
        <v>230</v>
      </c>
      <c r="E218" s="43"/>
      <c r="F218" s="176" t="s">
        <v>231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232</v>
      </c>
      <c r="C219" s="205" t="s">
        <v>228</v>
      </c>
      <c r="D219" s="48" t="s">
        <v>233</v>
      </c>
      <c r="E219" s="43">
        <v>45667</v>
      </c>
      <c r="F219" s="176" t="s">
        <v>233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234</v>
      </c>
      <c r="C220" s="205" t="s">
        <v>228</v>
      </c>
      <c r="D220" s="48" t="s">
        <v>230</v>
      </c>
      <c r="E220" s="43"/>
      <c r="F220" s="176" t="s">
        <v>231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235</v>
      </c>
      <c r="C221" s="205" t="s">
        <v>228</v>
      </c>
      <c r="D221" s="48" t="s">
        <v>230</v>
      </c>
      <c r="E221" s="43"/>
      <c r="F221" s="176" t="s">
        <v>231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236</v>
      </c>
      <c r="C222" s="205" t="s">
        <v>228</v>
      </c>
      <c r="D222" s="48" t="s">
        <v>230</v>
      </c>
      <c r="E222" s="43"/>
      <c r="F222" s="176" t="s">
        <v>231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237</v>
      </c>
      <c r="C223" s="205" t="s">
        <v>228</v>
      </c>
      <c r="D223" s="48" t="s">
        <v>230</v>
      </c>
      <c r="E223" s="43"/>
      <c r="F223" s="176" t="s">
        <v>231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238</v>
      </c>
      <c r="C224" s="205" t="s">
        <v>228</v>
      </c>
      <c r="D224" s="48" t="s">
        <v>230</v>
      </c>
      <c r="E224" s="43"/>
      <c r="F224" s="176" t="s">
        <v>231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239</v>
      </c>
      <c r="C225" s="205" t="s">
        <v>228</v>
      </c>
      <c r="D225" s="48" t="s">
        <v>230</v>
      </c>
      <c r="E225" s="43"/>
      <c r="F225" s="176" t="s">
        <v>231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240</v>
      </c>
      <c r="C226" s="205" t="s">
        <v>228</v>
      </c>
      <c r="D226" s="48" t="s">
        <v>230</v>
      </c>
      <c r="E226" s="43"/>
      <c r="F226" s="176" t="s">
        <v>231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241</v>
      </c>
      <c r="C227" s="205" t="s">
        <v>228</v>
      </c>
      <c r="D227" s="48" t="s">
        <v>230</v>
      </c>
      <c r="E227" s="43"/>
      <c r="F227" s="176" t="s">
        <v>231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242</v>
      </c>
      <c r="C228" s="205" t="s">
        <v>228</v>
      </c>
      <c r="D228" s="48" t="s">
        <v>230</v>
      </c>
      <c r="E228" s="43"/>
      <c r="F228" s="176" t="s">
        <v>231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243</v>
      </c>
      <c r="C229" s="205" t="s">
        <v>228</v>
      </c>
      <c r="D229" s="48" t="s">
        <v>244</v>
      </c>
      <c r="E229" s="43">
        <v>41000</v>
      </c>
      <c r="F229" s="176" t="s">
        <v>230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245</v>
      </c>
      <c r="C230" s="205" t="s">
        <v>228</v>
      </c>
      <c r="D230" s="48" t="s">
        <v>244</v>
      </c>
      <c r="E230" s="43">
        <v>58500</v>
      </c>
      <c r="F230" s="176" t="s">
        <v>230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246</v>
      </c>
      <c r="C231" s="205" t="s">
        <v>228</v>
      </c>
      <c r="D231" s="48" t="s">
        <v>233</v>
      </c>
      <c r="E231" s="43">
        <v>17830</v>
      </c>
      <c r="F231" s="176" t="s">
        <v>247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248</v>
      </c>
      <c r="C232" s="205" t="s">
        <v>228</v>
      </c>
      <c r="D232" s="48" t="s">
        <v>165</v>
      </c>
      <c r="E232" s="43">
        <v>639</v>
      </c>
      <c r="F232" s="176" t="s">
        <v>165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249</v>
      </c>
      <c r="C233" s="205" t="s">
        <v>228</v>
      </c>
      <c r="D233" s="48" t="s">
        <v>165</v>
      </c>
      <c r="E233" s="43">
        <v>639</v>
      </c>
      <c r="F233" s="176" t="s">
        <v>165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250</v>
      </c>
      <c r="C234" s="205" t="s">
        <v>228</v>
      </c>
      <c r="D234" s="48" t="s">
        <v>165</v>
      </c>
      <c r="E234" s="43">
        <v>639</v>
      </c>
      <c r="F234" s="176" t="s">
        <v>165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251</v>
      </c>
      <c r="C235" s="205" t="s">
        <v>228</v>
      </c>
      <c r="D235" s="48" t="s">
        <v>165</v>
      </c>
      <c r="E235" s="62">
        <v>639</v>
      </c>
      <c r="F235" s="176" t="s">
        <v>165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252</v>
      </c>
      <c r="C236" s="205" t="s">
        <v>228</v>
      </c>
      <c r="D236" s="48" t="s">
        <v>165</v>
      </c>
      <c r="E236" s="62">
        <v>639</v>
      </c>
      <c r="F236" s="176" t="s">
        <v>165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253</v>
      </c>
      <c r="C237" s="205" t="s">
        <v>228</v>
      </c>
      <c r="D237" s="48" t="s">
        <v>165</v>
      </c>
      <c r="E237" s="62">
        <v>639</v>
      </c>
      <c r="F237" s="176" t="s">
        <v>165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254</v>
      </c>
      <c r="C238" s="205" t="s">
        <v>228</v>
      </c>
      <c r="D238" s="48" t="s">
        <v>165</v>
      </c>
      <c r="E238" s="62">
        <v>639</v>
      </c>
      <c r="F238" s="176" t="s">
        <v>165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255</v>
      </c>
      <c r="C239" s="205" t="s">
        <v>228</v>
      </c>
      <c r="D239" s="48" t="s">
        <v>165</v>
      </c>
      <c r="E239" s="62">
        <v>639</v>
      </c>
      <c r="F239" s="176" t="s">
        <v>165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256</v>
      </c>
      <c r="C240" s="205" t="s">
        <v>228</v>
      </c>
      <c r="D240" s="48" t="s">
        <v>165</v>
      </c>
      <c r="E240" s="62">
        <v>639</v>
      </c>
      <c r="F240" s="48" t="s">
        <v>165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257</v>
      </c>
      <c r="C241" s="205" t="s">
        <v>228</v>
      </c>
      <c r="D241" s="48" t="s">
        <v>165</v>
      </c>
      <c r="E241" s="62">
        <v>639</v>
      </c>
      <c r="F241" s="48" t="s">
        <v>165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258</v>
      </c>
      <c r="C242" s="205" t="s">
        <v>228</v>
      </c>
      <c r="D242" s="48" t="s">
        <v>165</v>
      </c>
      <c r="E242" s="62">
        <v>639</v>
      </c>
      <c r="F242" s="48" t="s">
        <v>165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259</v>
      </c>
      <c r="C243" s="205" t="s">
        <v>228</v>
      </c>
      <c r="D243" s="48" t="s">
        <v>165</v>
      </c>
      <c r="E243" s="62">
        <v>639</v>
      </c>
      <c r="F243" s="48" t="s">
        <v>165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260</v>
      </c>
      <c r="C244" s="205" t="s">
        <v>228</v>
      </c>
      <c r="D244" s="58" t="s">
        <v>165</v>
      </c>
      <c r="E244" s="62">
        <v>639</v>
      </c>
      <c r="F244" s="58" t="s">
        <v>165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261</v>
      </c>
      <c r="C245" s="205" t="s">
        <v>228</v>
      </c>
      <c r="D245" s="58" t="s">
        <v>165</v>
      </c>
      <c r="E245" s="62">
        <v>639</v>
      </c>
      <c r="F245" s="58" t="s">
        <v>165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262</v>
      </c>
      <c r="C246" s="205" t="s">
        <v>228</v>
      </c>
      <c r="D246" s="58" t="s">
        <v>165</v>
      </c>
      <c r="E246" s="62">
        <v>639</v>
      </c>
      <c r="F246" s="58" t="s">
        <v>165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263</v>
      </c>
      <c r="C247" s="205" t="s">
        <v>228</v>
      </c>
      <c r="D247" s="58" t="s">
        <v>165</v>
      </c>
      <c r="E247" s="62">
        <v>639</v>
      </c>
      <c r="F247" s="58" t="s">
        <v>165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264</v>
      </c>
      <c r="C248" s="205" t="s">
        <v>228</v>
      </c>
      <c r="D248" s="58" t="s">
        <v>165</v>
      </c>
      <c r="E248" s="62">
        <v>639</v>
      </c>
      <c r="F248" s="58" t="s">
        <v>165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265</v>
      </c>
      <c r="C249" s="205" t="s">
        <v>228</v>
      </c>
      <c r="D249" s="58" t="s">
        <v>165</v>
      </c>
      <c r="E249" s="62">
        <v>639</v>
      </c>
      <c r="F249" s="179" t="s">
        <v>165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266</v>
      </c>
      <c r="C250" s="205" t="s">
        <v>228</v>
      </c>
      <c r="D250" s="58" t="s">
        <v>165</v>
      </c>
      <c r="E250" s="62">
        <v>639</v>
      </c>
      <c r="F250" s="179" t="s">
        <v>165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267</v>
      </c>
      <c r="C251" s="205" t="s">
        <v>228</v>
      </c>
      <c r="D251" s="48" t="s">
        <v>165</v>
      </c>
      <c r="E251" s="43">
        <v>639</v>
      </c>
      <c r="F251" s="176" t="s">
        <v>165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268</v>
      </c>
      <c r="C252" s="205" t="s">
        <v>228</v>
      </c>
      <c r="D252" s="48" t="s">
        <v>165</v>
      </c>
      <c r="E252" s="43">
        <v>639</v>
      </c>
      <c r="F252" s="176" t="s">
        <v>165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269</v>
      </c>
      <c r="C253" s="205" t="s">
        <v>228</v>
      </c>
      <c r="D253" s="48" t="s">
        <v>165</v>
      </c>
      <c r="E253" s="43">
        <v>639</v>
      </c>
      <c r="F253" s="176" t="s">
        <v>165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270</v>
      </c>
      <c r="C254" s="205" t="s">
        <v>228</v>
      </c>
      <c r="D254" s="143" t="s">
        <v>165</v>
      </c>
      <c r="E254" s="144">
        <v>639</v>
      </c>
      <c r="F254" s="176" t="s">
        <v>165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271</v>
      </c>
      <c r="C255" s="205" t="s">
        <v>228</v>
      </c>
      <c r="D255" s="48" t="s">
        <v>165</v>
      </c>
      <c r="E255" s="43">
        <v>639</v>
      </c>
      <c r="F255" s="176" t="s">
        <v>165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272</v>
      </c>
      <c r="C256" s="205" t="s">
        <v>228</v>
      </c>
      <c r="D256" s="143" t="s">
        <v>165</v>
      </c>
      <c r="E256" s="144">
        <v>475.34</v>
      </c>
      <c r="F256" s="176" t="s">
        <v>165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273</v>
      </c>
      <c r="C257" s="205" t="s">
        <v>228</v>
      </c>
      <c r="D257" s="143" t="s">
        <v>165</v>
      </c>
      <c r="E257" s="144">
        <v>475</v>
      </c>
      <c r="F257" s="48" t="s">
        <v>165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274</v>
      </c>
      <c r="C258" s="205" t="s">
        <v>228</v>
      </c>
      <c r="D258" s="143" t="s">
        <v>165</v>
      </c>
      <c r="E258" s="144">
        <v>475</v>
      </c>
      <c r="F258" s="48" t="s">
        <v>165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275</v>
      </c>
      <c r="C259" s="205" t="s">
        <v>228</v>
      </c>
      <c r="D259" s="143" t="s">
        <v>165</v>
      </c>
      <c r="E259" s="144">
        <v>475</v>
      </c>
      <c r="F259" s="48" t="s">
        <v>165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276</v>
      </c>
      <c r="C260" s="205" t="s">
        <v>228</v>
      </c>
      <c r="D260" s="143" t="s">
        <v>165</v>
      </c>
      <c r="E260" s="144">
        <v>475</v>
      </c>
      <c r="F260" s="48" t="s">
        <v>165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277</v>
      </c>
      <c r="C261" s="205" t="s">
        <v>228</v>
      </c>
      <c r="D261" s="143" t="s">
        <v>165</v>
      </c>
      <c r="E261" s="144">
        <v>475</v>
      </c>
      <c r="F261" s="48" t="s">
        <v>165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278</v>
      </c>
      <c r="C262" s="205" t="s">
        <v>228</v>
      </c>
      <c r="D262" s="143" t="s">
        <v>165</v>
      </c>
      <c r="E262" s="144">
        <v>475</v>
      </c>
      <c r="F262" s="48" t="s">
        <v>165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279</v>
      </c>
      <c r="C263" s="205" t="s">
        <v>228</v>
      </c>
      <c r="D263" s="48" t="s">
        <v>165</v>
      </c>
      <c r="E263" s="43">
        <v>475</v>
      </c>
      <c r="F263" s="48" t="s">
        <v>165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280</v>
      </c>
      <c r="C264" s="205" t="s">
        <v>228</v>
      </c>
      <c r="D264" s="143" t="s">
        <v>165</v>
      </c>
      <c r="E264" s="144">
        <v>475</v>
      </c>
      <c r="F264" s="48" t="s">
        <v>165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281</v>
      </c>
      <c r="C265" s="205" t="s">
        <v>228</v>
      </c>
      <c r="D265" s="143" t="s">
        <v>165</v>
      </c>
      <c r="E265" s="144">
        <v>475</v>
      </c>
      <c r="F265" s="48" t="s">
        <v>165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282</v>
      </c>
      <c r="C266" s="205" t="s">
        <v>228</v>
      </c>
      <c r="D266" s="143" t="s">
        <v>165</v>
      </c>
      <c r="E266" s="144">
        <v>475</v>
      </c>
      <c r="F266" s="48" t="s">
        <v>165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283</v>
      </c>
      <c r="C267" s="205" t="s">
        <v>228</v>
      </c>
      <c r="D267" s="143" t="s">
        <v>165</v>
      </c>
      <c r="E267" s="144">
        <v>475</v>
      </c>
      <c r="F267" s="48" t="s">
        <v>165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284</v>
      </c>
      <c r="C268" s="205" t="s">
        <v>228</v>
      </c>
      <c r="D268" s="143" t="s">
        <v>165</v>
      </c>
      <c r="E268" s="144">
        <v>475</v>
      </c>
      <c r="F268" s="48" t="s">
        <v>165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285</v>
      </c>
      <c r="C269" s="205" t="s">
        <v>228</v>
      </c>
      <c r="D269" s="48" t="s">
        <v>165</v>
      </c>
      <c r="E269" s="43">
        <v>475</v>
      </c>
      <c r="F269" s="48" t="s">
        <v>165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286</v>
      </c>
      <c r="C270" s="205" t="s">
        <v>228</v>
      </c>
      <c r="D270" s="48" t="s">
        <v>165</v>
      </c>
      <c r="E270" s="156">
        <v>475</v>
      </c>
      <c r="F270" s="180" t="s">
        <v>165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287</v>
      </c>
      <c r="C271" s="205" t="s">
        <v>228</v>
      </c>
      <c r="D271" s="48" t="s">
        <v>165</v>
      </c>
      <c r="E271" s="156">
        <v>475</v>
      </c>
      <c r="F271" s="180" t="s">
        <v>165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288</v>
      </c>
      <c r="C272" s="205" t="s">
        <v>228</v>
      </c>
      <c r="D272" s="48" t="s">
        <v>165</v>
      </c>
      <c r="E272" s="156">
        <v>475</v>
      </c>
      <c r="F272" s="180" t="s">
        <v>165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289</v>
      </c>
      <c r="C273" s="205" t="s">
        <v>228</v>
      </c>
      <c r="D273" s="48" t="s">
        <v>165</v>
      </c>
      <c r="E273" s="43">
        <v>475</v>
      </c>
      <c r="F273" s="181" t="s">
        <v>165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290</v>
      </c>
      <c r="C274" s="205" t="s">
        <v>228</v>
      </c>
      <c r="D274" s="49" t="s">
        <v>165</v>
      </c>
      <c r="E274" s="156">
        <v>475</v>
      </c>
      <c r="F274" s="283" t="s">
        <v>165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291</v>
      </c>
      <c r="C275" s="205" t="s">
        <v>228</v>
      </c>
      <c r="D275" s="49" t="s">
        <v>165</v>
      </c>
      <c r="E275" s="156">
        <v>475</v>
      </c>
      <c r="F275" s="283" t="s">
        <v>165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292</v>
      </c>
      <c r="C276" s="205" t="s">
        <v>228</v>
      </c>
      <c r="D276" s="49" t="s">
        <v>165</v>
      </c>
      <c r="E276" s="156">
        <v>475</v>
      </c>
      <c r="F276" s="283" t="s">
        <v>165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293</v>
      </c>
      <c r="C277" s="205" t="s">
        <v>228</v>
      </c>
      <c r="D277" s="49" t="s">
        <v>165</v>
      </c>
      <c r="E277" s="156">
        <v>475</v>
      </c>
      <c r="F277" s="283" t="s">
        <v>165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294</v>
      </c>
      <c r="C278" s="205" t="s">
        <v>228</v>
      </c>
      <c r="D278" s="49" t="s">
        <v>165</v>
      </c>
      <c r="E278" s="156">
        <v>475</v>
      </c>
      <c r="F278" s="283" t="s">
        <v>165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295</v>
      </c>
      <c r="C279" s="205" t="s">
        <v>228</v>
      </c>
      <c r="D279" s="49" t="s">
        <v>165</v>
      </c>
      <c r="E279" s="156">
        <v>475</v>
      </c>
      <c r="F279" s="283" t="s">
        <v>165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296</v>
      </c>
      <c r="C280" s="205" t="s">
        <v>228</v>
      </c>
      <c r="D280" s="48" t="s">
        <v>165</v>
      </c>
      <c r="E280" s="156">
        <v>475</v>
      </c>
      <c r="F280" s="180" t="s">
        <v>165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297</v>
      </c>
      <c r="C281" s="205" t="s">
        <v>228</v>
      </c>
      <c r="D281" s="48" t="s">
        <v>165</v>
      </c>
      <c r="E281" s="156">
        <v>475.34</v>
      </c>
      <c r="F281" s="180" t="s">
        <v>165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298</v>
      </c>
      <c r="C282" s="205" t="s">
        <v>228</v>
      </c>
      <c r="D282" s="48" t="s">
        <v>165</v>
      </c>
      <c r="E282" s="156">
        <v>475.34</v>
      </c>
      <c r="F282" s="180" t="s">
        <v>165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299</v>
      </c>
      <c r="C283" s="205" t="s">
        <v>228</v>
      </c>
      <c r="D283" s="48" t="s">
        <v>165</v>
      </c>
      <c r="E283" s="156">
        <v>475.34</v>
      </c>
      <c r="F283" s="180" t="s">
        <v>165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300</v>
      </c>
      <c r="C284" s="205" t="s">
        <v>228</v>
      </c>
      <c r="D284" s="48" t="s">
        <v>165</v>
      </c>
      <c r="E284" s="156">
        <v>475.34</v>
      </c>
      <c r="F284" s="180" t="s">
        <v>165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301</v>
      </c>
      <c r="C285" s="205" t="s">
        <v>228</v>
      </c>
      <c r="D285" s="48" t="s">
        <v>165</v>
      </c>
      <c r="E285" s="156">
        <v>475.34</v>
      </c>
      <c r="F285" s="180" t="s">
        <v>165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302</v>
      </c>
      <c r="C286" s="205" t="s">
        <v>228</v>
      </c>
      <c r="D286" s="48" t="s">
        <v>165</v>
      </c>
      <c r="E286" s="156">
        <v>475.34</v>
      </c>
      <c r="F286" s="180" t="s">
        <v>165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303</v>
      </c>
      <c r="C287" s="205" t="s">
        <v>228</v>
      </c>
      <c r="D287" s="48" t="s">
        <v>165</v>
      </c>
      <c r="E287" s="156">
        <v>475.34</v>
      </c>
      <c r="F287" s="180" t="s">
        <v>165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304</v>
      </c>
      <c r="C288" s="205" t="s">
        <v>228</v>
      </c>
      <c r="D288" s="48" t="s">
        <v>165</v>
      </c>
      <c r="E288" s="156">
        <v>475.34</v>
      </c>
      <c r="F288" s="180" t="s">
        <v>165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305</v>
      </c>
      <c r="C289" s="205" t="s">
        <v>228</v>
      </c>
      <c r="D289" s="48" t="s">
        <v>230</v>
      </c>
      <c r="E289" s="156"/>
      <c r="F289" s="180" t="s">
        <v>231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306</v>
      </c>
      <c r="C290" s="205" t="s">
        <v>228</v>
      </c>
      <c r="D290" s="48" t="s">
        <v>230</v>
      </c>
      <c r="E290" s="156"/>
      <c r="F290" s="180" t="s">
        <v>231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307</v>
      </c>
      <c r="C291" s="205" t="s">
        <v>228</v>
      </c>
      <c r="D291" s="48" t="s">
        <v>230</v>
      </c>
      <c r="E291" s="43"/>
      <c r="F291" s="181" t="s">
        <v>231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308</v>
      </c>
      <c r="C292" s="205" t="s">
        <v>228</v>
      </c>
      <c r="D292" s="48" t="s">
        <v>230</v>
      </c>
      <c r="E292" s="43"/>
      <c r="F292" s="181" t="s">
        <v>231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309</v>
      </c>
      <c r="C293" s="205" t="s">
        <v>228</v>
      </c>
      <c r="D293" s="48" t="s">
        <v>230</v>
      </c>
      <c r="E293" s="43"/>
      <c r="F293" s="181" t="s">
        <v>231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310</v>
      </c>
      <c r="C294" s="205" t="s">
        <v>228</v>
      </c>
      <c r="D294" s="48" t="s">
        <v>165</v>
      </c>
      <c r="E294" s="43">
        <v>475.34</v>
      </c>
      <c r="F294" s="181" t="s">
        <v>165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311</v>
      </c>
      <c r="C295" s="205" t="s">
        <v>228</v>
      </c>
      <c r="D295" s="48" t="s">
        <v>230</v>
      </c>
      <c r="E295" s="43">
        <v>9800</v>
      </c>
      <c r="F295" s="181" t="s">
        <v>231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312</v>
      </c>
      <c r="C296" s="205" t="s">
        <v>228</v>
      </c>
      <c r="D296" s="48" t="s">
        <v>230</v>
      </c>
      <c r="E296" s="43">
        <v>943.5</v>
      </c>
      <c r="F296" s="181" t="s">
        <v>231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313</v>
      </c>
      <c r="C297" s="205" t="s">
        <v>228</v>
      </c>
      <c r="D297" s="48" t="s">
        <v>230</v>
      </c>
      <c r="E297" s="43">
        <v>943.5</v>
      </c>
      <c r="F297" s="181" t="s">
        <v>231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314</v>
      </c>
      <c r="C298" s="37" t="s">
        <v>228</v>
      </c>
      <c r="D298" s="48" t="s">
        <v>230</v>
      </c>
      <c r="E298" s="43">
        <v>1223</v>
      </c>
      <c r="F298" s="181" t="s">
        <v>231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315</v>
      </c>
      <c r="C299" s="236" t="s">
        <v>228</v>
      </c>
      <c r="D299" s="237" t="s">
        <v>233</v>
      </c>
      <c r="E299" s="134">
        <v>16471.25</v>
      </c>
      <c r="F299" s="181" t="s">
        <v>233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316</v>
      </c>
      <c r="C300" s="236" t="s">
        <v>228</v>
      </c>
      <c r="D300" s="237" t="s">
        <v>233</v>
      </c>
      <c r="E300" s="134">
        <v>32931.5</v>
      </c>
      <c r="F300" s="181" t="s">
        <v>233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317</v>
      </c>
      <c r="C301" s="236" t="s">
        <v>228</v>
      </c>
      <c r="D301" s="237" t="s">
        <v>233</v>
      </c>
      <c r="E301" s="134">
        <v>16209.5</v>
      </c>
      <c r="F301" s="181" t="s">
        <v>233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318</v>
      </c>
      <c r="C302" s="236" t="s">
        <v>228</v>
      </c>
      <c r="D302" s="237" t="s">
        <v>233</v>
      </c>
      <c r="E302" s="134">
        <v>32417</v>
      </c>
      <c r="F302" s="181" t="s">
        <v>233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319</v>
      </c>
      <c r="C303" s="236" t="s">
        <v>228</v>
      </c>
      <c r="D303" s="237" t="s">
        <v>233</v>
      </c>
      <c r="E303" s="134">
        <v>50250</v>
      </c>
      <c r="F303" s="181" t="s">
        <v>233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320</v>
      </c>
      <c r="C304" s="236" t="s">
        <v>228</v>
      </c>
      <c r="D304" s="237" t="s">
        <v>233</v>
      </c>
      <c r="E304" s="134">
        <v>25131.5</v>
      </c>
      <c r="F304" s="181" t="s">
        <v>233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321</v>
      </c>
      <c r="C305" s="236" t="s">
        <v>228</v>
      </c>
      <c r="D305" s="237" t="s">
        <v>244</v>
      </c>
      <c r="E305" s="134">
        <v>3700</v>
      </c>
      <c r="F305" s="181" t="s">
        <v>247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322</v>
      </c>
      <c r="C306" s="236" t="s">
        <v>228</v>
      </c>
      <c r="D306" s="237" t="s">
        <v>230</v>
      </c>
      <c r="E306" s="134">
        <v>92</v>
      </c>
      <c r="F306" s="181" t="s">
        <v>230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323</v>
      </c>
      <c r="C307" s="236" t="s">
        <v>228</v>
      </c>
      <c r="D307" s="237" t="s">
        <v>230</v>
      </c>
      <c r="E307" s="134">
        <v>92</v>
      </c>
      <c r="F307" s="181" t="s">
        <v>230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324</v>
      </c>
      <c r="C308" s="236" t="s">
        <v>228</v>
      </c>
      <c r="D308" s="237" t="s">
        <v>230</v>
      </c>
      <c r="E308" s="134">
        <v>92</v>
      </c>
      <c r="F308" s="181" t="s">
        <v>230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325</v>
      </c>
      <c r="C309" s="236" t="s">
        <v>228</v>
      </c>
      <c r="D309" s="237" t="s">
        <v>247</v>
      </c>
      <c r="E309" s="134">
        <v>8591.7999999999993</v>
      </c>
      <c r="F309" s="181" t="s">
        <v>230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326</v>
      </c>
      <c r="C310" s="236" t="s">
        <v>228</v>
      </c>
      <c r="D310" s="237" t="s">
        <v>230</v>
      </c>
      <c r="E310" s="134">
        <v>10740.701999999999</v>
      </c>
      <c r="F310" s="181" t="s">
        <v>230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327</v>
      </c>
      <c r="C311" s="236" t="s">
        <v>228</v>
      </c>
      <c r="D311" s="237" t="s">
        <v>230</v>
      </c>
      <c r="E311" s="134">
        <v>28000</v>
      </c>
      <c r="F311" s="181" t="s">
        <v>247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328</v>
      </c>
      <c r="C312" s="236" t="s">
        <v>228</v>
      </c>
      <c r="D312" s="237" t="s">
        <v>230</v>
      </c>
      <c r="E312" s="134">
        <v>20000</v>
      </c>
      <c r="F312" s="181" t="s">
        <v>247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329</v>
      </c>
      <c r="C313" s="236" t="s">
        <v>228</v>
      </c>
      <c r="D313" s="237" t="s">
        <v>230</v>
      </c>
      <c r="E313" s="134"/>
      <c r="F313" s="181" t="s">
        <v>231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330</v>
      </c>
      <c r="C314" s="236" t="s">
        <v>228</v>
      </c>
      <c r="D314" s="237" t="s">
        <v>230</v>
      </c>
      <c r="E314" s="134"/>
      <c r="F314" s="181" t="s">
        <v>231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331</v>
      </c>
      <c r="C315" s="236" t="s">
        <v>228</v>
      </c>
      <c r="D315" s="237" t="s">
        <v>230</v>
      </c>
      <c r="E315" s="134"/>
      <c r="F315" s="181" t="s">
        <v>231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332</v>
      </c>
      <c r="C316" s="236" t="s">
        <v>228</v>
      </c>
      <c r="D316" s="237" t="s">
        <v>230</v>
      </c>
      <c r="E316" s="134"/>
      <c r="F316" s="181" t="s">
        <v>231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333</v>
      </c>
      <c r="C317" s="236" t="s">
        <v>228</v>
      </c>
      <c r="D317" s="237" t="s">
        <v>230</v>
      </c>
      <c r="E317" s="134">
        <v>7000</v>
      </c>
      <c r="F317" s="181" t="s">
        <v>334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335</v>
      </c>
      <c r="C318" s="236" t="s">
        <v>228</v>
      </c>
      <c r="D318" s="237" t="s">
        <v>230</v>
      </c>
      <c r="E318" s="134"/>
      <c r="F318" s="181" t="s">
        <v>231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336</v>
      </c>
      <c r="C319" s="236" t="s">
        <v>228</v>
      </c>
      <c r="D319" s="237" t="s">
        <v>230</v>
      </c>
      <c r="E319" s="134"/>
      <c r="F319" s="181" t="s">
        <v>231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337</v>
      </c>
      <c r="C320" s="236" t="s">
        <v>228</v>
      </c>
      <c r="D320" s="237" t="s">
        <v>230</v>
      </c>
      <c r="E320" s="134"/>
      <c r="F320" s="181" t="s">
        <v>231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338</v>
      </c>
      <c r="C321" s="236" t="s">
        <v>228</v>
      </c>
      <c r="D321" s="237" t="s">
        <v>230</v>
      </c>
      <c r="E321" s="134"/>
      <c r="F321" s="181" t="s">
        <v>231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339</v>
      </c>
      <c r="C322" s="236" t="s">
        <v>228</v>
      </c>
      <c r="D322" s="237" t="s">
        <v>230</v>
      </c>
      <c r="E322" s="134"/>
      <c r="F322" s="181" t="s">
        <v>231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340</v>
      </c>
      <c r="C323" s="236" t="s">
        <v>228</v>
      </c>
      <c r="D323" s="237" t="s">
        <v>230</v>
      </c>
      <c r="E323" s="134"/>
      <c r="F323" s="181" t="s">
        <v>231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341</v>
      </c>
      <c r="C324" s="236" t="s">
        <v>228</v>
      </c>
      <c r="D324" s="237" t="s">
        <v>230</v>
      </c>
      <c r="E324" s="134"/>
      <c r="F324" s="181" t="s">
        <v>231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342</v>
      </c>
      <c r="C325" s="236" t="s">
        <v>228</v>
      </c>
      <c r="D325" s="237" t="s">
        <v>244</v>
      </c>
      <c r="E325" s="134">
        <v>12000</v>
      </c>
      <c r="F325" s="181" t="s">
        <v>334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343</v>
      </c>
      <c r="C326" s="236" t="s">
        <v>228</v>
      </c>
      <c r="D326" s="237" t="s">
        <v>100</v>
      </c>
      <c r="E326" s="134">
        <v>7266.666666666667</v>
      </c>
      <c r="F326" s="181" t="s">
        <v>334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344</v>
      </c>
      <c r="C327" s="236" t="s">
        <v>228</v>
      </c>
      <c r="D327" s="237" t="s">
        <v>100</v>
      </c>
      <c r="E327" s="134">
        <v>7266.666666666667</v>
      </c>
      <c r="F327" s="181" t="s">
        <v>334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345</v>
      </c>
      <c r="C328" s="236" t="s">
        <v>228</v>
      </c>
      <c r="D328" s="237" t="s">
        <v>100</v>
      </c>
      <c r="E328" s="134">
        <v>7266.665</v>
      </c>
      <c r="F328" s="181" t="s">
        <v>334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346</v>
      </c>
      <c r="C329" s="236" t="s">
        <v>228</v>
      </c>
      <c r="D329" s="237" t="s">
        <v>244</v>
      </c>
      <c r="E329" s="134">
        <v>5000</v>
      </c>
      <c r="F329" s="181" t="s">
        <v>334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347</v>
      </c>
      <c r="C330" s="236" t="s">
        <v>228</v>
      </c>
      <c r="D330" s="237" t="s">
        <v>230</v>
      </c>
      <c r="E330" s="134"/>
      <c r="F330" s="181" t="s">
        <v>231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348</v>
      </c>
      <c r="C331" s="236" t="s">
        <v>228</v>
      </c>
      <c r="D331" s="237" t="s">
        <v>230</v>
      </c>
      <c r="E331" s="134"/>
      <c r="F331" s="181" t="s">
        <v>231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349</v>
      </c>
      <c r="C332" s="236" t="s">
        <v>228</v>
      </c>
      <c r="D332" s="237" t="s">
        <v>230</v>
      </c>
      <c r="E332" s="134"/>
      <c r="F332" s="181" t="s">
        <v>231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350</v>
      </c>
      <c r="C333" s="236" t="s">
        <v>228</v>
      </c>
      <c r="D333" s="237" t="s">
        <v>230</v>
      </c>
      <c r="E333" s="134"/>
      <c r="F333" s="181" t="s">
        <v>231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351</v>
      </c>
      <c r="C334" s="236" t="s">
        <v>228</v>
      </c>
      <c r="D334" s="237" t="s">
        <v>230</v>
      </c>
      <c r="E334" s="134"/>
      <c r="F334" s="181" t="s">
        <v>231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352</v>
      </c>
      <c r="C335" s="236" t="s">
        <v>228</v>
      </c>
      <c r="D335" s="237" t="s">
        <v>230</v>
      </c>
      <c r="E335" s="134"/>
      <c r="F335" s="181" t="s">
        <v>231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353</v>
      </c>
      <c r="C336" s="236" t="s">
        <v>228</v>
      </c>
      <c r="D336" s="237" t="s">
        <v>230</v>
      </c>
      <c r="E336" s="134"/>
      <c r="F336" s="181" t="s">
        <v>231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354</v>
      </c>
      <c r="C337" s="236" t="s">
        <v>228</v>
      </c>
      <c r="D337" s="237" t="s">
        <v>230</v>
      </c>
      <c r="E337" s="134"/>
      <c r="F337" s="181" t="s">
        <v>231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355</v>
      </c>
      <c r="C338" s="236" t="s">
        <v>228</v>
      </c>
      <c r="D338" s="237" t="s">
        <v>230</v>
      </c>
      <c r="E338" s="134"/>
      <c r="F338" s="181" t="s">
        <v>231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356</v>
      </c>
      <c r="C339" s="236" t="s">
        <v>228</v>
      </c>
      <c r="D339" s="237" t="s">
        <v>230</v>
      </c>
      <c r="E339" s="134"/>
      <c r="F339" s="181" t="s">
        <v>231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357</v>
      </c>
      <c r="C340" s="236" t="s">
        <v>228</v>
      </c>
      <c r="D340" s="237" t="s">
        <v>230</v>
      </c>
      <c r="E340" s="134"/>
      <c r="F340" s="181" t="s">
        <v>231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358</v>
      </c>
      <c r="C341" s="236" t="s">
        <v>228</v>
      </c>
      <c r="D341" s="237" t="s">
        <v>230</v>
      </c>
      <c r="E341" s="134"/>
      <c r="F341" s="181" t="s">
        <v>231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359</v>
      </c>
      <c r="C342" s="236" t="s">
        <v>228</v>
      </c>
      <c r="D342" s="237" t="s">
        <v>230</v>
      </c>
      <c r="E342" s="43"/>
      <c r="F342" s="181" t="s">
        <v>231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360</v>
      </c>
      <c r="C343" s="236" t="s">
        <v>228</v>
      </c>
      <c r="D343" s="237" t="s">
        <v>230</v>
      </c>
      <c r="E343" s="134"/>
      <c r="F343" s="181" t="s">
        <v>231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361</v>
      </c>
      <c r="C344" s="236" t="s">
        <v>228</v>
      </c>
      <c r="D344" s="237" t="s">
        <v>230</v>
      </c>
      <c r="E344" s="134"/>
      <c r="F344" s="181" t="s">
        <v>231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362</v>
      </c>
      <c r="C345" s="236" t="s">
        <v>228</v>
      </c>
      <c r="D345" s="237" t="s">
        <v>230</v>
      </c>
      <c r="E345" s="134"/>
      <c r="F345" s="181" t="s">
        <v>231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363</v>
      </c>
      <c r="C346" s="236" t="s">
        <v>228</v>
      </c>
      <c r="D346" s="237" t="s">
        <v>230</v>
      </c>
      <c r="E346" s="134"/>
      <c r="F346" s="181" t="s">
        <v>231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364</v>
      </c>
      <c r="C347" s="236" t="s">
        <v>228</v>
      </c>
      <c r="D347" s="237" t="s">
        <v>230</v>
      </c>
      <c r="E347" s="134"/>
      <c r="F347" s="181" t="s">
        <v>231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365</v>
      </c>
      <c r="C348" s="236" t="s">
        <v>228</v>
      </c>
      <c r="D348" s="237" t="s">
        <v>230</v>
      </c>
      <c r="E348" s="134"/>
      <c r="F348" s="181" t="s">
        <v>231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366</v>
      </c>
      <c r="C349" s="236" t="s">
        <v>228</v>
      </c>
      <c r="D349" s="237" t="s">
        <v>230</v>
      </c>
      <c r="E349" s="134">
        <v>7183</v>
      </c>
      <c r="F349" s="181" t="s">
        <v>247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367</v>
      </c>
      <c r="C350" s="236" t="s">
        <v>228</v>
      </c>
      <c r="D350" s="237" t="s">
        <v>230</v>
      </c>
      <c r="E350" s="134">
        <v>10597</v>
      </c>
      <c r="F350" s="181" t="s">
        <v>247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368</v>
      </c>
      <c r="C351" s="236" t="s">
        <v>228</v>
      </c>
      <c r="D351" s="237" t="s">
        <v>230</v>
      </c>
      <c r="E351" s="134"/>
      <c r="F351" s="181" t="s">
        <v>231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369</v>
      </c>
      <c r="C352" s="236" t="s">
        <v>228</v>
      </c>
      <c r="D352" s="237" t="s">
        <v>230</v>
      </c>
      <c r="E352" s="134"/>
      <c r="F352" s="181" t="s">
        <v>231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370</v>
      </c>
      <c r="C353" s="236" t="s">
        <v>228</v>
      </c>
      <c r="D353" s="237" t="s">
        <v>100</v>
      </c>
      <c r="E353" s="134">
        <v>2866.6666666666665</v>
      </c>
      <c r="F353" s="181" t="s">
        <v>100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371</v>
      </c>
      <c r="C354" s="236" t="s">
        <v>228</v>
      </c>
      <c r="D354" s="237" t="s">
        <v>100</v>
      </c>
      <c r="E354" s="134">
        <v>2866.6666666666665</v>
      </c>
      <c r="F354" s="181" t="s">
        <v>100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372</v>
      </c>
      <c r="C355" s="236" t="s">
        <v>228</v>
      </c>
      <c r="D355" s="237" t="s">
        <v>230</v>
      </c>
      <c r="E355" s="134"/>
      <c r="F355" s="181" t="s">
        <v>231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373</v>
      </c>
      <c r="C356" s="236" t="s">
        <v>228</v>
      </c>
      <c r="D356" s="237" t="s">
        <v>230</v>
      </c>
      <c r="E356" s="134"/>
      <c r="F356" s="181" t="s">
        <v>231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373</v>
      </c>
      <c r="C357" s="236" t="s">
        <v>228</v>
      </c>
      <c r="D357" s="237" t="s">
        <v>230</v>
      </c>
      <c r="E357" s="134"/>
      <c r="F357" s="181" t="s">
        <v>231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374</v>
      </c>
      <c r="C358" s="236" t="s">
        <v>228</v>
      </c>
      <c r="D358" s="237" t="s">
        <v>230</v>
      </c>
      <c r="E358" s="134"/>
      <c r="F358" s="181" t="s">
        <v>231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375</v>
      </c>
      <c r="C359" s="236" t="s">
        <v>228</v>
      </c>
      <c r="D359" s="237" t="s">
        <v>247</v>
      </c>
      <c r="E359" s="134"/>
      <c r="F359" s="181" t="s">
        <v>247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376</v>
      </c>
      <c r="C360" s="236" t="s">
        <v>228</v>
      </c>
      <c r="D360" s="237" t="s">
        <v>233</v>
      </c>
      <c r="E360" s="134">
        <v>8000</v>
      </c>
      <c r="F360" s="181" t="s">
        <v>247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377</v>
      </c>
      <c r="C361" s="236" t="s">
        <v>228</v>
      </c>
      <c r="D361" s="237" t="s">
        <v>233</v>
      </c>
      <c r="E361" s="134">
        <v>10000</v>
      </c>
      <c r="F361" s="181" t="s">
        <v>247</v>
      </c>
      <c r="G361" s="239" t="s">
        <v>109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378</v>
      </c>
      <c r="C362" s="236" t="s">
        <v>228</v>
      </c>
      <c r="D362" s="237" t="s">
        <v>233</v>
      </c>
      <c r="E362" s="134">
        <v>10000</v>
      </c>
      <c r="F362" s="181" t="s">
        <v>247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379</v>
      </c>
      <c r="C363" s="236" t="s">
        <v>228</v>
      </c>
      <c r="D363" s="237" t="s">
        <v>230</v>
      </c>
      <c r="E363" s="134"/>
      <c r="F363" s="181" t="s">
        <v>231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380</v>
      </c>
      <c r="C364" s="236" t="s">
        <v>228</v>
      </c>
      <c r="D364" s="237" t="s">
        <v>247</v>
      </c>
      <c r="E364" s="134"/>
      <c r="F364" s="181" t="s">
        <v>247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381</v>
      </c>
      <c r="C365" s="236" t="s">
        <v>228</v>
      </c>
      <c r="D365" s="237" t="s">
        <v>230</v>
      </c>
      <c r="E365" s="134"/>
      <c r="F365" s="181" t="s">
        <v>231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382</v>
      </c>
      <c r="C366" s="236" t="s">
        <v>228</v>
      </c>
      <c r="D366" s="237" t="s">
        <v>197</v>
      </c>
      <c r="E366" s="134">
        <v>636792</v>
      </c>
      <c r="F366" s="181" t="s">
        <v>100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383</v>
      </c>
      <c r="C367" s="236" t="s">
        <v>228</v>
      </c>
      <c r="D367" s="237" t="s">
        <v>230</v>
      </c>
      <c r="E367" s="134"/>
      <c r="F367" s="181" t="s">
        <v>231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384</v>
      </c>
      <c r="C368" s="236" t="s">
        <v>228</v>
      </c>
      <c r="D368" s="237" t="s">
        <v>230</v>
      </c>
      <c r="E368" s="134"/>
      <c r="F368" s="181" t="s">
        <v>231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385</v>
      </c>
      <c r="C369" s="236" t="s">
        <v>228</v>
      </c>
      <c r="D369" s="237" t="s">
        <v>230</v>
      </c>
      <c r="E369" s="134"/>
      <c r="F369" s="181" t="s">
        <v>231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386</v>
      </c>
      <c r="C370" s="236" t="s">
        <v>228</v>
      </c>
      <c r="D370" s="237" t="s">
        <v>230</v>
      </c>
      <c r="E370" s="134"/>
      <c r="F370" s="181" t="s">
        <v>231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387</v>
      </c>
      <c r="C371" s="236" t="s">
        <v>228</v>
      </c>
      <c r="D371" s="237" t="s">
        <v>230</v>
      </c>
      <c r="E371" s="134"/>
      <c r="F371" s="181" t="s">
        <v>231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388</v>
      </c>
      <c r="C372" s="236" t="s">
        <v>228</v>
      </c>
      <c r="D372" s="237" t="s">
        <v>230</v>
      </c>
      <c r="E372" s="134"/>
      <c r="F372" s="181" t="s">
        <v>231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389</v>
      </c>
      <c r="C373" s="236" t="s">
        <v>228</v>
      </c>
      <c r="D373" s="237" t="s">
        <v>230</v>
      </c>
      <c r="E373" s="134"/>
      <c r="F373" s="181" t="s">
        <v>231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390</v>
      </c>
      <c r="C374" s="236" t="s">
        <v>228</v>
      </c>
      <c r="D374" s="237" t="s">
        <v>230</v>
      </c>
      <c r="E374" s="134"/>
      <c r="F374" s="181" t="s">
        <v>231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391</v>
      </c>
      <c r="C375" s="236" t="s">
        <v>228</v>
      </c>
      <c r="D375" s="237" t="s">
        <v>230</v>
      </c>
      <c r="E375" s="134"/>
      <c r="F375" s="181" t="s">
        <v>231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392</v>
      </c>
      <c r="C376" s="236" t="s">
        <v>228</v>
      </c>
      <c r="D376" s="237" t="s">
        <v>230</v>
      </c>
      <c r="E376" s="134"/>
      <c r="F376" s="181" t="s">
        <v>231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393</v>
      </c>
      <c r="C377" s="236" t="s">
        <v>228</v>
      </c>
      <c r="D377" s="237" t="s">
        <v>230</v>
      </c>
      <c r="E377" s="134"/>
      <c r="F377" s="181" t="s">
        <v>231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394</v>
      </c>
      <c r="C378" s="236" t="s">
        <v>228</v>
      </c>
      <c r="D378" s="237" t="s">
        <v>230</v>
      </c>
      <c r="E378" s="134"/>
      <c r="F378" s="181" t="s">
        <v>231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395</v>
      </c>
      <c r="C379" s="236" t="s">
        <v>228</v>
      </c>
      <c r="D379" s="237" t="s">
        <v>230</v>
      </c>
      <c r="E379" s="134"/>
      <c r="F379" s="181" t="s">
        <v>231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396</v>
      </c>
      <c r="C380" s="236" t="s">
        <v>228</v>
      </c>
      <c r="D380" s="237" t="s">
        <v>230</v>
      </c>
      <c r="E380" s="134"/>
      <c r="F380" s="181" t="s">
        <v>231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397</v>
      </c>
      <c r="C381" s="236" t="s">
        <v>228</v>
      </c>
      <c r="D381" s="237" t="s">
        <v>230</v>
      </c>
      <c r="E381" s="134"/>
      <c r="F381" s="181" t="s">
        <v>231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398</v>
      </c>
      <c r="C382" s="236" t="s">
        <v>228</v>
      </c>
      <c r="D382" s="237" t="s">
        <v>230</v>
      </c>
      <c r="E382" s="134"/>
      <c r="F382" s="181" t="s">
        <v>231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399</v>
      </c>
      <c r="C383" s="236" t="s">
        <v>228</v>
      </c>
      <c r="D383" s="237" t="s">
        <v>230</v>
      </c>
      <c r="E383" s="134"/>
      <c r="F383" s="181" t="s">
        <v>231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400</v>
      </c>
      <c r="C384" s="236" t="s">
        <v>228</v>
      </c>
      <c r="D384" s="237" t="s">
        <v>230</v>
      </c>
      <c r="E384" s="134"/>
      <c r="F384" s="181" t="s">
        <v>231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401</v>
      </c>
      <c r="C385" s="236" t="s">
        <v>228</v>
      </c>
      <c r="D385" s="237" t="s">
        <v>231</v>
      </c>
      <c r="E385" s="134">
        <v>28.18</v>
      </c>
      <c r="F385" s="181" t="s">
        <v>231</v>
      </c>
      <c r="G385" s="239" t="s">
        <v>109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402</v>
      </c>
      <c r="C386" s="236" t="s">
        <v>228</v>
      </c>
      <c r="D386" s="237" t="s">
        <v>231</v>
      </c>
      <c r="E386" s="134">
        <v>2700</v>
      </c>
      <c r="F386" s="181" t="s">
        <v>231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403</v>
      </c>
      <c r="C387" s="236" t="s">
        <v>228</v>
      </c>
      <c r="D387" s="237" t="s">
        <v>231</v>
      </c>
      <c r="E387" s="134">
        <v>18.53</v>
      </c>
      <c r="F387" s="181" t="s">
        <v>231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404</v>
      </c>
      <c r="C388" s="236" t="s">
        <v>228</v>
      </c>
      <c r="D388" s="237" t="s">
        <v>230</v>
      </c>
      <c r="E388" s="134"/>
      <c r="F388" s="181" t="s">
        <v>231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405</v>
      </c>
      <c r="C389" s="236" t="s">
        <v>228</v>
      </c>
      <c r="D389" s="237" t="s">
        <v>230</v>
      </c>
      <c r="E389" s="134">
        <v>1800</v>
      </c>
      <c r="F389" s="181" t="s">
        <v>231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406</v>
      </c>
      <c r="C390" s="236" t="s">
        <v>228</v>
      </c>
      <c r="D390" s="237" t="s">
        <v>230</v>
      </c>
      <c r="E390" s="134">
        <v>1057</v>
      </c>
      <c r="F390" s="181" t="s">
        <v>230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407</v>
      </c>
      <c r="C391" s="236" t="s">
        <v>228</v>
      </c>
      <c r="D391" s="237" t="s">
        <v>231</v>
      </c>
      <c r="E391" s="134">
        <v>18.53</v>
      </c>
      <c r="F391" s="181" t="s">
        <v>231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408</v>
      </c>
      <c r="C392" s="236" t="s">
        <v>228</v>
      </c>
      <c r="D392" s="237" t="s">
        <v>231</v>
      </c>
      <c r="E392" s="134">
        <v>22.8</v>
      </c>
      <c r="F392" s="181" t="s">
        <v>231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409</v>
      </c>
      <c r="C393" s="236" t="s">
        <v>228</v>
      </c>
      <c r="D393" s="237" t="s">
        <v>231</v>
      </c>
      <c r="E393" s="134">
        <v>22.8</v>
      </c>
      <c r="F393" s="181" t="s">
        <v>231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410</v>
      </c>
      <c r="C394" s="236" t="s">
        <v>228</v>
      </c>
      <c r="D394" s="237" t="s">
        <v>231</v>
      </c>
      <c r="E394" s="134">
        <v>14.73</v>
      </c>
      <c r="F394" s="181" t="s">
        <v>231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411</v>
      </c>
      <c r="C395" s="236" t="s">
        <v>228</v>
      </c>
      <c r="D395" s="237" t="s">
        <v>231</v>
      </c>
      <c r="E395" s="134">
        <v>14.73</v>
      </c>
      <c r="F395" s="181" t="s">
        <v>231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412</v>
      </c>
      <c r="C396" s="236" t="s">
        <v>228</v>
      </c>
      <c r="D396" s="237" t="s">
        <v>230</v>
      </c>
      <c r="E396" s="134"/>
      <c r="F396" s="181" t="s">
        <v>231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413</v>
      </c>
      <c r="C397" s="236" t="s">
        <v>228</v>
      </c>
      <c r="D397" s="237" t="s">
        <v>230</v>
      </c>
      <c r="E397" s="134"/>
      <c r="F397" s="181" t="s">
        <v>231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414</v>
      </c>
      <c r="C398" s="236" t="s">
        <v>228</v>
      </c>
      <c r="D398" s="237" t="s">
        <v>230</v>
      </c>
      <c r="E398" s="134"/>
      <c r="F398" s="181" t="s">
        <v>231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415</v>
      </c>
      <c r="C399" s="236" t="s">
        <v>228</v>
      </c>
      <c r="D399" s="237" t="s">
        <v>230</v>
      </c>
      <c r="E399" s="134"/>
      <c r="F399" s="181" t="s">
        <v>231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416</v>
      </c>
      <c r="C400" s="236" t="s">
        <v>228</v>
      </c>
      <c r="D400" s="237" t="s">
        <v>230</v>
      </c>
      <c r="E400" s="134"/>
      <c r="F400" s="181" t="s">
        <v>231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417</v>
      </c>
      <c r="C401" s="236" t="s">
        <v>228</v>
      </c>
      <c r="D401" s="237" t="s">
        <v>230</v>
      </c>
      <c r="E401" s="134"/>
      <c r="F401" s="181" t="s">
        <v>231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418</v>
      </c>
      <c r="C402" s="236" t="s">
        <v>228</v>
      </c>
      <c r="D402" s="237" t="s">
        <v>230</v>
      </c>
      <c r="E402" s="134"/>
      <c r="F402" s="181" t="s">
        <v>231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419</v>
      </c>
      <c r="C403" s="236" t="s">
        <v>228</v>
      </c>
      <c r="D403" s="237" t="s">
        <v>230</v>
      </c>
      <c r="E403" s="134"/>
      <c r="F403" s="181" t="s">
        <v>231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420</v>
      </c>
      <c r="C404" s="236" t="s">
        <v>228</v>
      </c>
      <c r="D404" s="237" t="s">
        <v>230</v>
      </c>
      <c r="E404" s="134"/>
      <c r="F404" s="181" t="s">
        <v>231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421</v>
      </c>
      <c r="C405" s="236" t="s">
        <v>228</v>
      </c>
      <c r="D405" s="237" t="s">
        <v>230</v>
      </c>
      <c r="E405" s="134"/>
      <c r="F405" s="181" t="s">
        <v>231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422</v>
      </c>
      <c r="C406" s="236" t="s">
        <v>228</v>
      </c>
      <c r="D406" s="237" t="s">
        <v>230</v>
      </c>
      <c r="E406" s="134"/>
      <c r="F406" s="181" t="s">
        <v>231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423</v>
      </c>
      <c r="C407" s="236" t="s">
        <v>228</v>
      </c>
      <c r="D407" s="237" t="s">
        <v>230</v>
      </c>
      <c r="E407" s="134"/>
      <c r="F407" s="181" t="s">
        <v>231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424</v>
      </c>
      <c r="C408" s="236" t="s">
        <v>228</v>
      </c>
      <c r="D408" s="237" t="s">
        <v>230</v>
      </c>
      <c r="E408" s="134"/>
      <c r="F408" s="181" t="s">
        <v>231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425</v>
      </c>
      <c r="C409" s="236" t="s">
        <v>228</v>
      </c>
      <c r="D409" s="237" t="s">
        <v>230</v>
      </c>
      <c r="E409" s="134">
        <v>819.99999999999989</v>
      </c>
      <c r="F409" s="181" t="s">
        <v>230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426</v>
      </c>
      <c r="C410" s="236" t="s">
        <v>228</v>
      </c>
      <c r="D410" s="237" t="s">
        <v>230</v>
      </c>
      <c r="E410" s="134">
        <v>1170</v>
      </c>
      <c r="F410" s="181" t="s">
        <v>230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427</v>
      </c>
      <c r="C411" s="236" t="s">
        <v>228</v>
      </c>
      <c r="D411" s="237" t="s">
        <v>230</v>
      </c>
      <c r="E411" s="134">
        <v>8000</v>
      </c>
      <c r="F411" s="181" t="s">
        <v>247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428</v>
      </c>
      <c r="C412" s="236" t="s">
        <v>228</v>
      </c>
      <c r="D412" s="237" t="s">
        <v>230</v>
      </c>
      <c r="E412" s="134">
        <v>11000</v>
      </c>
      <c r="F412" s="181" t="s">
        <v>247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429</v>
      </c>
      <c r="C413" s="236" t="s">
        <v>228</v>
      </c>
      <c r="D413" s="237" t="s">
        <v>230</v>
      </c>
      <c r="E413" s="134">
        <v>10858</v>
      </c>
      <c r="F413" s="181" t="s">
        <v>247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430</v>
      </c>
      <c r="C414" s="236" t="s">
        <v>228</v>
      </c>
      <c r="D414" s="237" t="s">
        <v>230</v>
      </c>
      <c r="E414" s="134">
        <v>13999.16</v>
      </c>
      <c r="F414" s="181" t="s">
        <v>230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431</v>
      </c>
      <c r="C415" s="236" t="s">
        <v>228</v>
      </c>
      <c r="D415" s="237" t="s">
        <v>233</v>
      </c>
      <c r="E415" s="134"/>
      <c r="F415" s="181" t="s">
        <v>231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432</v>
      </c>
      <c r="C416" s="236" t="s">
        <v>228</v>
      </c>
      <c r="D416" s="237" t="s">
        <v>230</v>
      </c>
      <c r="E416" s="134"/>
      <c r="F416" s="181" t="s">
        <v>231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433</v>
      </c>
      <c r="C417" s="236" t="s">
        <v>228</v>
      </c>
      <c r="D417" s="237" t="s">
        <v>230</v>
      </c>
      <c r="E417" s="134"/>
      <c r="F417" s="181" t="s">
        <v>231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434</v>
      </c>
      <c r="C418" s="236" t="s">
        <v>228</v>
      </c>
      <c r="D418" s="237" t="s">
        <v>230</v>
      </c>
      <c r="E418" s="134"/>
      <c r="F418" s="181" t="s">
        <v>231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435</v>
      </c>
      <c r="C419" s="236" t="s">
        <v>228</v>
      </c>
      <c r="D419" s="237" t="s">
        <v>247</v>
      </c>
      <c r="E419" s="134"/>
      <c r="F419" s="181" t="s">
        <v>247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436</v>
      </c>
      <c r="C420" s="236" t="s">
        <v>228</v>
      </c>
      <c r="D420" s="237" t="s">
        <v>247</v>
      </c>
      <c r="E420" s="134"/>
      <c r="F420" s="181" t="s">
        <v>247</v>
      </c>
      <c r="G420" s="239" t="s">
        <v>109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437</v>
      </c>
      <c r="C421" s="236" t="s">
        <v>228</v>
      </c>
      <c r="D421" s="237" t="s">
        <v>438</v>
      </c>
      <c r="E421" s="134"/>
      <c r="F421" s="181" t="s">
        <v>438</v>
      </c>
      <c r="G421" s="239" t="s">
        <v>109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439</v>
      </c>
      <c r="C422" s="236" t="s">
        <v>228</v>
      </c>
      <c r="D422" s="237" t="s">
        <v>207</v>
      </c>
      <c r="E422" s="134">
        <v>4776.666666666667</v>
      </c>
      <c r="F422" s="181" t="s">
        <v>100</v>
      </c>
      <c r="G422" s="239" t="s">
        <v>109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440</v>
      </c>
      <c r="C423" s="236" t="s">
        <v>228</v>
      </c>
      <c r="D423" s="237" t="s">
        <v>230</v>
      </c>
      <c r="E423" s="134">
        <v>1035.3</v>
      </c>
      <c r="F423" s="181" t="s">
        <v>230</v>
      </c>
      <c r="G423" s="239" t="s">
        <v>109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441</v>
      </c>
      <c r="C424" s="236" t="s">
        <v>228</v>
      </c>
      <c r="D424" s="237" t="s">
        <v>230</v>
      </c>
      <c r="E424" s="134"/>
      <c r="F424" s="181" t="s">
        <v>231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442</v>
      </c>
      <c r="C425" s="236" t="s">
        <v>228</v>
      </c>
      <c r="D425" s="237" t="s">
        <v>244</v>
      </c>
      <c r="E425" s="134">
        <v>700</v>
      </c>
      <c r="F425" s="181" t="s">
        <v>231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443</v>
      </c>
      <c r="C426" s="236" t="s">
        <v>228</v>
      </c>
      <c r="D426" s="237" t="s">
        <v>244</v>
      </c>
      <c r="E426" s="134">
        <v>1100</v>
      </c>
      <c r="F426" s="181" t="s">
        <v>231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444</v>
      </c>
      <c r="C427" s="236" t="s">
        <v>228</v>
      </c>
      <c r="D427" s="237" t="s">
        <v>231</v>
      </c>
      <c r="E427" s="134">
        <v>1000</v>
      </c>
      <c r="F427" s="181" t="s">
        <v>231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445</v>
      </c>
      <c r="C428" s="236" t="s">
        <v>228</v>
      </c>
      <c r="D428" s="237" t="s">
        <v>230</v>
      </c>
      <c r="E428" s="134">
        <v>700</v>
      </c>
      <c r="F428" s="181" t="s">
        <v>231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446</v>
      </c>
      <c r="C429" s="236" t="s">
        <v>228</v>
      </c>
      <c r="D429" s="237" t="s">
        <v>230</v>
      </c>
      <c r="E429" s="134">
        <v>84</v>
      </c>
      <c r="F429" s="181" t="s">
        <v>231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447</v>
      </c>
      <c r="C430" s="236" t="s">
        <v>228</v>
      </c>
      <c r="D430" s="237" t="s">
        <v>230</v>
      </c>
      <c r="E430" s="134">
        <v>10780</v>
      </c>
      <c r="F430" s="181" t="s">
        <v>247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111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81</v>
      </c>
      <c r="B612" s="284">
        <f>SUBTOTAL(3,(B614:B638))</f>
        <v>25</v>
      </c>
      <c r="C612" s="502"/>
      <c r="D612" s="502"/>
      <c r="E612"/>
      <c r="F612" s="177"/>
      <c r="H612"/>
      <c r="I612"/>
    </row>
    <row r="613" spans="1:11" ht="15" customHeight="1">
      <c r="A613" s="114" t="s">
        <v>64</v>
      </c>
      <c r="B613" s="121" t="s">
        <v>83</v>
      </c>
      <c r="C613" s="115" t="s">
        <v>84</v>
      </c>
      <c r="D613" s="99" t="s">
        <v>85</v>
      </c>
      <c r="E613" s="67" t="s">
        <v>86</v>
      </c>
      <c r="F613" s="175" t="s">
        <v>87</v>
      </c>
      <c r="G613" s="69" t="s">
        <v>88</v>
      </c>
      <c r="H613" s="70" t="s">
        <v>89</v>
      </c>
      <c r="I613" s="70" t="s">
        <v>90</v>
      </c>
      <c r="J613" s="279" t="s">
        <v>91</v>
      </c>
      <c r="K613" s="280" t="s">
        <v>92</v>
      </c>
    </row>
    <row r="614" spans="1:11" ht="25.5" customHeight="1">
      <c r="A614" s="41">
        <v>1</v>
      </c>
      <c r="B614" s="138" t="s">
        <v>448</v>
      </c>
      <c r="C614" s="205" t="s">
        <v>33</v>
      </c>
      <c r="D614" s="48" t="s">
        <v>449</v>
      </c>
      <c r="E614" s="43">
        <v>380</v>
      </c>
      <c r="F614" s="176" t="s">
        <v>449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450</v>
      </c>
      <c r="C615" s="205" t="s">
        <v>33</v>
      </c>
      <c r="D615" s="50" t="s">
        <v>449</v>
      </c>
      <c r="E615" s="52">
        <v>848.47</v>
      </c>
      <c r="F615" s="51" t="s">
        <v>449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451</v>
      </c>
      <c r="C616" s="205" t="s">
        <v>33</v>
      </c>
      <c r="D616" s="48" t="s">
        <v>452</v>
      </c>
      <c r="E616" s="43"/>
      <c r="F616" s="176" t="s">
        <v>452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453</v>
      </c>
      <c r="C617" s="205" t="s">
        <v>33</v>
      </c>
      <c r="D617" s="50" t="s">
        <v>449</v>
      </c>
      <c r="E617" s="43">
        <v>815</v>
      </c>
      <c r="F617" s="176" t="s">
        <v>449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454</v>
      </c>
      <c r="C618" s="205" t="s">
        <v>33</v>
      </c>
      <c r="D618" s="50" t="s">
        <v>449</v>
      </c>
      <c r="E618" s="43">
        <v>623.66666666666663</v>
      </c>
      <c r="F618" s="176" t="s">
        <v>449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455</v>
      </c>
      <c r="C619" s="205" t="s">
        <v>33</v>
      </c>
      <c r="D619" s="48" t="s">
        <v>449</v>
      </c>
      <c r="E619" s="43">
        <v>698.53</v>
      </c>
      <c r="F619" s="176" t="s">
        <v>449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456</v>
      </c>
      <c r="C620" s="205" t="s">
        <v>33</v>
      </c>
      <c r="D620" s="48" t="s">
        <v>449</v>
      </c>
      <c r="E620" s="43">
        <v>390.66666666666669</v>
      </c>
      <c r="F620" s="176" t="s">
        <v>449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457</v>
      </c>
      <c r="C621" s="205" t="s">
        <v>33</v>
      </c>
      <c r="D621" s="48" t="s">
        <v>449</v>
      </c>
      <c r="E621" s="43">
        <v>477.19</v>
      </c>
      <c r="F621" s="51" t="s">
        <v>449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458</v>
      </c>
      <c r="C622" s="205" t="s">
        <v>33</v>
      </c>
      <c r="D622" s="48" t="s">
        <v>449</v>
      </c>
      <c r="E622" s="43">
        <v>998.41</v>
      </c>
      <c r="F622" s="176" t="s">
        <v>449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459</v>
      </c>
      <c r="C623" s="205" t="s">
        <v>33</v>
      </c>
      <c r="D623" s="48" t="s">
        <v>449</v>
      </c>
      <c r="E623" s="43">
        <v>898.44999999999993</v>
      </c>
      <c r="F623" s="176" t="s">
        <v>449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460</v>
      </c>
      <c r="C624" s="205" t="s">
        <v>33</v>
      </c>
      <c r="D624" s="201" t="s">
        <v>449</v>
      </c>
      <c r="E624" s="203">
        <v>1500</v>
      </c>
      <c r="F624" s="165" t="s">
        <v>449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461</v>
      </c>
      <c r="C625" s="205" t="s">
        <v>33</v>
      </c>
      <c r="D625" s="48" t="s">
        <v>449</v>
      </c>
      <c r="E625" s="202">
        <v>53371.5</v>
      </c>
      <c r="F625" s="51" t="s">
        <v>449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462</v>
      </c>
      <c r="C626" s="205" t="s">
        <v>33</v>
      </c>
      <c r="D626" s="48" t="s">
        <v>449</v>
      </c>
      <c r="E626" s="43">
        <v>897.26</v>
      </c>
      <c r="F626" s="176" t="s">
        <v>449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463</v>
      </c>
      <c r="C627" s="205" t="s">
        <v>33</v>
      </c>
      <c r="D627" s="53" t="s">
        <v>449</v>
      </c>
      <c r="E627" s="43">
        <v>1673.3335</v>
      </c>
      <c r="F627" s="176" t="s">
        <v>449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464</v>
      </c>
      <c r="C628" s="205" t="s">
        <v>33</v>
      </c>
      <c r="D628" s="50" t="s">
        <v>449</v>
      </c>
      <c r="E628" s="45">
        <v>250</v>
      </c>
      <c r="F628" s="51" t="s">
        <v>449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465</v>
      </c>
      <c r="C629" s="205" t="s">
        <v>33</v>
      </c>
      <c r="D629" s="50" t="s">
        <v>449</v>
      </c>
      <c r="E629" s="52">
        <v>898.45</v>
      </c>
      <c r="F629" s="51" t="s">
        <v>449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466</v>
      </c>
      <c r="C630" s="205" t="s">
        <v>33</v>
      </c>
      <c r="D630" s="200" t="s">
        <v>449</v>
      </c>
      <c r="E630" s="137">
        <v>898.45</v>
      </c>
      <c r="F630" s="51" t="s">
        <v>449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467</v>
      </c>
      <c r="C631" s="205" t="s">
        <v>33</v>
      </c>
      <c r="D631" s="200" t="s">
        <v>449</v>
      </c>
      <c r="E631" s="137">
        <v>549.78</v>
      </c>
      <c r="F631" s="51" t="s">
        <v>449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468</v>
      </c>
      <c r="C632" s="205" t="s">
        <v>33</v>
      </c>
      <c r="D632" s="200" t="s">
        <v>449</v>
      </c>
      <c r="E632" s="204">
        <v>357</v>
      </c>
      <c r="F632" s="51" t="s">
        <v>449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469</v>
      </c>
      <c r="C633" s="205" t="s">
        <v>33</v>
      </c>
      <c r="D633" s="200" t="s">
        <v>449</v>
      </c>
      <c r="E633" s="137">
        <v>998.41</v>
      </c>
      <c r="F633" s="51" t="s">
        <v>449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470</v>
      </c>
      <c r="C634" s="205" t="s">
        <v>33</v>
      </c>
      <c r="D634" s="136" t="s">
        <v>449</v>
      </c>
      <c r="E634" s="137">
        <v>898.45</v>
      </c>
      <c r="F634" s="54" t="s">
        <v>449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471</v>
      </c>
      <c r="C635" s="205" t="s">
        <v>33</v>
      </c>
      <c r="D635" s="163" t="s">
        <v>449</v>
      </c>
      <c r="E635" s="164">
        <v>1200</v>
      </c>
      <c r="F635" s="165" t="s">
        <v>449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472</v>
      </c>
      <c r="C636" s="205" t="s">
        <v>33</v>
      </c>
      <c r="D636" s="136" t="s">
        <v>449</v>
      </c>
      <c r="E636" s="134">
        <v>1217</v>
      </c>
      <c r="F636" s="176" t="s">
        <v>449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473</v>
      </c>
      <c r="C637" s="205" t="s">
        <v>33</v>
      </c>
      <c r="D637" s="48" t="s">
        <v>474</v>
      </c>
      <c r="E637" s="43">
        <v>0</v>
      </c>
      <c r="F637" s="176" t="s">
        <v>474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475</v>
      </c>
      <c r="C638" s="205" t="s">
        <v>33</v>
      </c>
      <c r="D638" s="53" t="s">
        <v>449</v>
      </c>
      <c r="E638" s="52">
        <v>759.22</v>
      </c>
      <c r="F638" s="51" t="s">
        <v>449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111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81</v>
      </c>
      <c r="B658" s="247">
        <f>SUBTOTAL(3,(B660:B1080))</f>
        <v>421</v>
      </c>
      <c r="C658" s="505"/>
      <c r="D658" s="506"/>
      <c r="E658"/>
      <c r="F658" s="177"/>
      <c r="H658"/>
      <c r="I658"/>
    </row>
    <row r="659" spans="1:11" ht="15" customHeight="1">
      <c r="A659" s="71" t="s">
        <v>64</v>
      </c>
      <c r="B659" s="167" t="s">
        <v>83</v>
      </c>
      <c r="C659" s="64" t="s">
        <v>84</v>
      </c>
      <c r="D659" s="65" t="s">
        <v>85</v>
      </c>
      <c r="E659" s="67" t="s">
        <v>86</v>
      </c>
      <c r="F659" s="175" t="s">
        <v>87</v>
      </c>
      <c r="G659" s="69" t="s">
        <v>88</v>
      </c>
      <c r="H659" s="70" t="s">
        <v>89</v>
      </c>
      <c r="I659" s="168" t="s">
        <v>90</v>
      </c>
      <c r="J659" s="279" t="s">
        <v>91</v>
      </c>
      <c r="K659" s="280" t="s">
        <v>92</v>
      </c>
    </row>
    <row r="660" spans="1:11" ht="15" customHeight="1">
      <c r="A660" s="41">
        <v>1</v>
      </c>
      <c r="B660" s="219" t="s">
        <v>476</v>
      </c>
      <c r="C660" s="205" t="s">
        <v>36</v>
      </c>
      <c r="D660" s="48" t="s">
        <v>100</v>
      </c>
      <c r="E660" s="43">
        <v>304.64</v>
      </c>
      <c r="F660" s="176" t="s">
        <v>100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477</v>
      </c>
      <c r="C661" s="205" t="s">
        <v>36</v>
      </c>
      <c r="D661" s="48" t="s">
        <v>100</v>
      </c>
      <c r="E661" s="55">
        <v>3356</v>
      </c>
      <c r="F661" s="182" t="s">
        <v>100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478</v>
      </c>
      <c r="C662" s="205" t="s">
        <v>36</v>
      </c>
      <c r="D662" s="48" t="s">
        <v>100</v>
      </c>
      <c r="E662" s="55">
        <v>304.64</v>
      </c>
      <c r="F662" s="182" t="s">
        <v>100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479</v>
      </c>
      <c r="C663" s="205" t="s">
        <v>36</v>
      </c>
      <c r="D663" s="48" t="s">
        <v>100</v>
      </c>
      <c r="E663" s="43">
        <v>304.64</v>
      </c>
      <c r="F663" s="176" t="s">
        <v>100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480</v>
      </c>
      <c r="C664" s="205" t="s">
        <v>36</v>
      </c>
      <c r="D664" s="48" t="s">
        <v>100</v>
      </c>
      <c r="E664" s="55">
        <v>304.64</v>
      </c>
      <c r="F664" s="182" t="s">
        <v>100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481</v>
      </c>
      <c r="C665" s="205" t="s">
        <v>36</v>
      </c>
      <c r="D665" s="48" t="s">
        <v>100</v>
      </c>
      <c r="E665" s="43">
        <v>304.64</v>
      </c>
      <c r="F665" s="176" t="s">
        <v>100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482</v>
      </c>
      <c r="C666" s="205" t="s">
        <v>36</v>
      </c>
      <c r="D666" s="48" t="s">
        <v>100</v>
      </c>
      <c r="E666" s="55">
        <v>304.64</v>
      </c>
      <c r="F666" s="182" t="s">
        <v>100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483</v>
      </c>
      <c r="C667" s="205" t="s">
        <v>36</v>
      </c>
      <c r="D667" s="48" t="s">
        <v>100</v>
      </c>
      <c r="E667" s="43">
        <v>304.64</v>
      </c>
      <c r="F667" s="176" t="s">
        <v>100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484</v>
      </c>
      <c r="C668" s="205" t="s">
        <v>36</v>
      </c>
      <c r="D668" s="48" t="s">
        <v>100</v>
      </c>
      <c r="E668" s="43">
        <v>304.64</v>
      </c>
      <c r="F668" s="176" t="s">
        <v>100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485</v>
      </c>
      <c r="C669" s="205" t="s">
        <v>36</v>
      </c>
      <c r="D669" s="48" t="s">
        <v>100</v>
      </c>
      <c r="E669" s="55">
        <v>304.64</v>
      </c>
      <c r="F669" s="182" t="s">
        <v>100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486</v>
      </c>
      <c r="C670" s="205" t="s">
        <v>36</v>
      </c>
      <c r="D670" s="48" t="s">
        <v>100</v>
      </c>
      <c r="E670" s="43">
        <v>2400</v>
      </c>
      <c r="F670" s="176" t="s">
        <v>100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487</v>
      </c>
      <c r="C671" s="205" t="s">
        <v>36</v>
      </c>
      <c r="D671" s="48" t="s">
        <v>100</v>
      </c>
      <c r="E671" s="43">
        <v>2400</v>
      </c>
      <c r="F671" s="176" t="s">
        <v>100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488</v>
      </c>
      <c r="C672" s="205" t="s">
        <v>36</v>
      </c>
      <c r="D672" s="48" t="s">
        <v>100</v>
      </c>
      <c r="E672" s="43">
        <v>2400</v>
      </c>
      <c r="F672" s="176" t="s">
        <v>100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489</v>
      </c>
      <c r="C673" s="205" t="s">
        <v>36</v>
      </c>
      <c r="D673" s="48" t="s">
        <v>100</v>
      </c>
      <c r="E673" s="43">
        <v>2400</v>
      </c>
      <c r="F673" s="176" t="s">
        <v>100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490</v>
      </c>
      <c r="C674" s="205" t="s">
        <v>36</v>
      </c>
      <c r="D674" s="48" t="s">
        <v>100</v>
      </c>
      <c r="E674" s="43">
        <v>2400</v>
      </c>
      <c r="F674" s="176" t="s">
        <v>100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491</v>
      </c>
      <c r="C675" s="205" t="s">
        <v>36</v>
      </c>
      <c r="D675" s="48" t="s">
        <v>100</v>
      </c>
      <c r="E675" s="43">
        <v>2400</v>
      </c>
      <c r="F675" s="176" t="s">
        <v>100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492</v>
      </c>
      <c r="C676" s="205" t="s">
        <v>36</v>
      </c>
      <c r="D676" s="48" t="s">
        <v>100</v>
      </c>
      <c r="E676" s="43">
        <v>304.64</v>
      </c>
      <c r="F676" s="182" t="s">
        <v>100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493</v>
      </c>
      <c r="C677" s="205" t="s">
        <v>36</v>
      </c>
      <c r="D677" s="48" t="s">
        <v>100</v>
      </c>
      <c r="E677" s="43">
        <v>304.64</v>
      </c>
      <c r="F677" s="176" t="s">
        <v>100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494</v>
      </c>
      <c r="C678" s="205" t="s">
        <v>36</v>
      </c>
      <c r="D678" s="48" t="s">
        <v>100</v>
      </c>
      <c r="E678" s="43">
        <v>304.64</v>
      </c>
      <c r="F678" s="176" t="s">
        <v>100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495</v>
      </c>
      <c r="C679" s="205" t="s">
        <v>36</v>
      </c>
      <c r="D679" s="48" t="s">
        <v>100</v>
      </c>
      <c r="E679" s="43">
        <v>304.64</v>
      </c>
      <c r="F679" s="176" t="s">
        <v>100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496</v>
      </c>
      <c r="C680" s="205" t="s">
        <v>36</v>
      </c>
      <c r="D680" s="48" t="s">
        <v>100</v>
      </c>
      <c r="E680" s="43">
        <v>304.64</v>
      </c>
      <c r="F680" s="176" t="s">
        <v>100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497</v>
      </c>
      <c r="C681" s="205" t="s">
        <v>36</v>
      </c>
      <c r="D681" s="48" t="s">
        <v>100</v>
      </c>
      <c r="E681" s="55">
        <v>304.64</v>
      </c>
      <c r="F681" s="182" t="s">
        <v>100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498</v>
      </c>
      <c r="C682" s="205" t="s">
        <v>36</v>
      </c>
      <c r="D682" s="48" t="s">
        <v>100</v>
      </c>
      <c r="E682" s="43">
        <v>304.64</v>
      </c>
      <c r="F682" s="176" t="s">
        <v>100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499</v>
      </c>
      <c r="C683" s="205" t="s">
        <v>36</v>
      </c>
      <c r="D683" s="48" t="s">
        <v>100</v>
      </c>
      <c r="E683" s="43">
        <v>304.64</v>
      </c>
      <c r="F683" s="176" t="s">
        <v>100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500</v>
      </c>
      <c r="C684" s="205" t="s">
        <v>36</v>
      </c>
      <c r="D684" s="48" t="s">
        <v>100</v>
      </c>
      <c r="E684" s="43">
        <v>304.64</v>
      </c>
      <c r="F684" s="176" t="s">
        <v>100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501</v>
      </c>
      <c r="C685" s="205" t="s">
        <v>36</v>
      </c>
      <c r="D685" s="48" t="s">
        <v>100</v>
      </c>
      <c r="E685" s="43">
        <v>304.64</v>
      </c>
      <c r="F685" s="176" t="s">
        <v>100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502</v>
      </c>
      <c r="C686" s="205" t="s">
        <v>36</v>
      </c>
      <c r="D686" s="48" t="s">
        <v>100</v>
      </c>
      <c r="E686" s="43">
        <v>304.64</v>
      </c>
      <c r="F686" s="176" t="s">
        <v>100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503</v>
      </c>
      <c r="C687" s="205" t="s">
        <v>36</v>
      </c>
      <c r="D687" s="48" t="s">
        <v>100</v>
      </c>
      <c r="E687" s="43">
        <v>304.64</v>
      </c>
      <c r="F687" s="176" t="s">
        <v>100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504</v>
      </c>
      <c r="C688" s="205" t="s">
        <v>36</v>
      </c>
      <c r="D688" s="48" t="s">
        <v>100</v>
      </c>
      <c r="E688" s="43">
        <v>304.64</v>
      </c>
      <c r="F688" s="176" t="s">
        <v>100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505</v>
      </c>
      <c r="C689" s="205" t="s">
        <v>36</v>
      </c>
      <c r="D689" s="48" t="s">
        <v>100</v>
      </c>
      <c r="E689" s="43">
        <v>304.64</v>
      </c>
      <c r="F689" s="176" t="s">
        <v>100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506</v>
      </c>
      <c r="C690" s="205" t="s">
        <v>36</v>
      </c>
      <c r="D690" s="48" t="s">
        <v>100</v>
      </c>
      <c r="E690" s="55">
        <v>304.64</v>
      </c>
      <c r="F690" s="182" t="s">
        <v>100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507</v>
      </c>
      <c r="C691" s="205" t="s">
        <v>36</v>
      </c>
      <c r="D691" s="48" t="s">
        <v>100</v>
      </c>
      <c r="E691" s="43">
        <v>304.64</v>
      </c>
      <c r="F691" s="176" t="s">
        <v>100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508</v>
      </c>
      <c r="C692" s="205" t="s">
        <v>36</v>
      </c>
      <c r="D692" s="48" t="s">
        <v>100</v>
      </c>
      <c r="E692" s="43">
        <v>3356</v>
      </c>
      <c r="F692" s="176" t="s">
        <v>100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509</v>
      </c>
      <c r="C693" s="205" t="s">
        <v>36</v>
      </c>
      <c r="D693" s="48" t="s">
        <v>100</v>
      </c>
      <c r="E693" s="43">
        <v>3356</v>
      </c>
      <c r="F693" s="176" t="s">
        <v>100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510</v>
      </c>
      <c r="C694" s="205" t="s">
        <v>36</v>
      </c>
      <c r="D694" s="48" t="s">
        <v>100</v>
      </c>
      <c r="E694" s="43">
        <v>3356</v>
      </c>
      <c r="F694" s="176" t="s">
        <v>100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511</v>
      </c>
      <c r="C695" s="205" t="s">
        <v>36</v>
      </c>
      <c r="D695" s="48" t="s">
        <v>100</v>
      </c>
      <c r="E695" s="43">
        <v>3356</v>
      </c>
      <c r="F695" s="176" t="s">
        <v>100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512</v>
      </c>
      <c r="C696" s="205" t="s">
        <v>36</v>
      </c>
      <c r="D696" s="48" t="s">
        <v>100</v>
      </c>
      <c r="E696" s="43">
        <v>3356</v>
      </c>
      <c r="F696" s="176" t="s">
        <v>100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513</v>
      </c>
      <c r="C697" s="205" t="s">
        <v>36</v>
      </c>
      <c r="D697" s="48" t="s">
        <v>100</v>
      </c>
      <c r="E697" s="43">
        <v>3356</v>
      </c>
      <c r="F697" s="176" t="s">
        <v>100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514</v>
      </c>
      <c r="C698" s="205" t="s">
        <v>36</v>
      </c>
      <c r="D698" s="48" t="s">
        <v>100</v>
      </c>
      <c r="E698" s="43">
        <v>3356</v>
      </c>
      <c r="F698" s="176" t="s">
        <v>100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515</v>
      </c>
      <c r="C699" s="205" t="s">
        <v>36</v>
      </c>
      <c r="D699" s="48" t="s">
        <v>100</v>
      </c>
      <c r="E699" s="43">
        <v>3356</v>
      </c>
      <c r="F699" s="176" t="s">
        <v>100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516</v>
      </c>
      <c r="C700" s="205" t="s">
        <v>36</v>
      </c>
      <c r="D700" s="48" t="s">
        <v>100</v>
      </c>
      <c r="E700" s="43">
        <v>3356</v>
      </c>
      <c r="F700" s="176" t="s">
        <v>100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517</v>
      </c>
      <c r="C701" s="205" t="s">
        <v>36</v>
      </c>
      <c r="D701" s="48" t="s">
        <v>100</v>
      </c>
      <c r="E701" s="43">
        <v>3356</v>
      </c>
      <c r="F701" s="176" t="s">
        <v>100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518</v>
      </c>
      <c r="C702" s="205" t="s">
        <v>36</v>
      </c>
      <c r="D702" s="48" t="s">
        <v>100</v>
      </c>
      <c r="E702" s="43">
        <v>3356</v>
      </c>
      <c r="F702" s="176" t="s">
        <v>100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519</v>
      </c>
      <c r="C703" s="205" t="s">
        <v>36</v>
      </c>
      <c r="D703" s="48" t="s">
        <v>100</v>
      </c>
      <c r="E703" s="43">
        <v>1537.48</v>
      </c>
      <c r="F703" s="176" t="s">
        <v>100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520</v>
      </c>
      <c r="C704" s="205" t="s">
        <v>36</v>
      </c>
      <c r="D704" s="48" t="s">
        <v>100</v>
      </c>
      <c r="E704" s="55">
        <v>1537.48</v>
      </c>
      <c r="F704" s="176" t="s">
        <v>100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521</v>
      </c>
      <c r="C705" s="205" t="s">
        <v>36</v>
      </c>
      <c r="D705" s="48" t="s">
        <v>100</v>
      </c>
      <c r="E705" s="43">
        <v>1537.48</v>
      </c>
      <c r="F705" s="176" t="s">
        <v>100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522</v>
      </c>
      <c r="C706" s="205" t="s">
        <v>36</v>
      </c>
      <c r="D706" s="48" t="s">
        <v>100</v>
      </c>
      <c r="E706" s="43">
        <v>1537.48</v>
      </c>
      <c r="F706" s="176" t="s">
        <v>100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523</v>
      </c>
      <c r="C707" s="205" t="s">
        <v>36</v>
      </c>
      <c r="D707" s="48" t="s">
        <v>100</v>
      </c>
      <c r="E707" s="55">
        <v>1537.48</v>
      </c>
      <c r="F707" s="182" t="s">
        <v>100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524</v>
      </c>
      <c r="C708" s="205" t="s">
        <v>36</v>
      </c>
      <c r="D708" s="48" t="s">
        <v>100</v>
      </c>
      <c r="E708" s="55">
        <v>2727.48</v>
      </c>
      <c r="F708" s="176" t="s">
        <v>100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525</v>
      </c>
      <c r="C709" s="205" t="s">
        <v>36</v>
      </c>
      <c r="D709" s="48" t="s">
        <v>100</v>
      </c>
      <c r="E709" s="55">
        <v>1537.48</v>
      </c>
      <c r="F709" s="182" t="s">
        <v>100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526</v>
      </c>
      <c r="C710" s="205" t="s">
        <v>36</v>
      </c>
      <c r="D710" s="48" t="s">
        <v>100</v>
      </c>
      <c r="E710" s="55">
        <v>11057</v>
      </c>
      <c r="F710" s="182" t="s">
        <v>100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527</v>
      </c>
      <c r="C711" s="205" t="s">
        <v>36</v>
      </c>
      <c r="D711" s="48" t="s">
        <v>100</v>
      </c>
      <c r="E711" s="55">
        <v>11057</v>
      </c>
      <c r="F711" s="182" t="s">
        <v>100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528</v>
      </c>
      <c r="C712" s="205" t="s">
        <v>36</v>
      </c>
      <c r="D712" s="48" t="s">
        <v>100</v>
      </c>
      <c r="E712" s="55">
        <v>375</v>
      </c>
      <c r="F712" s="182" t="s">
        <v>100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529</v>
      </c>
      <c r="C713" s="205" t="s">
        <v>36</v>
      </c>
      <c r="D713" s="48" t="s">
        <v>100</v>
      </c>
      <c r="E713" s="55">
        <v>1006.6666666666666</v>
      </c>
      <c r="F713" s="182" t="s">
        <v>100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530</v>
      </c>
      <c r="C714" s="205" t="s">
        <v>36</v>
      </c>
      <c r="D714" s="48" t="s">
        <v>100</v>
      </c>
      <c r="E714" s="55">
        <v>375</v>
      </c>
      <c r="F714" s="182" t="s">
        <v>100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531</v>
      </c>
      <c r="C715" s="205" t="s">
        <v>36</v>
      </c>
      <c r="D715" s="48" t="s">
        <v>100</v>
      </c>
      <c r="E715" s="55">
        <v>375</v>
      </c>
      <c r="F715" s="182" t="s">
        <v>100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532</v>
      </c>
      <c r="C716" s="205" t="s">
        <v>36</v>
      </c>
      <c r="D716" s="48" t="s">
        <v>100</v>
      </c>
      <c r="E716" s="55">
        <v>177.31</v>
      </c>
      <c r="F716" s="182" t="s">
        <v>100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533</v>
      </c>
      <c r="C717" s="205" t="s">
        <v>36</v>
      </c>
      <c r="D717" s="48" t="s">
        <v>100</v>
      </c>
      <c r="E717" s="55">
        <v>177.31</v>
      </c>
      <c r="F717" s="182" t="s">
        <v>100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534</v>
      </c>
      <c r="C718" s="205" t="s">
        <v>36</v>
      </c>
      <c r="D718" s="48" t="s">
        <v>100</v>
      </c>
      <c r="E718" s="55">
        <v>177.31</v>
      </c>
      <c r="F718" s="182" t="s">
        <v>100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535</v>
      </c>
      <c r="C719" s="205" t="s">
        <v>36</v>
      </c>
      <c r="D719" s="48" t="s">
        <v>100</v>
      </c>
      <c r="E719" s="55">
        <v>177.31</v>
      </c>
      <c r="F719" s="182" t="s">
        <v>100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536</v>
      </c>
      <c r="C720" s="205" t="s">
        <v>36</v>
      </c>
      <c r="D720" s="48" t="s">
        <v>100</v>
      </c>
      <c r="E720" s="43">
        <v>1280.44</v>
      </c>
      <c r="F720" s="176" t="s">
        <v>231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537</v>
      </c>
      <c r="C721" s="205" t="s">
        <v>36</v>
      </c>
      <c r="D721" s="48" t="s">
        <v>100</v>
      </c>
      <c r="E721" s="55">
        <v>1280.44</v>
      </c>
      <c r="F721" s="176" t="s">
        <v>100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538</v>
      </c>
      <c r="C722" s="205" t="s">
        <v>36</v>
      </c>
      <c r="D722" s="48" t="s">
        <v>100</v>
      </c>
      <c r="E722" s="43">
        <v>1280.44</v>
      </c>
      <c r="F722" s="176" t="s">
        <v>231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539</v>
      </c>
      <c r="C723" s="205" t="s">
        <v>36</v>
      </c>
      <c r="D723" s="48" t="s">
        <v>100</v>
      </c>
      <c r="E723" s="43">
        <v>1280.44</v>
      </c>
      <c r="F723" s="176" t="s">
        <v>231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540</v>
      </c>
      <c r="C724" s="205" t="s">
        <v>36</v>
      </c>
      <c r="D724" s="48" t="s">
        <v>100</v>
      </c>
      <c r="E724" s="43">
        <v>1280.44</v>
      </c>
      <c r="F724" s="176" t="s">
        <v>231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541</v>
      </c>
      <c r="C725" s="205" t="s">
        <v>36</v>
      </c>
      <c r="D725" s="48" t="s">
        <v>100</v>
      </c>
      <c r="E725" s="55">
        <v>1280.44</v>
      </c>
      <c r="F725" s="176" t="s">
        <v>100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542</v>
      </c>
      <c r="C726" s="205" t="s">
        <v>36</v>
      </c>
      <c r="D726" s="48" t="s">
        <v>100</v>
      </c>
      <c r="E726" s="43">
        <v>1280.44</v>
      </c>
      <c r="F726" s="176" t="s">
        <v>231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543</v>
      </c>
      <c r="C727" s="205" t="s">
        <v>36</v>
      </c>
      <c r="D727" s="48" t="s">
        <v>100</v>
      </c>
      <c r="E727" s="55">
        <v>14750</v>
      </c>
      <c r="F727" s="182" t="s">
        <v>100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544</v>
      </c>
      <c r="C728" s="205" t="s">
        <v>36</v>
      </c>
      <c r="D728" s="48" t="s">
        <v>100</v>
      </c>
      <c r="E728" s="55">
        <v>14750</v>
      </c>
      <c r="F728" s="182" t="s">
        <v>100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545</v>
      </c>
      <c r="C729" s="205" t="s">
        <v>36</v>
      </c>
      <c r="D729" s="48" t="s">
        <v>100</v>
      </c>
      <c r="E729" s="55">
        <v>4799.2700000000004</v>
      </c>
      <c r="F729" s="182" t="s">
        <v>100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546</v>
      </c>
      <c r="C730" s="205" t="s">
        <v>36</v>
      </c>
      <c r="D730" s="48" t="s">
        <v>100</v>
      </c>
      <c r="E730" s="55">
        <v>4799.2700000000004</v>
      </c>
      <c r="F730" s="182" t="s">
        <v>100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547</v>
      </c>
      <c r="C731" s="205" t="s">
        <v>36</v>
      </c>
      <c r="D731" s="48" t="s">
        <v>100</v>
      </c>
      <c r="E731" s="55">
        <v>1000</v>
      </c>
      <c r="F731" s="182" t="s">
        <v>100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548</v>
      </c>
      <c r="C732" s="205" t="s">
        <v>36</v>
      </c>
      <c r="D732" s="48" t="s">
        <v>100</v>
      </c>
      <c r="E732" s="55">
        <v>1000</v>
      </c>
      <c r="F732" s="182" t="s">
        <v>100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549</v>
      </c>
      <c r="C733" s="205" t="s">
        <v>36</v>
      </c>
      <c r="D733" s="48" t="s">
        <v>100</v>
      </c>
      <c r="E733" s="55">
        <v>6957.9299999999994</v>
      </c>
      <c r="F733" s="182" t="s">
        <v>100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550</v>
      </c>
      <c r="C734" s="205" t="s">
        <v>36</v>
      </c>
      <c r="D734" s="48" t="s">
        <v>100</v>
      </c>
      <c r="E734" s="55">
        <v>6957.9299999999994</v>
      </c>
      <c r="F734" s="182" t="s">
        <v>100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551</v>
      </c>
      <c r="C735" s="205" t="s">
        <v>36</v>
      </c>
      <c r="D735" s="48" t="s">
        <v>100</v>
      </c>
      <c r="E735" s="55">
        <v>6957.9299999999994</v>
      </c>
      <c r="F735" s="182" t="s">
        <v>100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552</v>
      </c>
      <c r="C736" s="205" t="s">
        <v>36</v>
      </c>
      <c r="D736" s="48" t="s">
        <v>100</v>
      </c>
      <c r="E736" s="55">
        <v>6957.9299999999994</v>
      </c>
      <c r="F736" s="182" t="s">
        <v>100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553</v>
      </c>
      <c r="C737" s="205" t="s">
        <v>36</v>
      </c>
      <c r="D737" s="48" t="s">
        <v>100</v>
      </c>
      <c r="E737" s="55">
        <v>6957.9299999999994</v>
      </c>
      <c r="F737" s="182" t="s">
        <v>100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554</v>
      </c>
      <c r="C738" s="205" t="s">
        <v>36</v>
      </c>
      <c r="D738" s="48" t="s">
        <v>100</v>
      </c>
      <c r="E738" s="55">
        <v>6957.9299999999994</v>
      </c>
      <c r="F738" s="182" t="s">
        <v>100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555</v>
      </c>
      <c r="C739" s="205" t="s">
        <v>36</v>
      </c>
      <c r="D739" s="48" t="s">
        <v>100</v>
      </c>
      <c r="E739" s="55">
        <v>6957.9299999999994</v>
      </c>
      <c r="F739" s="182" t="s">
        <v>100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556</v>
      </c>
      <c r="C740" s="205" t="s">
        <v>36</v>
      </c>
      <c r="D740" s="48" t="s">
        <v>100</v>
      </c>
      <c r="E740" s="55">
        <v>6957.9299999999994</v>
      </c>
      <c r="F740" s="182" t="s">
        <v>100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557</v>
      </c>
      <c r="C741" s="205" t="s">
        <v>36</v>
      </c>
      <c r="D741" s="48" t="s">
        <v>100</v>
      </c>
      <c r="E741" s="55">
        <v>6957.9299999999994</v>
      </c>
      <c r="F741" s="182" t="s">
        <v>100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558</v>
      </c>
      <c r="C742" s="205" t="s">
        <v>36</v>
      </c>
      <c r="D742" s="48" t="s">
        <v>100</v>
      </c>
      <c r="E742" s="55">
        <v>6957.9299999999994</v>
      </c>
      <c r="F742" s="182" t="s">
        <v>100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559</v>
      </c>
      <c r="C743" s="205" t="s">
        <v>36</v>
      </c>
      <c r="D743" s="48" t="s">
        <v>100</v>
      </c>
      <c r="E743" s="55">
        <v>6957.9299999999994</v>
      </c>
      <c r="F743" s="182" t="s">
        <v>100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560</v>
      </c>
      <c r="C744" s="205" t="s">
        <v>36</v>
      </c>
      <c r="D744" s="48" t="s">
        <v>100</v>
      </c>
      <c r="E744" s="55">
        <v>6957.9299999999994</v>
      </c>
      <c r="F744" s="182" t="s">
        <v>100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561</v>
      </c>
      <c r="C745" s="205" t="s">
        <v>36</v>
      </c>
      <c r="D745" s="48" t="s">
        <v>100</v>
      </c>
      <c r="E745" s="43">
        <v>3700</v>
      </c>
      <c r="F745" s="176" t="s">
        <v>100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562</v>
      </c>
      <c r="C746" s="205" t="s">
        <v>36</v>
      </c>
      <c r="D746" s="48" t="s">
        <v>100</v>
      </c>
      <c r="E746" s="43">
        <v>3700</v>
      </c>
      <c r="F746" s="176" t="s">
        <v>100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563</v>
      </c>
      <c r="C747" s="205" t="s">
        <v>36</v>
      </c>
      <c r="D747" s="48" t="s">
        <v>100</v>
      </c>
      <c r="E747" s="55">
        <v>1200</v>
      </c>
      <c r="F747" s="182" t="s">
        <v>100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564</v>
      </c>
      <c r="C748" s="205" t="s">
        <v>36</v>
      </c>
      <c r="D748" s="48" t="s">
        <v>100</v>
      </c>
      <c r="E748" s="55">
        <v>1200</v>
      </c>
      <c r="F748" s="182" t="s">
        <v>100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565</v>
      </c>
      <c r="C749" s="205" t="s">
        <v>36</v>
      </c>
      <c r="D749" s="48" t="s">
        <v>100</v>
      </c>
      <c r="E749" s="55">
        <v>1200</v>
      </c>
      <c r="F749" s="182" t="s">
        <v>100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566</v>
      </c>
      <c r="C750" s="205" t="s">
        <v>36</v>
      </c>
      <c r="D750" s="48" t="s">
        <v>100</v>
      </c>
      <c r="E750" s="55">
        <v>1200</v>
      </c>
      <c r="F750" s="182" t="s">
        <v>100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567</v>
      </c>
      <c r="C751" s="205" t="s">
        <v>36</v>
      </c>
      <c r="D751" s="48" t="s">
        <v>100</v>
      </c>
      <c r="E751" s="55">
        <v>1200</v>
      </c>
      <c r="F751" s="182" t="s">
        <v>100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568</v>
      </c>
      <c r="C752" s="205" t="s">
        <v>36</v>
      </c>
      <c r="D752" s="48" t="s">
        <v>100</v>
      </c>
      <c r="E752" s="55">
        <v>873.94</v>
      </c>
      <c r="F752" s="182" t="s">
        <v>100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569</v>
      </c>
      <c r="C753" s="205" t="s">
        <v>36</v>
      </c>
      <c r="D753" s="48" t="s">
        <v>100</v>
      </c>
      <c r="E753" s="55">
        <v>873.94</v>
      </c>
      <c r="F753" s="182" t="s">
        <v>100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570</v>
      </c>
      <c r="C754" s="205" t="s">
        <v>36</v>
      </c>
      <c r="D754" s="48" t="s">
        <v>100</v>
      </c>
      <c r="E754" s="55">
        <v>873.94</v>
      </c>
      <c r="F754" s="182" t="s">
        <v>100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571</v>
      </c>
      <c r="C755" s="205" t="s">
        <v>36</v>
      </c>
      <c r="D755" s="48" t="s">
        <v>100</v>
      </c>
      <c r="E755" s="55">
        <v>1173.3399999999999</v>
      </c>
      <c r="F755" s="182" t="s">
        <v>100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572</v>
      </c>
      <c r="C756" s="205" t="s">
        <v>36</v>
      </c>
      <c r="D756" s="48" t="s">
        <v>100</v>
      </c>
      <c r="E756" s="55">
        <v>998.41</v>
      </c>
      <c r="F756" s="182" t="s">
        <v>100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573</v>
      </c>
      <c r="C757" s="205" t="s">
        <v>36</v>
      </c>
      <c r="D757" s="48" t="s">
        <v>100</v>
      </c>
      <c r="E757" s="55">
        <v>998.41</v>
      </c>
      <c r="F757" s="182" t="s">
        <v>100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574</v>
      </c>
      <c r="C758" s="205" t="s">
        <v>36</v>
      </c>
      <c r="D758" s="48" t="s">
        <v>100</v>
      </c>
      <c r="E758" s="55">
        <v>998.41</v>
      </c>
      <c r="F758" s="182" t="s">
        <v>100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575</v>
      </c>
      <c r="C759" s="205" t="s">
        <v>36</v>
      </c>
      <c r="D759" s="48" t="s">
        <v>100</v>
      </c>
      <c r="E759" s="55">
        <v>998.41</v>
      </c>
      <c r="F759" s="182" t="s">
        <v>100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576</v>
      </c>
      <c r="C760" s="205" t="s">
        <v>36</v>
      </c>
      <c r="D760" s="48" t="s">
        <v>100</v>
      </c>
      <c r="E760" s="55">
        <v>1173.3399999999999</v>
      </c>
      <c r="F760" s="182" t="s">
        <v>100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577</v>
      </c>
      <c r="C761" s="205" t="s">
        <v>36</v>
      </c>
      <c r="D761" s="48" t="s">
        <v>100</v>
      </c>
      <c r="E761" s="55">
        <v>998.41</v>
      </c>
      <c r="F761" s="182" t="s">
        <v>100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578</v>
      </c>
      <c r="C762" s="205" t="s">
        <v>36</v>
      </c>
      <c r="D762" s="48" t="s">
        <v>100</v>
      </c>
      <c r="E762" s="55">
        <v>998.41</v>
      </c>
      <c r="F762" s="182" t="s">
        <v>100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579</v>
      </c>
      <c r="C763" s="205" t="s">
        <v>36</v>
      </c>
      <c r="D763" s="48" t="s">
        <v>100</v>
      </c>
      <c r="E763" s="55">
        <v>1173.3399999999999</v>
      </c>
      <c r="F763" s="182" t="s">
        <v>100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580</v>
      </c>
      <c r="C764" s="205" t="s">
        <v>36</v>
      </c>
      <c r="D764" s="48" t="s">
        <v>100</v>
      </c>
      <c r="E764" s="55">
        <v>998.41</v>
      </c>
      <c r="F764" s="182" t="s">
        <v>100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581</v>
      </c>
      <c r="C765" s="205" t="s">
        <v>36</v>
      </c>
      <c r="D765" s="48" t="s">
        <v>100</v>
      </c>
      <c r="E765" s="55">
        <v>998.41</v>
      </c>
      <c r="F765" s="182" t="s">
        <v>100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582</v>
      </c>
      <c r="C766" s="205" t="s">
        <v>36</v>
      </c>
      <c r="D766" s="48" t="s">
        <v>100</v>
      </c>
      <c r="E766" s="55">
        <v>1018.64</v>
      </c>
      <c r="F766" s="182" t="s">
        <v>100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583</v>
      </c>
      <c r="C767" s="205" t="s">
        <v>36</v>
      </c>
      <c r="D767" s="48" t="s">
        <v>100</v>
      </c>
      <c r="E767" s="55">
        <v>1173.3399999999999</v>
      </c>
      <c r="F767" s="182" t="s">
        <v>100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584</v>
      </c>
      <c r="C768" s="205" t="s">
        <v>36</v>
      </c>
      <c r="D768" s="48" t="s">
        <v>100</v>
      </c>
      <c r="E768" s="55">
        <v>1173.3399999999999</v>
      </c>
      <c r="F768" s="182" t="s">
        <v>100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585</v>
      </c>
      <c r="C769" s="205" t="s">
        <v>36</v>
      </c>
      <c r="D769" s="48" t="s">
        <v>100</v>
      </c>
      <c r="E769" s="55">
        <v>1018.64</v>
      </c>
      <c r="F769" s="182" t="s">
        <v>100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586</v>
      </c>
      <c r="C770" s="205" t="s">
        <v>36</v>
      </c>
      <c r="D770" s="48" t="s">
        <v>100</v>
      </c>
      <c r="E770" s="55">
        <v>1018.64</v>
      </c>
      <c r="F770" s="182" t="s">
        <v>100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587</v>
      </c>
      <c r="C771" s="205" t="s">
        <v>36</v>
      </c>
      <c r="D771" s="48" t="s">
        <v>100</v>
      </c>
      <c r="E771" s="55">
        <v>2746.52</v>
      </c>
      <c r="F771" s="182" t="s">
        <v>100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588</v>
      </c>
      <c r="C772" s="205" t="s">
        <v>36</v>
      </c>
      <c r="D772" s="48" t="s">
        <v>100</v>
      </c>
      <c r="E772" s="55">
        <v>1173.3399999999999</v>
      </c>
      <c r="F772" s="182" t="s">
        <v>100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589</v>
      </c>
      <c r="C773" s="205" t="s">
        <v>36</v>
      </c>
      <c r="D773" s="48" t="s">
        <v>100</v>
      </c>
      <c r="E773" s="55">
        <v>1173.3399999999999</v>
      </c>
      <c r="F773" s="182" t="s">
        <v>100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590</v>
      </c>
      <c r="C774" s="205" t="s">
        <v>36</v>
      </c>
      <c r="D774" s="48" t="s">
        <v>100</v>
      </c>
      <c r="E774" s="55">
        <v>1173.3399999999999</v>
      </c>
      <c r="F774" s="182" t="s">
        <v>100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591</v>
      </c>
      <c r="C775" s="205" t="s">
        <v>36</v>
      </c>
      <c r="D775" s="48" t="s">
        <v>100</v>
      </c>
      <c r="E775" s="55">
        <v>1173.3399999999999</v>
      </c>
      <c r="F775" s="182" t="s">
        <v>100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592</v>
      </c>
      <c r="C776" s="205" t="s">
        <v>36</v>
      </c>
      <c r="D776" s="48" t="s">
        <v>100</v>
      </c>
      <c r="E776" s="55">
        <v>1173.3399999999999</v>
      </c>
      <c r="F776" s="182" t="s">
        <v>100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593</v>
      </c>
      <c r="C777" s="205" t="s">
        <v>36</v>
      </c>
      <c r="D777" s="48" t="s">
        <v>100</v>
      </c>
      <c r="E777" s="55">
        <v>1173.3399999999999</v>
      </c>
      <c r="F777" s="182" t="s">
        <v>100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594</v>
      </c>
      <c r="C778" s="205" t="s">
        <v>36</v>
      </c>
      <c r="D778" s="48" t="s">
        <v>100</v>
      </c>
      <c r="E778" s="55">
        <v>1173.3399999999999</v>
      </c>
      <c r="F778" s="182" t="s">
        <v>100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595</v>
      </c>
      <c r="C779" s="205" t="s">
        <v>36</v>
      </c>
      <c r="D779" s="48" t="s">
        <v>100</v>
      </c>
      <c r="E779" s="55">
        <v>1173.3399999999999</v>
      </c>
      <c r="F779" s="182" t="s">
        <v>100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596</v>
      </c>
      <c r="C780" s="205" t="s">
        <v>36</v>
      </c>
      <c r="D780" s="48" t="s">
        <v>100</v>
      </c>
      <c r="E780" s="55">
        <v>1173.3399999999999</v>
      </c>
      <c r="F780" s="182" t="s">
        <v>100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597</v>
      </c>
      <c r="C781" s="205" t="s">
        <v>36</v>
      </c>
      <c r="D781" s="48" t="s">
        <v>100</v>
      </c>
      <c r="E781" s="55">
        <v>2563</v>
      </c>
      <c r="F781" s="176" t="s">
        <v>100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598</v>
      </c>
      <c r="C782" s="205" t="s">
        <v>36</v>
      </c>
      <c r="D782" s="48" t="s">
        <v>100</v>
      </c>
      <c r="E782" s="43">
        <v>2364.5299999999997</v>
      </c>
      <c r="F782" s="176" t="s">
        <v>100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599</v>
      </c>
      <c r="C783" s="205" t="s">
        <v>36</v>
      </c>
      <c r="D783" s="48" t="s">
        <v>100</v>
      </c>
      <c r="E783" s="43">
        <v>2364.5299999999997</v>
      </c>
      <c r="F783" s="176" t="s">
        <v>100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600</v>
      </c>
      <c r="C784" s="205" t="s">
        <v>36</v>
      </c>
      <c r="D784" s="48" t="s">
        <v>100</v>
      </c>
      <c r="E784" s="43">
        <v>2563</v>
      </c>
      <c r="F784" s="176" t="s">
        <v>100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601</v>
      </c>
      <c r="C785" s="205" t="s">
        <v>36</v>
      </c>
      <c r="D785" s="48" t="s">
        <v>100</v>
      </c>
      <c r="E785" s="55">
        <v>2563</v>
      </c>
      <c r="F785" s="182" t="s">
        <v>100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602</v>
      </c>
      <c r="C786" s="205" t="s">
        <v>36</v>
      </c>
      <c r="D786" s="48" t="s">
        <v>100</v>
      </c>
      <c r="E786" s="55">
        <v>2563</v>
      </c>
      <c r="F786" s="182" t="s">
        <v>100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603</v>
      </c>
      <c r="C787" s="205" t="s">
        <v>36</v>
      </c>
      <c r="D787" s="48" t="s">
        <v>100</v>
      </c>
      <c r="E787" s="43">
        <v>2440.69</v>
      </c>
      <c r="F787" s="176" t="s">
        <v>100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604</v>
      </c>
      <c r="C788" s="205" t="s">
        <v>36</v>
      </c>
      <c r="D788" s="48" t="s">
        <v>100</v>
      </c>
      <c r="E788" s="43">
        <v>2440.69</v>
      </c>
      <c r="F788" s="176" t="s">
        <v>100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605</v>
      </c>
      <c r="C789" s="205" t="s">
        <v>36</v>
      </c>
      <c r="D789" s="48" t="s">
        <v>100</v>
      </c>
      <c r="E789" s="55">
        <v>873.94</v>
      </c>
      <c r="F789" s="182" t="s">
        <v>100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606</v>
      </c>
      <c r="C790" s="205" t="s">
        <v>36</v>
      </c>
      <c r="D790" s="48" t="s">
        <v>100</v>
      </c>
      <c r="E790" s="55">
        <v>873.94</v>
      </c>
      <c r="F790" s="182" t="s">
        <v>100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607</v>
      </c>
      <c r="C791" s="205" t="s">
        <v>36</v>
      </c>
      <c r="D791" s="48" t="s">
        <v>100</v>
      </c>
      <c r="E791" s="55">
        <v>873.94</v>
      </c>
      <c r="F791" s="182" t="s">
        <v>100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608</v>
      </c>
      <c r="C792" s="205" t="s">
        <v>36</v>
      </c>
      <c r="D792" s="48" t="s">
        <v>100</v>
      </c>
      <c r="E792" s="55">
        <v>873.94</v>
      </c>
      <c r="F792" s="182" t="s">
        <v>100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609</v>
      </c>
      <c r="C793" s="205" t="s">
        <v>36</v>
      </c>
      <c r="D793" s="48" t="s">
        <v>100</v>
      </c>
      <c r="E793" s="55">
        <v>873.94</v>
      </c>
      <c r="F793" s="182" t="s">
        <v>100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610</v>
      </c>
      <c r="C794" s="205" t="s">
        <v>36</v>
      </c>
      <c r="D794" s="48" t="s">
        <v>100</v>
      </c>
      <c r="E794" s="55">
        <v>1547</v>
      </c>
      <c r="F794" s="182" t="s">
        <v>100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611</v>
      </c>
      <c r="C795" s="205" t="s">
        <v>36</v>
      </c>
      <c r="D795" s="48" t="s">
        <v>100</v>
      </c>
      <c r="E795" s="55">
        <v>1547</v>
      </c>
      <c r="F795" s="182" t="s">
        <v>100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612</v>
      </c>
      <c r="C796" s="205" t="s">
        <v>36</v>
      </c>
      <c r="D796" s="48" t="s">
        <v>100</v>
      </c>
      <c r="E796" s="55">
        <v>1547</v>
      </c>
      <c r="F796" s="182" t="s">
        <v>100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613</v>
      </c>
      <c r="C797" s="205" t="s">
        <v>36</v>
      </c>
      <c r="D797" s="48" t="s">
        <v>100</v>
      </c>
      <c r="E797" s="55">
        <v>1850</v>
      </c>
      <c r="F797" s="182" t="s">
        <v>100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614</v>
      </c>
      <c r="C798" s="205" t="s">
        <v>36</v>
      </c>
      <c r="D798" s="48" t="s">
        <v>100</v>
      </c>
      <c r="E798" s="55">
        <v>1850</v>
      </c>
      <c r="F798" s="182" t="s">
        <v>100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615</v>
      </c>
      <c r="C799" s="205" t="s">
        <v>36</v>
      </c>
      <c r="D799" s="48" t="s">
        <v>100</v>
      </c>
      <c r="E799" s="55">
        <v>4799.2700000000004</v>
      </c>
      <c r="F799" s="182" t="s">
        <v>100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616</v>
      </c>
      <c r="C800" s="205" t="s">
        <v>36</v>
      </c>
      <c r="D800" s="48" t="s">
        <v>100</v>
      </c>
      <c r="E800" s="55">
        <v>4799.2700000000004</v>
      </c>
      <c r="F800" s="182" t="s">
        <v>100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617</v>
      </c>
      <c r="C801" s="205" t="s">
        <v>36</v>
      </c>
      <c r="D801" s="48" t="s">
        <v>100</v>
      </c>
      <c r="E801" s="55">
        <v>4799.2700000000004</v>
      </c>
      <c r="F801" s="182" t="s">
        <v>100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618</v>
      </c>
      <c r="C802" s="205" t="s">
        <v>36</v>
      </c>
      <c r="D802" s="48" t="s">
        <v>100</v>
      </c>
      <c r="E802" s="55">
        <v>4799.2700000000004</v>
      </c>
      <c r="F802" s="182" t="s">
        <v>100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619</v>
      </c>
      <c r="C803" s="205" t="s">
        <v>36</v>
      </c>
      <c r="D803" s="48" t="s">
        <v>100</v>
      </c>
      <c r="E803" s="55">
        <v>4799.2700000000004</v>
      </c>
      <c r="F803" s="182" t="s">
        <v>100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620</v>
      </c>
      <c r="C804" s="205" t="s">
        <v>36</v>
      </c>
      <c r="D804" s="48" t="s">
        <v>100</v>
      </c>
      <c r="E804" s="55">
        <v>4799.2700000000004</v>
      </c>
      <c r="F804" s="182" t="s">
        <v>100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621</v>
      </c>
      <c r="C805" s="205" t="s">
        <v>36</v>
      </c>
      <c r="D805" s="48" t="s">
        <v>100</v>
      </c>
      <c r="E805" s="55">
        <v>4799.2700000000004</v>
      </c>
      <c r="F805" s="182" t="s">
        <v>100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622</v>
      </c>
      <c r="C806" s="205" t="s">
        <v>36</v>
      </c>
      <c r="D806" s="48" t="s">
        <v>100</v>
      </c>
      <c r="E806" s="55">
        <v>4799.2700000000004</v>
      </c>
      <c r="F806" s="182" t="s">
        <v>100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623</v>
      </c>
      <c r="C807" s="205" t="s">
        <v>36</v>
      </c>
      <c r="D807" s="48" t="s">
        <v>100</v>
      </c>
      <c r="E807" s="55">
        <v>1000</v>
      </c>
      <c r="F807" s="182" t="s">
        <v>100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624</v>
      </c>
      <c r="C808" s="205" t="s">
        <v>36</v>
      </c>
      <c r="D808" s="48" t="s">
        <v>100</v>
      </c>
      <c r="E808" s="55">
        <v>8973.7900000000009</v>
      </c>
      <c r="F808" s="182" t="s">
        <v>100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625</v>
      </c>
      <c r="C809" s="205" t="s">
        <v>36</v>
      </c>
      <c r="D809" s="48" t="s">
        <v>100</v>
      </c>
      <c r="E809" s="55">
        <v>8973.7900000000009</v>
      </c>
      <c r="F809" s="182" t="s">
        <v>100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626</v>
      </c>
      <c r="C810" s="205" t="s">
        <v>36</v>
      </c>
      <c r="D810" s="48" t="s">
        <v>100</v>
      </c>
      <c r="E810" s="55">
        <v>8973.7900000000009</v>
      </c>
      <c r="F810" s="182" t="s">
        <v>100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627</v>
      </c>
      <c r="C811" s="205" t="s">
        <v>36</v>
      </c>
      <c r="D811" s="48" t="s">
        <v>100</v>
      </c>
      <c r="E811" s="55">
        <v>8973.7900000000009</v>
      </c>
      <c r="F811" s="182" t="s">
        <v>100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628</v>
      </c>
      <c r="C812" s="205" t="s">
        <v>36</v>
      </c>
      <c r="D812" s="48" t="s">
        <v>100</v>
      </c>
      <c r="E812" s="55">
        <v>3844.89</v>
      </c>
      <c r="F812" s="182" t="s">
        <v>100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629</v>
      </c>
      <c r="C813" s="205" t="s">
        <v>36</v>
      </c>
      <c r="D813" s="48" t="s">
        <v>100</v>
      </c>
      <c r="E813" s="55">
        <v>3844.89</v>
      </c>
      <c r="F813" s="182" t="s">
        <v>100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630</v>
      </c>
      <c r="C814" s="205" t="s">
        <v>36</v>
      </c>
      <c r="D814" s="48" t="s">
        <v>100</v>
      </c>
      <c r="E814" s="55">
        <v>3844.89</v>
      </c>
      <c r="F814" s="182" t="s">
        <v>100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631</v>
      </c>
      <c r="C815" s="205" t="s">
        <v>36</v>
      </c>
      <c r="D815" s="48" t="s">
        <v>100</v>
      </c>
      <c r="E815" s="55">
        <v>3844.89</v>
      </c>
      <c r="F815" s="182" t="s">
        <v>100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632</v>
      </c>
      <c r="C816" s="205" t="s">
        <v>36</v>
      </c>
      <c r="D816" s="48" t="s">
        <v>100</v>
      </c>
      <c r="E816" s="55">
        <v>3844.89</v>
      </c>
      <c r="F816" s="182" t="s">
        <v>100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633</v>
      </c>
      <c r="C817" s="205" t="s">
        <v>36</v>
      </c>
      <c r="D817" s="48" t="s">
        <v>100</v>
      </c>
      <c r="E817" s="55">
        <v>3844.89</v>
      </c>
      <c r="F817" s="182" t="s">
        <v>100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634</v>
      </c>
      <c r="C818" s="205" t="s">
        <v>36</v>
      </c>
      <c r="D818" s="48" t="s">
        <v>100</v>
      </c>
      <c r="E818" s="55">
        <v>3844.89</v>
      </c>
      <c r="F818" s="182" t="s">
        <v>100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635</v>
      </c>
      <c r="C819" s="205" t="s">
        <v>36</v>
      </c>
      <c r="D819" s="48" t="s">
        <v>100</v>
      </c>
      <c r="E819" s="55">
        <v>3844.89</v>
      </c>
      <c r="F819" s="182" t="s">
        <v>100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636</v>
      </c>
      <c r="C820" s="205" t="s">
        <v>36</v>
      </c>
      <c r="D820" s="48" t="s">
        <v>100</v>
      </c>
      <c r="E820" s="55">
        <v>1661.24</v>
      </c>
      <c r="F820" s="182" t="s">
        <v>100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637</v>
      </c>
      <c r="C821" s="205" t="s">
        <v>36</v>
      </c>
      <c r="D821" s="48" t="s">
        <v>100</v>
      </c>
      <c r="E821" s="55">
        <v>1661.24</v>
      </c>
      <c r="F821" s="182" t="s">
        <v>100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638</v>
      </c>
      <c r="C822" s="205" t="s">
        <v>36</v>
      </c>
      <c r="D822" s="48" t="s">
        <v>100</v>
      </c>
      <c r="E822" s="55">
        <v>1661.24</v>
      </c>
      <c r="F822" s="182" t="s">
        <v>100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639</v>
      </c>
      <c r="C823" s="205" t="s">
        <v>36</v>
      </c>
      <c r="D823" s="48" t="s">
        <v>100</v>
      </c>
      <c r="E823" s="55">
        <v>1661.24</v>
      </c>
      <c r="F823" s="182" t="s">
        <v>100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640</v>
      </c>
      <c r="C824" s="205" t="s">
        <v>36</v>
      </c>
      <c r="D824" s="48" t="s">
        <v>100</v>
      </c>
      <c r="E824" s="55">
        <v>1661.24</v>
      </c>
      <c r="F824" s="182" t="s">
        <v>100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641</v>
      </c>
      <c r="C825" s="205" t="s">
        <v>36</v>
      </c>
      <c r="D825" s="48" t="s">
        <v>100</v>
      </c>
      <c r="E825" s="55">
        <v>690.75</v>
      </c>
      <c r="F825" s="182" t="s">
        <v>100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642</v>
      </c>
      <c r="C826" s="205" t="s">
        <v>36</v>
      </c>
      <c r="D826" s="48" t="s">
        <v>100</v>
      </c>
      <c r="E826" s="55">
        <v>690.75</v>
      </c>
      <c r="F826" s="182" t="s">
        <v>100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643</v>
      </c>
      <c r="C827" s="205" t="s">
        <v>36</v>
      </c>
      <c r="D827" s="48" t="s">
        <v>100</v>
      </c>
      <c r="E827" s="55">
        <v>690.75</v>
      </c>
      <c r="F827" s="182" t="s">
        <v>100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644</v>
      </c>
      <c r="C828" s="205" t="s">
        <v>36</v>
      </c>
      <c r="D828" s="48" t="s">
        <v>100</v>
      </c>
      <c r="E828" s="55">
        <v>690.75</v>
      </c>
      <c r="F828" s="182" t="s">
        <v>100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645</v>
      </c>
      <c r="C829" s="205" t="s">
        <v>36</v>
      </c>
      <c r="D829" s="48" t="s">
        <v>100</v>
      </c>
      <c r="E829" s="55">
        <v>690.75</v>
      </c>
      <c r="F829" s="182" t="s">
        <v>100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646</v>
      </c>
      <c r="C830" s="205" t="s">
        <v>36</v>
      </c>
      <c r="D830" s="48" t="s">
        <v>100</v>
      </c>
      <c r="E830" s="55">
        <v>690.75</v>
      </c>
      <c r="F830" s="182" t="s">
        <v>100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647</v>
      </c>
      <c r="C831" s="205" t="s">
        <v>36</v>
      </c>
      <c r="D831" s="48" t="s">
        <v>100</v>
      </c>
      <c r="E831" s="43">
        <v>690.75</v>
      </c>
      <c r="F831" s="176" t="s">
        <v>100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648</v>
      </c>
      <c r="C832" s="205" t="s">
        <v>36</v>
      </c>
      <c r="D832" s="48" t="s">
        <v>100</v>
      </c>
      <c r="E832" s="43">
        <v>690.75</v>
      </c>
      <c r="F832" s="176" t="s">
        <v>100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649</v>
      </c>
      <c r="C833" s="205" t="s">
        <v>36</v>
      </c>
      <c r="D833" s="48" t="s">
        <v>100</v>
      </c>
      <c r="E833" s="55">
        <v>690.75</v>
      </c>
      <c r="F833" s="182" t="s">
        <v>100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650</v>
      </c>
      <c r="C834" s="205" t="s">
        <v>36</v>
      </c>
      <c r="D834" s="48" t="s">
        <v>100</v>
      </c>
      <c r="E834" s="55">
        <v>690.75</v>
      </c>
      <c r="F834" s="182" t="s">
        <v>100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651</v>
      </c>
      <c r="C835" s="205" t="s">
        <v>36</v>
      </c>
      <c r="D835" s="48" t="s">
        <v>100</v>
      </c>
      <c r="E835" s="55">
        <v>690.75</v>
      </c>
      <c r="F835" s="182" t="s">
        <v>100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652</v>
      </c>
      <c r="C836" s="205" t="s">
        <v>36</v>
      </c>
      <c r="D836" s="48" t="s">
        <v>100</v>
      </c>
      <c r="E836" s="55">
        <v>690.75</v>
      </c>
      <c r="F836" s="182" t="s">
        <v>100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653</v>
      </c>
      <c r="C837" s="205" t="s">
        <v>36</v>
      </c>
      <c r="D837" s="48" t="s">
        <v>100</v>
      </c>
      <c r="E837" s="43">
        <v>690.75</v>
      </c>
      <c r="F837" s="176" t="s">
        <v>100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654</v>
      </c>
      <c r="C838" s="205" t="s">
        <v>36</v>
      </c>
      <c r="D838" s="48" t="s">
        <v>100</v>
      </c>
      <c r="E838" s="43">
        <v>690.75</v>
      </c>
      <c r="F838" s="176" t="s">
        <v>100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655</v>
      </c>
      <c r="C839" s="205" t="s">
        <v>36</v>
      </c>
      <c r="D839" s="48" t="s">
        <v>100</v>
      </c>
      <c r="E839" s="55">
        <v>690.75</v>
      </c>
      <c r="F839" s="182" t="s">
        <v>100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656</v>
      </c>
      <c r="C840" s="205" t="s">
        <v>36</v>
      </c>
      <c r="D840" s="48" t="s">
        <v>100</v>
      </c>
      <c r="E840" s="55">
        <v>690.75</v>
      </c>
      <c r="F840" s="182" t="s">
        <v>100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657</v>
      </c>
      <c r="C841" s="205" t="s">
        <v>36</v>
      </c>
      <c r="D841" s="48" t="s">
        <v>100</v>
      </c>
      <c r="E841" s="55">
        <v>690.75</v>
      </c>
      <c r="F841" s="182" t="s">
        <v>100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658</v>
      </c>
      <c r="C842" s="205" t="s">
        <v>36</v>
      </c>
      <c r="D842" s="48" t="s">
        <v>100</v>
      </c>
      <c r="E842" s="43">
        <v>690.75</v>
      </c>
      <c r="F842" s="176" t="s">
        <v>100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659</v>
      </c>
      <c r="C843" s="205" t="s">
        <v>36</v>
      </c>
      <c r="D843" s="48" t="s">
        <v>100</v>
      </c>
      <c r="E843" s="55">
        <v>690.75</v>
      </c>
      <c r="F843" s="182" t="s">
        <v>100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660</v>
      </c>
      <c r="C844" s="205" t="s">
        <v>36</v>
      </c>
      <c r="D844" s="48" t="s">
        <v>100</v>
      </c>
      <c r="E844" s="55">
        <v>690.75</v>
      </c>
      <c r="F844" s="182" t="s">
        <v>100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661</v>
      </c>
      <c r="C845" s="205" t="s">
        <v>36</v>
      </c>
      <c r="D845" s="48" t="s">
        <v>100</v>
      </c>
      <c r="E845" s="55">
        <v>690.75</v>
      </c>
      <c r="F845" s="182" t="s">
        <v>100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662</v>
      </c>
      <c r="C846" s="205" t="s">
        <v>36</v>
      </c>
      <c r="D846" s="48" t="s">
        <v>100</v>
      </c>
      <c r="E846" s="55">
        <v>690.75</v>
      </c>
      <c r="F846" s="182" t="s">
        <v>100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663</v>
      </c>
      <c r="C847" s="205" t="s">
        <v>36</v>
      </c>
      <c r="D847" s="48" t="s">
        <v>100</v>
      </c>
      <c r="E847" s="43">
        <v>690.75</v>
      </c>
      <c r="F847" s="176" t="s">
        <v>100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664</v>
      </c>
      <c r="C848" s="205" t="s">
        <v>36</v>
      </c>
      <c r="D848" s="48" t="s">
        <v>100</v>
      </c>
      <c r="E848" s="55">
        <v>690.75</v>
      </c>
      <c r="F848" s="182" t="s">
        <v>100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665</v>
      </c>
      <c r="C849" s="205" t="s">
        <v>36</v>
      </c>
      <c r="D849" s="48" t="s">
        <v>100</v>
      </c>
      <c r="E849" s="55">
        <v>690.75</v>
      </c>
      <c r="F849" s="182" t="s">
        <v>100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666</v>
      </c>
      <c r="C850" s="205" t="s">
        <v>36</v>
      </c>
      <c r="D850" s="48" t="s">
        <v>100</v>
      </c>
      <c r="E850" s="55">
        <v>3850</v>
      </c>
      <c r="F850" s="182" t="s">
        <v>100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667</v>
      </c>
      <c r="C851" s="205" t="s">
        <v>36</v>
      </c>
      <c r="D851" s="48" t="s">
        <v>100</v>
      </c>
      <c r="E851" s="55">
        <v>3850</v>
      </c>
      <c r="F851" s="182" t="s">
        <v>100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668</v>
      </c>
      <c r="C852" s="205" t="s">
        <v>36</v>
      </c>
      <c r="D852" s="48" t="s">
        <v>100</v>
      </c>
      <c r="E852" s="55">
        <v>3850</v>
      </c>
      <c r="F852" s="182" t="s">
        <v>100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669</v>
      </c>
      <c r="C853" s="205" t="s">
        <v>36</v>
      </c>
      <c r="D853" s="48" t="s">
        <v>100</v>
      </c>
      <c r="E853" s="55">
        <v>3850</v>
      </c>
      <c r="F853" s="182" t="s">
        <v>100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670</v>
      </c>
      <c r="C854" s="205" t="s">
        <v>36</v>
      </c>
      <c r="D854" s="48" t="s">
        <v>100</v>
      </c>
      <c r="E854" s="55">
        <v>3850</v>
      </c>
      <c r="F854" s="182" t="s">
        <v>100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671</v>
      </c>
      <c r="C855" s="205" t="s">
        <v>36</v>
      </c>
      <c r="D855" s="48" t="s">
        <v>100</v>
      </c>
      <c r="E855" s="55">
        <v>3850</v>
      </c>
      <c r="F855" s="182" t="s">
        <v>100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672</v>
      </c>
      <c r="C856" s="205" t="s">
        <v>36</v>
      </c>
      <c r="D856" s="48" t="s">
        <v>100</v>
      </c>
      <c r="E856" s="55">
        <v>3850</v>
      </c>
      <c r="F856" s="182" t="s">
        <v>100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673</v>
      </c>
      <c r="C857" s="205" t="s">
        <v>36</v>
      </c>
      <c r="D857" s="48" t="s">
        <v>100</v>
      </c>
      <c r="E857" s="55">
        <v>3850</v>
      </c>
      <c r="F857" s="182" t="s">
        <v>100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674</v>
      </c>
      <c r="C858" s="205" t="s">
        <v>36</v>
      </c>
      <c r="D858" s="48" t="s">
        <v>100</v>
      </c>
      <c r="E858" s="55">
        <v>3850</v>
      </c>
      <c r="F858" s="182" t="s">
        <v>100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675</v>
      </c>
      <c r="C859" s="205" t="s">
        <v>36</v>
      </c>
      <c r="D859" s="48" t="s">
        <v>100</v>
      </c>
      <c r="E859" s="55">
        <v>3850</v>
      </c>
      <c r="F859" s="182" t="s">
        <v>100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676</v>
      </c>
      <c r="C860" s="205" t="s">
        <v>36</v>
      </c>
      <c r="D860" s="48" t="s">
        <v>100</v>
      </c>
      <c r="E860" s="55">
        <v>3850</v>
      </c>
      <c r="F860" s="182" t="s">
        <v>100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677</v>
      </c>
      <c r="C861" s="205" t="s">
        <v>36</v>
      </c>
      <c r="D861" s="48" t="s">
        <v>100</v>
      </c>
      <c r="E861" s="55">
        <v>3850</v>
      </c>
      <c r="F861" s="182" t="s">
        <v>100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678</v>
      </c>
      <c r="C862" s="205" t="s">
        <v>36</v>
      </c>
      <c r="D862" s="48" t="s">
        <v>100</v>
      </c>
      <c r="E862" s="55">
        <v>3850</v>
      </c>
      <c r="F862" s="182" t="s">
        <v>100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679</v>
      </c>
      <c r="C863" s="205" t="s">
        <v>36</v>
      </c>
      <c r="D863" s="48" t="s">
        <v>100</v>
      </c>
      <c r="E863" s="55">
        <v>3850</v>
      </c>
      <c r="F863" s="182" t="s">
        <v>100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680</v>
      </c>
      <c r="C864" s="205" t="s">
        <v>36</v>
      </c>
      <c r="D864" s="48" t="s">
        <v>100</v>
      </c>
      <c r="E864" s="55">
        <v>3850</v>
      </c>
      <c r="F864" s="182" t="s">
        <v>100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681</v>
      </c>
      <c r="C865" s="205" t="s">
        <v>36</v>
      </c>
      <c r="D865" s="48" t="s">
        <v>100</v>
      </c>
      <c r="E865" s="55">
        <v>3850</v>
      </c>
      <c r="F865" s="182" t="s">
        <v>100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682</v>
      </c>
      <c r="C866" s="205" t="s">
        <v>36</v>
      </c>
      <c r="D866" s="48" t="s">
        <v>100</v>
      </c>
      <c r="E866" s="55">
        <v>3850</v>
      </c>
      <c r="F866" s="182" t="s">
        <v>100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683</v>
      </c>
      <c r="C867" s="205" t="s">
        <v>36</v>
      </c>
      <c r="D867" s="48" t="s">
        <v>100</v>
      </c>
      <c r="E867" s="55">
        <v>3850</v>
      </c>
      <c r="F867" s="182" t="s">
        <v>100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684</v>
      </c>
      <c r="C868" s="205" t="s">
        <v>36</v>
      </c>
      <c r="D868" s="48" t="s">
        <v>100</v>
      </c>
      <c r="E868" s="55">
        <v>3850</v>
      </c>
      <c r="F868" s="182" t="s">
        <v>100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685</v>
      </c>
      <c r="C869" s="205" t="s">
        <v>36</v>
      </c>
      <c r="D869" s="48" t="s">
        <v>100</v>
      </c>
      <c r="E869" s="55">
        <v>3850</v>
      </c>
      <c r="F869" s="182" t="s">
        <v>100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686</v>
      </c>
      <c r="C870" s="205" t="s">
        <v>36</v>
      </c>
      <c r="D870" s="48" t="s">
        <v>100</v>
      </c>
      <c r="E870" s="55">
        <v>3850</v>
      </c>
      <c r="F870" s="182" t="s">
        <v>100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687</v>
      </c>
      <c r="C871" s="205" t="s">
        <v>36</v>
      </c>
      <c r="D871" s="48" t="s">
        <v>100</v>
      </c>
      <c r="E871" s="55">
        <v>8973.7900000000009</v>
      </c>
      <c r="F871" s="182" t="s">
        <v>100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688</v>
      </c>
      <c r="C872" s="205" t="s">
        <v>36</v>
      </c>
      <c r="D872" s="48" t="s">
        <v>100</v>
      </c>
      <c r="E872" s="55">
        <v>8973.7900000000009</v>
      </c>
      <c r="F872" s="182" t="s">
        <v>100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689</v>
      </c>
      <c r="C873" s="205" t="s">
        <v>36</v>
      </c>
      <c r="D873" s="48" t="s">
        <v>100</v>
      </c>
      <c r="E873" s="55">
        <v>8973.7900000000009</v>
      </c>
      <c r="F873" s="182" t="s">
        <v>100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690</v>
      </c>
      <c r="C874" s="205" t="s">
        <v>36</v>
      </c>
      <c r="D874" s="48" t="s">
        <v>100</v>
      </c>
      <c r="E874" s="55">
        <v>1661.24</v>
      </c>
      <c r="F874" s="182" t="s">
        <v>100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691</v>
      </c>
      <c r="C875" s="205" t="s">
        <v>36</v>
      </c>
      <c r="D875" s="48" t="s">
        <v>100</v>
      </c>
      <c r="E875" s="55">
        <v>1661.24</v>
      </c>
      <c r="F875" s="182" t="s">
        <v>100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692</v>
      </c>
      <c r="C876" s="205" t="s">
        <v>36</v>
      </c>
      <c r="D876" s="48" t="s">
        <v>100</v>
      </c>
      <c r="E876" s="55">
        <v>690.75</v>
      </c>
      <c r="F876" s="182" t="s">
        <v>100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693</v>
      </c>
      <c r="C877" s="205" t="s">
        <v>36</v>
      </c>
      <c r="D877" s="48" t="s">
        <v>100</v>
      </c>
      <c r="E877" s="56">
        <v>1505.04</v>
      </c>
      <c r="F877" s="176" t="s">
        <v>100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694</v>
      </c>
      <c r="C878" s="205" t="s">
        <v>36</v>
      </c>
      <c r="D878" s="48" t="s">
        <v>100</v>
      </c>
      <c r="E878" s="56">
        <v>3628.57</v>
      </c>
      <c r="F878" s="176" t="s">
        <v>100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695</v>
      </c>
      <c r="C879" s="205" t="s">
        <v>36</v>
      </c>
      <c r="D879" s="48" t="s">
        <v>100</v>
      </c>
      <c r="E879" s="56">
        <v>1505.04</v>
      </c>
      <c r="F879" s="176" t="s">
        <v>100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696</v>
      </c>
      <c r="C880" s="205" t="s">
        <v>36</v>
      </c>
      <c r="D880" s="48" t="s">
        <v>100</v>
      </c>
      <c r="E880" s="55">
        <v>2898.84</v>
      </c>
      <c r="F880" s="182" t="s">
        <v>100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697</v>
      </c>
      <c r="C881" s="205" t="s">
        <v>36</v>
      </c>
      <c r="D881" s="48" t="s">
        <v>100</v>
      </c>
      <c r="E881" s="55">
        <v>2898.84</v>
      </c>
      <c r="F881" s="182" t="s">
        <v>100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698</v>
      </c>
      <c r="C882" s="205" t="s">
        <v>36</v>
      </c>
      <c r="D882" s="48" t="s">
        <v>100</v>
      </c>
      <c r="E882" s="55">
        <v>2898.84</v>
      </c>
      <c r="F882" s="182" t="s">
        <v>100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699</v>
      </c>
      <c r="C883" s="205" t="s">
        <v>36</v>
      </c>
      <c r="D883" s="48" t="s">
        <v>100</v>
      </c>
      <c r="E883" s="55">
        <v>833</v>
      </c>
      <c r="F883" s="182" t="s">
        <v>100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700</v>
      </c>
      <c r="C884" s="205" t="s">
        <v>36</v>
      </c>
      <c r="D884" s="48" t="s">
        <v>100</v>
      </c>
      <c r="E884" s="55">
        <v>833</v>
      </c>
      <c r="F884" s="182" t="s">
        <v>100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701</v>
      </c>
      <c r="C885" s="205" t="s">
        <v>36</v>
      </c>
      <c r="D885" s="48" t="s">
        <v>100</v>
      </c>
      <c r="E885" s="55">
        <v>1266.6666666666667</v>
      </c>
      <c r="F885" s="182" t="s">
        <v>100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702</v>
      </c>
      <c r="C886" s="205" t="s">
        <v>36</v>
      </c>
      <c r="D886" s="48" t="s">
        <v>100</v>
      </c>
      <c r="E886" s="55">
        <v>1266.6666666666667</v>
      </c>
      <c r="F886" s="182" t="s">
        <v>100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703</v>
      </c>
      <c r="C887" s="205" t="s">
        <v>36</v>
      </c>
      <c r="D887" s="48" t="s">
        <v>100</v>
      </c>
      <c r="E887" s="55">
        <v>1266.6666666666667</v>
      </c>
      <c r="F887" s="182" t="s">
        <v>100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704</v>
      </c>
      <c r="C888" s="205" t="s">
        <v>36</v>
      </c>
      <c r="D888" s="48" t="s">
        <v>100</v>
      </c>
      <c r="E888" s="55">
        <v>1266.6666666666667</v>
      </c>
      <c r="F888" s="182" t="s">
        <v>100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705</v>
      </c>
      <c r="C889" s="205" t="s">
        <v>36</v>
      </c>
      <c r="D889" s="48" t="s">
        <v>100</v>
      </c>
      <c r="E889" s="43">
        <v>1266.6666666666667</v>
      </c>
      <c r="F889" s="176" t="s">
        <v>100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706</v>
      </c>
      <c r="C890" s="205" t="s">
        <v>36</v>
      </c>
      <c r="D890" s="48" t="s">
        <v>100</v>
      </c>
      <c r="E890" s="55">
        <v>1266.6666666666667</v>
      </c>
      <c r="F890" s="182" t="s">
        <v>100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707</v>
      </c>
      <c r="C891" s="205" t="s">
        <v>36</v>
      </c>
      <c r="D891" s="48" t="s">
        <v>100</v>
      </c>
      <c r="E891" s="55">
        <v>1266.6666666666667</v>
      </c>
      <c r="F891" s="182" t="s">
        <v>100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708</v>
      </c>
      <c r="C892" s="205" t="s">
        <v>36</v>
      </c>
      <c r="D892" s="48" t="s">
        <v>100</v>
      </c>
      <c r="E892" s="55">
        <v>1266.6666666666667</v>
      </c>
      <c r="F892" s="182" t="s">
        <v>100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709</v>
      </c>
      <c r="C893" s="205" t="s">
        <v>36</v>
      </c>
      <c r="D893" s="48" t="s">
        <v>100</v>
      </c>
      <c r="E893" s="55">
        <v>1266.6666666666667</v>
      </c>
      <c r="F893" s="182" t="s">
        <v>100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710</v>
      </c>
      <c r="C894" s="205" t="s">
        <v>36</v>
      </c>
      <c r="D894" s="48" t="s">
        <v>100</v>
      </c>
      <c r="E894" s="55">
        <v>1266.6666666666667</v>
      </c>
      <c r="F894" s="182" t="s">
        <v>100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711</v>
      </c>
      <c r="C895" s="205" t="s">
        <v>36</v>
      </c>
      <c r="D895" s="48" t="s">
        <v>100</v>
      </c>
      <c r="E895" s="55">
        <v>1266.6666666666667</v>
      </c>
      <c r="F895" s="182" t="s">
        <v>100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712</v>
      </c>
      <c r="C896" s="205" t="s">
        <v>36</v>
      </c>
      <c r="D896" s="48" t="s">
        <v>100</v>
      </c>
      <c r="E896" s="55">
        <v>1266.6666666666667</v>
      </c>
      <c r="F896" s="182" t="s">
        <v>100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713</v>
      </c>
      <c r="C897" s="205" t="s">
        <v>36</v>
      </c>
      <c r="D897" s="48" t="s">
        <v>100</v>
      </c>
      <c r="E897" s="55">
        <v>455.66624999999999</v>
      </c>
      <c r="F897" s="182" t="s">
        <v>100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714</v>
      </c>
      <c r="C898" s="205" t="s">
        <v>36</v>
      </c>
      <c r="D898" s="48" t="s">
        <v>100</v>
      </c>
      <c r="E898" s="55">
        <v>455.66624999999999</v>
      </c>
      <c r="F898" s="182" t="s">
        <v>100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715</v>
      </c>
      <c r="C899" s="205" t="s">
        <v>36</v>
      </c>
      <c r="D899" s="48" t="s">
        <v>100</v>
      </c>
      <c r="E899" s="55">
        <v>455.66624999999999</v>
      </c>
      <c r="F899" s="182" t="s">
        <v>100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716</v>
      </c>
      <c r="C900" s="205" t="s">
        <v>36</v>
      </c>
      <c r="D900" s="48" t="s">
        <v>100</v>
      </c>
      <c r="E900" s="55">
        <v>455.66624999999999</v>
      </c>
      <c r="F900" s="182" t="s">
        <v>100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717</v>
      </c>
      <c r="C901" s="205" t="s">
        <v>36</v>
      </c>
      <c r="D901" s="48" t="s">
        <v>100</v>
      </c>
      <c r="E901" s="55">
        <v>455.66624999999999</v>
      </c>
      <c r="F901" s="182" t="s">
        <v>100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718</v>
      </c>
      <c r="C902" s="205" t="s">
        <v>36</v>
      </c>
      <c r="D902" s="48" t="s">
        <v>100</v>
      </c>
      <c r="E902" s="55">
        <v>455.66624999999999</v>
      </c>
      <c r="F902" s="182" t="s">
        <v>100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719</v>
      </c>
      <c r="C903" s="205" t="s">
        <v>36</v>
      </c>
      <c r="D903" s="48" t="s">
        <v>100</v>
      </c>
      <c r="E903" s="55">
        <v>455.66624999999999</v>
      </c>
      <c r="F903" s="182" t="s">
        <v>100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720</v>
      </c>
      <c r="C904" s="205" t="s">
        <v>36</v>
      </c>
      <c r="D904" s="48" t="s">
        <v>100</v>
      </c>
      <c r="E904" s="55">
        <v>455.66624999999999</v>
      </c>
      <c r="F904" s="182" t="s">
        <v>100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721</v>
      </c>
      <c r="C905" s="205" t="s">
        <v>36</v>
      </c>
      <c r="D905" s="48" t="s">
        <v>100</v>
      </c>
      <c r="E905" s="55">
        <v>455.66624999999999</v>
      </c>
      <c r="F905" s="182" t="s">
        <v>100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722</v>
      </c>
      <c r="C906" s="205" t="s">
        <v>36</v>
      </c>
      <c r="D906" s="48" t="s">
        <v>100</v>
      </c>
      <c r="E906" s="55">
        <v>455.66624999999999</v>
      </c>
      <c r="F906" s="182" t="s">
        <v>100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723</v>
      </c>
      <c r="C907" s="205" t="s">
        <v>36</v>
      </c>
      <c r="D907" s="48" t="s">
        <v>100</v>
      </c>
      <c r="E907" s="55">
        <v>455.66624999999999</v>
      </c>
      <c r="F907" s="182" t="s">
        <v>100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724</v>
      </c>
      <c r="C908" s="205" t="s">
        <v>36</v>
      </c>
      <c r="D908" s="48" t="s">
        <v>100</v>
      </c>
      <c r="E908" s="55">
        <v>455.66624999999999</v>
      </c>
      <c r="F908" s="182" t="s">
        <v>100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725</v>
      </c>
      <c r="C909" s="205" t="s">
        <v>36</v>
      </c>
      <c r="D909" s="48" t="s">
        <v>100</v>
      </c>
      <c r="E909" s="55">
        <v>455.66624999999999</v>
      </c>
      <c r="F909" s="182" t="s">
        <v>100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726</v>
      </c>
      <c r="C910" s="205" t="s">
        <v>36</v>
      </c>
      <c r="D910" s="48" t="s">
        <v>100</v>
      </c>
      <c r="E910" s="55">
        <v>455.66624999999999</v>
      </c>
      <c r="F910" s="182" t="s">
        <v>100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727</v>
      </c>
      <c r="C911" s="205" t="s">
        <v>36</v>
      </c>
      <c r="D911" s="48" t="s">
        <v>100</v>
      </c>
      <c r="E911" s="43">
        <v>3356</v>
      </c>
      <c r="F911" s="176" t="s">
        <v>100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728</v>
      </c>
      <c r="C912" s="205" t="s">
        <v>36</v>
      </c>
      <c r="D912" s="48" t="s">
        <v>100</v>
      </c>
      <c r="E912" s="55">
        <v>1900</v>
      </c>
      <c r="F912" s="182" t="s">
        <v>100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729</v>
      </c>
      <c r="C913" s="205" t="s">
        <v>36</v>
      </c>
      <c r="D913" s="48" t="s">
        <v>100</v>
      </c>
      <c r="E913" s="55">
        <v>1900</v>
      </c>
      <c r="F913" s="182" t="s">
        <v>100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730</v>
      </c>
      <c r="C914" s="205" t="s">
        <v>36</v>
      </c>
      <c r="D914" s="48" t="s">
        <v>100</v>
      </c>
      <c r="E914" s="55">
        <v>23075</v>
      </c>
      <c r="F914" s="182" t="s">
        <v>100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731</v>
      </c>
      <c r="C915" s="205" t="s">
        <v>36</v>
      </c>
      <c r="D915" s="48" t="s">
        <v>100</v>
      </c>
      <c r="E915" s="55">
        <v>23075.289999999997</v>
      </c>
      <c r="F915" s="176" t="s">
        <v>100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732</v>
      </c>
      <c r="C916" s="205" t="s">
        <v>36</v>
      </c>
      <c r="D916" s="48" t="s">
        <v>100</v>
      </c>
      <c r="E916" s="55">
        <v>1018.64</v>
      </c>
      <c r="F916" s="182" t="s">
        <v>100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733</v>
      </c>
      <c r="C917" s="205" t="s">
        <v>36</v>
      </c>
      <c r="D917" s="48" t="s">
        <v>100</v>
      </c>
      <c r="E917" s="55">
        <v>1018.64</v>
      </c>
      <c r="F917" s="182" t="s">
        <v>100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734</v>
      </c>
      <c r="C918" s="205" t="s">
        <v>36</v>
      </c>
      <c r="D918" s="48" t="s">
        <v>100</v>
      </c>
      <c r="E918" s="43">
        <v>3356</v>
      </c>
      <c r="F918" s="176" t="s">
        <v>100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735</v>
      </c>
      <c r="C919" s="205" t="s">
        <v>36</v>
      </c>
      <c r="D919" s="48" t="s">
        <v>100</v>
      </c>
      <c r="E919" s="43">
        <v>3356</v>
      </c>
      <c r="F919" s="176" t="s">
        <v>100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736</v>
      </c>
      <c r="C920" s="205" t="s">
        <v>36</v>
      </c>
      <c r="D920" s="48" t="s">
        <v>100</v>
      </c>
      <c r="E920" s="43">
        <v>3356</v>
      </c>
      <c r="F920" s="176" t="s">
        <v>100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737</v>
      </c>
      <c r="C921" s="205" t="s">
        <v>36</v>
      </c>
      <c r="D921" s="48" t="s">
        <v>100</v>
      </c>
      <c r="E921" s="43">
        <v>3356</v>
      </c>
      <c r="F921" s="176" t="s">
        <v>100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738</v>
      </c>
      <c r="C922" s="205" t="s">
        <v>36</v>
      </c>
      <c r="D922" s="48" t="s">
        <v>100</v>
      </c>
      <c r="E922" s="55">
        <v>3356</v>
      </c>
      <c r="F922" s="182" t="s">
        <v>100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739</v>
      </c>
      <c r="C923" s="205" t="s">
        <v>36</v>
      </c>
      <c r="D923" s="48" t="s">
        <v>100</v>
      </c>
      <c r="E923" s="43">
        <v>3356</v>
      </c>
      <c r="F923" s="176" t="s">
        <v>100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740</v>
      </c>
      <c r="C924" s="205" t="s">
        <v>36</v>
      </c>
      <c r="D924" s="48" t="s">
        <v>100</v>
      </c>
      <c r="E924" s="43">
        <v>3356</v>
      </c>
      <c r="F924" s="176" t="s">
        <v>100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741</v>
      </c>
      <c r="C925" s="205" t="s">
        <v>36</v>
      </c>
      <c r="D925" s="48" t="s">
        <v>100</v>
      </c>
      <c r="E925" s="43">
        <v>3356</v>
      </c>
      <c r="F925" s="176" t="s">
        <v>100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742</v>
      </c>
      <c r="C926" s="205" t="s">
        <v>36</v>
      </c>
      <c r="D926" s="48" t="s">
        <v>100</v>
      </c>
      <c r="E926" s="55">
        <v>198</v>
      </c>
      <c r="F926" s="182" t="s">
        <v>100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743</v>
      </c>
      <c r="C927" s="205" t="s">
        <v>36</v>
      </c>
      <c r="D927" s="48" t="s">
        <v>100</v>
      </c>
      <c r="E927" s="55">
        <v>3356</v>
      </c>
      <c r="F927" s="182" t="s">
        <v>100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744</v>
      </c>
      <c r="C928" s="205" t="s">
        <v>36</v>
      </c>
      <c r="D928" s="48" t="s">
        <v>100</v>
      </c>
      <c r="E928" s="55">
        <v>198</v>
      </c>
      <c r="F928" s="182" t="s">
        <v>100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745</v>
      </c>
      <c r="C929" s="205" t="s">
        <v>36</v>
      </c>
      <c r="D929" s="48" t="s">
        <v>100</v>
      </c>
      <c r="E929" s="55">
        <v>3356</v>
      </c>
      <c r="F929" s="182" t="s">
        <v>100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746</v>
      </c>
      <c r="C930" s="205" t="s">
        <v>36</v>
      </c>
      <c r="D930" s="48" t="s">
        <v>100</v>
      </c>
      <c r="E930" s="55">
        <v>3356</v>
      </c>
      <c r="F930" s="182" t="s">
        <v>100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747</v>
      </c>
      <c r="C931" s="205" t="s">
        <v>36</v>
      </c>
      <c r="D931" s="48" t="s">
        <v>100</v>
      </c>
      <c r="E931" s="43">
        <v>198</v>
      </c>
      <c r="F931" s="176" t="s">
        <v>100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748</v>
      </c>
      <c r="C932" s="205" t="s">
        <v>36</v>
      </c>
      <c r="D932" s="48" t="s">
        <v>100</v>
      </c>
      <c r="E932" s="55">
        <v>198</v>
      </c>
      <c r="F932" s="182" t="s">
        <v>100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749</v>
      </c>
      <c r="C933" s="205" t="s">
        <v>36</v>
      </c>
      <c r="D933" s="48" t="s">
        <v>100</v>
      </c>
      <c r="E933" s="55">
        <v>198</v>
      </c>
      <c r="F933" s="182" t="s">
        <v>100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750</v>
      </c>
      <c r="C934" s="205" t="s">
        <v>36</v>
      </c>
      <c r="D934" s="48" t="s">
        <v>100</v>
      </c>
      <c r="E934" s="55">
        <v>198</v>
      </c>
      <c r="F934" s="182" t="s">
        <v>100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751</v>
      </c>
      <c r="C935" s="205" t="s">
        <v>36</v>
      </c>
      <c r="D935" s="48" t="s">
        <v>100</v>
      </c>
      <c r="E935" s="55">
        <v>198</v>
      </c>
      <c r="F935" s="182" t="s">
        <v>100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752</v>
      </c>
      <c r="C936" s="205" t="s">
        <v>36</v>
      </c>
      <c r="D936" s="48" t="s">
        <v>100</v>
      </c>
      <c r="E936" s="55">
        <v>3356</v>
      </c>
      <c r="F936" s="182" t="s">
        <v>100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753</v>
      </c>
      <c r="C937" s="205" t="s">
        <v>36</v>
      </c>
      <c r="D937" s="48" t="s">
        <v>100</v>
      </c>
      <c r="E937" s="55">
        <v>1100</v>
      </c>
      <c r="F937" s="182" t="s">
        <v>100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754</v>
      </c>
      <c r="C938" s="205" t="s">
        <v>36</v>
      </c>
      <c r="D938" s="48" t="s">
        <v>100</v>
      </c>
      <c r="E938" s="55">
        <v>1350</v>
      </c>
      <c r="F938" s="182" t="s">
        <v>100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755</v>
      </c>
      <c r="C939" s="205" t="s">
        <v>36</v>
      </c>
      <c r="D939" s="48" t="s">
        <v>100</v>
      </c>
      <c r="E939" s="55">
        <v>925</v>
      </c>
      <c r="F939" s="182" t="s">
        <v>100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756</v>
      </c>
      <c r="C940" s="205" t="s">
        <v>36</v>
      </c>
      <c r="D940" s="48" t="s">
        <v>100</v>
      </c>
      <c r="E940" s="43">
        <v>3373</v>
      </c>
      <c r="F940" s="176" t="s">
        <v>100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757</v>
      </c>
      <c r="C941" s="205" t="s">
        <v>36</v>
      </c>
      <c r="D941" s="48" t="s">
        <v>100</v>
      </c>
      <c r="E941" s="56">
        <v>1275.68</v>
      </c>
      <c r="F941" s="176" t="s">
        <v>100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758</v>
      </c>
      <c r="C942" s="205" t="s">
        <v>36</v>
      </c>
      <c r="D942" s="48" t="s">
        <v>100</v>
      </c>
      <c r="E942" s="55">
        <v>3373</v>
      </c>
      <c r="F942" s="182" t="s">
        <v>100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759</v>
      </c>
      <c r="C943" s="205" t="s">
        <v>36</v>
      </c>
      <c r="D943" s="48" t="s">
        <v>100</v>
      </c>
      <c r="E943" s="56">
        <v>1275.68</v>
      </c>
      <c r="F943" s="176" t="s">
        <v>100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760</v>
      </c>
      <c r="C944" s="205" t="s">
        <v>36</v>
      </c>
      <c r="D944" s="48" t="s">
        <v>100</v>
      </c>
      <c r="E944" s="43">
        <v>1275.68</v>
      </c>
      <c r="F944" s="176" t="s">
        <v>100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761</v>
      </c>
      <c r="C945" s="205" t="s">
        <v>36</v>
      </c>
      <c r="D945" s="48" t="s">
        <v>100</v>
      </c>
      <c r="E945" s="55">
        <v>2746.52</v>
      </c>
      <c r="F945" s="182" t="s">
        <v>100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762</v>
      </c>
      <c r="C946" s="205" t="s">
        <v>36</v>
      </c>
      <c r="D946" s="48" t="s">
        <v>100</v>
      </c>
      <c r="E946" s="43">
        <v>1275.68</v>
      </c>
      <c r="F946" s="176" t="s">
        <v>100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763</v>
      </c>
      <c r="C947" s="205" t="s">
        <v>36</v>
      </c>
      <c r="D947" s="48" t="s">
        <v>100</v>
      </c>
      <c r="E947" s="43">
        <v>1225.7</v>
      </c>
      <c r="F947" s="176" t="s">
        <v>100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764</v>
      </c>
      <c r="C948" s="205" t="s">
        <v>36</v>
      </c>
      <c r="D948" s="48" t="s">
        <v>100</v>
      </c>
      <c r="E948" s="43">
        <v>3881.78</v>
      </c>
      <c r="F948" s="176" t="s">
        <v>100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765</v>
      </c>
      <c r="C949" s="205" t="s">
        <v>36</v>
      </c>
      <c r="D949" s="48" t="s">
        <v>100</v>
      </c>
      <c r="E949" s="43">
        <v>1275.68</v>
      </c>
      <c r="F949" s="176" t="s">
        <v>100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766</v>
      </c>
      <c r="C950" s="205" t="s">
        <v>36</v>
      </c>
      <c r="D950" s="48" t="s">
        <v>100</v>
      </c>
      <c r="E950" s="43">
        <v>3881.78</v>
      </c>
      <c r="F950" s="176" t="s">
        <v>100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767</v>
      </c>
      <c r="C951" s="205" t="s">
        <v>36</v>
      </c>
      <c r="D951" s="48" t="s">
        <v>100</v>
      </c>
      <c r="E951" s="55">
        <v>1225.7</v>
      </c>
      <c r="F951" s="182" t="s">
        <v>100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768</v>
      </c>
      <c r="C952" s="205" t="s">
        <v>36</v>
      </c>
      <c r="D952" s="48" t="s">
        <v>100</v>
      </c>
      <c r="E952" s="43">
        <v>1225.7</v>
      </c>
      <c r="F952" s="176" t="s">
        <v>100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769</v>
      </c>
      <c r="C953" s="205" t="s">
        <v>36</v>
      </c>
      <c r="D953" s="48" t="s">
        <v>100</v>
      </c>
      <c r="E953" s="43">
        <v>2400</v>
      </c>
      <c r="F953" s="176" t="s">
        <v>100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770</v>
      </c>
      <c r="C954" s="205" t="s">
        <v>36</v>
      </c>
      <c r="D954" s="48" t="s">
        <v>100</v>
      </c>
      <c r="E954" s="43">
        <v>1275.68</v>
      </c>
      <c r="F954" s="176" t="s">
        <v>100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771</v>
      </c>
      <c r="C955" s="205" t="s">
        <v>36</v>
      </c>
      <c r="D955" s="48" t="s">
        <v>100</v>
      </c>
      <c r="E955" s="43">
        <v>1225.7</v>
      </c>
      <c r="F955" s="176" t="s">
        <v>100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772</v>
      </c>
      <c r="C956" s="205" t="s">
        <v>36</v>
      </c>
      <c r="D956" s="48" t="s">
        <v>100</v>
      </c>
      <c r="E956" s="43">
        <v>1275.68</v>
      </c>
      <c r="F956" s="176" t="s">
        <v>100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773</v>
      </c>
      <c r="C957" s="205" t="s">
        <v>36</v>
      </c>
      <c r="D957" s="48" t="s">
        <v>100</v>
      </c>
      <c r="E957" s="43">
        <v>2400</v>
      </c>
      <c r="F957" s="176" t="s">
        <v>100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774</v>
      </c>
      <c r="C958" s="205" t="s">
        <v>36</v>
      </c>
      <c r="D958" s="48" t="s">
        <v>100</v>
      </c>
      <c r="E958" s="55">
        <v>873.94</v>
      </c>
      <c r="F958" s="182" t="s">
        <v>100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775</v>
      </c>
      <c r="C959" s="205" t="s">
        <v>36</v>
      </c>
      <c r="D959" s="48" t="s">
        <v>100</v>
      </c>
      <c r="E959" s="55">
        <v>873.94</v>
      </c>
      <c r="F959" s="182" t="s">
        <v>100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776</v>
      </c>
      <c r="C960" s="205" t="s">
        <v>36</v>
      </c>
      <c r="D960" s="48" t="s">
        <v>100</v>
      </c>
      <c r="E960" s="55">
        <v>873.94</v>
      </c>
      <c r="F960" s="182" t="s">
        <v>100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777</v>
      </c>
      <c r="C961" s="205" t="s">
        <v>36</v>
      </c>
      <c r="D961" s="48" t="s">
        <v>100</v>
      </c>
      <c r="E961" s="55">
        <v>873.94</v>
      </c>
      <c r="F961" s="182" t="s">
        <v>100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778</v>
      </c>
      <c r="C962" s="205" t="s">
        <v>36</v>
      </c>
      <c r="D962" s="48" t="s">
        <v>100</v>
      </c>
      <c r="E962" s="43">
        <v>131.97</v>
      </c>
      <c r="F962" s="176" t="s">
        <v>100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779</v>
      </c>
      <c r="C963" s="205" t="s">
        <v>36</v>
      </c>
      <c r="D963" s="48" t="s">
        <v>100</v>
      </c>
      <c r="E963" s="55">
        <v>5450</v>
      </c>
      <c r="F963" s="182" t="s">
        <v>100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780</v>
      </c>
      <c r="C964" s="205" t="s">
        <v>36</v>
      </c>
      <c r="D964" s="48" t="s">
        <v>100</v>
      </c>
      <c r="E964" s="55">
        <v>5450</v>
      </c>
      <c r="F964" s="182" t="s">
        <v>100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781</v>
      </c>
      <c r="C965" s="205" t="s">
        <v>36</v>
      </c>
      <c r="D965" s="48" t="s">
        <v>100</v>
      </c>
      <c r="E965" s="55">
        <v>5450</v>
      </c>
      <c r="F965" s="182" t="s">
        <v>100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782</v>
      </c>
      <c r="C966" s="205" t="s">
        <v>36</v>
      </c>
      <c r="D966" s="48" t="s">
        <v>100</v>
      </c>
      <c r="E966" s="55">
        <v>5450</v>
      </c>
      <c r="F966" s="182" t="s">
        <v>100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783</v>
      </c>
      <c r="C967" s="205" t="s">
        <v>36</v>
      </c>
      <c r="D967" s="48" t="s">
        <v>100</v>
      </c>
      <c r="E967" s="55">
        <v>5450</v>
      </c>
      <c r="F967" s="182" t="s">
        <v>100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784</v>
      </c>
      <c r="C968" s="205" t="s">
        <v>36</v>
      </c>
      <c r="D968" s="48" t="s">
        <v>100</v>
      </c>
      <c r="E968" s="55">
        <v>5450</v>
      </c>
      <c r="F968" s="182" t="s">
        <v>100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785</v>
      </c>
      <c r="C969" s="205" t="s">
        <v>36</v>
      </c>
      <c r="D969" s="48" t="s">
        <v>100</v>
      </c>
      <c r="E969" s="55">
        <v>5450</v>
      </c>
      <c r="F969" s="182" t="s">
        <v>100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786</v>
      </c>
      <c r="C970" s="205" t="s">
        <v>36</v>
      </c>
      <c r="D970" s="48" t="s">
        <v>100</v>
      </c>
      <c r="E970" s="55">
        <v>5450</v>
      </c>
      <c r="F970" s="182" t="s">
        <v>100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787</v>
      </c>
      <c r="C971" s="205" t="s">
        <v>36</v>
      </c>
      <c r="D971" s="48" t="s">
        <v>100</v>
      </c>
      <c r="E971" s="43">
        <v>131.97</v>
      </c>
      <c r="F971" s="176" t="s">
        <v>100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788</v>
      </c>
      <c r="C972" s="205" t="s">
        <v>36</v>
      </c>
      <c r="D972" s="48" t="s">
        <v>100</v>
      </c>
      <c r="E972" s="43">
        <v>131.97</v>
      </c>
      <c r="F972" s="176" t="s">
        <v>100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789</v>
      </c>
      <c r="C973" s="205" t="s">
        <v>36</v>
      </c>
      <c r="D973" s="48" t="s">
        <v>100</v>
      </c>
      <c r="E973" s="43">
        <v>249.9</v>
      </c>
      <c r="F973" s="176" t="s">
        <v>231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790</v>
      </c>
      <c r="C974" s="205" t="s">
        <v>36</v>
      </c>
      <c r="D974" s="48" t="s">
        <v>100</v>
      </c>
      <c r="E974" s="43">
        <v>131.97</v>
      </c>
      <c r="F974" s="176" t="s">
        <v>230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791</v>
      </c>
      <c r="C975" s="205" t="s">
        <v>36</v>
      </c>
      <c r="D975" s="48" t="s">
        <v>100</v>
      </c>
      <c r="E975" s="43">
        <v>131.97</v>
      </c>
      <c r="F975" s="176" t="s">
        <v>100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792</v>
      </c>
      <c r="C976" s="205" t="s">
        <v>36</v>
      </c>
      <c r="D976" s="48" t="s">
        <v>100</v>
      </c>
      <c r="E976" s="55">
        <v>131.97</v>
      </c>
      <c r="F976" s="182" t="s">
        <v>100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793</v>
      </c>
      <c r="C977" s="205" t="s">
        <v>36</v>
      </c>
      <c r="D977" s="48" t="s">
        <v>100</v>
      </c>
      <c r="E977" s="43">
        <v>131.97</v>
      </c>
      <c r="F977" s="176" t="s">
        <v>100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794</v>
      </c>
      <c r="C978" s="205" t="s">
        <v>36</v>
      </c>
      <c r="D978" s="48" t="s">
        <v>100</v>
      </c>
      <c r="E978" s="43">
        <v>131.97</v>
      </c>
      <c r="F978" s="176" t="s">
        <v>100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795</v>
      </c>
      <c r="C979" s="205" t="s">
        <v>36</v>
      </c>
      <c r="D979" s="48" t="s">
        <v>100</v>
      </c>
      <c r="E979" s="43">
        <v>131.97</v>
      </c>
      <c r="F979" s="176" t="s">
        <v>100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796</v>
      </c>
      <c r="C980" s="205" t="s">
        <v>36</v>
      </c>
      <c r="D980" s="48" t="s">
        <v>100</v>
      </c>
      <c r="E980" s="43">
        <v>131.97</v>
      </c>
      <c r="F980" s="176" t="s">
        <v>100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797</v>
      </c>
      <c r="C981" s="205" t="s">
        <v>36</v>
      </c>
      <c r="D981" s="48" t="s">
        <v>100</v>
      </c>
      <c r="E981" s="43">
        <v>131.97</v>
      </c>
      <c r="F981" s="176" t="s">
        <v>100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798</v>
      </c>
      <c r="C982" s="205" t="s">
        <v>36</v>
      </c>
      <c r="D982" s="48" t="s">
        <v>100</v>
      </c>
      <c r="E982" s="43">
        <v>131.97</v>
      </c>
      <c r="F982" s="176" t="s">
        <v>100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799</v>
      </c>
      <c r="C983" s="205" t="s">
        <v>36</v>
      </c>
      <c r="D983" s="48" t="s">
        <v>100</v>
      </c>
      <c r="E983" s="43">
        <v>131.97</v>
      </c>
      <c r="F983" s="182" t="s">
        <v>100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800</v>
      </c>
      <c r="C984" s="205" t="s">
        <v>36</v>
      </c>
      <c r="D984" s="48" t="s">
        <v>100</v>
      </c>
      <c r="E984" s="43">
        <v>131.97</v>
      </c>
      <c r="F984" s="176" t="s">
        <v>100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801</v>
      </c>
      <c r="C985" s="205" t="s">
        <v>36</v>
      </c>
      <c r="D985" s="48" t="s">
        <v>100</v>
      </c>
      <c r="E985" s="43">
        <v>131.97</v>
      </c>
      <c r="F985" s="176" t="s">
        <v>100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802</v>
      </c>
      <c r="C986" s="205" t="s">
        <v>36</v>
      </c>
      <c r="D986" s="48" t="s">
        <v>100</v>
      </c>
      <c r="E986" s="43">
        <v>131.97</v>
      </c>
      <c r="F986" s="176" t="s">
        <v>100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803</v>
      </c>
      <c r="C987" s="205" t="s">
        <v>36</v>
      </c>
      <c r="D987" s="48" t="s">
        <v>100</v>
      </c>
      <c r="E987" s="55">
        <v>131.97</v>
      </c>
      <c r="F987" s="182" t="s">
        <v>100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804</v>
      </c>
      <c r="C988" s="205" t="s">
        <v>36</v>
      </c>
      <c r="D988" s="48" t="s">
        <v>100</v>
      </c>
      <c r="E988" s="43">
        <v>131.97</v>
      </c>
      <c r="F988" s="176" t="s">
        <v>100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805</v>
      </c>
      <c r="C989" s="205" t="s">
        <v>36</v>
      </c>
      <c r="D989" s="48" t="s">
        <v>100</v>
      </c>
      <c r="E989" s="43">
        <v>131.97</v>
      </c>
      <c r="F989" s="176" t="s">
        <v>100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806</v>
      </c>
      <c r="C990" s="205" t="s">
        <v>36</v>
      </c>
      <c r="D990" s="48" t="s">
        <v>100</v>
      </c>
      <c r="E990" s="43">
        <v>131.97</v>
      </c>
      <c r="F990" s="176" t="s">
        <v>100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807</v>
      </c>
      <c r="C991" s="205" t="s">
        <v>36</v>
      </c>
      <c r="D991" s="48" t="s">
        <v>100</v>
      </c>
      <c r="E991" s="43">
        <v>131.97</v>
      </c>
      <c r="F991" s="176" t="s">
        <v>100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808</v>
      </c>
      <c r="C992" s="205" t="s">
        <v>36</v>
      </c>
      <c r="D992" s="48" t="s">
        <v>100</v>
      </c>
      <c r="E992" s="55">
        <v>131.97</v>
      </c>
      <c r="F992" s="182" t="s">
        <v>100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809</v>
      </c>
      <c r="C993" s="205" t="s">
        <v>36</v>
      </c>
      <c r="D993" s="48" t="s">
        <v>100</v>
      </c>
      <c r="E993" s="55">
        <v>6957.9299999999994</v>
      </c>
      <c r="F993" s="182" t="s">
        <v>100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810</v>
      </c>
      <c r="C994" s="205" t="s">
        <v>36</v>
      </c>
      <c r="D994" s="48" t="s">
        <v>100</v>
      </c>
      <c r="E994" s="55">
        <v>2563</v>
      </c>
      <c r="F994" s="182" t="s">
        <v>100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811</v>
      </c>
      <c r="C995" s="205" t="s">
        <v>36</v>
      </c>
      <c r="D995" s="48" t="s">
        <v>100</v>
      </c>
      <c r="E995" s="55">
        <v>2563</v>
      </c>
      <c r="F995" s="182" t="s">
        <v>100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812</v>
      </c>
      <c r="C996" s="205" t="s">
        <v>36</v>
      </c>
      <c r="D996" s="48" t="s">
        <v>100</v>
      </c>
      <c r="E996" s="55">
        <v>2563</v>
      </c>
      <c r="F996" s="182" t="s">
        <v>100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813</v>
      </c>
      <c r="C997" s="205" t="s">
        <v>36</v>
      </c>
      <c r="D997" s="48" t="s">
        <v>100</v>
      </c>
      <c r="E997" s="55">
        <v>2563</v>
      </c>
      <c r="F997" s="182" t="s">
        <v>100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814</v>
      </c>
      <c r="C998" s="205" t="s">
        <v>36</v>
      </c>
      <c r="D998" s="48" t="s">
        <v>100</v>
      </c>
      <c r="E998" s="55">
        <v>2885.5</v>
      </c>
      <c r="F998" s="182" t="s">
        <v>100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815</v>
      </c>
      <c r="C999" s="205" t="s">
        <v>36</v>
      </c>
      <c r="D999" s="48" t="s">
        <v>100</v>
      </c>
      <c r="E999" s="55">
        <v>2885.5</v>
      </c>
      <c r="F999" s="182" t="s">
        <v>100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816</v>
      </c>
      <c r="C1000" s="205" t="s">
        <v>36</v>
      </c>
      <c r="D1000" s="48" t="s">
        <v>100</v>
      </c>
      <c r="E1000" s="55">
        <v>2885.5</v>
      </c>
      <c r="F1000" s="182" t="s">
        <v>100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817</v>
      </c>
      <c r="C1001" s="205" t="s">
        <v>36</v>
      </c>
      <c r="D1001" s="48" t="s">
        <v>100</v>
      </c>
      <c r="E1001" s="55">
        <v>2885.5</v>
      </c>
      <c r="F1001" s="182" t="s">
        <v>100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818</v>
      </c>
      <c r="C1002" s="205" t="s">
        <v>36</v>
      </c>
      <c r="D1002" s="48" t="s">
        <v>100</v>
      </c>
      <c r="E1002" s="55">
        <v>2885.5</v>
      </c>
      <c r="F1002" s="182" t="s">
        <v>100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819</v>
      </c>
      <c r="C1003" s="205" t="s">
        <v>36</v>
      </c>
      <c r="D1003" s="48" t="s">
        <v>100</v>
      </c>
      <c r="E1003" s="55">
        <v>2885.5</v>
      </c>
      <c r="F1003" s="182" t="s">
        <v>100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820</v>
      </c>
      <c r="C1004" s="205" t="s">
        <v>36</v>
      </c>
      <c r="D1004" s="48" t="s">
        <v>100</v>
      </c>
      <c r="E1004" s="55">
        <v>2885.5</v>
      </c>
      <c r="F1004" s="182" t="s">
        <v>100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821</v>
      </c>
      <c r="C1005" s="205" t="s">
        <v>36</v>
      </c>
      <c r="D1005" s="48" t="s">
        <v>100</v>
      </c>
      <c r="E1005" s="55">
        <v>2885.5</v>
      </c>
      <c r="F1005" s="182" t="s">
        <v>100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822</v>
      </c>
      <c r="C1006" s="205" t="s">
        <v>36</v>
      </c>
      <c r="D1006" s="48" t="s">
        <v>100</v>
      </c>
      <c r="E1006" s="55">
        <v>2785.5</v>
      </c>
      <c r="F1006" s="182" t="s">
        <v>100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823</v>
      </c>
      <c r="C1007" s="205" t="s">
        <v>36</v>
      </c>
      <c r="D1007" s="48" t="s">
        <v>100</v>
      </c>
      <c r="E1007" s="55">
        <v>2785.5</v>
      </c>
      <c r="F1007" s="182" t="s">
        <v>100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824</v>
      </c>
      <c r="C1008" s="205" t="s">
        <v>36</v>
      </c>
      <c r="D1008" s="48" t="s">
        <v>100</v>
      </c>
      <c r="E1008" s="55">
        <v>1</v>
      </c>
      <c r="F1008" s="182" t="s">
        <v>100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825</v>
      </c>
      <c r="C1009" s="205" t="s">
        <v>36</v>
      </c>
      <c r="D1009" s="48" t="s">
        <v>100</v>
      </c>
      <c r="E1009" s="55">
        <v>1200</v>
      </c>
      <c r="F1009" s="182" t="s">
        <v>100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826</v>
      </c>
      <c r="C1010" s="205" t="s">
        <v>36</v>
      </c>
      <c r="D1010" s="48" t="s">
        <v>100</v>
      </c>
      <c r="E1010" s="55">
        <v>1200</v>
      </c>
      <c r="F1010" s="182" t="s">
        <v>100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827</v>
      </c>
      <c r="C1011" s="205" t="s">
        <v>36</v>
      </c>
      <c r="D1011" s="48" t="s">
        <v>100</v>
      </c>
      <c r="E1011" s="55">
        <v>1200</v>
      </c>
      <c r="F1011" s="182" t="s">
        <v>100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828</v>
      </c>
      <c r="C1012" s="205" t="s">
        <v>36</v>
      </c>
      <c r="D1012" s="48" t="s">
        <v>100</v>
      </c>
      <c r="E1012" s="55">
        <v>500</v>
      </c>
      <c r="F1012" s="182" t="s">
        <v>100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829</v>
      </c>
      <c r="C1013" s="205" t="s">
        <v>36</v>
      </c>
      <c r="D1013" s="48" t="s">
        <v>100</v>
      </c>
      <c r="E1013" s="55">
        <v>500</v>
      </c>
      <c r="F1013" s="182" t="s">
        <v>100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830</v>
      </c>
      <c r="C1014" s="205" t="s">
        <v>36</v>
      </c>
      <c r="D1014" s="48" t="s">
        <v>100</v>
      </c>
      <c r="E1014" s="55">
        <v>500</v>
      </c>
      <c r="F1014" s="182" t="s">
        <v>100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831</v>
      </c>
      <c r="C1015" s="205" t="s">
        <v>36</v>
      </c>
      <c r="D1015" s="48" t="s">
        <v>100</v>
      </c>
      <c r="E1015" s="55">
        <v>500</v>
      </c>
      <c r="F1015" s="182" t="s">
        <v>100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832</v>
      </c>
      <c r="C1016" s="205" t="s">
        <v>36</v>
      </c>
      <c r="D1016" s="48" t="s">
        <v>100</v>
      </c>
      <c r="E1016" s="55">
        <v>500</v>
      </c>
      <c r="F1016" s="182" t="s">
        <v>100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833</v>
      </c>
      <c r="C1017" s="205" t="s">
        <v>36</v>
      </c>
      <c r="D1017" s="48" t="s">
        <v>100</v>
      </c>
      <c r="E1017" s="55">
        <v>114.24</v>
      </c>
      <c r="F1017" s="182" t="s">
        <v>100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834</v>
      </c>
      <c r="C1018" s="205" t="s">
        <v>36</v>
      </c>
      <c r="D1018" s="48" t="s">
        <v>100</v>
      </c>
      <c r="E1018" s="55">
        <v>114.24</v>
      </c>
      <c r="F1018" s="182" t="s">
        <v>100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835</v>
      </c>
      <c r="C1019" s="205" t="s">
        <v>36</v>
      </c>
      <c r="D1019" s="48" t="s">
        <v>100</v>
      </c>
      <c r="E1019" s="55">
        <v>114.24</v>
      </c>
      <c r="F1019" s="182" t="s">
        <v>100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836</v>
      </c>
      <c r="C1020" s="205" t="s">
        <v>36</v>
      </c>
      <c r="D1020" s="48" t="s">
        <v>100</v>
      </c>
      <c r="E1020" s="55">
        <v>114.24</v>
      </c>
      <c r="F1020" s="182" t="s">
        <v>100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837</v>
      </c>
      <c r="C1021" s="205" t="s">
        <v>36</v>
      </c>
      <c r="D1021" s="48" t="s">
        <v>100</v>
      </c>
      <c r="E1021" s="55">
        <v>114.24</v>
      </c>
      <c r="F1021" s="182" t="s">
        <v>100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838</v>
      </c>
      <c r="C1022" s="205" t="s">
        <v>36</v>
      </c>
      <c r="D1022" s="48" t="s">
        <v>100</v>
      </c>
      <c r="E1022" s="55">
        <v>114.24</v>
      </c>
      <c r="F1022" s="182" t="s">
        <v>100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839</v>
      </c>
      <c r="C1023" s="205" t="s">
        <v>36</v>
      </c>
      <c r="D1023" s="48" t="s">
        <v>100</v>
      </c>
      <c r="E1023" s="55">
        <v>114.24</v>
      </c>
      <c r="F1023" s="182" t="s">
        <v>100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840</v>
      </c>
      <c r="C1024" s="205" t="s">
        <v>36</v>
      </c>
      <c r="D1024" s="48" t="s">
        <v>100</v>
      </c>
      <c r="E1024" s="55">
        <v>114.24</v>
      </c>
      <c r="F1024" s="182" t="s">
        <v>100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841</v>
      </c>
      <c r="C1025" s="205" t="s">
        <v>36</v>
      </c>
      <c r="D1025" s="48" t="s">
        <v>100</v>
      </c>
      <c r="E1025" s="55">
        <v>114.24</v>
      </c>
      <c r="F1025" s="182" t="s">
        <v>100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842</v>
      </c>
      <c r="C1026" s="205" t="s">
        <v>36</v>
      </c>
      <c r="D1026" s="48" t="s">
        <v>100</v>
      </c>
      <c r="E1026" s="55">
        <v>114.24</v>
      </c>
      <c r="F1026" s="182" t="s">
        <v>100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843</v>
      </c>
      <c r="C1027" s="205" t="s">
        <v>36</v>
      </c>
      <c r="D1027" s="48" t="s">
        <v>100</v>
      </c>
      <c r="E1027" s="55">
        <v>114.24</v>
      </c>
      <c r="F1027" s="182" t="s">
        <v>100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844</v>
      </c>
      <c r="C1028" s="205" t="s">
        <v>36</v>
      </c>
      <c r="D1028" s="48" t="s">
        <v>100</v>
      </c>
      <c r="E1028" s="55">
        <v>114.24</v>
      </c>
      <c r="F1028" s="182" t="s">
        <v>100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845</v>
      </c>
      <c r="C1029" s="205" t="s">
        <v>36</v>
      </c>
      <c r="D1029" s="48" t="s">
        <v>100</v>
      </c>
      <c r="E1029" s="55">
        <v>114.24</v>
      </c>
      <c r="F1029" s="182" t="s">
        <v>100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846</v>
      </c>
      <c r="C1030" s="205" t="s">
        <v>36</v>
      </c>
      <c r="D1030" s="48" t="s">
        <v>100</v>
      </c>
      <c r="E1030" s="55">
        <v>114.24</v>
      </c>
      <c r="F1030" s="182" t="s">
        <v>100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847</v>
      </c>
      <c r="C1031" s="205" t="s">
        <v>36</v>
      </c>
      <c r="D1031" s="48" t="s">
        <v>100</v>
      </c>
      <c r="E1031" s="55">
        <v>1800</v>
      </c>
      <c r="F1031" s="182" t="s">
        <v>100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848</v>
      </c>
      <c r="C1032" s="205" t="s">
        <v>36</v>
      </c>
      <c r="D1032" s="48" t="s">
        <v>100</v>
      </c>
      <c r="E1032" s="55">
        <v>546</v>
      </c>
      <c r="F1032" s="182" t="s">
        <v>100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849</v>
      </c>
      <c r="C1033" s="205" t="s">
        <v>36</v>
      </c>
      <c r="D1033" s="48" t="s">
        <v>100</v>
      </c>
      <c r="E1033" s="55">
        <v>114.24</v>
      </c>
      <c r="F1033" s="182" t="s">
        <v>100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850</v>
      </c>
      <c r="C1034" s="205" t="s">
        <v>36</v>
      </c>
      <c r="D1034" s="48" t="s">
        <v>100</v>
      </c>
      <c r="E1034" s="55">
        <v>114.24</v>
      </c>
      <c r="F1034" s="182" t="s">
        <v>100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851</v>
      </c>
      <c r="C1035" s="205" t="s">
        <v>36</v>
      </c>
      <c r="D1035" s="48" t="s">
        <v>100</v>
      </c>
      <c r="E1035" s="55">
        <v>114.24</v>
      </c>
      <c r="F1035" s="182" t="s">
        <v>100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852</v>
      </c>
      <c r="C1036" s="205" t="s">
        <v>36</v>
      </c>
      <c r="D1036" s="48" t="s">
        <v>100</v>
      </c>
      <c r="E1036" s="55">
        <v>114.24</v>
      </c>
      <c r="F1036" s="182" t="s">
        <v>100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853</v>
      </c>
      <c r="C1037" s="205" t="s">
        <v>36</v>
      </c>
      <c r="D1037" s="48" t="s">
        <v>100</v>
      </c>
      <c r="E1037" s="55">
        <v>114.24</v>
      </c>
      <c r="F1037" s="182" t="s">
        <v>100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854</v>
      </c>
      <c r="C1038" s="205" t="s">
        <v>36</v>
      </c>
      <c r="D1038" s="48" t="s">
        <v>100</v>
      </c>
      <c r="E1038" s="55">
        <v>114.24</v>
      </c>
      <c r="F1038" s="182" t="s">
        <v>100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855</v>
      </c>
      <c r="C1039" s="205" t="s">
        <v>36</v>
      </c>
      <c r="D1039" s="48" t="s">
        <v>100</v>
      </c>
      <c r="E1039" s="55">
        <v>114.24</v>
      </c>
      <c r="F1039" s="182" t="s">
        <v>100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856</v>
      </c>
      <c r="C1040" s="205" t="s">
        <v>36</v>
      </c>
      <c r="D1040" s="48" t="s">
        <v>100</v>
      </c>
      <c r="E1040" s="55">
        <v>114.24</v>
      </c>
      <c r="F1040" s="182" t="s">
        <v>100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857</v>
      </c>
      <c r="C1041" s="205" t="s">
        <v>36</v>
      </c>
      <c r="D1041" s="48" t="s">
        <v>100</v>
      </c>
      <c r="E1041" s="55">
        <v>114.24</v>
      </c>
      <c r="F1041" s="182" t="s">
        <v>100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858</v>
      </c>
      <c r="C1042" s="205" t="s">
        <v>36</v>
      </c>
      <c r="D1042" s="48" t="s">
        <v>100</v>
      </c>
      <c r="E1042" s="55">
        <v>114.24</v>
      </c>
      <c r="F1042" s="182" t="s">
        <v>100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859</v>
      </c>
      <c r="C1043" s="205" t="s">
        <v>36</v>
      </c>
      <c r="D1043" s="48" t="s">
        <v>100</v>
      </c>
      <c r="E1043" s="55">
        <v>1550</v>
      </c>
      <c r="F1043" s="182" t="s">
        <v>100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860</v>
      </c>
      <c r="C1044" s="205" t="s">
        <v>36</v>
      </c>
      <c r="D1044" s="48" t="s">
        <v>100</v>
      </c>
      <c r="E1044" s="55">
        <v>1550</v>
      </c>
      <c r="F1044" s="182" t="s">
        <v>100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861</v>
      </c>
      <c r="C1045" s="205" t="s">
        <v>36</v>
      </c>
      <c r="D1045" s="48" t="s">
        <v>100</v>
      </c>
      <c r="E1045" s="55">
        <v>1550</v>
      </c>
      <c r="F1045" s="182" t="s">
        <v>100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862</v>
      </c>
      <c r="C1046" s="205" t="s">
        <v>36</v>
      </c>
      <c r="D1046" s="48" t="s">
        <v>100</v>
      </c>
      <c r="E1046" s="55">
        <v>1550</v>
      </c>
      <c r="F1046" s="182" t="s">
        <v>100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863</v>
      </c>
      <c r="C1047" s="205" t="s">
        <v>36</v>
      </c>
      <c r="D1047" s="48" t="s">
        <v>100</v>
      </c>
      <c r="E1047" s="55">
        <v>1550</v>
      </c>
      <c r="F1047" s="182" t="s">
        <v>100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864</v>
      </c>
      <c r="C1048" s="205" t="s">
        <v>36</v>
      </c>
      <c r="D1048" s="48" t="s">
        <v>100</v>
      </c>
      <c r="E1048" s="55">
        <v>1550</v>
      </c>
      <c r="F1048" s="182" t="s">
        <v>100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865</v>
      </c>
      <c r="C1049" s="205" t="s">
        <v>36</v>
      </c>
      <c r="D1049" s="48" t="s">
        <v>100</v>
      </c>
      <c r="E1049" s="55">
        <v>952</v>
      </c>
      <c r="F1049" s="182" t="s">
        <v>100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866</v>
      </c>
      <c r="C1050" s="205" t="s">
        <v>36</v>
      </c>
      <c r="D1050" s="48" t="s">
        <v>100</v>
      </c>
      <c r="E1050" s="55">
        <v>925</v>
      </c>
      <c r="F1050" s="182" t="s">
        <v>100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867</v>
      </c>
      <c r="C1051" s="205" t="s">
        <v>36</v>
      </c>
      <c r="D1051" s="48" t="s">
        <v>100</v>
      </c>
      <c r="E1051" s="55">
        <v>1100</v>
      </c>
      <c r="F1051" s="182" t="s">
        <v>100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868</v>
      </c>
      <c r="C1052" s="205" t="s">
        <v>36</v>
      </c>
      <c r="D1052" s="48" t="s">
        <v>100</v>
      </c>
      <c r="E1052" s="55">
        <v>1350</v>
      </c>
      <c r="F1052" s="182" t="s">
        <v>100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869</v>
      </c>
      <c r="C1053" s="205" t="s">
        <v>36</v>
      </c>
      <c r="D1053" s="48" t="s">
        <v>100</v>
      </c>
      <c r="E1053" s="55">
        <v>1350</v>
      </c>
      <c r="F1053" s="182" t="s">
        <v>100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870</v>
      </c>
      <c r="C1054" s="205" t="s">
        <v>36</v>
      </c>
      <c r="D1054" s="48" t="s">
        <v>100</v>
      </c>
      <c r="E1054" s="43">
        <v>2727.48</v>
      </c>
      <c r="F1054" s="176" t="s">
        <v>100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871</v>
      </c>
      <c r="C1055" s="205" t="s">
        <v>36</v>
      </c>
      <c r="D1055" s="48" t="s">
        <v>100</v>
      </c>
      <c r="E1055" s="43">
        <v>2727.48</v>
      </c>
      <c r="F1055" s="176" t="s">
        <v>100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872</v>
      </c>
      <c r="C1056" s="205" t="s">
        <v>36</v>
      </c>
      <c r="D1056" s="48" t="s">
        <v>100</v>
      </c>
      <c r="E1056" s="55">
        <v>2727.48</v>
      </c>
      <c r="F1056" s="182" t="s">
        <v>100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873</v>
      </c>
      <c r="C1057" s="205" t="s">
        <v>36</v>
      </c>
      <c r="D1057" s="48" t="s">
        <v>100</v>
      </c>
      <c r="E1057" s="55">
        <v>2727.48</v>
      </c>
      <c r="F1057" s="182" t="s">
        <v>100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874</v>
      </c>
      <c r="C1058" s="205" t="s">
        <v>36</v>
      </c>
      <c r="D1058" s="48" t="s">
        <v>100</v>
      </c>
      <c r="E1058" s="55">
        <v>2727.48</v>
      </c>
      <c r="F1058" s="182" t="s">
        <v>100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875</v>
      </c>
      <c r="C1059" s="205" t="s">
        <v>36</v>
      </c>
      <c r="D1059" s="48" t="s">
        <v>100</v>
      </c>
      <c r="E1059" s="55">
        <v>3111.85</v>
      </c>
      <c r="F1059" s="182" t="s">
        <v>100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876</v>
      </c>
      <c r="C1060" s="205" t="s">
        <v>36</v>
      </c>
      <c r="D1060" s="48" t="s">
        <v>100</v>
      </c>
      <c r="E1060" s="43">
        <v>1550</v>
      </c>
      <c r="F1060" s="176" t="s">
        <v>100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877</v>
      </c>
      <c r="C1061" s="205" t="s">
        <v>36</v>
      </c>
      <c r="D1061" s="48" t="s">
        <v>100</v>
      </c>
      <c r="E1061" s="55">
        <v>1550</v>
      </c>
      <c r="F1061" s="182" t="s">
        <v>100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878</v>
      </c>
      <c r="C1062" s="205" t="s">
        <v>36</v>
      </c>
      <c r="D1062" s="48" t="s">
        <v>100</v>
      </c>
      <c r="E1062" s="55">
        <v>1550</v>
      </c>
      <c r="F1062" s="182" t="s">
        <v>100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879</v>
      </c>
      <c r="C1063" s="205" t="s">
        <v>36</v>
      </c>
      <c r="D1063" s="48" t="s">
        <v>100</v>
      </c>
      <c r="E1063" s="43">
        <v>1550</v>
      </c>
      <c r="F1063" s="176" t="s">
        <v>100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880</v>
      </c>
      <c r="C1064" s="205" t="s">
        <v>36</v>
      </c>
      <c r="D1064" s="48" t="s">
        <v>100</v>
      </c>
      <c r="E1064" s="55">
        <v>1550</v>
      </c>
      <c r="F1064" s="182" t="s">
        <v>100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881</v>
      </c>
      <c r="C1065" s="205" t="s">
        <v>36</v>
      </c>
      <c r="D1065" s="48" t="s">
        <v>100</v>
      </c>
      <c r="E1065" s="55">
        <v>3844</v>
      </c>
      <c r="F1065" s="182" t="s">
        <v>100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882</v>
      </c>
      <c r="C1066" s="205" t="s">
        <v>36</v>
      </c>
      <c r="D1066" s="48" t="s">
        <v>100</v>
      </c>
      <c r="E1066" s="55">
        <v>3844</v>
      </c>
      <c r="F1066" s="182" t="s">
        <v>100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883</v>
      </c>
      <c r="C1067" s="205" t="s">
        <v>36</v>
      </c>
      <c r="D1067" s="48" t="s">
        <v>100</v>
      </c>
      <c r="E1067" s="55">
        <v>998.41</v>
      </c>
      <c r="F1067" s="182" t="s">
        <v>100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884</v>
      </c>
      <c r="C1068" s="205" t="s">
        <v>36</v>
      </c>
      <c r="D1068" s="48" t="s">
        <v>100</v>
      </c>
      <c r="E1068" s="55">
        <v>998.41</v>
      </c>
      <c r="F1068" s="182" t="s">
        <v>100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885</v>
      </c>
      <c r="C1069" s="205" t="s">
        <v>36</v>
      </c>
      <c r="D1069" s="48" t="s">
        <v>100</v>
      </c>
      <c r="E1069" s="55">
        <v>998.41</v>
      </c>
      <c r="F1069" s="182" t="s">
        <v>100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886</v>
      </c>
      <c r="C1070" s="205" t="s">
        <v>36</v>
      </c>
      <c r="D1070" s="48" t="s">
        <v>100</v>
      </c>
      <c r="E1070" s="55">
        <v>998.41</v>
      </c>
      <c r="F1070" s="182" t="s">
        <v>100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887</v>
      </c>
      <c r="C1071" s="205" t="s">
        <v>36</v>
      </c>
      <c r="D1071" s="48" t="s">
        <v>100</v>
      </c>
      <c r="E1071" s="55">
        <v>998.41</v>
      </c>
      <c r="F1071" s="182" t="s">
        <v>100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888</v>
      </c>
      <c r="C1072" s="205" t="s">
        <v>36</v>
      </c>
      <c r="D1072" s="48" t="s">
        <v>100</v>
      </c>
      <c r="E1072" s="55">
        <v>998.41</v>
      </c>
      <c r="F1072" s="182" t="s">
        <v>100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889</v>
      </c>
      <c r="C1073" s="205" t="s">
        <v>36</v>
      </c>
      <c r="D1073" s="48" t="s">
        <v>100</v>
      </c>
      <c r="E1073" s="55">
        <v>3844</v>
      </c>
      <c r="F1073" s="182" t="s">
        <v>100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890</v>
      </c>
      <c r="C1074" s="205" t="s">
        <v>36</v>
      </c>
      <c r="D1074" s="48" t="s">
        <v>100</v>
      </c>
      <c r="E1074" s="55">
        <v>3844</v>
      </c>
      <c r="F1074" s="182" t="s">
        <v>100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891</v>
      </c>
      <c r="C1075" s="205" t="s">
        <v>36</v>
      </c>
      <c r="D1075" s="48" t="s">
        <v>100</v>
      </c>
      <c r="E1075" s="55">
        <v>998.41</v>
      </c>
      <c r="F1075" s="182" t="s">
        <v>100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892</v>
      </c>
      <c r="C1076" s="205" t="s">
        <v>36</v>
      </c>
      <c r="D1076" s="48" t="s">
        <v>100</v>
      </c>
      <c r="E1076" s="55">
        <v>3844</v>
      </c>
      <c r="F1076" s="182" t="s">
        <v>100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893</v>
      </c>
      <c r="C1077" s="205" t="s">
        <v>36</v>
      </c>
      <c r="D1077" s="48" t="s">
        <v>100</v>
      </c>
      <c r="E1077" s="55">
        <v>3844</v>
      </c>
      <c r="F1077" s="182" t="s">
        <v>100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894</v>
      </c>
      <c r="C1078" s="205" t="s">
        <v>36</v>
      </c>
      <c r="D1078" s="48" t="s">
        <v>100</v>
      </c>
      <c r="E1078" s="55">
        <v>1173.3399999999999</v>
      </c>
      <c r="F1078" s="182" t="s">
        <v>100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895</v>
      </c>
      <c r="C1079" s="205" t="s">
        <v>36</v>
      </c>
      <c r="D1079" s="48" t="s">
        <v>100</v>
      </c>
      <c r="E1079" s="55">
        <v>3844</v>
      </c>
      <c r="F1079" s="182" t="s">
        <v>100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896</v>
      </c>
      <c r="C1080" s="205" t="s">
        <v>36</v>
      </c>
      <c r="D1080" s="48" t="s">
        <v>100</v>
      </c>
      <c r="E1080" s="55">
        <v>1200</v>
      </c>
      <c r="F1080" s="182" t="s">
        <v>100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111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81</v>
      </c>
      <c r="B1107" s="275">
        <f>SUBTOTAL(3,(B1109:B1151))</f>
        <v>43</v>
      </c>
      <c r="C1107" s="502"/>
      <c r="D1107" s="502"/>
      <c r="E1107"/>
      <c r="F1107" s="177"/>
      <c r="H1107"/>
      <c r="I1107"/>
    </row>
    <row r="1108" spans="1:11" ht="47.25">
      <c r="A1108" s="114" t="s">
        <v>64</v>
      </c>
      <c r="B1108" s="124" t="s">
        <v>83</v>
      </c>
      <c r="C1108" s="115" t="s">
        <v>84</v>
      </c>
      <c r="D1108" s="99" t="s">
        <v>85</v>
      </c>
      <c r="E1108" s="67" t="s">
        <v>86</v>
      </c>
      <c r="F1108" s="175" t="s">
        <v>87</v>
      </c>
      <c r="G1108" s="69" t="s">
        <v>88</v>
      </c>
      <c r="H1108" s="70" t="s">
        <v>89</v>
      </c>
      <c r="I1108" s="70" t="s">
        <v>90</v>
      </c>
      <c r="J1108" s="72" t="s">
        <v>91</v>
      </c>
      <c r="K1108" s="257" t="s">
        <v>92</v>
      </c>
    </row>
    <row r="1109" spans="1:11">
      <c r="A1109" s="41">
        <v>1</v>
      </c>
      <c r="B1109" s="158" t="s">
        <v>897</v>
      </c>
      <c r="C1109" s="152" t="s">
        <v>46</v>
      </c>
      <c r="D1109" s="48" t="s">
        <v>230</v>
      </c>
      <c r="E1109" s="43">
        <v>8770.3333333333339</v>
      </c>
      <c r="F1109" s="176" t="s">
        <v>247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898</v>
      </c>
      <c r="C1110" s="152" t="s">
        <v>46</v>
      </c>
      <c r="D1110" s="48" t="s">
        <v>230</v>
      </c>
      <c r="E1110" s="43">
        <v>28016</v>
      </c>
      <c r="F1110" s="176" t="s">
        <v>247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899</v>
      </c>
      <c r="C1111" s="152" t="s">
        <v>46</v>
      </c>
      <c r="D1111" s="48" t="s">
        <v>244</v>
      </c>
      <c r="E1111" s="43">
        <v>28016</v>
      </c>
      <c r="F1111" s="176" t="s">
        <v>247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900</v>
      </c>
      <c r="C1112" s="152" t="s">
        <v>46</v>
      </c>
      <c r="D1112" s="48" t="s">
        <v>244</v>
      </c>
      <c r="E1112" s="43">
        <v>10317</v>
      </c>
      <c r="F1112" s="176" t="s">
        <v>247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901</v>
      </c>
      <c r="C1113" s="152" t="s">
        <v>46</v>
      </c>
      <c r="D1113" s="48" t="s">
        <v>230</v>
      </c>
      <c r="E1113" s="43">
        <v>10200</v>
      </c>
      <c r="F1113" s="176" t="s">
        <v>247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902</v>
      </c>
      <c r="C1114" s="152" t="s">
        <v>46</v>
      </c>
      <c r="D1114" s="48" t="s">
        <v>230</v>
      </c>
      <c r="E1114" s="43">
        <v>39999.47</v>
      </c>
      <c r="F1114" s="176" t="s">
        <v>247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903</v>
      </c>
      <c r="C1115" s="152" t="s">
        <v>46</v>
      </c>
      <c r="D1115" s="48" t="s">
        <v>244</v>
      </c>
      <c r="E1115" s="43">
        <v>10200</v>
      </c>
      <c r="F1115" s="176" t="s">
        <v>247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904</v>
      </c>
      <c r="C1116" s="152" t="s">
        <v>46</v>
      </c>
      <c r="D1116" s="48" t="s">
        <v>247</v>
      </c>
      <c r="E1116" s="43">
        <v>28550</v>
      </c>
      <c r="F1116" s="176" t="s">
        <v>247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905</v>
      </c>
      <c r="C1117" s="152" t="s">
        <v>46</v>
      </c>
      <c r="D1117" s="48" t="s">
        <v>230</v>
      </c>
      <c r="E1117" s="43">
        <v>34999.089999999997</v>
      </c>
      <c r="F1117" s="176" t="s">
        <v>247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906</v>
      </c>
      <c r="C1118" s="152" t="s">
        <v>46</v>
      </c>
      <c r="D1118" s="143" t="s">
        <v>230</v>
      </c>
      <c r="E1118" s="144">
        <v>24999.52</v>
      </c>
      <c r="F1118" s="176" t="s">
        <v>247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907</v>
      </c>
      <c r="C1119" s="152" t="s">
        <v>46</v>
      </c>
      <c r="D1119" s="143" t="s">
        <v>230</v>
      </c>
      <c r="E1119" s="144">
        <v>13269</v>
      </c>
      <c r="F1119" s="176" t="s">
        <v>247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908</v>
      </c>
      <c r="C1120" s="152" t="s">
        <v>46</v>
      </c>
      <c r="D1120" s="143" t="s">
        <v>230</v>
      </c>
      <c r="E1120" s="144"/>
      <c r="F1120" s="176" t="s">
        <v>909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910</v>
      </c>
      <c r="C1121" s="152" t="s">
        <v>46</v>
      </c>
      <c r="D1121" s="143" t="s">
        <v>230</v>
      </c>
      <c r="E1121" s="144"/>
      <c r="F1121" s="176" t="s">
        <v>911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912</v>
      </c>
      <c r="C1122" s="152" t="s">
        <v>46</v>
      </c>
      <c r="D1122" s="143" t="s">
        <v>230</v>
      </c>
      <c r="E1122" s="144"/>
      <c r="F1122" s="176" t="s">
        <v>913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914</v>
      </c>
      <c r="C1123" s="152" t="s">
        <v>46</v>
      </c>
      <c r="D1123" s="143" t="s">
        <v>230</v>
      </c>
      <c r="E1123" s="144"/>
      <c r="F1123" s="176" t="s">
        <v>915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916</v>
      </c>
      <c r="C1124" s="152" t="s">
        <v>46</v>
      </c>
      <c r="D1124" s="143" t="s">
        <v>230</v>
      </c>
      <c r="E1124" s="144"/>
      <c r="F1124" s="176" t="s">
        <v>917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918</v>
      </c>
      <c r="C1125" s="152" t="s">
        <v>46</v>
      </c>
      <c r="D1125" s="143" t="s">
        <v>230</v>
      </c>
      <c r="E1125" s="144"/>
      <c r="F1125" s="176" t="s">
        <v>919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920</v>
      </c>
      <c r="C1126" s="152" t="s">
        <v>46</v>
      </c>
      <c r="D1126" s="143" t="s">
        <v>230</v>
      </c>
      <c r="E1126" s="144">
        <v>20059.829999999998</v>
      </c>
      <c r="F1126" s="176" t="s">
        <v>247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921</v>
      </c>
      <c r="C1127" s="152" t="s">
        <v>46</v>
      </c>
      <c r="D1127" s="143" t="s">
        <v>230</v>
      </c>
      <c r="E1127" s="144">
        <v>31945</v>
      </c>
      <c r="F1127" s="176" t="s">
        <v>247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922</v>
      </c>
      <c r="C1128" s="152" t="s">
        <v>46</v>
      </c>
      <c r="D1128" s="143" t="s">
        <v>230</v>
      </c>
      <c r="E1128" s="144">
        <v>59308.5</v>
      </c>
      <c r="F1128" s="176" t="s">
        <v>247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923</v>
      </c>
      <c r="C1129" s="152" t="s">
        <v>46</v>
      </c>
      <c r="D1129" s="143" t="s">
        <v>230</v>
      </c>
      <c r="E1129" s="144">
        <v>22911.759999999998</v>
      </c>
      <c r="F1129" s="176" t="s">
        <v>247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924</v>
      </c>
      <c r="C1130" s="152" t="s">
        <v>46</v>
      </c>
      <c r="D1130" s="143" t="s">
        <v>230</v>
      </c>
      <c r="E1130" s="144">
        <v>39358.5</v>
      </c>
      <c r="F1130" s="176" t="s">
        <v>247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925</v>
      </c>
      <c r="C1131" s="152" t="s">
        <v>46</v>
      </c>
      <c r="D1131" s="143" t="s">
        <v>230</v>
      </c>
      <c r="E1131" s="144">
        <v>34666.660000000003</v>
      </c>
      <c r="F1131" s="176" t="s">
        <v>247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926</v>
      </c>
      <c r="C1132" s="152" t="s">
        <v>46</v>
      </c>
      <c r="D1132" s="143" t="s">
        <v>247</v>
      </c>
      <c r="E1132" s="144">
        <v>3550</v>
      </c>
      <c r="F1132" s="176" t="s">
        <v>247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927</v>
      </c>
      <c r="C1133" s="152" t="s">
        <v>46</v>
      </c>
      <c r="D1133" s="143" t="s">
        <v>230</v>
      </c>
      <c r="E1133" s="144">
        <v>16591.599999999999</v>
      </c>
      <c r="F1133" s="176" t="s">
        <v>247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928</v>
      </c>
      <c r="C1134" s="152" t="s">
        <v>46</v>
      </c>
      <c r="D1134" s="143" t="s">
        <v>230</v>
      </c>
      <c r="E1134" s="144">
        <v>16813.509999999998</v>
      </c>
      <c r="F1134" s="176" t="s">
        <v>247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929</v>
      </c>
      <c r="C1135" s="152" t="s">
        <v>46</v>
      </c>
      <c r="D1135" s="143" t="s">
        <v>230</v>
      </c>
      <c r="E1135" s="144">
        <v>19744.003999999997</v>
      </c>
      <c r="F1135" s="176" t="s">
        <v>247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930</v>
      </c>
      <c r="C1136" s="152" t="s">
        <v>46</v>
      </c>
      <c r="D1136" s="143" t="s">
        <v>230</v>
      </c>
      <c r="E1136" s="144">
        <v>9500</v>
      </c>
      <c r="F1136" s="176" t="s">
        <v>247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931</v>
      </c>
      <c r="C1137" s="152" t="s">
        <v>46</v>
      </c>
      <c r="D1137" s="143" t="s">
        <v>230</v>
      </c>
      <c r="E1137" s="144">
        <v>7511.9940000000006</v>
      </c>
      <c r="F1137" s="176" t="s">
        <v>247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932</v>
      </c>
      <c r="C1138" s="152" t="s">
        <v>46</v>
      </c>
      <c r="D1138" s="143" t="s">
        <v>230</v>
      </c>
      <c r="E1138" s="144">
        <v>28016.000000000004</v>
      </c>
      <c r="F1138" s="176" t="s">
        <v>247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933</v>
      </c>
      <c r="C1139" s="152" t="s">
        <v>46</v>
      </c>
      <c r="D1139" s="143" t="s">
        <v>230</v>
      </c>
      <c r="E1139" s="144">
        <v>25200</v>
      </c>
      <c r="F1139" s="176" t="s">
        <v>247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934</v>
      </c>
      <c r="C1140" s="152" t="s">
        <v>46</v>
      </c>
      <c r="D1140" s="48" t="s">
        <v>230</v>
      </c>
      <c r="E1140" s="43">
        <v>6970.59</v>
      </c>
      <c r="F1140" s="176" t="s">
        <v>247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935</v>
      </c>
      <c r="C1141" s="152" t="s">
        <v>46</v>
      </c>
      <c r="D1141" s="48" t="s">
        <v>230</v>
      </c>
      <c r="E1141" s="43"/>
      <c r="F1141" s="176" t="s">
        <v>936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937</v>
      </c>
      <c r="C1142" s="152" t="s">
        <v>46</v>
      </c>
      <c r="D1142" s="143" t="s">
        <v>230</v>
      </c>
      <c r="E1142" s="144">
        <v>8770.3333333333339</v>
      </c>
      <c r="F1142" s="176" t="s">
        <v>247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938</v>
      </c>
      <c r="C1143" s="152" t="s">
        <v>46</v>
      </c>
      <c r="D1143" s="48" t="s">
        <v>230</v>
      </c>
      <c r="E1143" s="43">
        <v>44000</v>
      </c>
      <c r="F1143" s="176" t="s">
        <v>247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939</v>
      </c>
      <c r="C1144" s="152" t="s">
        <v>46</v>
      </c>
      <c r="D1144" s="48" t="s">
        <v>244</v>
      </c>
      <c r="E1144" s="43">
        <v>18500</v>
      </c>
      <c r="F1144" s="176" t="s">
        <v>247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940</v>
      </c>
      <c r="C1145" s="152" t="s">
        <v>46</v>
      </c>
      <c r="D1145" s="48" t="s">
        <v>244</v>
      </c>
      <c r="E1145" s="43">
        <v>39100</v>
      </c>
      <c r="F1145" s="176" t="s">
        <v>247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941</v>
      </c>
      <c r="C1146" s="152" t="s">
        <v>46</v>
      </c>
      <c r="D1146" s="48" t="s">
        <v>244</v>
      </c>
      <c r="E1146" s="134">
        <v>11950</v>
      </c>
      <c r="F1146" s="176" t="s">
        <v>247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942</v>
      </c>
      <c r="C1147" s="152" t="s">
        <v>46</v>
      </c>
      <c r="D1147" s="48" t="s">
        <v>230</v>
      </c>
      <c r="E1147" s="134">
        <v>5194</v>
      </c>
      <c r="F1147" s="176" t="s">
        <v>247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943</v>
      </c>
      <c r="C1148" s="152" t="s">
        <v>46</v>
      </c>
      <c r="D1148" s="48" t="s">
        <v>244</v>
      </c>
      <c r="E1148" s="134">
        <v>39358.5</v>
      </c>
      <c r="F1148" s="176" t="s">
        <v>247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944</v>
      </c>
      <c r="C1149" s="152" t="s">
        <v>46</v>
      </c>
      <c r="D1149" s="48" t="s">
        <v>244</v>
      </c>
      <c r="E1149" s="134">
        <v>31945</v>
      </c>
      <c r="F1149" s="176" t="s">
        <v>247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945</v>
      </c>
      <c r="C1150" s="152" t="s">
        <v>46</v>
      </c>
      <c r="D1150" s="48" t="s">
        <v>244</v>
      </c>
      <c r="E1150" s="134">
        <v>59308.5</v>
      </c>
      <c r="F1150" s="176" t="s">
        <v>247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946</v>
      </c>
      <c r="C1151" s="152" t="s">
        <v>46</v>
      </c>
      <c r="D1151" s="48" t="s">
        <v>230</v>
      </c>
      <c r="E1151" s="134">
        <v>0</v>
      </c>
      <c r="F1151" s="176" t="s">
        <v>247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111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7"/>
      <c r="D1166" s="506"/>
      <c r="E1166"/>
      <c r="F1166" s="177"/>
      <c r="H1166"/>
      <c r="I1166"/>
    </row>
    <row r="1167" spans="1:11" ht="24" thickBot="1">
      <c r="A1167" s="125" t="s">
        <v>81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64</v>
      </c>
      <c r="B1168" s="199" t="s">
        <v>83</v>
      </c>
      <c r="C1168" s="64" t="s">
        <v>84</v>
      </c>
      <c r="D1168" s="65" t="s">
        <v>85</v>
      </c>
      <c r="E1168" s="67" t="s">
        <v>86</v>
      </c>
      <c r="F1168" s="175" t="s">
        <v>87</v>
      </c>
      <c r="G1168" s="69" t="s">
        <v>88</v>
      </c>
      <c r="H1168" s="70" t="s">
        <v>89</v>
      </c>
      <c r="I1168" s="70" t="s">
        <v>90</v>
      </c>
      <c r="J1168" s="72" t="s">
        <v>91</v>
      </c>
      <c r="K1168" s="257" t="s">
        <v>92</v>
      </c>
    </row>
    <row r="1169" spans="1:11">
      <c r="A1169" s="79">
        <v>1</v>
      </c>
      <c r="B1169" s="274" t="s">
        <v>947</v>
      </c>
      <c r="C1169" s="205" t="s">
        <v>48</v>
      </c>
      <c r="D1169" s="48" t="s">
        <v>233</v>
      </c>
      <c r="E1169" s="43"/>
      <c r="F1169" s="176" t="s">
        <v>247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948</v>
      </c>
      <c r="C1170" s="205" t="s">
        <v>48</v>
      </c>
      <c r="D1170" s="48" t="s">
        <v>233</v>
      </c>
      <c r="E1170" s="43"/>
      <c r="F1170" s="176" t="s">
        <v>247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949</v>
      </c>
      <c r="C1171" s="205" t="s">
        <v>48</v>
      </c>
      <c r="D1171" s="48" t="s">
        <v>233</v>
      </c>
      <c r="E1171" s="43"/>
      <c r="F1171" s="176" t="s">
        <v>247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950</v>
      </c>
      <c r="C1172" s="205" t="s">
        <v>48</v>
      </c>
      <c r="D1172" s="48" t="s">
        <v>233</v>
      </c>
      <c r="E1172" s="43"/>
      <c r="F1172" s="176" t="s">
        <v>247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951</v>
      </c>
      <c r="C1173" s="205" t="s">
        <v>48</v>
      </c>
      <c r="D1173" s="48" t="s">
        <v>233</v>
      </c>
      <c r="E1173" s="43"/>
      <c r="F1173" s="176" t="s">
        <v>247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952</v>
      </c>
      <c r="C1174" s="205" t="s">
        <v>48</v>
      </c>
      <c r="D1174" s="48" t="s">
        <v>233</v>
      </c>
      <c r="E1174" s="43"/>
      <c r="F1174" s="176" t="s">
        <v>247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953</v>
      </c>
      <c r="C1175" s="205" t="s">
        <v>48</v>
      </c>
      <c r="D1175" s="48" t="s">
        <v>233</v>
      </c>
      <c r="E1175" s="43"/>
      <c r="F1175" s="176" t="s">
        <v>247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954</v>
      </c>
      <c r="C1176" s="205" t="s">
        <v>48</v>
      </c>
      <c r="D1176" s="48" t="s">
        <v>233</v>
      </c>
      <c r="E1176" s="43">
        <v>49000</v>
      </c>
      <c r="F1176" s="176" t="s">
        <v>233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955</v>
      </c>
      <c r="C1177" s="205" t="s">
        <v>48</v>
      </c>
      <c r="D1177" s="48" t="s">
        <v>233</v>
      </c>
      <c r="E1177" s="134"/>
      <c r="F1177" s="176" t="s">
        <v>247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956</v>
      </c>
      <c r="C1178" s="205" t="s">
        <v>48</v>
      </c>
      <c r="D1178" s="48" t="s">
        <v>233</v>
      </c>
      <c r="E1178" s="134"/>
      <c r="F1178" s="176" t="s">
        <v>247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957</v>
      </c>
      <c r="C1179" s="205" t="s">
        <v>48</v>
      </c>
      <c r="D1179" s="48" t="s">
        <v>165</v>
      </c>
      <c r="E1179" s="134"/>
      <c r="F1179" s="176" t="s">
        <v>165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958</v>
      </c>
      <c r="C1180" s="205" t="s">
        <v>48</v>
      </c>
      <c r="D1180" s="48" t="s">
        <v>165</v>
      </c>
      <c r="E1180" s="134"/>
      <c r="F1180" s="176" t="s">
        <v>165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959</v>
      </c>
      <c r="C1181" s="205" t="s">
        <v>48</v>
      </c>
      <c r="D1181" s="48" t="s">
        <v>165</v>
      </c>
      <c r="E1181" s="134"/>
      <c r="F1181" s="176" t="s">
        <v>165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960</v>
      </c>
      <c r="C1182" s="205" t="s">
        <v>48</v>
      </c>
      <c r="D1182" s="48" t="s">
        <v>165</v>
      </c>
      <c r="E1182" s="134"/>
      <c r="F1182" s="176" t="s">
        <v>165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961</v>
      </c>
      <c r="C1183" s="205" t="s">
        <v>48</v>
      </c>
      <c r="D1183" s="48" t="s">
        <v>165</v>
      </c>
      <c r="E1183" s="134"/>
      <c r="F1183" s="176" t="s">
        <v>165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962</v>
      </c>
      <c r="C1184" s="205" t="s">
        <v>48</v>
      </c>
      <c r="D1184" s="48" t="s">
        <v>165</v>
      </c>
      <c r="E1184" s="134"/>
      <c r="F1184" s="176" t="s">
        <v>165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963</v>
      </c>
      <c r="C1185" s="205" t="s">
        <v>48</v>
      </c>
      <c r="D1185" s="48" t="s">
        <v>165</v>
      </c>
      <c r="E1185" s="134"/>
      <c r="F1185" s="176" t="s">
        <v>165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964</v>
      </c>
      <c r="C1186" s="205" t="s">
        <v>48</v>
      </c>
      <c r="D1186" s="48" t="s">
        <v>165</v>
      </c>
      <c r="E1186" s="134"/>
      <c r="F1186" s="176" t="s">
        <v>165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965</v>
      </c>
      <c r="C1187" s="205" t="s">
        <v>48</v>
      </c>
      <c r="D1187" s="48" t="s">
        <v>165</v>
      </c>
      <c r="E1187" s="134"/>
      <c r="F1187" s="176" t="s">
        <v>165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966</v>
      </c>
      <c r="C1188" s="205" t="s">
        <v>48</v>
      </c>
      <c r="D1188" s="48" t="s">
        <v>165</v>
      </c>
      <c r="E1188" s="134"/>
      <c r="F1188" s="176" t="s">
        <v>165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967</v>
      </c>
      <c r="C1189" s="205" t="s">
        <v>48</v>
      </c>
      <c r="D1189" s="48" t="s">
        <v>165</v>
      </c>
      <c r="E1189" s="134"/>
      <c r="F1189" s="176" t="s">
        <v>165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968</v>
      </c>
      <c r="C1190" s="205" t="s">
        <v>48</v>
      </c>
      <c r="D1190" s="48" t="s">
        <v>165</v>
      </c>
      <c r="E1190" s="134"/>
      <c r="F1190" s="176" t="s">
        <v>165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969</v>
      </c>
      <c r="C1191" s="205" t="s">
        <v>48</v>
      </c>
      <c r="D1191" s="48" t="s">
        <v>165</v>
      </c>
      <c r="E1191" s="134"/>
      <c r="F1191" s="176" t="s">
        <v>165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970</v>
      </c>
      <c r="C1192" s="205" t="s">
        <v>48</v>
      </c>
      <c r="D1192" s="48" t="s">
        <v>165</v>
      </c>
      <c r="E1192" s="134"/>
      <c r="F1192" s="176" t="s">
        <v>165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971</v>
      </c>
      <c r="C1193" s="205" t="s">
        <v>48</v>
      </c>
      <c r="D1193" s="48" t="s">
        <v>165</v>
      </c>
      <c r="E1193" s="134"/>
      <c r="F1193" s="176" t="s">
        <v>165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972</v>
      </c>
      <c r="C1194" s="205" t="s">
        <v>48</v>
      </c>
      <c r="D1194" s="48" t="s">
        <v>165</v>
      </c>
      <c r="E1194" s="134"/>
      <c r="F1194" s="176" t="s">
        <v>165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973</v>
      </c>
      <c r="C1195" s="205" t="s">
        <v>48</v>
      </c>
      <c r="D1195" s="48" t="s">
        <v>165</v>
      </c>
      <c r="E1195" s="134"/>
      <c r="F1195" s="176" t="s">
        <v>165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974</v>
      </c>
      <c r="C1196" s="205" t="s">
        <v>48</v>
      </c>
      <c r="D1196" s="48" t="s">
        <v>165</v>
      </c>
      <c r="E1196" s="134"/>
      <c r="F1196" s="176" t="s">
        <v>165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975</v>
      </c>
      <c r="C1197" s="205" t="s">
        <v>48</v>
      </c>
      <c r="D1197" s="48" t="s">
        <v>165</v>
      </c>
      <c r="E1197" s="134"/>
      <c r="F1197" s="176" t="s">
        <v>165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976</v>
      </c>
      <c r="C1198" s="205" t="s">
        <v>48</v>
      </c>
      <c r="D1198" s="48" t="s">
        <v>165</v>
      </c>
      <c r="E1198" s="134"/>
      <c r="F1198" s="176" t="s">
        <v>165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977</v>
      </c>
      <c r="C1199" s="205" t="s">
        <v>48</v>
      </c>
      <c r="D1199" s="48" t="s">
        <v>165</v>
      </c>
      <c r="E1199" s="134"/>
      <c r="F1199" s="176" t="s">
        <v>165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978</v>
      </c>
      <c r="C1200" s="205" t="s">
        <v>48</v>
      </c>
      <c r="D1200" s="48" t="s">
        <v>165</v>
      </c>
      <c r="E1200" s="134"/>
      <c r="F1200" s="176" t="s">
        <v>165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979</v>
      </c>
      <c r="C1201" s="205" t="s">
        <v>48</v>
      </c>
      <c r="D1201" s="48" t="s">
        <v>165</v>
      </c>
      <c r="E1201" s="134"/>
      <c r="F1201" s="176" t="s">
        <v>165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980</v>
      </c>
      <c r="C1202" s="205" t="s">
        <v>48</v>
      </c>
      <c r="D1202" s="48" t="s">
        <v>165</v>
      </c>
      <c r="E1202" s="134"/>
      <c r="F1202" s="176" t="s">
        <v>165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981</v>
      </c>
      <c r="C1203" s="205" t="s">
        <v>48</v>
      </c>
      <c r="D1203" s="48" t="s">
        <v>165</v>
      </c>
      <c r="E1203" s="134"/>
      <c r="F1203" s="176" t="s">
        <v>165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982</v>
      </c>
      <c r="C1204" s="205" t="s">
        <v>48</v>
      </c>
      <c r="D1204" s="48" t="s">
        <v>165</v>
      </c>
      <c r="E1204" s="134"/>
      <c r="F1204" s="176" t="s">
        <v>165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983</v>
      </c>
      <c r="C1205" s="205" t="s">
        <v>48</v>
      </c>
      <c r="D1205" s="48" t="s">
        <v>165</v>
      </c>
      <c r="E1205" s="134">
        <v>14150</v>
      </c>
      <c r="F1205" s="176" t="s">
        <v>165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984</v>
      </c>
      <c r="C1206" s="205" t="s">
        <v>48</v>
      </c>
      <c r="D1206" s="48" t="s">
        <v>165</v>
      </c>
      <c r="E1206" s="134">
        <v>16000</v>
      </c>
      <c r="F1206" s="176" t="s">
        <v>165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985</v>
      </c>
      <c r="C1207" s="205" t="s">
        <v>48</v>
      </c>
      <c r="D1207" s="48" t="s">
        <v>165</v>
      </c>
      <c r="E1207" s="134"/>
      <c r="F1207" s="176" t="s">
        <v>165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986</v>
      </c>
      <c r="C1208" s="205" t="s">
        <v>48</v>
      </c>
      <c r="D1208" s="48" t="s">
        <v>165</v>
      </c>
      <c r="E1208" s="134"/>
      <c r="F1208" s="176" t="s">
        <v>165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987</v>
      </c>
      <c r="C1209" s="205" t="s">
        <v>48</v>
      </c>
      <c r="D1209" s="48" t="s">
        <v>165</v>
      </c>
      <c r="E1209" s="134"/>
      <c r="F1209" s="176" t="s">
        <v>165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988</v>
      </c>
      <c r="C1210" s="205" t="s">
        <v>48</v>
      </c>
      <c r="D1210" s="48" t="s">
        <v>165</v>
      </c>
      <c r="E1210" s="134"/>
      <c r="F1210" s="176" t="s">
        <v>165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989</v>
      </c>
      <c r="C1211" s="205" t="s">
        <v>48</v>
      </c>
      <c r="D1211" s="48" t="s">
        <v>165</v>
      </c>
      <c r="E1211" s="134"/>
      <c r="F1211" s="176" t="s">
        <v>165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990</v>
      </c>
      <c r="C1212" s="205" t="s">
        <v>48</v>
      </c>
      <c r="D1212" s="48" t="s">
        <v>165</v>
      </c>
      <c r="E1212" s="134"/>
      <c r="F1212" s="176" t="s">
        <v>165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991</v>
      </c>
      <c r="C1213" s="205" t="s">
        <v>48</v>
      </c>
      <c r="D1213" s="48" t="s">
        <v>165</v>
      </c>
      <c r="E1213" s="134"/>
      <c r="F1213" s="176" t="s">
        <v>165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992</v>
      </c>
      <c r="C1214" s="205" t="s">
        <v>48</v>
      </c>
      <c r="D1214" s="48" t="s">
        <v>165</v>
      </c>
      <c r="E1214" s="134"/>
      <c r="F1214" s="176" t="s">
        <v>165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993</v>
      </c>
      <c r="C1215" s="205" t="s">
        <v>48</v>
      </c>
      <c r="D1215" s="48" t="s">
        <v>165</v>
      </c>
      <c r="E1215" s="134"/>
      <c r="F1215" s="176" t="s">
        <v>165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994</v>
      </c>
      <c r="C1216" s="205" t="s">
        <v>48</v>
      </c>
      <c r="D1216" s="48" t="s">
        <v>165</v>
      </c>
      <c r="E1216" s="134"/>
      <c r="F1216" s="176" t="s">
        <v>165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995</v>
      </c>
      <c r="C1217" s="205" t="s">
        <v>48</v>
      </c>
      <c r="D1217" s="48" t="s">
        <v>165</v>
      </c>
      <c r="E1217" s="134"/>
      <c r="F1217" s="176" t="s">
        <v>165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996</v>
      </c>
      <c r="C1218" s="205" t="s">
        <v>48</v>
      </c>
      <c r="D1218" s="48" t="s">
        <v>165</v>
      </c>
      <c r="E1218" s="134"/>
      <c r="F1218" s="176" t="s">
        <v>165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997</v>
      </c>
      <c r="C1219" s="205" t="s">
        <v>48</v>
      </c>
      <c r="D1219" s="48" t="s">
        <v>165</v>
      </c>
      <c r="E1219" s="134"/>
      <c r="F1219" s="176" t="s">
        <v>165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998</v>
      </c>
      <c r="C1220" s="205" t="s">
        <v>48</v>
      </c>
      <c r="D1220" s="48" t="s">
        <v>165</v>
      </c>
      <c r="E1220" s="134"/>
      <c r="F1220" s="176" t="s">
        <v>165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999</v>
      </c>
      <c r="C1221" s="205" t="s">
        <v>48</v>
      </c>
      <c r="D1221" s="48" t="s">
        <v>165</v>
      </c>
      <c r="E1221" s="134"/>
      <c r="F1221" s="176" t="s">
        <v>165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1000</v>
      </c>
      <c r="C1222" s="205" t="s">
        <v>48</v>
      </c>
      <c r="D1222" s="48" t="s">
        <v>165</v>
      </c>
      <c r="E1222" s="43"/>
      <c r="F1222" s="176" t="s">
        <v>165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1001</v>
      </c>
      <c r="C1223" s="205" t="s">
        <v>48</v>
      </c>
      <c r="D1223" s="48" t="s">
        <v>165</v>
      </c>
      <c r="E1223" s="134"/>
      <c r="F1223" s="176" t="s">
        <v>165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1002</v>
      </c>
      <c r="C1224" s="205" t="s">
        <v>48</v>
      </c>
      <c r="D1224" s="48" t="s">
        <v>165</v>
      </c>
      <c r="E1224" s="134">
        <v>18633.3</v>
      </c>
      <c r="F1224" s="176" t="s">
        <v>165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1003</v>
      </c>
      <c r="C1225" s="205" t="s">
        <v>48</v>
      </c>
      <c r="D1225" s="48" t="s">
        <v>165</v>
      </c>
      <c r="E1225" s="134">
        <v>8550</v>
      </c>
      <c r="F1225" s="176" t="s">
        <v>165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1004</v>
      </c>
      <c r="C1226" s="205" t="s">
        <v>48</v>
      </c>
      <c r="D1226" s="48" t="s">
        <v>165</v>
      </c>
      <c r="E1226" s="134">
        <v>14000</v>
      </c>
      <c r="F1226" s="176" t="s">
        <v>165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1005</v>
      </c>
      <c r="C1227" s="205" t="s">
        <v>48</v>
      </c>
      <c r="D1227" s="48" t="s">
        <v>165</v>
      </c>
      <c r="E1227" s="134"/>
      <c r="F1227" s="176" t="s">
        <v>165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1006</v>
      </c>
      <c r="C1228" s="205" t="s">
        <v>48</v>
      </c>
      <c r="D1228" s="48" t="s">
        <v>165</v>
      </c>
      <c r="E1228" s="134"/>
      <c r="F1228" s="176" t="s">
        <v>165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1007</v>
      </c>
      <c r="C1229" s="205" t="s">
        <v>48</v>
      </c>
      <c r="D1229" s="48" t="s">
        <v>165</v>
      </c>
      <c r="E1229" s="134"/>
      <c r="F1229" s="176" t="s">
        <v>165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1008</v>
      </c>
      <c r="C1230" s="205" t="s">
        <v>48</v>
      </c>
      <c r="D1230" s="48" t="s">
        <v>165</v>
      </c>
      <c r="E1230" s="134">
        <v>24800</v>
      </c>
      <c r="F1230" s="176" t="s">
        <v>165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111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81</v>
      </c>
      <c r="B1275" s="289">
        <f>SUBTOTAL(3,(B1277:B1316))</f>
        <v>40</v>
      </c>
      <c r="C1275" s="502"/>
      <c r="D1275" s="502"/>
      <c r="E1275"/>
      <c r="F1275" s="177"/>
      <c r="H1275"/>
      <c r="I1275"/>
    </row>
    <row r="1276" spans="1:11" ht="47.25">
      <c r="A1276" s="77" t="s">
        <v>64</v>
      </c>
      <c r="B1276" s="194" t="s">
        <v>83</v>
      </c>
      <c r="C1276" s="190" t="s">
        <v>84</v>
      </c>
      <c r="D1276" s="191" t="s">
        <v>85</v>
      </c>
      <c r="E1276" s="67" t="s">
        <v>86</v>
      </c>
      <c r="F1276" s="175" t="s">
        <v>87</v>
      </c>
      <c r="G1276" s="69" t="s">
        <v>88</v>
      </c>
      <c r="H1276" s="70" t="s">
        <v>89</v>
      </c>
      <c r="I1276" s="70" t="s">
        <v>90</v>
      </c>
      <c r="J1276" s="72" t="s">
        <v>91</v>
      </c>
      <c r="K1276" s="257" t="s">
        <v>92</v>
      </c>
    </row>
    <row r="1277" spans="1:11" ht="30">
      <c r="A1277" s="79">
        <v>1</v>
      </c>
      <c r="B1277" s="195" t="s">
        <v>1009</v>
      </c>
      <c r="C1277" s="37" t="s">
        <v>1010</v>
      </c>
      <c r="D1277" s="48" t="s">
        <v>100</v>
      </c>
      <c r="E1277" s="43">
        <v>88750</v>
      </c>
      <c r="F1277" s="176" t="s">
        <v>100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1011</v>
      </c>
      <c r="C1278" s="37" t="s">
        <v>1010</v>
      </c>
      <c r="D1278" s="48" t="s">
        <v>100</v>
      </c>
      <c r="E1278" s="43">
        <v>18000</v>
      </c>
      <c r="F1278" s="176" t="s">
        <v>100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1012</v>
      </c>
      <c r="C1279" s="37" t="s">
        <v>1010</v>
      </c>
      <c r="D1279" s="48" t="s">
        <v>100</v>
      </c>
      <c r="E1279" s="43">
        <v>48900</v>
      </c>
      <c r="F1279" s="176" t="s">
        <v>100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1013</v>
      </c>
      <c r="C1280" s="37" t="s">
        <v>1010</v>
      </c>
      <c r="D1280" s="48" t="s">
        <v>100</v>
      </c>
      <c r="E1280" s="43">
        <v>5150</v>
      </c>
      <c r="F1280" s="176" t="s">
        <v>100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1014</v>
      </c>
      <c r="C1281" s="37" t="s">
        <v>1010</v>
      </c>
      <c r="D1281" s="48" t="s">
        <v>100</v>
      </c>
      <c r="E1281" s="43">
        <v>6400</v>
      </c>
      <c r="F1281" s="176" t="s">
        <v>100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1015</v>
      </c>
      <c r="C1282" s="37" t="s">
        <v>1010</v>
      </c>
      <c r="D1282" s="48" t="s">
        <v>165</v>
      </c>
      <c r="E1282" s="43">
        <v>61500</v>
      </c>
      <c r="F1282" s="176" t="s">
        <v>165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1016</v>
      </c>
      <c r="C1283" s="37" t="s">
        <v>1010</v>
      </c>
      <c r="D1283" s="48" t="s">
        <v>100</v>
      </c>
      <c r="E1283" s="43">
        <v>48683.375</v>
      </c>
      <c r="F1283" s="176" t="s">
        <v>100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1017</v>
      </c>
      <c r="C1284" s="37" t="s">
        <v>1010</v>
      </c>
      <c r="D1284" s="48" t="s">
        <v>165</v>
      </c>
      <c r="E1284" s="43"/>
      <c r="F1284" s="48" t="s">
        <v>165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1018</v>
      </c>
      <c r="C1285" s="37" t="s">
        <v>1010</v>
      </c>
      <c r="D1285" s="48" t="s">
        <v>165</v>
      </c>
      <c r="E1285" s="43"/>
      <c r="F1285" s="48" t="s">
        <v>165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1019</v>
      </c>
      <c r="C1286" s="37" t="s">
        <v>1010</v>
      </c>
      <c r="D1286" s="48" t="s">
        <v>165</v>
      </c>
      <c r="E1286" s="43"/>
      <c r="F1286" s="48" t="s">
        <v>165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1020</v>
      </c>
      <c r="C1287" s="37" t="s">
        <v>1010</v>
      </c>
      <c r="D1287" s="48" t="s">
        <v>165</v>
      </c>
      <c r="E1287" s="43"/>
      <c r="F1287" s="48" t="s">
        <v>165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1021</v>
      </c>
      <c r="C1288" s="37" t="s">
        <v>1010</v>
      </c>
      <c r="D1288" s="48" t="s">
        <v>165</v>
      </c>
      <c r="E1288" s="43"/>
      <c r="F1288" s="48" t="s">
        <v>165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1022</v>
      </c>
      <c r="C1289" s="37" t="s">
        <v>1010</v>
      </c>
      <c r="D1289" s="48" t="s">
        <v>165</v>
      </c>
      <c r="E1289" s="43"/>
      <c r="F1289" s="48" t="s">
        <v>165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1023</v>
      </c>
      <c r="C1290" s="37" t="s">
        <v>1010</v>
      </c>
      <c r="D1290" s="48" t="s">
        <v>165</v>
      </c>
      <c r="E1290" s="43"/>
      <c r="F1290" s="48" t="s">
        <v>165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1024</v>
      </c>
      <c r="C1291" s="37" t="s">
        <v>1010</v>
      </c>
      <c r="D1291" s="48" t="s">
        <v>165</v>
      </c>
      <c r="E1291" s="43"/>
      <c r="F1291" s="48" t="s">
        <v>165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1025</v>
      </c>
      <c r="C1292" s="37" t="s">
        <v>1010</v>
      </c>
      <c r="D1292" s="48" t="s">
        <v>165</v>
      </c>
      <c r="E1292" s="43"/>
      <c r="F1292" s="48" t="s">
        <v>165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1026</v>
      </c>
      <c r="C1293" s="37" t="s">
        <v>1010</v>
      </c>
      <c r="D1293" s="48" t="s">
        <v>165</v>
      </c>
      <c r="E1293" s="43"/>
      <c r="F1293" s="48" t="s">
        <v>165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1027</v>
      </c>
      <c r="C1294" s="37" t="s">
        <v>1010</v>
      </c>
      <c r="D1294" s="48" t="s">
        <v>165</v>
      </c>
      <c r="E1294" s="43"/>
      <c r="F1294" s="48" t="s">
        <v>165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1028</v>
      </c>
      <c r="C1295" s="37" t="s">
        <v>1010</v>
      </c>
      <c r="D1295" s="48" t="s">
        <v>165</v>
      </c>
      <c r="E1295" s="43"/>
      <c r="F1295" s="48" t="s">
        <v>165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1029</v>
      </c>
      <c r="C1296" s="37" t="s">
        <v>1010</v>
      </c>
      <c r="D1296" s="48" t="s">
        <v>165</v>
      </c>
      <c r="E1296" s="43"/>
      <c r="F1296" s="48" t="s">
        <v>165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1030</v>
      </c>
      <c r="C1297" s="37" t="s">
        <v>1010</v>
      </c>
      <c r="D1297" s="48" t="s">
        <v>100</v>
      </c>
      <c r="E1297" s="43">
        <v>44533.333333333336</v>
      </c>
      <c r="F1297" s="176" t="s">
        <v>100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1031</v>
      </c>
      <c r="C1298" s="37" t="s">
        <v>1010</v>
      </c>
      <c r="D1298" s="193" t="s">
        <v>100</v>
      </c>
      <c r="E1298" s="43">
        <v>30900</v>
      </c>
      <c r="F1298" s="176" t="s">
        <v>100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1032</v>
      </c>
      <c r="C1299" s="236" t="s">
        <v>1010</v>
      </c>
      <c r="D1299" s="237" t="s">
        <v>100</v>
      </c>
      <c r="E1299" s="43"/>
      <c r="F1299" s="48" t="s">
        <v>100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1033</v>
      </c>
      <c r="C1300" s="236" t="s">
        <v>1010</v>
      </c>
      <c r="D1300" s="237" t="s">
        <v>100</v>
      </c>
      <c r="E1300" s="134"/>
      <c r="F1300" s="48" t="s">
        <v>100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1034</v>
      </c>
      <c r="C1301" s="236" t="s">
        <v>1010</v>
      </c>
      <c r="D1301" s="237" t="s">
        <v>1035</v>
      </c>
      <c r="E1301" s="134">
        <v>44500</v>
      </c>
      <c r="F1301" s="176" t="s">
        <v>100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1036</v>
      </c>
      <c r="C1302" s="236" t="s">
        <v>1010</v>
      </c>
      <c r="D1302" s="237" t="s">
        <v>100</v>
      </c>
      <c r="E1302" s="134">
        <v>22370</v>
      </c>
      <c r="F1302" s="176" t="s">
        <v>100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1037</v>
      </c>
      <c r="C1303" s="236" t="s">
        <v>1010</v>
      </c>
      <c r="D1303" s="237" t="s">
        <v>100</v>
      </c>
      <c r="E1303" s="134"/>
      <c r="F1303" s="48" t="s">
        <v>100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1038</v>
      </c>
      <c r="C1304" s="236" t="s">
        <v>1010</v>
      </c>
      <c r="D1304" s="237" t="s">
        <v>100</v>
      </c>
      <c r="E1304" s="134">
        <v>184100</v>
      </c>
      <c r="F1304" s="176" t="s">
        <v>100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1039</v>
      </c>
      <c r="C1305" s="236" t="s">
        <v>1010</v>
      </c>
      <c r="D1305" s="237" t="s">
        <v>100</v>
      </c>
      <c r="E1305" s="134">
        <v>6333.3374999999996</v>
      </c>
      <c r="F1305" s="176" t="s">
        <v>100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1040</v>
      </c>
      <c r="C1306" s="236" t="s">
        <v>1010</v>
      </c>
      <c r="D1306" s="237" t="s">
        <v>100</v>
      </c>
      <c r="E1306" s="134">
        <v>17266.599999999999</v>
      </c>
      <c r="F1306" s="176" t="s">
        <v>100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1041</v>
      </c>
      <c r="C1307" s="236" t="s">
        <v>1010</v>
      </c>
      <c r="D1307" s="237" t="s">
        <v>100</v>
      </c>
      <c r="E1307" s="134">
        <v>6796.7</v>
      </c>
      <c r="F1307" s="176" t="s">
        <v>100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1042</v>
      </c>
      <c r="C1308" s="236" t="s">
        <v>1010</v>
      </c>
      <c r="D1308" s="237" t="s">
        <v>100</v>
      </c>
      <c r="E1308" s="134">
        <v>182666.66666666666</v>
      </c>
      <c r="F1308" s="176" t="s">
        <v>100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1043</v>
      </c>
      <c r="C1309" s="236" t="s">
        <v>1010</v>
      </c>
      <c r="D1309" s="237" t="s">
        <v>1035</v>
      </c>
      <c r="E1309" s="134">
        <v>2500</v>
      </c>
      <c r="F1309" s="176" t="s">
        <v>100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1044</v>
      </c>
      <c r="C1310" s="236" t="s">
        <v>1010</v>
      </c>
      <c r="D1310" s="237" t="s">
        <v>100</v>
      </c>
      <c r="E1310" s="134">
        <v>48330</v>
      </c>
      <c r="F1310" s="176" t="s">
        <v>100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1045</v>
      </c>
      <c r="C1311" s="236" t="s">
        <v>1010</v>
      </c>
      <c r="D1311" s="237" t="s">
        <v>1046</v>
      </c>
      <c r="E1311" s="134">
        <v>10166.700000000001</v>
      </c>
      <c r="F1311" s="176" t="s">
        <v>1046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1047</v>
      </c>
      <c r="C1312" s="236" t="s">
        <v>1010</v>
      </c>
      <c r="D1312" s="237" t="s">
        <v>100</v>
      </c>
      <c r="E1312" s="134">
        <v>104388.75</v>
      </c>
      <c r="F1312" s="176" t="s">
        <v>100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1048</v>
      </c>
      <c r="C1313" s="236" t="s">
        <v>1010</v>
      </c>
      <c r="D1313" s="237" t="s">
        <v>100</v>
      </c>
      <c r="E1313" s="134">
        <v>79760</v>
      </c>
      <c r="F1313" s="176" t="s">
        <v>100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1049</v>
      </c>
      <c r="C1314" s="236" t="s">
        <v>1010</v>
      </c>
      <c r="D1314" s="237" t="s">
        <v>197</v>
      </c>
      <c r="E1314" s="134">
        <v>62000</v>
      </c>
      <c r="F1314" s="290" t="s">
        <v>197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1050</v>
      </c>
      <c r="C1315" s="236" t="s">
        <v>1010</v>
      </c>
      <c r="D1315" s="237" t="s">
        <v>100</v>
      </c>
      <c r="E1315" s="134">
        <v>152500</v>
      </c>
      <c r="F1315" s="290" t="s">
        <v>100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1051</v>
      </c>
      <c r="C1316" s="236" t="s">
        <v>1010</v>
      </c>
      <c r="D1316" s="237" t="s">
        <v>100</v>
      </c>
      <c r="E1316" s="134">
        <v>432050</v>
      </c>
      <c r="F1316" s="290" t="s">
        <v>100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111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2"/>
      <c r="D1331" s="502"/>
      <c r="E1331"/>
      <c r="F1331" s="177"/>
      <c r="H1331"/>
      <c r="I1331"/>
    </row>
    <row r="1332" spans="1:11" ht="47.25">
      <c r="A1332" s="79" t="s">
        <v>1052</v>
      </c>
      <c r="B1332" s="127" t="s">
        <v>83</v>
      </c>
      <c r="C1332" s="115" t="s">
        <v>84</v>
      </c>
      <c r="D1332" s="99" t="s">
        <v>85</v>
      </c>
      <c r="E1332" s="67" t="s">
        <v>86</v>
      </c>
      <c r="F1332" s="175" t="s">
        <v>87</v>
      </c>
      <c r="G1332" s="69" t="s">
        <v>88</v>
      </c>
      <c r="H1332" s="70" t="s">
        <v>89</v>
      </c>
      <c r="I1332" s="70" t="s">
        <v>90</v>
      </c>
      <c r="J1332" s="78" t="s">
        <v>91</v>
      </c>
      <c r="K1332" s="257" t="s">
        <v>92</v>
      </c>
    </row>
    <row r="1333" spans="1:11">
      <c r="A1333" s="79">
        <f t="shared" ref="A1333:A1364" si="39">A1332+1</f>
        <v>220</v>
      </c>
      <c r="B1333" s="40" t="s">
        <v>1053</v>
      </c>
      <c r="C1333" s="37" t="s">
        <v>1054</v>
      </c>
      <c r="D1333" s="48" t="s">
        <v>100</v>
      </c>
      <c r="E1333" s="43">
        <v>343.33</v>
      </c>
      <c r="F1333" s="48" t="s">
        <v>100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1055</v>
      </c>
      <c r="C1334" s="37" t="s">
        <v>1054</v>
      </c>
      <c r="D1334" s="48" t="s">
        <v>100</v>
      </c>
      <c r="E1334" s="43">
        <v>343.33</v>
      </c>
      <c r="F1334" s="48" t="s">
        <v>100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1056</v>
      </c>
      <c r="C1335" s="37" t="s">
        <v>1054</v>
      </c>
      <c r="D1335" s="48" t="s">
        <v>100</v>
      </c>
      <c r="E1335" s="43">
        <v>343.33</v>
      </c>
      <c r="F1335" s="48" t="s">
        <v>100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1057</v>
      </c>
      <c r="C1336" s="37" t="s">
        <v>1054</v>
      </c>
      <c r="D1336" s="48" t="s">
        <v>100</v>
      </c>
      <c r="E1336" s="43">
        <v>343.33</v>
      </c>
      <c r="F1336" s="48" t="s">
        <v>100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1058</v>
      </c>
      <c r="C1337" s="37" t="s">
        <v>1054</v>
      </c>
      <c r="D1337" s="48" t="s">
        <v>100</v>
      </c>
      <c r="E1337" s="43">
        <v>343.33</v>
      </c>
      <c r="F1337" s="48" t="s">
        <v>100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1059</v>
      </c>
      <c r="C1338" s="37" t="s">
        <v>1054</v>
      </c>
      <c r="D1338" s="48" t="s">
        <v>100</v>
      </c>
      <c r="E1338" s="43">
        <v>343.33</v>
      </c>
      <c r="F1338" s="48" t="s">
        <v>100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1060</v>
      </c>
      <c r="C1339" s="37" t="s">
        <v>1054</v>
      </c>
      <c r="D1339" s="48" t="s">
        <v>100</v>
      </c>
      <c r="E1339" s="43">
        <v>343.33</v>
      </c>
      <c r="F1339" s="48" t="s">
        <v>100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1061</v>
      </c>
      <c r="C1340" s="37" t="s">
        <v>1054</v>
      </c>
      <c r="D1340" s="48" t="s">
        <v>100</v>
      </c>
      <c r="E1340" s="43">
        <v>343.33</v>
      </c>
      <c r="F1340" s="48" t="s">
        <v>100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1062</v>
      </c>
      <c r="C1341" s="37" t="s">
        <v>1054</v>
      </c>
      <c r="D1341" s="48" t="s">
        <v>100</v>
      </c>
      <c r="E1341" s="43">
        <v>343.33</v>
      </c>
      <c r="F1341" s="48" t="s">
        <v>100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1063</v>
      </c>
      <c r="C1342" s="37" t="s">
        <v>1054</v>
      </c>
      <c r="D1342" s="48" t="s">
        <v>100</v>
      </c>
      <c r="E1342" s="43">
        <v>343.33</v>
      </c>
      <c r="F1342" s="48" t="s">
        <v>100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1064</v>
      </c>
      <c r="C1343" s="37" t="s">
        <v>1054</v>
      </c>
      <c r="D1343" s="48" t="s">
        <v>100</v>
      </c>
      <c r="E1343" s="43">
        <v>343.33</v>
      </c>
      <c r="F1343" s="48" t="s">
        <v>100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1065</v>
      </c>
      <c r="C1344" s="37" t="s">
        <v>1054</v>
      </c>
      <c r="D1344" s="48" t="s">
        <v>100</v>
      </c>
      <c r="E1344" s="43">
        <v>343.33</v>
      </c>
      <c r="F1344" s="48" t="s">
        <v>100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1066</v>
      </c>
      <c r="C1345" s="37" t="s">
        <v>1054</v>
      </c>
      <c r="D1345" s="48" t="s">
        <v>100</v>
      </c>
      <c r="E1345" s="43">
        <v>343.33</v>
      </c>
      <c r="F1345" s="48" t="s">
        <v>100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1067</v>
      </c>
      <c r="C1346" s="37" t="s">
        <v>1054</v>
      </c>
      <c r="D1346" s="48" t="s">
        <v>100</v>
      </c>
      <c r="E1346" s="43">
        <v>343.33</v>
      </c>
      <c r="F1346" s="48" t="s">
        <v>100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1068</v>
      </c>
      <c r="C1347" s="37" t="s">
        <v>1054</v>
      </c>
      <c r="D1347" s="48" t="s">
        <v>100</v>
      </c>
      <c r="E1347" s="43">
        <v>343.33</v>
      </c>
      <c r="F1347" s="48" t="s">
        <v>100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1069</v>
      </c>
      <c r="C1348" s="37" t="s">
        <v>1054</v>
      </c>
      <c r="D1348" s="48" t="s">
        <v>100</v>
      </c>
      <c r="E1348" s="43">
        <v>343.33</v>
      </c>
      <c r="F1348" s="48" t="s">
        <v>100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1070</v>
      </c>
      <c r="C1349" s="37" t="s">
        <v>1054</v>
      </c>
      <c r="D1349" s="48" t="s">
        <v>100</v>
      </c>
      <c r="E1349" s="43">
        <v>343.33</v>
      </c>
      <c r="F1349" s="48" t="s">
        <v>100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1071</v>
      </c>
      <c r="C1350" s="37" t="s">
        <v>1054</v>
      </c>
      <c r="D1350" s="48" t="s">
        <v>100</v>
      </c>
      <c r="E1350" s="43">
        <v>343.33</v>
      </c>
      <c r="F1350" s="48" t="s">
        <v>100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1072</v>
      </c>
      <c r="C1351" s="37" t="s">
        <v>1054</v>
      </c>
      <c r="D1351" s="48" t="s">
        <v>100</v>
      </c>
      <c r="E1351" s="43">
        <v>343.33</v>
      </c>
      <c r="F1351" s="48" t="s">
        <v>100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1073</v>
      </c>
      <c r="C1352" s="37" t="s">
        <v>1054</v>
      </c>
      <c r="D1352" s="48" t="s">
        <v>100</v>
      </c>
      <c r="E1352" s="43">
        <v>343.33</v>
      </c>
      <c r="F1352" s="48" t="s">
        <v>100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1074</v>
      </c>
      <c r="C1353" s="37" t="s">
        <v>1054</v>
      </c>
      <c r="D1353" s="48" t="s">
        <v>100</v>
      </c>
      <c r="E1353" s="43">
        <v>308.33</v>
      </c>
      <c r="F1353" s="48" t="s">
        <v>100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1075</v>
      </c>
      <c r="C1354" s="37" t="s">
        <v>1054</v>
      </c>
      <c r="D1354" s="48" t="s">
        <v>1076</v>
      </c>
      <c r="E1354" s="43">
        <v>42631</v>
      </c>
      <c r="F1354" s="176" t="s">
        <v>1076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1077</v>
      </c>
      <c r="C1355" s="37" t="s">
        <v>1054</v>
      </c>
      <c r="D1355" s="48" t="s">
        <v>1078</v>
      </c>
      <c r="E1355" s="43">
        <v>6081.3</v>
      </c>
      <c r="F1355" s="176" t="s">
        <v>1078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1079</v>
      </c>
      <c r="C1356" s="37" t="s">
        <v>1054</v>
      </c>
      <c r="D1356" s="48" t="s">
        <v>1080</v>
      </c>
      <c r="E1356" s="43">
        <v>19776</v>
      </c>
      <c r="F1356" s="176" t="s">
        <v>1080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1081</v>
      </c>
      <c r="C1357" s="37" t="s">
        <v>1054</v>
      </c>
      <c r="D1357" s="48" t="s">
        <v>1078</v>
      </c>
      <c r="E1357" s="43">
        <v>16133.3</v>
      </c>
      <c r="F1357" s="176" t="s">
        <v>1078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1082</v>
      </c>
      <c r="C1358" s="37" t="s">
        <v>1054</v>
      </c>
      <c r="D1358" s="48" t="s">
        <v>1083</v>
      </c>
      <c r="E1358" s="43">
        <v>17300</v>
      </c>
      <c r="F1358" s="176" t="s">
        <v>1083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1084</v>
      </c>
      <c r="C1359" s="37" t="s">
        <v>1054</v>
      </c>
      <c r="D1359" s="48" t="s">
        <v>100</v>
      </c>
      <c r="E1359" s="43"/>
      <c r="F1359" s="176" t="s">
        <v>100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1085</v>
      </c>
      <c r="C1360" s="37" t="s">
        <v>1054</v>
      </c>
      <c r="D1360" s="48" t="s">
        <v>1086</v>
      </c>
      <c r="E1360" s="43">
        <v>1583.1533333333334</v>
      </c>
      <c r="F1360" s="176" t="s">
        <v>1086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1087</v>
      </c>
      <c r="C1361" s="37" t="s">
        <v>1054</v>
      </c>
      <c r="D1361" s="48" t="s">
        <v>244</v>
      </c>
      <c r="E1361" s="43">
        <v>4180</v>
      </c>
      <c r="F1361" s="176" t="s">
        <v>244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1088</v>
      </c>
      <c r="C1362" s="37" t="s">
        <v>1054</v>
      </c>
      <c r="D1362" s="48" t="s">
        <v>100</v>
      </c>
      <c r="E1362" s="43">
        <v>9522.5084745762706</v>
      </c>
      <c r="F1362" s="176" t="s">
        <v>100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1089</v>
      </c>
      <c r="C1363" s="37" t="s">
        <v>1054</v>
      </c>
      <c r="D1363" s="48" t="s">
        <v>207</v>
      </c>
      <c r="E1363" s="43"/>
      <c r="F1363" s="176" t="s">
        <v>100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1090</v>
      </c>
      <c r="C1364" s="37" t="s">
        <v>1054</v>
      </c>
      <c r="D1364" s="48" t="s">
        <v>207</v>
      </c>
      <c r="E1364" s="43"/>
      <c r="F1364" s="176" t="s">
        <v>100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1091</v>
      </c>
      <c r="C1365" s="37" t="s">
        <v>1054</v>
      </c>
      <c r="D1365" s="94" t="s">
        <v>230</v>
      </c>
      <c r="E1365" s="43">
        <v>0</v>
      </c>
      <c r="F1365" s="176" t="s">
        <v>230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1092</v>
      </c>
      <c r="C1366" s="37" t="s">
        <v>1054</v>
      </c>
      <c r="D1366" s="48" t="s">
        <v>100</v>
      </c>
      <c r="E1366" s="43">
        <v>4000</v>
      </c>
      <c r="F1366" s="176" t="s">
        <v>100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1093</v>
      </c>
      <c r="C1367" s="37" t="s">
        <v>1054</v>
      </c>
      <c r="D1367" s="48" t="s">
        <v>100</v>
      </c>
      <c r="E1367" s="43">
        <v>51000</v>
      </c>
      <c r="F1367" s="176" t="s">
        <v>100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1094</v>
      </c>
      <c r="C1368" s="37" t="s">
        <v>1054</v>
      </c>
      <c r="D1368" s="48" t="s">
        <v>100</v>
      </c>
      <c r="E1368" s="43">
        <v>1600</v>
      </c>
      <c r="F1368" s="176" t="s">
        <v>100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1095</v>
      </c>
      <c r="C1369" s="37" t="s">
        <v>1054</v>
      </c>
      <c r="D1369" s="48" t="s">
        <v>100</v>
      </c>
      <c r="E1369" s="43">
        <v>1233.6600000000001</v>
      </c>
      <c r="F1369" s="176" t="s">
        <v>100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1096</v>
      </c>
      <c r="C1370" s="37" t="s">
        <v>1054</v>
      </c>
      <c r="D1370" s="48" t="s">
        <v>100</v>
      </c>
      <c r="E1370" s="43">
        <v>500</v>
      </c>
      <c r="F1370" s="176" t="s">
        <v>100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1097</v>
      </c>
      <c r="C1371" s="37" t="s">
        <v>1054</v>
      </c>
      <c r="D1371" s="48" t="s">
        <v>100</v>
      </c>
      <c r="E1371" s="43">
        <v>5900</v>
      </c>
      <c r="F1371" s="176" t="s">
        <v>100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1098</v>
      </c>
      <c r="C1372" s="37" t="s">
        <v>1054</v>
      </c>
      <c r="D1372" s="48" t="s">
        <v>100</v>
      </c>
      <c r="E1372" s="43">
        <v>5900</v>
      </c>
      <c r="F1372" s="176" t="s">
        <v>100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1099</v>
      </c>
      <c r="C1373" s="37" t="s">
        <v>1054</v>
      </c>
      <c r="D1373" s="48" t="s">
        <v>100</v>
      </c>
      <c r="E1373" s="43">
        <v>288766.66666666669</v>
      </c>
      <c r="F1373" s="176" t="s">
        <v>100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1100</v>
      </c>
      <c r="C1374" s="37" t="s">
        <v>1054</v>
      </c>
      <c r="D1374" s="82" t="s">
        <v>1101</v>
      </c>
      <c r="E1374" s="156">
        <v>23233.4</v>
      </c>
      <c r="F1374" s="180" t="s">
        <v>1101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1102</v>
      </c>
      <c r="C1375" s="207" t="s">
        <v>1054</v>
      </c>
      <c r="D1375" s="82" t="s">
        <v>100</v>
      </c>
      <c r="E1375" s="156">
        <v>219.5</v>
      </c>
      <c r="F1375" s="180" t="s">
        <v>100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1103</v>
      </c>
      <c r="C1376" s="207" t="s">
        <v>1054</v>
      </c>
      <c r="D1376" s="82" t="s">
        <v>100</v>
      </c>
      <c r="E1376" s="156">
        <v>907</v>
      </c>
      <c r="F1376" s="180" t="s">
        <v>100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1104</v>
      </c>
      <c r="C1377" s="207" t="s">
        <v>1054</v>
      </c>
      <c r="D1377" s="48" t="s">
        <v>100</v>
      </c>
      <c r="E1377" s="156">
        <v>5333.34</v>
      </c>
      <c r="F1377" s="180" t="s">
        <v>100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1105</v>
      </c>
      <c r="C1378" s="207" t="s">
        <v>1054</v>
      </c>
      <c r="D1378" s="48" t="s">
        <v>233</v>
      </c>
      <c r="E1378" s="156">
        <v>867804</v>
      </c>
      <c r="F1378" s="180" t="s">
        <v>233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1106</v>
      </c>
      <c r="C1379" s="207" t="s">
        <v>1054</v>
      </c>
      <c r="D1379" s="48" t="s">
        <v>233</v>
      </c>
      <c r="E1379" s="156">
        <v>1097662</v>
      </c>
      <c r="F1379" s="180" t="s">
        <v>233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1107</v>
      </c>
      <c r="C1380" s="207" t="s">
        <v>1054</v>
      </c>
      <c r="D1380" s="48" t="s">
        <v>100</v>
      </c>
      <c r="E1380" s="156">
        <v>74866.666666666672</v>
      </c>
      <c r="F1380" s="180" t="s">
        <v>1076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1108</v>
      </c>
      <c r="C1381" s="207" t="s">
        <v>1054</v>
      </c>
      <c r="D1381" s="48" t="s">
        <v>452</v>
      </c>
      <c r="E1381" s="156">
        <v>74866.666666666672</v>
      </c>
      <c r="F1381" s="180" t="s">
        <v>1109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1110</v>
      </c>
      <c r="C1382" s="207" t="s">
        <v>1054</v>
      </c>
      <c r="D1382" s="48" t="s">
        <v>100</v>
      </c>
      <c r="E1382" s="156">
        <v>19073</v>
      </c>
      <c r="F1382" s="180" t="s">
        <v>100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1111</v>
      </c>
      <c r="C1383" s="207" t="s">
        <v>1054</v>
      </c>
      <c r="D1383" s="48" t="s">
        <v>100</v>
      </c>
      <c r="E1383" s="156">
        <v>866.66499999999996</v>
      </c>
      <c r="F1383" s="180" t="s">
        <v>100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1112</v>
      </c>
      <c r="C1384" s="207" t="s">
        <v>1054</v>
      </c>
      <c r="D1384" s="48" t="s">
        <v>207</v>
      </c>
      <c r="E1384" s="156"/>
      <c r="F1384" s="180" t="s">
        <v>100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1113</v>
      </c>
      <c r="C1385" s="207" t="s">
        <v>1054</v>
      </c>
      <c r="D1385" s="48" t="s">
        <v>207</v>
      </c>
      <c r="E1385" s="156"/>
      <c r="F1385" s="180" t="s">
        <v>100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1114</v>
      </c>
      <c r="C1386" s="207" t="s">
        <v>1054</v>
      </c>
      <c r="D1386" s="48" t="s">
        <v>1086</v>
      </c>
      <c r="E1386" s="156">
        <v>513.33285714285716</v>
      </c>
      <c r="F1386" s="180" t="s">
        <v>1086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1115</v>
      </c>
      <c r="C1387" s="207" t="s">
        <v>1054</v>
      </c>
      <c r="D1387" s="48" t="s">
        <v>100</v>
      </c>
      <c r="E1387" s="156">
        <v>19000</v>
      </c>
      <c r="F1387" s="180" t="s">
        <v>100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1116</v>
      </c>
      <c r="C1388" s="207" t="s">
        <v>1054</v>
      </c>
      <c r="D1388" s="48" t="s">
        <v>100</v>
      </c>
      <c r="E1388" s="156">
        <v>3800</v>
      </c>
      <c r="F1388" s="180" t="s">
        <v>100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1117</v>
      </c>
      <c r="C1389" s="207" t="s">
        <v>1054</v>
      </c>
      <c r="D1389" s="48" t="s">
        <v>165</v>
      </c>
      <c r="E1389" s="156">
        <v>3200</v>
      </c>
      <c r="F1389" s="180" t="s">
        <v>165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1118</v>
      </c>
      <c r="C1390" s="207" t="s">
        <v>1054</v>
      </c>
      <c r="D1390" s="48" t="s">
        <v>207</v>
      </c>
      <c r="E1390" s="156"/>
      <c r="F1390" s="180" t="s">
        <v>100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1119</v>
      </c>
      <c r="C1391" s="207" t="s">
        <v>1054</v>
      </c>
      <c r="D1391" s="48" t="s">
        <v>207</v>
      </c>
      <c r="E1391" s="156">
        <v>7200</v>
      </c>
      <c r="F1391" s="180" t="s">
        <v>1076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1120</v>
      </c>
      <c r="C1392" s="207" t="s">
        <v>1054</v>
      </c>
      <c r="D1392" s="48" t="s">
        <v>207</v>
      </c>
      <c r="E1392" s="156"/>
      <c r="F1392" s="180" t="s">
        <v>100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1121</v>
      </c>
      <c r="C1393" s="207" t="s">
        <v>1054</v>
      </c>
      <c r="D1393" s="48" t="s">
        <v>100</v>
      </c>
      <c r="E1393" s="156">
        <v>6013.33</v>
      </c>
      <c r="F1393" s="180" t="s">
        <v>100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1122</v>
      </c>
      <c r="C1394" s="207" t="s">
        <v>1054</v>
      </c>
      <c r="D1394" s="48" t="s">
        <v>100</v>
      </c>
      <c r="E1394" s="156">
        <v>1101.5</v>
      </c>
      <c r="F1394" s="180" t="s">
        <v>100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1123</v>
      </c>
      <c r="C1395" s="207" t="s">
        <v>1054</v>
      </c>
      <c r="D1395" s="48" t="s">
        <v>100</v>
      </c>
      <c r="E1395" s="156">
        <v>11100</v>
      </c>
      <c r="F1395" s="180" t="s">
        <v>100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1124</v>
      </c>
      <c r="C1396" s="207" t="s">
        <v>1054</v>
      </c>
      <c r="D1396" s="48" t="s">
        <v>207</v>
      </c>
      <c r="E1396" s="208"/>
      <c r="F1396" s="180" t="s">
        <v>100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111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81</v>
      </c>
      <c r="B1416" s="248">
        <f>SUBTOTAL(3,Tabla34[Material])</f>
        <v>82</v>
      </c>
      <c r="C1416" s="502"/>
      <c r="D1416" s="502"/>
      <c r="E1416"/>
      <c r="F1416" s="177"/>
      <c r="H1416"/>
      <c r="I1416"/>
    </row>
    <row r="1417" spans="1:11" ht="47.25">
      <c r="A1417" s="128" t="s">
        <v>64</v>
      </c>
      <c r="B1417" s="66" t="s">
        <v>83</v>
      </c>
      <c r="C1417" s="115" t="s">
        <v>84</v>
      </c>
      <c r="D1417" s="129" t="s">
        <v>85</v>
      </c>
      <c r="E1417" s="59" t="s">
        <v>86</v>
      </c>
      <c r="F1417" s="183" t="s">
        <v>87</v>
      </c>
      <c r="G1417" s="60" t="s">
        <v>88</v>
      </c>
      <c r="H1417" s="61" t="s">
        <v>89</v>
      </c>
      <c r="I1417" s="61" t="s">
        <v>90</v>
      </c>
      <c r="J1417" s="72" t="s">
        <v>91</v>
      </c>
      <c r="K1417" s="257" t="s">
        <v>92</v>
      </c>
    </row>
    <row r="1418" spans="1:11">
      <c r="A1418" s="41">
        <v>1</v>
      </c>
      <c r="B1418" s="42" t="s">
        <v>1125</v>
      </c>
      <c r="C1418" s="205" t="s">
        <v>44</v>
      </c>
      <c r="D1418" s="222" t="s">
        <v>1126</v>
      </c>
      <c r="E1418" s="43">
        <v>35093.533333333333</v>
      </c>
      <c r="F1418" s="176" t="s">
        <v>1126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1127</v>
      </c>
      <c r="C1419" s="205" t="s">
        <v>44</v>
      </c>
      <c r="D1419" s="57" t="s">
        <v>100</v>
      </c>
      <c r="E1419" s="43">
        <v>3146.625</v>
      </c>
      <c r="F1419" s="176" t="s">
        <v>100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1128</v>
      </c>
      <c r="C1420" s="205" t="s">
        <v>44</v>
      </c>
      <c r="D1420" s="48" t="s">
        <v>100</v>
      </c>
      <c r="E1420" s="43">
        <v>8731.5333333333328</v>
      </c>
      <c r="F1420" s="176" t="s">
        <v>100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1129</v>
      </c>
      <c r="C1421" s="205" t="s">
        <v>44</v>
      </c>
      <c r="D1421" s="48" t="s">
        <v>100</v>
      </c>
      <c r="E1421" s="43">
        <v>5376.625</v>
      </c>
      <c r="F1421" s="176" t="s">
        <v>100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1130</v>
      </c>
      <c r="C1422" s="205" t="s">
        <v>44</v>
      </c>
      <c r="D1422" s="48" t="s">
        <v>100</v>
      </c>
      <c r="E1422" s="43">
        <v>7039.5</v>
      </c>
      <c r="F1422" s="176" t="s">
        <v>100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1131</v>
      </c>
      <c r="C1423" s="205" t="s">
        <v>44</v>
      </c>
      <c r="D1423" s="48" t="s">
        <v>100</v>
      </c>
      <c r="E1423" s="43">
        <v>13260</v>
      </c>
      <c r="F1423" s="176" t="s">
        <v>100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1132</v>
      </c>
      <c r="C1424" s="205" t="s">
        <v>44</v>
      </c>
      <c r="D1424" s="48" t="s">
        <v>100</v>
      </c>
      <c r="E1424" s="43">
        <v>5136.2</v>
      </c>
      <c r="F1424" s="176" t="s">
        <v>100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1133</v>
      </c>
      <c r="C1425" s="205" t="s">
        <v>44</v>
      </c>
      <c r="D1425" s="48" t="s">
        <v>100</v>
      </c>
      <c r="E1425" s="43">
        <v>5628.6</v>
      </c>
      <c r="F1425" s="176" t="s">
        <v>100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1134</v>
      </c>
      <c r="C1426" s="205" t="s">
        <v>44</v>
      </c>
      <c r="D1426" s="48" t="s">
        <v>100</v>
      </c>
      <c r="E1426" s="46">
        <v>7204.6</v>
      </c>
      <c r="F1426" s="176" t="s">
        <v>100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1135</v>
      </c>
      <c r="C1427" s="205" t="s">
        <v>44</v>
      </c>
      <c r="D1427" s="48" t="s">
        <v>100</v>
      </c>
      <c r="E1427" s="46">
        <v>12510</v>
      </c>
      <c r="F1427" s="176" t="s">
        <v>100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1136</v>
      </c>
      <c r="C1428" s="205" t="s">
        <v>44</v>
      </c>
      <c r="D1428" s="48" t="s">
        <v>100</v>
      </c>
      <c r="E1428" s="46">
        <v>8789</v>
      </c>
      <c r="F1428" s="176" t="s">
        <v>100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1137</v>
      </c>
      <c r="C1429" s="205" t="s">
        <v>44</v>
      </c>
      <c r="D1429" s="48" t="s">
        <v>100</v>
      </c>
      <c r="E1429" s="46">
        <v>20643.5</v>
      </c>
      <c r="F1429" s="176" t="s">
        <v>100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1138</v>
      </c>
      <c r="C1430" s="205" t="s">
        <v>44</v>
      </c>
      <c r="D1430" s="48" t="s">
        <v>100</v>
      </c>
      <c r="E1430" s="46">
        <v>2006</v>
      </c>
      <c r="F1430" s="176" t="s">
        <v>100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1139</v>
      </c>
      <c r="C1431" s="205" t="s">
        <v>44</v>
      </c>
      <c r="D1431" s="48" t="s">
        <v>100</v>
      </c>
      <c r="E1431" s="46">
        <v>36293.5</v>
      </c>
      <c r="F1431" s="176" t="s">
        <v>100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1140</v>
      </c>
      <c r="C1432" s="205" t="s">
        <v>44</v>
      </c>
      <c r="D1432" s="48" t="s">
        <v>100</v>
      </c>
      <c r="E1432" s="46">
        <v>9613.3333333333339</v>
      </c>
      <c r="F1432" s="176" t="s">
        <v>100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1141</v>
      </c>
      <c r="C1433" s="205" t="s">
        <v>44</v>
      </c>
      <c r="D1433" s="48" t="s">
        <v>100</v>
      </c>
      <c r="E1433" s="46">
        <v>76295</v>
      </c>
      <c r="F1433" s="176" t="s">
        <v>100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1142</v>
      </c>
      <c r="C1434" s="205" t="s">
        <v>44</v>
      </c>
      <c r="D1434" s="48" t="s">
        <v>100</v>
      </c>
      <c r="E1434" s="46">
        <v>3326.46</v>
      </c>
      <c r="F1434" s="176" t="s">
        <v>100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1143</v>
      </c>
      <c r="C1435" s="205" t="s">
        <v>44</v>
      </c>
      <c r="D1435" s="48" t="s">
        <v>100</v>
      </c>
      <c r="E1435" s="46">
        <v>61667.5</v>
      </c>
      <c r="F1435" s="176" t="s">
        <v>100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1144</v>
      </c>
      <c r="C1436" s="205" t="s">
        <v>44</v>
      </c>
      <c r="D1436" s="48" t="s">
        <v>100</v>
      </c>
      <c r="E1436" s="43">
        <v>720750</v>
      </c>
      <c r="F1436" s="176" t="s">
        <v>100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1145</v>
      </c>
      <c r="C1437" s="205" t="s">
        <v>44</v>
      </c>
      <c r="D1437" s="48" t="s">
        <v>1086</v>
      </c>
      <c r="E1437" s="43">
        <v>3215</v>
      </c>
      <c r="F1437" s="176" t="s">
        <v>1086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1146</v>
      </c>
      <c r="C1438" s="205" t="s">
        <v>44</v>
      </c>
      <c r="D1438" s="48" t="s">
        <v>1086</v>
      </c>
      <c r="E1438" s="43">
        <v>8300</v>
      </c>
      <c r="F1438" s="176" t="s">
        <v>1086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1147</v>
      </c>
      <c r="C1439" s="205" t="s">
        <v>44</v>
      </c>
      <c r="D1439" s="48" t="s">
        <v>1086</v>
      </c>
      <c r="E1439" s="43">
        <v>3276</v>
      </c>
      <c r="F1439" s="176" t="s">
        <v>1086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1148</v>
      </c>
      <c r="C1440" s="205" t="s">
        <v>44</v>
      </c>
      <c r="D1440" s="48" t="s">
        <v>100</v>
      </c>
      <c r="E1440" s="43">
        <v>34700</v>
      </c>
      <c r="F1440" s="176" t="s">
        <v>100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1149</v>
      </c>
      <c r="C1441" s="205" t="s">
        <v>44</v>
      </c>
      <c r="D1441" s="48" t="s">
        <v>100</v>
      </c>
      <c r="E1441" s="43">
        <v>16695</v>
      </c>
      <c r="F1441" s="176" t="s">
        <v>100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1150</v>
      </c>
      <c r="C1442" s="205" t="s">
        <v>44</v>
      </c>
      <c r="D1442" s="48" t="s">
        <v>100</v>
      </c>
      <c r="E1442" s="43">
        <v>20585</v>
      </c>
      <c r="F1442" s="176" t="s">
        <v>100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1151</v>
      </c>
      <c r="C1443" s="205" t="s">
        <v>44</v>
      </c>
      <c r="D1443" s="48" t="s">
        <v>100</v>
      </c>
      <c r="E1443" s="43">
        <v>2912.52</v>
      </c>
      <c r="F1443" s="176" t="s">
        <v>100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1152</v>
      </c>
      <c r="C1444" s="205" t="s">
        <v>44</v>
      </c>
      <c r="D1444" s="48" t="s">
        <v>100</v>
      </c>
      <c r="E1444" s="43">
        <v>18486</v>
      </c>
      <c r="F1444" s="176" t="s">
        <v>100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1153</v>
      </c>
      <c r="C1445" s="205" t="s">
        <v>44</v>
      </c>
      <c r="D1445" s="48" t="s">
        <v>100</v>
      </c>
      <c r="E1445" s="43">
        <v>18895</v>
      </c>
      <c r="F1445" s="176" t="s">
        <v>100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1154</v>
      </c>
      <c r="C1446" s="205" t="s">
        <v>44</v>
      </c>
      <c r="D1446" s="48" t="s">
        <v>100</v>
      </c>
      <c r="E1446" s="43">
        <v>35150</v>
      </c>
      <c r="F1446" s="176" t="s">
        <v>100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1155</v>
      </c>
      <c r="C1447" s="205" t="s">
        <v>44</v>
      </c>
      <c r="D1447" s="48" t="s">
        <v>1086</v>
      </c>
      <c r="E1447" s="43">
        <v>3145</v>
      </c>
      <c r="F1447" s="176" t="s">
        <v>247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1156</v>
      </c>
      <c r="C1448" s="205" t="s">
        <v>44</v>
      </c>
      <c r="D1448" s="48" t="s">
        <v>100</v>
      </c>
      <c r="E1448" s="43">
        <v>8470</v>
      </c>
      <c r="F1448" s="176" t="s">
        <v>100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1157</v>
      </c>
      <c r="C1449" s="205" t="s">
        <v>44</v>
      </c>
      <c r="D1449" s="48" t="s">
        <v>100</v>
      </c>
      <c r="E1449" s="43">
        <v>2480</v>
      </c>
      <c r="F1449" s="176" t="s">
        <v>100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1158</v>
      </c>
      <c r="C1450" s="205" t="s">
        <v>44</v>
      </c>
      <c r="D1450" s="48" t="s">
        <v>100</v>
      </c>
      <c r="E1450" s="43">
        <v>100620</v>
      </c>
      <c r="F1450" s="176" t="s">
        <v>100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1159</v>
      </c>
      <c r="C1451" s="205" t="s">
        <v>44</v>
      </c>
      <c r="D1451" s="48" t="s">
        <v>100</v>
      </c>
      <c r="E1451" s="43">
        <v>50245</v>
      </c>
      <c r="F1451" s="176" t="s">
        <v>100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1160</v>
      </c>
      <c r="C1452" s="205" t="s">
        <v>44</v>
      </c>
      <c r="D1452" s="48" t="s">
        <v>207</v>
      </c>
      <c r="E1452" s="43">
        <v>98275.666666666672</v>
      </c>
      <c r="F1452" s="176" t="s">
        <v>207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1161</v>
      </c>
      <c r="C1453" s="205" t="s">
        <v>44</v>
      </c>
      <c r="D1453" s="48" t="s">
        <v>100</v>
      </c>
      <c r="E1453" s="43">
        <v>33709</v>
      </c>
      <c r="F1453" s="176" t="s">
        <v>100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1162</v>
      </c>
      <c r="C1454" s="205" t="s">
        <v>44</v>
      </c>
      <c r="D1454" s="48" t="s">
        <v>100</v>
      </c>
      <c r="E1454" s="43">
        <v>103948</v>
      </c>
      <c r="F1454" s="176" t="s">
        <v>100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1163</v>
      </c>
      <c r="C1455" s="205" t="s">
        <v>44</v>
      </c>
      <c r="D1455" s="48" t="s">
        <v>100</v>
      </c>
      <c r="E1455" s="43">
        <v>32370</v>
      </c>
      <c r="F1455" s="176" t="s">
        <v>100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1164</v>
      </c>
      <c r="C1456" s="205" t="s">
        <v>44</v>
      </c>
      <c r="D1456" s="48" t="s">
        <v>100</v>
      </c>
      <c r="E1456" s="43">
        <v>110153</v>
      </c>
      <c r="F1456" s="176" t="s">
        <v>100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1165</v>
      </c>
      <c r="C1457" s="205" t="s">
        <v>44</v>
      </c>
      <c r="D1457" s="48" t="s">
        <v>100</v>
      </c>
      <c r="E1457" s="43">
        <v>49830</v>
      </c>
      <c r="F1457" s="176" t="s">
        <v>100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1166</v>
      </c>
      <c r="C1458" s="205" t="s">
        <v>44</v>
      </c>
      <c r="D1458" s="48" t="s">
        <v>100</v>
      </c>
      <c r="E1458" s="43">
        <v>45846.5</v>
      </c>
      <c r="F1458" s="176" t="s">
        <v>100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1167</v>
      </c>
      <c r="C1459" s="205" t="s">
        <v>44</v>
      </c>
      <c r="D1459" s="48" t="s">
        <v>100</v>
      </c>
      <c r="E1459" s="43">
        <v>12830</v>
      </c>
      <c r="F1459" s="176" t="s">
        <v>100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1168</v>
      </c>
      <c r="C1460" s="205" t="s">
        <v>44</v>
      </c>
      <c r="D1460" s="48" t="s">
        <v>100</v>
      </c>
      <c r="E1460" s="43">
        <v>38888.571428571428</v>
      </c>
      <c r="F1460" s="176" t="s">
        <v>100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1169</v>
      </c>
      <c r="C1461" s="205" t="s">
        <v>44</v>
      </c>
      <c r="D1461" s="48" t="s">
        <v>233</v>
      </c>
      <c r="E1461" s="43">
        <v>90973.666666666672</v>
      </c>
      <c r="F1461" s="176" t="s">
        <v>247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1170</v>
      </c>
      <c r="C1462" s="205" t="s">
        <v>44</v>
      </c>
      <c r="D1462" s="48" t="s">
        <v>100</v>
      </c>
      <c r="E1462" s="43">
        <v>22475</v>
      </c>
      <c r="F1462" s="176" t="s">
        <v>100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1171</v>
      </c>
      <c r="C1463" s="205" t="s">
        <v>44</v>
      </c>
      <c r="D1463" s="48" t="s">
        <v>100</v>
      </c>
      <c r="E1463" s="43">
        <v>95966.7</v>
      </c>
      <c r="F1463" s="176" t="s">
        <v>100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1172</v>
      </c>
      <c r="C1464" s="205" t="s">
        <v>44</v>
      </c>
      <c r="D1464" s="48" t="s">
        <v>100</v>
      </c>
      <c r="E1464" s="43">
        <v>22654</v>
      </c>
      <c r="F1464" s="176" t="s">
        <v>100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1173</v>
      </c>
      <c r="C1465" s="205" t="s">
        <v>44</v>
      </c>
      <c r="D1465" s="48" t="s">
        <v>100</v>
      </c>
      <c r="E1465" s="43">
        <v>73154</v>
      </c>
      <c r="F1465" s="176" t="s">
        <v>100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1174</v>
      </c>
      <c r="C1466" s="205" t="s">
        <v>44</v>
      </c>
      <c r="D1466" s="48" t="s">
        <v>100</v>
      </c>
      <c r="E1466" s="43">
        <v>22053.571428571428</v>
      </c>
      <c r="F1466" s="176" t="s">
        <v>100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1175</v>
      </c>
      <c r="C1467" s="205" t="s">
        <v>44</v>
      </c>
      <c r="D1467" s="48" t="s">
        <v>100</v>
      </c>
      <c r="E1467" s="43">
        <v>132350</v>
      </c>
      <c r="F1467" s="176" t="s">
        <v>100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1176</v>
      </c>
      <c r="C1468" s="205" t="s">
        <v>44</v>
      </c>
      <c r="D1468" s="48" t="s">
        <v>100</v>
      </c>
      <c r="E1468" s="43">
        <v>22518.5</v>
      </c>
      <c r="F1468" s="176" t="s">
        <v>100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1177</v>
      </c>
      <c r="C1469" s="205" t="s">
        <v>44</v>
      </c>
      <c r="D1469" s="48" t="s">
        <v>100</v>
      </c>
      <c r="E1469" s="43">
        <v>2242.6</v>
      </c>
      <c r="F1469" s="176" t="s">
        <v>100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1178</v>
      </c>
      <c r="C1470" s="205" t="s">
        <v>44</v>
      </c>
      <c r="D1470" s="48" t="s">
        <v>100</v>
      </c>
      <c r="E1470" s="43">
        <v>1875.65</v>
      </c>
      <c r="F1470" s="176" t="s">
        <v>100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1179</v>
      </c>
      <c r="C1471" s="205" t="s">
        <v>44</v>
      </c>
      <c r="D1471" s="48" t="s">
        <v>199</v>
      </c>
      <c r="E1471" s="43">
        <v>3130</v>
      </c>
      <c r="F1471" s="176" t="s">
        <v>199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1180</v>
      </c>
      <c r="C1472" s="205" t="s">
        <v>44</v>
      </c>
      <c r="D1472" s="48" t="s">
        <v>199</v>
      </c>
      <c r="E1472" s="43">
        <v>5010</v>
      </c>
      <c r="F1472" s="176" t="s">
        <v>199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1181</v>
      </c>
      <c r="C1473" s="205" t="s">
        <v>44</v>
      </c>
      <c r="D1473" s="48" t="s">
        <v>100</v>
      </c>
      <c r="E1473" s="43">
        <v>37950</v>
      </c>
      <c r="F1473" s="176" t="s">
        <v>100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1182</v>
      </c>
      <c r="C1474" s="205" t="s">
        <v>44</v>
      </c>
      <c r="D1474" s="48" t="s">
        <v>1183</v>
      </c>
      <c r="E1474" s="43">
        <v>17375</v>
      </c>
      <c r="F1474" s="176" t="s">
        <v>1183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1184</v>
      </c>
      <c r="C1475" s="205" t="s">
        <v>44</v>
      </c>
      <c r="D1475" s="48" t="s">
        <v>244</v>
      </c>
      <c r="E1475" s="43">
        <v>107770</v>
      </c>
      <c r="F1475" s="176" t="s">
        <v>244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1185</v>
      </c>
      <c r="C1476" s="205" t="s">
        <v>44</v>
      </c>
      <c r="D1476" s="48" t="s">
        <v>100</v>
      </c>
      <c r="E1476" s="43">
        <v>2670.7666666666669</v>
      </c>
      <c r="F1476" s="176" t="s">
        <v>100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1186</v>
      </c>
      <c r="C1477" s="205" t="s">
        <v>44</v>
      </c>
      <c r="D1477" s="48" t="s">
        <v>199</v>
      </c>
      <c r="E1477" s="43">
        <v>21800</v>
      </c>
      <c r="F1477" s="176" t="s">
        <v>199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1187</v>
      </c>
      <c r="C1478" s="205" t="s">
        <v>44</v>
      </c>
      <c r="D1478" s="48" t="s">
        <v>1086</v>
      </c>
      <c r="E1478" s="43">
        <v>9196.3666666666668</v>
      </c>
      <c r="F1478" s="176" t="s">
        <v>247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1188</v>
      </c>
      <c r="C1479" s="205" t="s">
        <v>44</v>
      </c>
      <c r="D1479" s="48" t="s">
        <v>1086</v>
      </c>
      <c r="E1479" s="43">
        <v>9275</v>
      </c>
      <c r="F1479" s="176" t="s">
        <v>1086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1189</v>
      </c>
      <c r="C1480" s="205" t="s">
        <v>44</v>
      </c>
      <c r="D1480" s="48" t="s">
        <v>100</v>
      </c>
      <c r="E1480" s="43">
        <v>46106.7</v>
      </c>
      <c r="F1480" s="176" t="s">
        <v>100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1190</v>
      </c>
      <c r="C1481" s="205" t="s">
        <v>44</v>
      </c>
      <c r="D1481" s="48" t="s">
        <v>244</v>
      </c>
      <c r="E1481" s="43">
        <v>38155</v>
      </c>
      <c r="F1481" s="176" t="s">
        <v>244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1191</v>
      </c>
      <c r="C1482" s="205" t="s">
        <v>44</v>
      </c>
      <c r="D1482" s="48" t="s">
        <v>1086</v>
      </c>
      <c r="E1482" s="43">
        <v>189.5</v>
      </c>
      <c r="F1482" s="176" t="s">
        <v>1086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1192</v>
      </c>
      <c r="C1483" s="205" t="s">
        <v>44</v>
      </c>
      <c r="D1483" s="48" t="s">
        <v>100</v>
      </c>
      <c r="E1483" s="43">
        <v>13585</v>
      </c>
      <c r="F1483" s="176" t="s">
        <v>100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1193</v>
      </c>
      <c r="C1484" s="205" t="s">
        <v>44</v>
      </c>
      <c r="D1484" s="48" t="s">
        <v>1194</v>
      </c>
      <c r="E1484" s="43">
        <v>5850</v>
      </c>
      <c r="F1484" s="176" t="s">
        <v>1194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1195</v>
      </c>
      <c r="C1485" s="205" t="s">
        <v>44</v>
      </c>
      <c r="D1485" s="48" t="s">
        <v>100</v>
      </c>
      <c r="E1485" s="43">
        <v>25650</v>
      </c>
      <c r="F1485" s="176" t="s">
        <v>100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1196</v>
      </c>
      <c r="C1486" s="205" t="s">
        <v>44</v>
      </c>
      <c r="D1486" s="48" t="s">
        <v>100</v>
      </c>
      <c r="E1486" s="43">
        <v>2760</v>
      </c>
      <c r="F1486" s="176" t="s">
        <v>100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1197</v>
      </c>
      <c r="C1487" s="205" t="s">
        <v>44</v>
      </c>
      <c r="D1487" s="48" t="s">
        <v>100</v>
      </c>
      <c r="E1487" s="43">
        <v>109000</v>
      </c>
      <c r="F1487" s="176" t="s">
        <v>100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1198</v>
      </c>
      <c r="C1488" s="205" t="s">
        <v>44</v>
      </c>
      <c r="D1488" s="48" t="s">
        <v>100</v>
      </c>
      <c r="E1488" s="43">
        <v>758.33233532934105</v>
      </c>
      <c r="F1488" s="176" t="s">
        <v>100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1199</v>
      </c>
      <c r="C1489" s="205" t="s">
        <v>44</v>
      </c>
      <c r="D1489" s="48" t="s">
        <v>100</v>
      </c>
      <c r="E1489" s="43">
        <v>2233.3000000000002</v>
      </c>
      <c r="F1489" s="176" t="s">
        <v>100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1200</v>
      </c>
      <c r="C1490" s="205" t="s">
        <v>44</v>
      </c>
      <c r="D1490" s="48" t="s">
        <v>100</v>
      </c>
      <c r="E1490" s="43">
        <v>17680</v>
      </c>
      <c r="F1490" s="176" t="s">
        <v>100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1201</v>
      </c>
      <c r="C1491" s="205" t="s">
        <v>44</v>
      </c>
      <c r="D1491" s="48" t="s">
        <v>100</v>
      </c>
      <c r="E1491" s="43">
        <v>16710</v>
      </c>
      <c r="F1491" s="176" t="s">
        <v>100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1202</v>
      </c>
      <c r="C1492" s="205" t="s">
        <v>44</v>
      </c>
      <c r="D1492" s="48" t="s">
        <v>100</v>
      </c>
      <c r="E1492" s="43">
        <v>1270000</v>
      </c>
      <c r="F1492" s="176" t="s">
        <v>100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1203</v>
      </c>
      <c r="C1493" s="205" t="s">
        <v>44</v>
      </c>
      <c r="D1493" s="48" t="s">
        <v>100</v>
      </c>
      <c r="E1493" s="43">
        <v>4120</v>
      </c>
      <c r="F1493" s="176" t="s">
        <v>100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1204</v>
      </c>
      <c r="C1494" s="205" t="s">
        <v>44</v>
      </c>
      <c r="D1494" s="48" t="s">
        <v>207</v>
      </c>
      <c r="E1494" s="43">
        <v>45500</v>
      </c>
      <c r="F1494" s="176" t="s">
        <v>207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1205</v>
      </c>
      <c r="C1495" s="205" t="s">
        <v>44</v>
      </c>
      <c r="D1495" s="48" t="s">
        <v>207</v>
      </c>
      <c r="E1495" s="43">
        <v>44156.666666666664</v>
      </c>
      <c r="F1495" s="176" t="s">
        <v>207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1206</v>
      </c>
      <c r="C1496" s="205" t="s">
        <v>44</v>
      </c>
      <c r="D1496" s="48" t="s">
        <v>207</v>
      </c>
      <c r="E1496" s="43">
        <v>43333.333333333336</v>
      </c>
      <c r="F1496" s="176" t="s">
        <v>207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1207</v>
      </c>
      <c r="C1497" s="205" t="s">
        <v>44</v>
      </c>
      <c r="D1497" s="48" t="s">
        <v>100</v>
      </c>
      <c r="E1497" s="43">
        <v>2860</v>
      </c>
      <c r="F1497" s="176" t="s">
        <v>100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1208</v>
      </c>
      <c r="C1498" s="205" t="s">
        <v>44</v>
      </c>
      <c r="D1498" s="82" t="s">
        <v>100</v>
      </c>
      <c r="E1498" s="156">
        <v>212420</v>
      </c>
      <c r="F1498" s="180" t="s">
        <v>100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1209</v>
      </c>
      <c r="C1499" s="205" t="s">
        <v>44</v>
      </c>
      <c r="D1499" s="48" t="s">
        <v>100</v>
      </c>
      <c r="E1499" s="43">
        <v>245960</v>
      </c>
      <c r="F1499" s="176" t="s">
        <v>100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111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81</v>
      </c>
      <c r="B1510" s="249">
        <f>SUBTOTAL(3,(B1512:B1597))</f>
        <v>86</v>
      </c>
      <c r="C1510" s="502"/>
      <c r="D1510" s="502"/>
      <c r="E1510"/>
      <c r="F1510" s="177"/>
      <c r="H1510"/>
      <c r="I1510"/>
    </row>
    <row r="1511" spans="1:11" ht="47.25">
      <c r="A1511" s="88" t="s">
        <v>64</v>
      </c>
      <c r="B1511" s="132" t="s">
        <v>83</v>
      </c>
      <c r="C1511" s="98" t="s">
        <v>84</v>
      </c>
      <c r="D1511" s="99" t="s">
        <v>85</v>
      </c>
      <c r="E1511" s="87" t="s">
        <v>86</v>
      </c>
      <c r="F1511" s="184" t="s">
        <v>87</v>
      </c>
      <c r="G1511" s="100" t="s">
        <v>88</v>
      </c>
      <c r="H1511" s="101" t="s">
        <v>89</v>
      </c>
      <c r="I1511" s="101" t="s">
        <v>90</v>
      </c>
      <c r="J1511" s="102" t="s">
        <v>91</v>
      </c>
      <c r="K1511" s="258" t="s">
        <v>92</v>
      </c>
    </row>
    <row r="1512" spans="1:11">
      <c r="A1512" s="79">
        <v>1</v>
      </c>
      <c r="B1512" s="97" t="s">
        <v>1210</v>
      </c>
      <c r="C1512" s="96" t="s">
        <v>1211</v>
      </c>
      <c r="D1512" s="92" t="s">
        <v>94</v>
      </c>
      <c r="E1512" s="90"/>
      <c r="F1512" s="185" t="s">
        <v>94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1212</v>
      </c>
      <c r="C1513" s="96" t="s">
        <v>1211</v>
      </c>
      <c r="D1513" s="89" t="s">
        <v>94</v>
      </c>
      <c r="E1513" s="90"/>
      <c r="F1513" s="186" t="s">
        <v>94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1213</v>
      </c>
      <c r="C1514" s="96" t="s">
        <v>1211</v>
      </c>
      <c r="D1514" s="89" t="s">
        <v>1214</v>
      </c>
      <c r="E1514" s="90"/>
      <c r="F1514" s="186" t="s">
        <v>1214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1215</v>
      </c>
      <c r="C1515" s="96" t="s">
        <v>1211</v>
      </c>
      <c r="D1515" s="92" t="s">
        <v>94</v>
      </c>
      <c r="E1515" s="90"/>
      <c r="F1515" s="185" t="s">
        <v>94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1216</v>
      </c>
      <c r="C1516" s="96" t="s">
        <v>1211</v>
      </c>
      <c r="D1516" s="89" t="s">
        <v>94</v>
      </c>
      <c r="E1516" s="90"/>
      <c r="F1516" s="186" t="s">
        <v>94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1217</v>
      </c>
      <c r="C1517" s="96" t="s">
        <v>1211</v>
      </c>
      <c r="D1517" s="89" t="s">
        <v>94</v>
      </c>
      <c r="E1517" s="90"/>
      <c r="F1517" s="186" t="s">
        <v>94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1218</v>
      </c>
      <c r="C1518" s="96" t="s">
        <v>1211</v>
      </c>
      <c r="D1518" s="92" t="s">
        <v>94</v>
      </c>
      <c r="E1518" s="90"/>
      <c r="F1518" s="185" t="s">
        <v>94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1219</v>
      </c>
      <c r="C1519" s="96" t="s">
        <v>1211</v>
      </c>
      <c r="D1519" s="92" t="s">
        <v>95</v>
      </c>
      <c r="E1519" s="90"/>
      <c r="F1519" s="185" t="s">
        <v>95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1220</v>
      </c>
      <c r="C1520" s="96" t="s">
        <v>1211</v>
      </c>
      <c r="D1520" s="89" t="s">
        <v>474</v>
      </c>
      <c r="E1520" s="90"/>
      <c r="F1520" s="186" t="s">
        <v>474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1221</v>
      </c>
      <c r="C1521" s="96" t="s">
        <v>1211</v>
      </c>
      <c r="D1521" s="92" t="s">
        <v>1214</v>
      </c>
      <c r="E1521" s="90"/>
      <c r="F1521" s="185" t="s">
        <v>1214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1222</v>
      </c>
      <c r="C1522" s="96" t="s">
        <v>1211</v>
      </c>
      <c r="D1522" s="92" t="s">
        <v>94</v>
      </c>
      <c r="E1522" s="90"/>
      <c r="F1522" s="185" t="s">
        <v>94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1223</v>
      </c>
      <c r="C1523" s="96" t="s">
        <v>1211</v>
      </c>
      <c r="D1523" s="89" t="s">
        <v>1214</v>
      </c>
      <c r="E1523" s="90"/>
      <c r="F1523" s="186" t="s">
        <v>1214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1224</v>
      </c>
      <c r="C1524" s="96" t="s">
        <v>1211</v>
      </c>
      <c r="D1524" s="92" t="s">
        <v>95</v>
      </c>
      <c r="E1524" s="90"/>
      <c r="F1524" s="185" t="s">
        <v>95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1225</v>
      </c>
      <c r="C1525" s="96" t="s">
        <v>1211</v>
      </c>
      <c r="D1525" s="92" t="s">
        <v>94</v>
      </c>
      <c r="E1525" s="90"/>
      <c r="F1525" s="185" t="s">
        <v>94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1226</v>
      </c>
      <c r="C1526" s="96" t="s">
        <v>1211</v>
      </c>
      <c r="D1526" s="89" t="s">
        <v>94</v>
      </c>
      <c r="E1526" s="90"/>
      <c r="F1526" s="186" t="s">
        <v>94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1227</v>
      </c>
      <c r="C1527" s="96" t="s">
        <v>1211</v>
      </c>
      <c r="D1527" s="89" t="s">
        <v>94</v>
      </c>
      <c r="E1527" s="90"/>
      <c r="F1527" s="186" t="s">
        <v>94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1228</v>
      </c>
      <c r="C1528" s="96" t="s">
        <v>1211</v>
      </c>
      <c r="D1528" s="89" t="s">
        <v>474</v>
      </c>
      <c r="E1528" s="90"/>
      <c r="F1528" s="186" t="s">
        <v>474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1229</v>
      </c>
      <c r="C1529" s="96" t="s">
        <v>1211</v>
      </c>
      <c r="D1529" s="89" t="s">
        <v>94</v>
      </c>
      <c r="E1529" s="90"/>
      <c r="F1529" s="186" t="s">
        <v>94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1230</v>
      </c>
      <c r="C1530" s="96" t="s">
        <v>1211</v>
      </c>
      <c r="D1530" s="89" t="s">
        <v>474</v>
      </c>
      <c r="E1530" s="90"/>
      <c r="F1530" s="186" t="s">
        <v>474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1231</v>
      </c>
      <c r="C1531" s="96" t="s">
        <v>1211</v>
      </c>
      <c r="D1531" s="89" t="s">
        <v>1046</v>
      </c>
      <c r="E1531" s="90"/>
      <c r="F1531" s="186" t="s">
        <v>1046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1232</v>
      </c>
      <c r="C1532" s="96" t="s">
        <v>1211</v>
      </c>
      <c r="D1532" s="89" t="s">
        <v>474</v>
      </c>
      <c r="E1532" s="90"/>
      <c r="F1532" s="186" t="s">
        <v>474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1233</v>
      </c>
      <c r="C1533" s="96" t="s">
        <v>1211</v>
      </c>
      <c r="D1533" s="89" t="s">
        <v>95</v>
      </c>
      <c r="E1533" s="90"/>
      <c r="F1533" s="186" t="s">
        <v>95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1234</v>
      </c>
      <c r="C1534" s="96" t="s">
        <v>1211</v>
      </c>
      <c r="D1534" s="89" t="s">
        <v>1046</v>
      </c>
      <c r="E1534" s="90"/>
      <c r="F1534" s="186" t="s">
        <v>1046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1235</v>
      </c>
      <c r="C1535" s="96" t="s">
        <v>1211</v>
      </c>
      <c r="D1535" s="92" t="s">
        <v>474</v>
      </c>
      <c r="E1535" s="90"/>
      <c r="F1535" s="185" t="s">
        <v>474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1236</v>
      </c>
      <c r="C1536" s="96" t="s">
        <v>1211</v>
      </c>
      <c r="D1536" s="92" t="s">
        <v>474</v>
      </c>
      <c r="E1536" s="90"/>
      <c r="F1536" s="185" t="s">
        <v>474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1237</v>
      </c>
      <c r="C1537" s="96" t="s">
        <v>1211</v>
      </c>
      <c r="D1537" s="89" t="s">
        <v>474</v>
      </c>
      <c r="E1537" s="90"/>
      <c r="F1537" s="186" t="s">
        <v>474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1238</v>
      </c>
      <c r="C1538" s="96" t="s">
        <v>1211</v>
      </c>
      <c r="D1538" s="89" t="s">
        <v>474</v>
      </c>
      <c r="E1538" s="90"/>
      <c r="F1538" s="186" t="s">
        <v>474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1239</v>
      </c>
      <c r="C1539" s="96" t="s">
        <v>1211</v>
      </c>
      <c r="D1539" s="92" t="s">
        <v>474</v>
      </c>
      <c r="E1539" s="90"/>
      <c r="F1539" s="185" t="s">
        <v>474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1240</v>
      </c>
      <c r="C1540" s="96" t="s">
        <v>1211</v>
      </c>
      <c r="D1540" s="89" t="s">
        <v>1046</v>
      </c>
      <c r="E1540" s="90"/>
      <c r="F1540" s="186" t="s">
        <v>1046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1241</v>
      </c>
      <c r="C1541" s="96" t="s">
        <v>1211</v>
      </c>
      <c r="D1541" s="89" t="s">
        <v>94</v>
      </c>
      <c r="E1541" s="90"/>
      <c r="F1541" s="186" t="s">
        <v>94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1242</v>
      </c>
      <c r="C1542" s="96" t="s">
        <v>1211</v>
      </c>
      <c r="D1542" s="89" t="s">
        <v>94</v>
      </c>
      <c r="E1542" s="90"/>
      <c r="F1542" s="186" t="s">
        <v>94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1243</v>
      </c>
      <c r="C1543" s="96" t="s">
        <v>1211</v>
      </c>
      <c r="D1543" s="89" t="s">
        <v>1214</v>
      </c>
      <c r="E1543" s="90"/>
      <c r="F1543" s="186" t="s">
        <v>1214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1244</v>
      </c>
      <c r="C1544" s="96" t="s">
        <v>1211</v>
      </c>
      <c r="D1544" s="92" t="s">
        <v>94</v>
      </c>
      <c r="E1544" s="90"/>
      <c r="F1544" s="185" t="s">
        <v>94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1245</v>
      </c>
      <c r="C1545" s="96" t="s">
        <v>1211</v>
      </c>
      <c r="D1545" s="89" t="s">
        <v>95</v>
      </c>
      <c r="E1545" s="90"/>
      <c r="F1545" s="186" t="s">
        <v>95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1246</v>
      </c>
      <c r="C1546" s="96" t="s">
        <v>1211</v>
      </c>
      <c r="D1546" s="92" t="s">
        <v>94</v>
      </c>
      <c r="E1546" s="90"/>
      <c r="F1546" s="185" t="s">
        <v>94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1247</v>
      </c>
      <c r="C1547" s="96" t="s">
        <v>1211</v>
      </c>
      <c r="D1547" s="92" t="s">
        <v>474</v>
      </c>
      <c r="E1547" s="90"/>
      <c r="F1547" s="185" t="s">
        <v>474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1248</v>
      </c>
      <c r="C1548" s="96" t="s">
        <v>1211</v>
      </c>
      <c r="D1548" s="89" t="s">
        <v>94</v>
      </c>
      <c r="E1548" s="90"/>
      <c r="F1548" s="186" t="s">
        <v>94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1249</v>
      </c>
      <c r="C1549" s="96" t="s">
        <v>1211</v>
      </c>
      <c r="D1549" s="89" t="s">
        <v>94</v>
      </c>
      <c r="E1549" s="90"/>
      <c r="F1549" s="186" t="s">
        <v>94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1250</v>
      </c>
      <c r="C1550" s="96" t="s">
        <v>1211</v>
      </c>
      <c r="D1550" s="89" t="s">
        <v>95</v>
      </c>
      <c r="E1550" s="90"/>
      <c r="F1550" s="186" t="s">
        <v>95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1251</v>
      </c>
      <c r="C1551" s="96" t="s">
        <v>1211</v>
      </c>
      <c r="D1551" s="92" t="s">
        <v>474</v>
      </c>
      <c r="E1551" s="90"/>
      <c r="F1551" s="185" t="s">
        <v>474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1252</v>
      </c>
      <c r="C1552" s="96" t="s">
        <v>1211</v>
      </c>
      <c r="D1552" s="92" t="s">
        <v>1046</v>
      </c>
      <c r="E1552" s="90"/>
      <c r="F1552" s="185" t="s">
        <v>1046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1253</v>
      </c>
      <c r="C1553" s="96" t="s">
        <v>1211</v>
      </c>
      <c r="D1553" s="92" t="s">
        <v>1254</v>
      </c>
      <c r="E1553" s="90"/>
      <c r="F1553" s="185" t="s">
        <v>1254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1255</v>
      </c>
      <c r="C1554" s="96" t="s">
        <v>1211</v>
      </c>
      <c r="D1554" s="89" t="s">
        <v>94</v>
      </c>
      <c r="E1554" s="90"/>
      <c r="F1554" s="186" t="s">
        <v>94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1256</v>
      </c>
      <c r="C1555" s="96" t="s">
        <v>1211</v>
      </c>
      <c r="D1555" s="92" t="s">
        <v>1046</v>
      </c>
      <c r="E1555" s="90"/>
      <c r="F1555" s="185" t="s">
        <v>1046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1257</v>
      </c>
      <c r="C1556" s="96" t="s">
        <v>1211</v>
      </c>
      <c r="D1556" s="89" t="s">
        <v>1046</v>
      </c>
      <c r="E1556" s="90"/>
      <c r="F1556" s="186" t="s">
        <v>1046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1258</v>
      </c>
      <c r="C1557" s="96" t="s">
        <v>1211</v>
      </c>
      <c r="D1557" s="92" t="s">
        <v>95</v>
      </c>
      <c r="E1557" s="90"/>
      <c r="F1557" s="185" t="s">
        <v>95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1259</v>
      </c>
      <c r="C1558" s="96" t="s">
        <v>1211</v>
      </c>
      <c r="D1558" s="89" t="s">
        <v>94</v>
      </c>
      <c r="E1558" s="90"/>
      <c r="F1558" s="186" t="s">
        <v>94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1260</v>
      </c>
      <c r="C1559" s="96" t="s">
        <v>1211</v>
      </c>
      <c r="D1559" s="89" t="s">
        <v>1035</v>
      </c>
      <c r="E1559" s="153">
        <v>205766.7</v>
      </c>
      <c r="F1559" s="186" t="s">
        <v>1035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1261</v>
      </c>
      <c r="C1560" s="96" t="s">
        <v>1211</v>
      </c>
      <c r="D1560" s="89" t="s">
        <v>1046</v>
      </c>
      <c r="E1560" s="90"/>
      <c r="F1560" s="186" t="s">
        <v>1046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1262</v>
      </c>
      <c r="C1561" s="96" t="s">
        <v>1211</v>
      </c>
      <c r="D1561" s="92" t="s">
        <v>94</v>
      </c>
      <c r="E1561" s="90"/>
      <c r="F1561" s="185" t="s">
        <v>94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1263</v>
      </c>
      <c r="C1562" s="96" t="s">
        <v>1211</v>
      </c>
      <c r="D1562" s="89" t="s">
        <v>474</v>
      </c>
      <c r="E1562" s="90"/>
      <c r="F1562" s="186" t="s">
        <v>474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1264</v>
      </c>
      <c r="C1563" s="96" t="s">
        <v>1211</v>
      </c>
      <c r="D1563" s="92" t="s">
        <v>474</v>
      </c>
      <c r="E1563" s="90"/>
      <c r="F1563" s="185" t="s">
        <v>474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1265</v>
      </c>
      <c r="C1564" s="96" t="s">
        <v>1211</v>
      </c>
      <c r="D1564" s="89" t="s">
        <v>474</v>
      </c>
      <c r="E1564" s="90"/>
      <c r="F1564" s="186" t="s">
        <v>474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1266</v>
      </c>
      <c r="C1565" s="96" t="s">
        <v>1211</v>
      </c>
      <c r="D1565" s="89" t="s">
        <v>94</v>
      </c>
      <c r="E1565" s="90"/>
      <c r="F1565" s="186" t="s">
        <v>94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1267</v>
      </c>
      <c r="C1566" s="96" t="s">
        <v>1211</v>
      </c>
      <c r="D1566" s="89" t="s">
        <v>474</v>
      </c>
      <c r="E1566" s="90"/>
      <c r="F1566" s="186" t="s">
        <v>474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1268</v>
      </c>
      <c r="C1567" s="96" t="s">
        <v>1211</v>
      </c>
      <c r="D1567" s="89" t="s">
        <v>94</v>
      </c>
      <c r="E1567" s="90"/>
      <c r="F1567" s="186" t="s">
        <v>94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1269</v>
      </c>
      <c r="C1568" s="96" t="s">
        <v>1211</v>
      </c>
      <c r="D1568" s="92" t="s">
        <v>474</v>
      </c>
      <c r="E1568" s="90"/>
      <c r="F1568" s="185" t="s">
        <v>474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1270</v>
      </c>
      <c r="C1569" s="96" t="s">
        <v>1211</v>
      </c>
      <c r="D1569" s="92" t="s">
        <v>95</v>
      </c>
      <c r="E1569" s="90"/>
      <c r="F1569" s="185" t="s">
        <v>95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1271</v>
      </c>
      <c r="C1570" s="96" t="s">
        <v>1211</v>
      </c>
      <c r="D1570" s="92" t="s">
        <v>94</v>
      </c>
      <c r="E1570" s="90"/>
      <c r="F1570" s="185" t="s">
        <v>94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1272</v>
      </c>
      <c r="C1571" s="96" t="s">
        <v>1211</v>
      </c>
      <c r="D1571" s="92" t="s">
        <v>94</v>
      </c>
      <c r="E1571" s="90"/>
      <c r="F1571" s="185" t="s">
        <v>94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1273</v>
      </c>
      <c r="C1572" s="96" t="s">
        <v>1211</v>
      </c>
      <c r="D1572" s="92" t="s">
        <v>95</v>
      </c>
      <c r="E1572" s="90"/>
      <c r="F1572" s="185" t="s">
        <v>95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1274</v>
      </c>
      <c r="C1573" s="96" t="s">
        <v>1211</v>
      </c>
      <c r="D1573" s="89" t="s">
        <v>94</v>
      </c>
      <c r="E1573" s="90"/>
      <c r="F1573" s="186" t="s">
        <v>94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1275</v>
      </c>
      <c r="C1574" s="96" t="s">
        <v>1211</v>
      </c>
      <c r="D1574" s="89" t="s">
        <v>1214</v>
      </c>
      <c r="E1574" s="90"/>
      <c r="F1574" s="186" t="s">
        <v>1214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1276</v>
      </c>
      <c r="C1575" s="96" t="s">
        <v>1211</v>
      </c>
      <c r="D1575" s="89" t="s">
        <v>1214</v>
      </c>
      <c r="E1575" s="90"/>
      <c r="F1575" s="186" t="s">
        <v>1214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1277</v>
      </c>
      <c r="C1576" s="96" t="s">
        <v>1211</v>
      </c>
      <c r="D1576" s="92" t="s">
        <v>474</v>
      </c>
      <c r="E1576" s="90"/>
      <c r="F1576" s="185" t="s">
        <v>474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1278</v>
      </c>
      <c r="C1577" s="96" t="s">
        <v>1211</v>
      </c>
      <c r="D1577" s="92" t="s">
        <v>94</v>
      </c>
      <c r="E1577" s="90"/>
      <c r="F1577" s="185" t="s">
        <v>94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1279</v>
      </c>
      <c r="C1578" s="96" t="s">
        <v>1211</v>
      </c>
      <c r="D1578" s="92" t="s">
        <v>95</v>
      </c>
      <c r="E1578" s="90"/>
      <c r="F1578" s="185" t="s">
        <v>95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1280</v>
      </c>
      <c r="C1579" s="96" t="s">
        <v>1211</v>
      </c>
      <c r="D1579" s="92" t="s">
        <v>95</v>
      </c>
      <c r="E1579" s="90"/>
      <c r="F1579" s="185" t="s">
        <v>95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1281</v>
      </c>
      <c r="C1580" s="96" t="s">
        <v>1211</v>
      </c>
      <c r="D1580" s="92" t="s">
        <v>95</v>
      </c>
      <c r="E1580" s="90"/>
      <c r="F1580" s="185" t="s">
        <v>95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1282</v>
      </c>
      <c r="C1581" s="96" t="s">
        <v>1211</v>
      </c>
      <c r="D1581" s="89" t="s">
        <v>95</v>
      </c>
      <c r="E1581" s="90"/>
      <c r="F1581" s="186" t="s">
        <v>95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1283</v>
      </c>
      <c r="C1582" s="96" t="s">
        <v>1211</v>
      </c>
      <c r="D1582" s="92" t="s">
        <v>95</v>
      </c>
      <c r="E1582" s="90"/>
      <c r="F1582" s="185" t="s">
        <v>95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1284</v>
      </c>
      <c r="C1583" s="96" t="s">
        <v>1211</v>
      </c>
      <c r="D1583" s="89" t="s">
        <v>95</v>
      </c>
      <c r="E1583" s="90"/>
      <c r="F1583" s="186" t="s">
        <v>95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1285</v>
      </c>
      <c r="C1584" s="96" t="s">
        <v>1211</v>
      </c>
      <c r="D1584" s="89" t="s">
        <v>95</v>
      </c>
      <c r="E1584" s="90"/>
      <c r="F1584" s="186" t="s">
        <v>95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1286</v>
      </c>
      <c r="C1585" s="96" t="s">
        <v>1211</v>
      </c>
      <c r="D1585" s="89" t="s">
        <v>95</v>
      </c>
      <c r="E1585" s="90"/>
      <c r="F1585" s="186" t="s">
        <v>95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1287</v>
      </c>
      <c r="C1586" s="96" t="s">
        <v>1211</v>
      </c>
      <c r="D1586" s="92" t="s">
        <v>95</v>
      </c>
      <c r="E1586" s="90"/>
      <c r="F1586" s="185" t="s">
        <v>95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1288</v>
      </c>
      <c r="C1587" s="96" t="s">
        <v>1211</v>
      </c>
      <c r="D1587" s="92" t="s">
        <v>95</v>
      </c>
      <c r="E1587" s="90"/>
      <c r="F1587" s="185" t="s">
        <v>95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1289</v>
      </c>
      <c r="C1588" s="96" t="s">
        <v>1211</v>
      </c>
      <c r="D1588" s="92" t="s">
        <v>94</v>
      </c>
      <c r="E1588" s="90"/>
      <c r="F1588" s="185" t="s">
        <v>94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1290</v>
      </c>
      <c r="C1589" s="96" t="s">
        <v>1211</v>
      </c>
      <c r="D1589" s="92" t="s">
        <v>95</v>
      </c>
      <c r="E1589" s="90"/>
      <c r="F1589" s="185" t="s">
        <v>95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1291</v>
      </c>
      <c r="C1590" s="96" t="s">
        <v>1211</v>
      </c>
      <c r="D1590" s="92" t="s">
        <v>95</v>
      </c>
      <c r="E1590" s="90"/>
      <c r="F1590" s="185" t="s">
        <v>95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1292</v>
      </c>
      <c r="C1591" s="96" t="s">
        <v>1211</v>
      </c>
      <c r="D1591" s="89" t="s">
        <v>95</v>
      </c>
      <c r="E1591" s="90"/>
      <c r="F1591" s="186" t="s">
        <v>95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1293</v>
      </c>
      <c r="C1592" s="96" t="s">
        <v>1211</v>
      </c>
      <c r="D1592" s="92" t="s">
        <v>474</v>
      </c>
      <c r="E1592" s="90"/>
      <c r="F1592" s="185" t="s">
        <v>474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1294</v>
      </c>
      <c r="C1593" s="96" t="s">
        <v>1211</v>
      </c>
      <c r="D1593" s="92" t="s">
        <v>95</v>
      </c>
      <c r="E1593" s="90"/>
      <c r="F1593" s="185" t="s">
        <v>95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1295</v>
      </c>
      <c r="C1594" s="96" t="s">
        <v>1211</v>
      </c>
      <c r="D1594" s="89" t="s">
        <v>474</v>
      </c>
      <c r="E1594" s="90"/>
      <c r="F1594" s="186" t="s">
        <v>474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1296</v>
      </c>
      <c r="C1595" s="96" t="s">
        <v>1211</v>
      </c>
      <c r="D1595" s="92" t="s">
        <v>474</v>
      </c>
      <c r="E1595" s="90"/>
      <c r="F1595" s="185" t="s">
        <v>474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1297</v>
      </c>
      <c r="C1596" s="96" t="s">
        <v>1211</v>
      </c>
      <c r="D1596" s="92" t="s">
        <v>474</v>
      </c>
      <c r="E1596" s="90"/>
      <c r="F1596" s="185" t="s">
        <v>474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1298</v>
      </c>
      <c r="C1597" s="96" t="s">
        <v>1211</v>
      </c>
      <c r="D1597" s="89" t="s">
        <v>95</v>
      </c>
      <c r="E1597" s="90"/>
      <c r="F1597" s="186" t="s">
        <v>95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28" activePane="bottomLeft" state="frozen"/>
      <selection activeCell="D13" sqref="D13:N13"/>
      <selection pane="bottomLeft" activeCell="I33" sqref="I3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1299</v>
      </c>
      <c r="F1" s="12" t="s">
        <v>1300</v>
      </c>
      <c r="H1" s="16" t="s">
        <v>1301</v>
      </c>
      <c r="I1" s="16" t="s">
        <v>1302</v>
      </c>
      <c r="K1" s="16" t="s">
        <v>21</v>
      </c>
      <c r="M1" s="16" t="s">
        <v>1303</v>
      </c>
      <c r="Z1" s="241" t="s">
        <v>1304</v>
      </c>
    </row>
    <row r="2" spans="1:26" ht="44.25" customHeight="1" outlineLevel="1">
      <c r="A2" s="14" t="s">
        <v>1305</v>
      </c>
      <c r="B2" s="14" t="s">
        <v>1306</v>
      </c>
      <c r="D2" s="256" t="s">
        <v>1307</v>
      </c>
      <c r="F2" s="3" t="s">
        <v>1308</v>
      </c>
      <c r="H2" s="17" t="s">
        <v>1309</v>
      </c>
      <c r="I2" s="18">
        <v>71765586</v>
      </c>
      <c r="K2" t="s">
        <v>1310</v>
      </c>
      <c r="M2" s="75" t="s">
        <v>27</v>
      </c>
    </row>
    <row r="3" spans="1:26" outlineLevel="1">
      <c r="A3" s="3" t="s">
        <v>1311</v>
      </c>
      <c r="B3" s="5" t="s">
        <v>207</v>
      </c>
      <c r="D3" s="254" t="s">
        <v>1312</v>
      </c>
      <c r="F3" s="2" t="s">
        <v>1313</v>
      </c>
      <c r="H3" s="19" t="s">
        <v>1314</v>
      </c>
      <c r="I3" s="20">
        <v>43687423</v>
      </c>
      <c r="K3" t="s">
        <v>1315</v>
      </c>
      <c r="M3" s="75" t="s">
        <v>33</v>
      </c>
    </row>
    <row r="4" spans="1:26" outlineLevel="1">
      <c r="A4" s="2" t="s">
        <v>1316</v>
      </c>
      <c r="B4" s="5" t="s">
        <v>231</v>
      </c>
      <c r="D4" s="254" t="s">
        <v>1317</v>
      </c>
      <c r="F4" s="3" t="s">
        <v>1318</v>
      </c>
      <c r="H4" s="17" t="s">
        <v>1319</v>
      </c>
      <c r="I4" s="21">
        <v>3353808</v>
      </c>
      <c r="K4" t="s">
        <v>1320</v>
      </c>
      <c r="M4" s="75" t="s">
        <v>36</v>
      </c>
    </row>
    <row r="5" spans="1:26" ht="30" outlineLevel="1">
      <c r="A5" s="3" t="s">
        <v>1321</v>
      </c>
      <c r="B5" s="5" t="s">
        <v>1322</v>
      </c>
      <c r="D5" s="255" t="s">
        <v>1323</v>
      </c>
      <c r="F5" s="2" t="s">
        <v>1324</v>
      </c>
      <c r="H5" s="22" t="s">
        <v>1325</v>
      </c>
      <c r="I5" s="23">
        <v>1036620040</v>
      </c>
      <c r="K5" t="s">
        <v>1326</v>
      </c>
      <c r="M5" s="75" t="s">
        <v>1010</v>
      </c>
    </row>
    <row r="6" spans="1:26" ht="30" outlineLevel="1">
      <c r="A6" s="2" t="s">
        <v>334</v>
      </c>
      <c r="B6" s="5" t="s">
        <v>334</v>
      </c>
      <c r="D6" s="255" t="s">
        <v>11</v>
      </c>
      <c r="F6" s="3" t="s">
        <v>1327</v>
      </c>
      <c r="H6" s="17" t="s">
        <v>1328</v>
      </c>
      <c r="I6" s="24">
        <v>1033686182</v>
      </c>
      <c r="K6" t="s">
        <v>1329</v>
      </c>
      <c r="M6" s="109" t="s">
        <v>1054</v>
      </c>
    </row>
    <row r="7" spans="1:26" outlineLevel="1">
      <c r="A7" s="2" t="s">
        <v>1330</v>
      </c>
      <c r="B7" s="5" t="s">
        <v>1331</v>
      </c>
      <c r="D7" s="2" t="s">
        <v>1332</v>
      </c>
      <c r="F7" s="2" t="s">
        <v>1333</v>
      </c>
      <c r="H7" s="22" t="s">
        <v>1334</v>
      </c>
      <c r="I7" s="23">
        <v>32209568</v>
      </c>
      <c r="K7" t="s">
        <v>1335</v>
      </c>
      <c r="M7" s="75" t="s">
        <v>228</v>
      </c>
    </row>
    <row r="8" spans="1:26" outlineLevel="1">
      <c r="A8" s="3" t="s">
        <v>1336</v>
      </c>
      <c r="B8" s="5" t="s">
        <v>1337</v>
      </c>
      <c r="F8" s="3" t="s">
        <v>1338</v>
      </c>
      <c r="H8" s="25" t="s">
        <v>1339</v>
      </c>
      <c r="I8" s="21">
        <v>71292446</v>
      </c>
      <c r="K8" t="s">
        <v>1340</v>
      </c>
      <c r="M8" s="75" t="s">
        <v>46</v>
      </c>
    </row>
    <row r="9" spans="1:26" outlineLevel="1">
      <c r="A9" s="2" t="s">
        <v>1341</v>
      </c>
      <c r="B9" s="5" t="s">
        <v>1194</v>
      </c>
      <c r="F9" s="2" t="s">
        <v>1342</v>
      </c>
      <c r="H9" s="26" t="s">
        <v>1343</v>
      </c>
      <c r="I9" s="27">
        <v>70323724</v>
      </c>
      <c r="K9" t="s">
        <v>1344</v>
      </c>
      <c r="M9" s="75" t="s">
        <v>48</v>
      </c>
    </row>
    <row r="10" spans="1:26" outlineLevel="1">
      <c r="A10" s="2" t="s">
        <v>1345</v>
      </c>
      <c r="B10" s="5" t="s">
        <v>94</v>
      </c>
      <c r="F10" s="3" t="s">
        <v>7</v>
      </c>
      <c r="H10" s="25" t="s">
        <v>1346</v>
      </c>
      <c r="I10" s="21">
        <v>32142539</v>
      </c>
      <c r="K10" t="s">
        <v>1347</v>
      </c>
      <c r="M10" s="220" t="s">
        <v>113</v>
      </c>
    </row>
    <row r="11" spans="1:26" outlineLevel="1">
      <c r="A11" s="2" t="s">
        <v>1348</v>
      </c>
      <c r="B11" s="5" t="s">
        <v>1349</v>
      </c>
      <c r="F11" s="2" t="s">
        <v>1350</v>
      </c>
      <c r="H11" s="22" t="s">
        <v>1351</v>
      </c>
      <c r="I11" s="23">
        <v>79897894</v>
      </c>
      <c r="K11" t="s">
        <v>1352</v>
      </c>
      <c r="M11" s="220" t="s">
        <v>44</v>
      </c>
    </row>
    <row r="12" spans="1:26" outlineLevel="1">
      <c r="A12" s="3" t="s">
        <v>1353</v>
      </c>
      <c r="B12" s="5" t="s">
        <v>1046</v>
      </c>
      <c r="F12" s="3"/>
      <c r="H12" s="28" t="s">
        <v>1354</v>
      </c>
      <c r="I12" s="29">
        <v>32184975</v>
      </c>
      <c r="M12" s="220" t="s">
        <v>1211</v>
      </c>
    </row>
    <row r="13" spans="1:26" outlineLevel="1">
      <c r="A13" s="3" t="s">
        <v>452</v>
      </c>
      <c r="B13" s="5" t="s">
        <v>452</v>
      </c>
      <c r="H13" s="25" t="s">
        <v>1355</v>
      </c>
      <c r="I13" s="21">
        <v>70512283</v>
      </c>
    </row>
    <row r="14" spans="1:26" outlineLevel="1">
      <c r="A14" s="3" t="s">
        <v>1356</v>
      </c>
      <c r="B14" s="5" t="s">
        <v>474</v>
      </c>
      <c r="H14" s="26" t="s">
        <v>1357</v>
      </c>
      <c r="I14" s="27">
        <v>16757142</v>
      </c>
    </row>
    <row r="15" spans="1:26" outlineLevel="1">
      <c r="A15" s="2" t="s">
        <v>197</v>
      </c>
      <c r="B15" s="5" t="s">
        <v>197</v>
      </c>
      <c r="H15" s="25" t="s">
        <v>1358</v>
      </c>
      <c r="I15" s="21">
        <v>1152194903</v>
      </c>
    </row>
    <row r="16" spans="1:26" outlineLevel="1">
      <c r="A16" s="2" t="s">
        <v>1359</v>
      </c>
      <c r="B16" s="5" t="s">
        <v>233</v>
      </c>
      <c r="H16" s="26" t="s">
        <v>1360</v>
      </c>
      <c r="I16" s="30" t="s">
        <v>1361</v>
      </c>
    </row>
    <row r="17" spans="1:9" outlineLevel="1">
      <c r="A17" s="2" t="s">
        <v>1362</v>
      </c>
      <c r="B17" s="5" t="s">
        <v>438</v>
      </c>
      <c r="H17" s="25" t="s">
        <v>1363</v>
      </c>
      <c r="I17" s="21">
        <v>71639999</v>
      </c>
    </row>
    <row r="18" spans="1:9" outlineLevel="1">
      <c r="A18" s="2" t="s">
        <v>1364</v>
      </c>
      <c r="B18" s="5" t="s">
        <v>1214</v>
      </c>
      <c r="H18" s="26" t="s">
        <v>1365</v>
      </c>
      <c r="I18" s="253">
        <v>1121878447</v>
      </c>
    </row>
    <row r="19" spans="1:9" outlineLevel="1">
      <c r="A19" s="3" t="s">
        <v>1366</v>
      </c>
      <c r="B19" s="5" t="s">
        <v>230</v>
      </c>
      <c r="H19" s="25" t="s">
        <v>1367</v>
      </c>
      <c r="I19" s="21">
        <v>43506380</v>
      </c>
    </row>
    <row r="20" spans="1:9" outlineLevel="1">
      <c r="A20" t="s">
        <v>1368</v>
      </c>
      <c r="B20" s="5" t="s">
        <v>1369</v>
      </c>
      <c r="H20" s="25" t="s">
        <v>1370</v>
      </c>
      <c r="I20" s="21">
        <v>43498846</v>
      </c>
    </row>
    <row r="21" spans="1:9" outlineLevel="1">
      <c r="A21" t="s">
        <v>1371</v>
      </c>
      <c r="B21" s="6" t="s">
        <v>95</v>
      </c>
      <c r="H21" s="22" t="s">
        <v>1372</v>
      </c>
      <c r="I21" s="23">
        <v>1128404319</v>
      </c>
    </row>
    <row r="22" spans="1:9" outlineLevel="1">
      <c r="A22" t="s">
        <v>194</v>
      </c>
      <c r="B22" s="5" t="s">
        <v>194</v>
      </c>
      <c r="H22" s="25" t="s">
        <v>1373</v>
      </c>
      <c r="I22" s="21">
        <v>5820573</v>
      </c>
    </row>
    <row r="23" spans="1:9" outlineLevel="1">
      <c r="A23" s="4" t="s">
        <v>1374</v>
      </c>
      <c r="B23" s="5" t="s">
        <v>199</v>
      </c>
      <c r="H23" s="26" t="s">
        <v>1375</v>
      </c>
      <c r="I23" s="27">
        <v>80810881</v>
      </c>
    </row>
    <row r="24" spans="1:9" outlineLevel="1">
      <c r="A24" t="s">
        <v>1376</v>
      </c>
      <c r="B24" s="5" t="s">
        <v>165</v>
      </c>
      <c r="H24" s="26" t="s">
        <v>1377</v>
      </c>
      <c r="I24" s="27">
        <v>70566616</v>
      </c>
    </row>
    <row r="25" spans="1:9" outlineLevel="1">
      <c r="A25" s="4" t="s">
        <v>1086</v>
      </c>
      <c r="B25" s="5" t="s">
        <v>1086</v>
      </c>
      <c r="H25" s="17" t="s">
        <v>1378</v>
      </c>
      <c r="I25" s="24">
        <v>71765633</v>
      </c>
    </row>
    <row r="26" spans="1:9" outlineLevel="1">
      <c r="A26" t="s">
        <v>1183</v>
      </c>
      <c r="B26" s="5" t="s">
        <v>1183</v>
      </c>
      <c r="H26" s="22" t="s">
        <v>1379</v>
      </c>
      <c r="I26" s="23">
        <v>43874217</v>
      </c>
    </row>
    <row r="27" spans="1:9" outlineLevel="1">
      <c r="A27" t="s">
        <v>244</v>
      </c>
      <c r="B27" s="5" t="s">
        <v>244</v>
      </c>
      <c r="H27" s="22" t="s">
        <v>1380</v>
      </c>
      <c r="I27" s="23">
        <v>52714421</v>
      </c>
    </row>
    <row r="28" spans="1:9" outlineLevel="1">
      <c r="A28" s="4" t="s">
        <v>1381</v>
      </c>
      <c r="B28" s="5" t="s">
        <v>100</v>
      </c>
      <c r="H28" s="252" t="s">
        <v>1382</v>
      </c>
      <c r="I28" s="23">
        <v>1040733121</v>
      </c>
    </row>
    <row r="29" spans="1:9" outlineLevel="1">
      <c r="H29" s="251" t="s">
        <v>1383</v>
      </c>
      <c r="I29" s="21">
        <v>37841713</v>
      </c>
    </row>
    <row r="30" spans="1:9" outlineLevel="1">
      <c r="H30" s="93" t="s">
        <v>1384</v>
      </c>
      <c r="I30" s="95">
        <v>80902330</v>
      </c>
    </row>
    <row r="31" spans="1:9" outlineLevel="1">
      <c r="H31" s="296" t="s">
        <v>1385</v>
      </c>
      <c r="I31" s="4">
        <v>27082270</v>
      </c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HyarW+djHd77oDwxJo/H4ISEKZ7M64ry1YjEb5uCqneI/JpFYVgp3YQNOfMtXrcsEVNHUdnWBSgl58dBQGC+Q==" saltValue="sJxj2sHN6ls0MPfgfqFQ/w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2025-12-12T21:38:53Z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2025-09-15T19:30:30Z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f2a4f9cb-fafa-4d1f-972c-1e1b6c4ec634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