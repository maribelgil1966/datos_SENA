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hispania\"/>
    </mc:Choice>
  </mc:AlternateContent>
  <xr:revisionPtr revIDLastSave="0" documentId="13_ncr:1_{38772256-40C8-45E5-831D-75969E451350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<sst xmlns="http://schemas.openxmlformats.org/spreadsheetml/2006/main" count="5011" uniqueCount="1390">
  <si>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</si>
  <si>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</si>
  <si>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</si>
  <si>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</si>
  <si>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</si>
  <si>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</si>
  <si>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</si>
  <si>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</si>
  <si>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</si>
  <si>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</si>
  <si>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</si>
  <si>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</si>
  <si>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</si>
  <si>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</si>
  <si>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</si>
  <si>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</si>
  <si>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</si>
  <si>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</si>
  <si>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</si>
  <si>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</si>
  <si>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</si>
  <si>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</si>
  <si>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</si>
  <si>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</si>
  <si>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</si>
  <si>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</si>
  <si>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</si>
  <si>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</si>
  <si>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</si>
  <si>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</si>
  <si>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</si>
  <si>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</si>
  <si>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</si>
  <si>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</si>
  <si>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</si>
  <si>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</si>
  <si>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</si>
  <si>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</si>
  <si>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</si>
  <si>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</si>
  <si>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</si>
  <si>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</si>
  <si>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</si>
  <si>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</si>
  <si>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</si>
  <si>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</si>
  <si>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</si>
  <si>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</si>
  <si>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</si>
  <si>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</si>
  <si>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</si>
  <si>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</si>
  <si>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</si>
  <si>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</si>
  <si>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</si>
  <si>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</si>
  <si>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</si>
  <si>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</si>
  <si>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</si>
  <si>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</si>
  <si>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</si>
  <si>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</si>
  <si>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</si>
  <si>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</si>
  <si>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</si>
  <si>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</si>
  <si>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</si>
  <si>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</si>
  <si>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</si>
  <si>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</si>
  <si>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</si>
  <si>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</si>
  <si>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</si>
  <si>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</si>
  <si>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</si>
  <si>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</si>
  <si>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</si>
  <si>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</si>
  <si>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</si>
  <si>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</si>
  <si>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</si>
  <si>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</si>
  <si>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</si>
  <si>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</si>
  <si>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</si>
  <si>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</si>
  <si>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</si>
  <si>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</si>
  <si>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</si>
  <si>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</si>
  <si>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</si>
  <si>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</si>
  <si>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</si>
  <si>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</si>
  <si>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</si>
  <si>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</si>
  <si>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</si>
  <si>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</si>
  <si>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</si>
  <si>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</si>
  <si>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</si>
  <si>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</si>
  <si>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</si>
  <si>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</si>
  <si>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</si>
  <si>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</si>
  <si>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</si>
  <si>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</si>
  <si>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</si>
  <si>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</si>
  <si>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</si>
  <si>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</si>
  <si>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</si>
  <si>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</si>
  <si>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</si>
  <si>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</si>
  <si>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</si>
  <si>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</si>
  <si>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</si>
  <si>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</si>
  <si>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</si>
  <si>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</si>
  <si>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</si>
  <si>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</si>
  <si>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</si>
  <si>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</si>
  <si>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</si>
  <si>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</si>
  <si>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</si>
  <si>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</si>
  <si>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</si>
  <si>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</si>
  <si>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</si>
  <si>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</si>
  <si>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</si>
  <si>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</si>
  <si>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</si>
  <si>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</si>
  <si>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</si>
  <si>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</si>
  <si>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</si>
  <si>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</si>
  <si>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</si>
  <si>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</si>
  <si>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</si>
  <si>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</si>
  <si>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</si>
  <si>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</si>
  <si>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</si>
  <si>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</si>
  <si>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</si>
  <si>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</si>
  <si>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</si>
  <si>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</si>
  <si>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</si>
  <si>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</si>
  <si>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</si>
  <si>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</si>
  <si>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</si>
  <si>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</si>
  <si>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</si>
  <si>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</si>
  <si>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</si>
  <si>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</si>
  <si>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</si>
  <si>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</si>
  <si>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</si>
  <si>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</si>
  <si>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</si>
  <si>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</si>
  <si>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</si>
  <si>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</si>
  <si>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</si>
  <si>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</si>
  <si>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</si>
  <si>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</si>
  <si>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</si>
  <si>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</si>
  <si>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</si>
  <si>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</si>
  <si>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</si>
  <si>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</si>
  <si>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</si>
  <si>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</si>
  <si>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</si>
  <si>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</si>
  <si>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</si>
  <si>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</si>
  <si>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</si>
  <si>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</si>
  <si>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</si>
  <si>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</si>
  <si>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</si>
  <si>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</si>
  <si>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</si>
  <si>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</si>
  <si>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</si>
  <si>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</si>
  <si>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</si>
  <si>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</si>
  <si>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</si>
  <si>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</si>
  <si>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</si>
  <si>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</si>
  <si>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</si>
  <si>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</si>
  <si>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</si>
  <si>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</si>
  <si>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</si>
  <si>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</si>
  <si>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</si>
  <si>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</si>
  <si>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</si>
  <si>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</si>
  <si>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</si>
  <si>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</si>
  <si>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</si>
  <si>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</si>
  <si>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</si>
  <si>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</si>
  <si>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</si>
  <si>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</si>
  <si>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</si>
  <si>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</si>
  <si>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</si>
  <si>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</si>
  <si>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</si>
  <si>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</si>
  <si>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</si>
  <si>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</si>
  <si>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</si>
  <si>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</si>
  <si>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</si>
  <si>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</si>
  <si>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</si>
  <si>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</si>
  <si>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</si>
  <si>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</si>
  <si>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</si>
  <si>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</si>
  <si>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</si>
  <si>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</si>
  <si>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</si>
  <si>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</si>
  <si>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</si>
  <si>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</si>
  <si>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</si>
  <si>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</si>
  <si>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</si>
  <si>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</si>
  <si>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</si>
  <si>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</si>
  <si>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</si>
  <si>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</si>
  <si>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</si>
  <si>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</si>
  <si>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</si>
  <si>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</si>
  <si>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</si>
  <si>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</si>
  <si>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</si>
  <si>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</si>
  <si>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</si>
  <si>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</si>
  <si>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</si>
  <si>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</si>
  <si>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</si>
  <si>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</si>
  <si>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</si>
  <si>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</si>
  <si>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</si>
  <si>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</si>
  <si>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</si>
  <si>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</si>
  <si>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</si>
  <si>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</si>
  <si>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</si>
  <si>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</si>
  <si>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</si>
  <si>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</si>
  <si>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</si>
  <si>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</si>
  <si>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</si>
  <si>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</si>
  <si>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</si>
  <si>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</si>
  <si>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</si>
  <si>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</si>
  <si>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</si>
  <si>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</si>
  <si>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</si>
  <si>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</si>
  <si>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</si>
  <si>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</si>
  <si>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</si>
  <si>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</si>
  <si>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</si>
  <si>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</si>
  <si>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</si>
  <si>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</si>
  <si>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</si>
  <si>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</si>
  <si>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</si>
  <si>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</si>
  <si>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</si>
  <si>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</si>
  <si>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</si>
  <si>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</si>
  <si>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</si>
  <si>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</si>
  <si>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</si>
  <si>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</si>
  <si>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</si>
  <si>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</si>
  <si>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</si>
  <si>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</si>
  <si>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</si>
  <si>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</si>
  <si>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</si>
  <si>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</si>
  <si>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</si>
  <si>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</si>
  <si>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</si>
  <si>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</si>
  <si>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</si>
  <si>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</si>
  <si>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</si>
  <si>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</si>
  <si>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</si>
  <si>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</si>
  <si>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</si>
  <si>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</si>
  <si>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</si>
  <si>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</si>
  <si>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</si>
  <si>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</si>
  <si>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</si>
  <si>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</si>
  <si>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</si>
  <si>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</si>
  <si>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</si>
  <si>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</si>
  <si>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</si>
  <si>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</si>
  <si>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</si>
  <si>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</si>
  <si>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</si>
  <si>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</si>
  <si>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</si>
  <si>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</si>
  <si>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</si>
  <si>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</si>
  <si>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</si>
  <si>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</si>
  <si>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</si>
  <si>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</si>
  <si>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</si>
  <si>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</si>
  <si>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</si>
  <si>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</si>
  <si>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</si>
  <si>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</si>
  <si>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</si>
  <si>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</si>
  <si>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</si>
  <si>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</si>
  <si>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</si>
  <si>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</si>
  <si>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</si>
  <si>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</si>
  <si>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</si>
  <si>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</si>
  <si>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</si>
  <si>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</si>
  <si>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</si>
  <si>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</si>
  <si>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</si>
  <si>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</si>
  <si>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</si>
  <si>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</si>
  <si>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</si>
  <si>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</si>
  <si>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</si>
  <si>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</si>
  <si>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</si>
  <si>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</si>
  <si>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</si>
  <si>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</si>
  <si>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</si>
  <si>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</si>
  <si>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</si>
  <si>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</si>
  <si>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</si>
  <si>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</si>
  <si>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</si>
  <si>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</si>
  <si>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</si>
  <si>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</si>
  <si>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</si>
  <si>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</si>
  <si>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</si>
  <si>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</si>
  <si>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</si>
  <si>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</si>
  <si>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</si>
  <si>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</si>
  <si>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</si>
  <si>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</si>
  <si>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</si>
  <si>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</si>
  <si>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</si>
  <si>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</si>
  <si>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</si>
  <si>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</si>
  <si>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</si>
  <si>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</si>
  <si>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</si>
  <si>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</si>
  <si>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</si>
  <si>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</si>
  <si>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</si>
  <si>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</si>
  <si>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</si>
  <si>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</si>
  <si>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</si>
  <si>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</si>
  <si>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</si>
  <si>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</si>
  <si>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</si>
  <si>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</si>
  <si>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</si>
  <si>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</si>
  <si>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</si>
  <si>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</si>
  <si>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</si>
  <si>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</si>
  <si>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</si>
  <si>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</si>
  <si>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</si>
  <si>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</si>
  <si>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</si>
  <si>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</si>
  <si>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</si>
  <si>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</si>
  <si>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</si>
  <si>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</si>
  <si>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</si>
  <si>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</si>
  <si>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</si>
  <si>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</si>
  <si>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</si>
  <si>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</si>
  <si>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</si>
  <si>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</si>
  <si>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</si>
  <si>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</si>
  <si>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</si>
  <si>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</si>
  <si>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</si>
  <si>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</si>
  <si>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</si>
  <si>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</si>
  <si>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</si>
  <si>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</si>
  <si>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</si>
  <si>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</si>
  <si>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</si>
  <si>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</si>
  <si>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</si>
  <si>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</si>
  <si>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</si>
  <si>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</si>
  <si>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</si>
  <si>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</si>
  <si>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</si>
  <si>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</si>
  <si>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</si>
  <si>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</si>
  <si>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</si>
  <si>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</si>
  <si>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</si>
  <si>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</si>
  <si>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</si>
  <si>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</si>
  <si>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</si>
  <si>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</si>
  <si>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</si>
  <si>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</si>
  <si>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</si>
  <si>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</si>
  <si>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</si>
  <si>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</si>
  <si>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</si>
  <si>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</si>
  <si>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</si>
  <si>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</si>
  <si>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</si>
  <si>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</si>
  <si>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</si>
  <si>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</si>
  <si>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</si>
  <si>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</si>
  <si>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</si>
  <si>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</si>
  <si>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</si>
  <si>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</si>
  <si>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</si>
  <si>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</si>
  <si>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</si>
  <si>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</si>
  <si>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</si>
  <si>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</si>
  <si>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</si>
  <si>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</si>
  <si>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</si>
  <si>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</si>
  <si>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</si>
  <si>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</si>
  <si>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</si>
  <si>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</si>
  <si>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</si>
  <si>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</si>
  <si>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</si>
  <si>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</si>
  <si>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</si>
  <si>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</si>
  <si>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</si>
  <si>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</si>
  <si>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</si>
  <si>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</si>
  <si>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</si>
  <si>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</si>
  <si>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</si>
  <si>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</si>
  <si>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</si>
  <si>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</si>
  <si>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</si>
  <si>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</si>
  <si>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</si>
  <si>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</si>
  <si>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</si>
  <si>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</si>
  <si>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</si>
  <si>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</si>
  <si>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</si>
  <si>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</si>
  <si>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</si>
  <si>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</si>
  <si>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</si>
  <si>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</si>
  <si>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</si>
  <si>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</si>
  <si>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</si>
  <si>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</si>
  <si>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</si>
  <si>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</si>
  <si>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</si>
  <si>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</si>
  <si>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</si>
  <si>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</si>
  <si>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</si>
  <si>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</si>
  <si>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</si>
  <si>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</si>
  <si>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</si>
  <si>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</si>
  <si>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</si>
  <si>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</si>
  <si>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</si>
  <si>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</si>
  <si>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</si>
  <si>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</si>
  <si>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</si>
  <si>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</si>
  <si>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</si>
  <si>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</si>
  <si>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</si>
  <si>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</si>
  <si>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</si>
  <si>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</si>
  <si>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</si>
  <si>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</si>
  <si>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</si>
  <si>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</si>
  <si>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</si>
  <si>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</si>
  <si>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</si>
  <si>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</si>
  <si>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</si>
  <si>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</si>
  <si>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</si>
  <si>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</si>
  <si>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</si>
  <si>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</si>
  <si>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</si>
  <si>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</si>
  <si>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</si>
  <si>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</si>
  <si>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</si>
  <si>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</si>
  <si>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</si>
  <si>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</si>
  <si>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</si>
  <si>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</si>
  <si>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</si>
  <si>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</si>
  <si>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</si>
  <si>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</si>
  <si>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</si>
  <si>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</si>
  <si>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</si>
  <si>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</si>
  <si>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</si>
  <si>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</si>
  <si>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</si>
  <si>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</si>
  <si>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</si>
  <si>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</si>
  <si>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</si>
  <si>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</si>
  <si>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</si>
  <si>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</si>
  <si>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</si>
  <si>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</si>
  <si>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</si>
  <si>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</si>
  <si>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</si>
  <si>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</si>
  <si>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</si>
  <si>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</si>
  <si>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</si>
  <si>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</si>
  <si>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</si>
  <si>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</si>
  <si>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</si>
  <si>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</si>
  <si>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</si>
  <si>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</si>
  <si>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</si>
  <si>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</si>
  <si>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</si>
  <si>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</si>
  <si>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</si>
  <si>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</si>
  <si>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</si>
  <si>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</si>
  <si>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</si>
  <si>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</si>
  <si>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</si>
  <si>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</si>
  <si>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</si>
  <si>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</si>
  <si>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</si>
  <si>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</si>
  <si>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</si>
  <si>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</si>
  <si>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</si>
  <si>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</si>
  <si>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</si>
  <si>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</si>
  <si>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</si>
  <si>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</si>
  <si>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</si>
  <si>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</si>
  <si>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</si>
  <si>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</si>
  <si>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</si>
  <si>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</si>
  <si>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</si>
  <si>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</si>
  <si>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</si>
  <si>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</si>
  <si>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</si>
  <si>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</si>
  <si>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</si>
  <si>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</si>
  <si>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</si>
  <si>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</si>
  <si>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</si>
  <si>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</si>
  <si>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</si>
  <si>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</si>
  <si>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</si>
  <si>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</si>
  <si>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</si>
  <si>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</si>
  <si>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</si>
  <si>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</si>
  <si>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</si>
  <si>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</si>
  <si>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</si>
  <si>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</si>
  <si>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</si>
  <si>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</si>
  <si>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</si>
  <si>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</si>
  <si>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</si>
  <si>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</si>
  <si>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</si>
  <si>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</si>
  <si>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</si>
  <si>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</si>
  <si>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</si>
  <si>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</si>
  <si>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</si>
  <si>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</si>
  <si>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</si>
  <si>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</si>
  <si>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</si>
  <si>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</si>
  <si>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</si>
  <si>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</si>
  <si>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</si>
  <si>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</si>
  <si>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</si>
  <si>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</si>
  <si>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</si>
  <si>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</si>
  <si>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</si>
  <si>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</si>
  <si>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</si>
  <si>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</si>
  <si>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</si>
  <si>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</si>
  <si>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</si>
  <si>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</si>
  <si>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</si>
  <si>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</si>
  <si>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</si>
  <si>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</si>
  <si>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</si>
  <si>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</si>
  <si>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</si>
  <si>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</si>
  <si>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</si>
  <si>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</si>
  <si>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</si>
  <si>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</si>
  <si>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</si>
  <si>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</si>
  <si>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</si>
  <si>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</si>
  <si>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</si>
  <si>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</si>
  <si>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</si>
  <si>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</si>
  <si>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</si>
  <si>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</si>
  <si>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</si>
  <si>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</si>
  <si>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</si>
  <si>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</si>
  <si>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</si>
  <si>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</si>
  <si>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</si>
  <si>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</si>
  <si>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</si>
  <si>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</si>
  <si>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</si>
  <si>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</si>
  <si>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</si>
  <si>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</si>
  <si>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</si>
  <si>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</si>
  <si>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</si>
  <si>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</si>
  <si>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</si>
  <si>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</si>
  <si>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</si>
  <si>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</si>
  <si>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</si>
  <si>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</si>
  <si>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</si>
  <si>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</si>
  <si>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</si>
  <si>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</si>
  <si>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</si>
  <si>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</si>
  <si>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</si>
  <si>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</si>
  <si>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</si>
  <si>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</si>
  <si>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</si>
  <si>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</si>
  <si>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</si>
  <si>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</si>
  <si>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</si>
  <si>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</si>
  <si>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</si>
  <si>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</si>
  <si>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</si>
  <si>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</si>
  <si>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</si>
  <si>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</si>
  <si>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</si>
  <si>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</si>
  <si>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</si>
  <si>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</si>
  <si>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</si>
  <si>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</si>
  <si>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</si>
  <si>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</si>
  <si>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</si>
  <si>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</si>
  <si>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</si>
  <si>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</si>
  <si>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</si>
  <si>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</si>
  <si>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</si>
  <si>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</si>
  <si>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</si>
  <si>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</si>
  <si>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</si>
  <si>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</si>
  <si>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</si>
  <si>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</si>
  <si>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</si>
  <si>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</si>
  <si>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</si>
  <si>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</si>
  <si>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</si>
  <si>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</si>
  <si>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</si>
  <si>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</si>
  <si>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</si>
  <si>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</si>
  <si>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</si>
  <si>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</si>
  <si>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</si>
  <si>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</si>
  <si>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</si>
  <si>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</si>
  <si>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</si>
  <si>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</si>
  <si>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</si>
  <si>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</si>
  <si>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</si>
  <si>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</si>
  <si>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</si>
  <si>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</si>
  <si>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</si>
  <si>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</si>
  <si>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</si>
  <si>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</si>
  <si>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</si>
  <si>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</si>
  <si>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</si>
  <si>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</si>
  <si>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</si>
  <si>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</si>
  <si>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</si>
  <si>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</si>
  <si>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</si>
  <si>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</si>
  <si>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</si>
  <si>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</si>
  <si>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</si>
  <si>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</si>
  <si>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</si>
  <si>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</si>
  <si>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</si>
  <si>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</si>
  <si>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</si>
  <si>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</si>
  <si>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</si>
  <si>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</si>
  <si>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</si>
  <si>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</si>
  <si>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</si>
  <si>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</si>
  <si>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</si>
  <si>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</si>
  <si>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</si>
  <si>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</si>
  <si>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</si>
  <si>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</si>
  <si>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</si>
  <si>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</si>
  <si>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</si>
  <si>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</si>
  <si>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</si>
  <si>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</si>
  <si>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</si>
  <si>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</si>
  <si>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</si>
  <si>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</si>
  <si>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</si>
  <si>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</si>
  <si>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</si>
  <si>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</si>
  <si>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</si>
  <si>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</si>
  <si>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</si>
  <si>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</si>
  <si>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</si>
  <si>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</si>
  <si>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</si>
  <si>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</si>
  <si>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</si>
  <si>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</si>
  <si>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</si>
  <si>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</si>
  <si>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</si>
  <si>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</si>
  <si>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</si>
  <si>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</si>
  <si>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</si>
  <si>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</si>
  <si>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</si>
  <si>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</si>
  <si>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</si>
  <si>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</si>
  <si>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</si>
  <si>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</si>
  <si>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</si>
  <si>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</si>
  <si>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</si>
  <si>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</si>
  <si>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</si>
  <si>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</si>
  <si>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</si>
  <si>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</si>
  <si>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</si>
  <si>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</si>
  <si>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</si>
  <si>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</si>
  <si>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</si>
  <si>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</si>
  <si>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</si>
  <si>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</si>
  <si>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</si>
  <si>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</si>
  <si>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</si>
  <si>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</si>
  <si>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</si>
  <si>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</si>
  <si>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</si>
  <si>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</si>
  <si>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</si>
  <si>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</si>
  <si>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</si>
  <si>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</si>
  <si>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</si>
  <si>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</si>
  <si>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</si>
  <si>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</si>
  <si>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</si>
  <si>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</si>
  <si>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</si>
  <si>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</si>
  <si>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</si>
  <si>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</si>
  <si>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</si>
  <si>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</si>
  <si>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</si>
  <si>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</si>
  <si>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</si>
  <si>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</si>
  <si>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</si>
  <si>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</si>
  <si>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</si>
  <si>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</si>
  <si>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</si>
  <si>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</si>
  <si>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</si>
  <si>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</si>
  <si>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</si>
  <si>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</si>
  <si>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</si>
  <si>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</si>
  <si>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</si>
  <si>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</si>
  <si>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</si>
  <si>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</si>
  <si>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</si>
  <si>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</si>
  <si>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</si>
  <si>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</si>
  <si>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</si>
  <si>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</si>
  <si>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</si>
  <si>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</si>
  <si>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</si>
  <si>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</si>
  <si>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</si>
  <si>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</si>
  <si>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</si>
  <si>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</si>
  <si>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</si>
  <si>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</si>
  <si>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</si>
  <si>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</si>
  <si>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</si>
  <si>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</si>
  <si>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</si>
  <si>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</si>
  <si>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</si>
  <si>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</si>
  <si>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</si>
  <si>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</si>
  <si>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</si>
  <si>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</si>
  <si>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</si>
  <si>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</si>
  <si>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</si>
  <si>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</si>
  <si>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</si>
  <si>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</si>
  <si>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</si>
  <si>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</si>
  <si>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</si>
  <si>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</si>
  <si>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</si>
  <si>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</si>
  <si>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</si>
  <si>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</si>
  <si>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</si>
  <si>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</si>
  <si>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</si>
  <si>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</si>
  <si>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</si>
  <si>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</si>
  <si>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</si>
  <si>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</si>
  <si>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</si>
  <si>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</si>
  <si>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</si>
  <si>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</si>
  <si>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</si>
  <si>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</si>
  <si>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</si>
  <si>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</si>
  <si>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</si>
  <si>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</si>
  <si>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</si>
  <si>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</si>
  <si>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</si>
  <si>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</si>
  <si>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</si>
  <si>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</si>
  <si>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</si>
  <si>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</si>
  <si>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</si>
  <si>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</si>
  <si>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</si>
  <si>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</si>
  <si>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</si>
  <si>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</si>
  <si>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</si>
  <si>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</si>
  <si>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</si>
  <si>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</si>
  <si>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</si>
  <si>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</si>
  <si>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</si>
  <si>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</si>
  <si>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</si>
  <si>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</si>
  <si>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</si>
  <si>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</si>
  <si>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</si>
  <si>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</si>
  <si>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</si>
  <si>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</si>
  <si>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</si>
  <si>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</si>
  <si>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</si>
  <si>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</si>
  <si>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</si>
  <si>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</si>
  <si>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</si>
  <si>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</si>
  <si>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</si>
  <si>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</si>
  <si>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</si>
  <si>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</si>
  <si>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</si>
  <si>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</si>
  <si>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</si>
  <si>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</si>
  <si>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</si>
  <si>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</si>
  <si>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</si>
  <si>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</si>
  <si>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</si>
  <si>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</si>
  <si>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</si>
  <si>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</si>
  <si>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</si>
  <si>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</si>
  <si>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</si>
  <si>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</si>
  <si>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</si>
  <si>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</si>
  <si>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</si>
  <si>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</si>
  <si>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</si>
  <si>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</si>
  <si>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</si>
  <si>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</si>
  <si>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</si>
  <si>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</si>
  <si>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</si>
  <si>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</si>
  <si>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</si>
  <si>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</si>
  <si>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</si>
  <si>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</si>
  <si>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</si>
  <si>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</si>
  <si>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</si>
  <si>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</si>
  <si>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</si>
  <si>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</si>
  <si>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</si>
  <si>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</si>
  <si>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</si>
  <si>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</si>
  <si>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</si>
  <si>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</si>
  <si>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</si>
  <si>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</si>
  <si>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</si>
  <si>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</si>
  <si>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</si>
  <si>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</si>
  <si>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</si>
  <si>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</si>
  <si>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</si>
  <si>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</si>
  <si>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</si>
  <si>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</si>
  <si>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</si>
  <si>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</si>
  <si>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</si>
  <si>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</si>
  <si>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</si>
  <si>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</si>
  <si>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</si>
  <si>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</si>
  <si>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</si>
  <si>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</si>
  <si>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</si>
  <si>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</si>
  <si>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</si>
  <si>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</si>
  <si>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</si>
  <si>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</si>
  <si>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</si>
  <si>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</si>
  <si>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</si>
  <si>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</si>
  <si>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</si>
  <si>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</si>
  <si>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</si>
  <si>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</si>
  <si>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</si>
  <si>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</si>
  <si>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</si>
  <si>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</si>
  <si>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</si>
  <si>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</si>
  <si>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</si>
  <si>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</si>
  <si>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</si>
  <si>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</si>
  <si>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</si>
  <si>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</si>
  <si>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</si>
  <si>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</si>
  <si>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</si>
  <si>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</si>
  <si>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</si>
  <si>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</si>
  <si>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</si>
  <si>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</si>
  <si>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</si>
  <si>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</si>
  <si>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</si>
  <si>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</si>
  <si>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</si>
  <si>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</si>
  <si>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</si>
  <si>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</si>
  <si>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</si>
  <si>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</si>
  <si>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</si>
  <si>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</si>
  <si>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</si>
  <si>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</si>
  <si>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</si>
  <si>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</si>
  <si>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</si>
  <si>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</si>
  <si>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</si>
  <si>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</si>
  <si>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</si>
  <si>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</si>
  <si>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</si>
  <si>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</si>
  <si>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</si>
  <si>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</si>
  <si>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</si>
  <si>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</si>
  <si>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</si>
  <si>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</si>
  <si>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</si>
  <si>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</si>
  <si>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</si>
  <si>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</si>
  <si>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</si>
  <si>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</si>
  <si>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</si>
  <si>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</si>
  <si>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</si>
  <si>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</si>
  <si>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</si>
  <si>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</si>
  <si>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</si>
  <si>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</si>
  <si>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</si>
  <si>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</si>
  <si>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</si>
  <si>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</si>
  <si>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</si>
  <si>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</si>
  <si>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</si>
  <si>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</si>
  <si>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</si>
  <si>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</si>
  <si>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</si>
  <si>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</si>
  <si>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</si>
  <si>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</si>
  <si>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</si>
  <si>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</si>
  <si>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</si>
  <si>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</si>
  <si>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</si>
  <si>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</si>
  <si>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</si>
  <si>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</si>
  <si>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</si>
  <si>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</si>
  <si>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</si>
  <si>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</si>
  <si>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</si>
  <si>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</si>
  <si>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</si>
  <si>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</si>
  <si>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</si>
  <si>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</si>
  <si>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</si>
  <si>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</si>
  <si>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</si>
  <si>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</si>
  <si>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</si>
  <si>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</si>
  <si>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</si>
  <si>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</si>
  <si>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</si>
  <si>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</si>
  <si>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</si>
  <si>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</si>
  <si>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</si>
  <si>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</si>
  <si>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</si>
  <si>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</si>
  <si>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</si>
  <si>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</si>
  <si>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</si>
  <si>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</si>
  <si>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</si>
  <si>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</si>
  <si>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</si>
  <si>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</si>
  <si>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</si>
  <si>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</si>
  <si>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</si>
  <si>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</si>
  <si>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</si>
  <si>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</si>
  <si>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</si>
  <si>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</si>
  <si>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</si>
  <si>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</si>
  <si>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</si>
  <si>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</si>
  <si>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</si>
  <si>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</si>
  <si>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</si>
  <si>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</si>
  <si>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</si>
  <si>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</si>
  <si>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</si>
  <si>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</si>
  <si>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</si>
  <si>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</si>
  <si>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</si>
  <si>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</si>
  <si>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</si>
  <si>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</si>
  <si>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</si>
  <si>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</si>
  <si>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</si>
  <si>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</si>
  <si>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</si>
  <si>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</si>
  <si>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</si>
  <si>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</si>
  <si>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</si>
  <si>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</si>
  <si>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</si>
  <si>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</si>
  <si>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</si>
  <si>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</si>
  <si>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</si>
  <si>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</si>
  <si>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</si>
  <si>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</si>
  <si>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</si>
  <si>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</si>
  <si>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</si>
  <si>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</si>
  <si>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</si>
  <si>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</si>
  <si>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</si>
  <si>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</si>
  <si>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</si>
  <si>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</si>
  <si>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</si>
  <si>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</si>
  <si>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</si>
  <si>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</si>
  <si>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</si>
  <si>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</si>
  <si>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</si>
  <si>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</si>
  <si>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</si>
  <si>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</si>
  <si>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</si>
  <si>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</si>
  <si>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</si>
  <si>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</si>
  <si>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</si>
  <si>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</si>
  <si>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</si>
  <si>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</si>
  <si>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</si>
  <si>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</si>
  <si>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</si>
  <si>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</si>
  <si>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</si>
  <si>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</si>
  <si>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</si>
  <si>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</si>
  <si>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</si>
  <si>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</si>
  <si>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</si>
  <si>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</si>
  <si>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</si>
  <si>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</si>
  <si>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</si>
  <si>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</si>
  <si>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</si>
  <si>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</si>
  <si>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</si>
  <si>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</si>
  <si>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</si>
  <si>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</si>
  <si>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</si>
  <si>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</si>
  <si>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</si>
  <si>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</si>
  <si>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</si>
  <si>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</si>
  <si>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</si>
  <si>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</si>
  <si>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</si>
  <si>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</si>
  <si>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</si>
  <si>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</si>
  <si>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</si>
  <si>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</si>
  <si>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</si>
  <si>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</si>
  <si>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</si>
  <si>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</si>
  <si>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</si>
  <si>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Hispania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</si>
</sst>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47626</xdr:colOff>
      <xdr:row>0</xdr:row>
      <xdr:rowOff>266701</xdr:rowOff>
    </xdr:from>
    <xdr:to>
      <xdr:col>24</xdr:col>
      <xdr:colOff>463991</xdr:colOff>
      <xdr:row>6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BC19F-3285-C9D7-5A05-B85CD4813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157" t="29325" r="4773" b="20638"/>
        <a:stretch>
          <a:fillRect/>
        </a:stretch>
      </xdr:blipFill>
      <xdr:spPr>
        <a:xfrm>
          <a:off x="7924801" y="266701"/>
          <a:ext cx="2159440" cy="1581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>
        <v>14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3372453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21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3437.3514285714286</v>
      </c>
      <c r="E5" s="387"/>
      <c r="F5" s="388"/>
      <c r="G5" s="364" t="s">
        <v>15</v>
      </c>
      <c r="H5" s="389"/>
      <c r="I5" s="389"/>
      <c r="J5" s="365"/>
      <c r="K5" s="328">
        <v>12</v>
      </c>
      <c r="L5" s="328"/>
      <c r="M5" s="329" t="s">
        <v>16</v>
      </c>
      <c r="N5" s="329"/>
      <c r="O5" s="325">
        <f>IFERROR(IF(K5=0,"",D5*K5),"")</f>
        <v>41248.217142857146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7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8.3333333333333329E-2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39</v>
      </c>
      <c r="B10" s="299"/>
      <c r="C10" s="300"/>
      <c r="D10" s="390" t="s">
        <v>886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U</v>
      </c>
      <c r="P10" s="305"/>
      <c r="Q10" s="306">
        <v>1</v>
      </c>
      <c r="R10" s="307"/>
      <c r="S10" s="308">
        <f>IFERROR(IF(Q10="Unidad","1",(Q10*$K$5)),"")</f>
        <v>12</v>
      </c>
      <c r="T10" s="309"/>
      <c r="U10" s="310"/>
      <c r="V10" s="393"/>
      <c r="W10" s="311">
        <f>IFERROR(IF(D10="","",INDEX(Tabla_Completa,MATCH('Soli_citud '!D10,Materiales,0),7)*S10),"")</f>
        <v>11980.92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49</v>
      </c>
      <c r="B11" s="299"/>
      <c r="C11" s="300"/>
      <c r="D11" s="390" t="s">
        <v>902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80</v>
      </c>
      <c r="R11" s="307"/>
      <c r="S11" s="308">
        <f t="shared" ref="S11:S31" si="1">IFERROR(IF(Q11="Unidad","1",(Q11*$K$5)),"")</f>
        <v>960</v>
      </c>
      <c r="T11" s="309"/>
      <c r="U11" s="310"/>
      <c r="V11" s="310"/>
      <c r="W11" s="311">
        <f>IFERROR(IF(D11="","",INDEX(Tabla_Completa,MATCH('Soli_citud '!D11,Materiales,0),7)*S11),"")</f>
        <v>1921.0971428571431</v>
      </c>
      <c r="X11" s="311"/>
      <c r="Y11" s="311"/>
    </row>
    <row r="12" spans="1:31" ht="15.75" customHeight="1">
      <c r="A12" s="298" t="s">
        <v>1214</v>
      </c>
      <c r="B12" s="299"/>
      <c r="C12" s="300"/>
      <c r="D12" s="394" t="s">
        <v>1232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gal</v>
      </c>
      <c r="P12" s="305"/>
      <c r="Q12" s="306">
        <v>0.05</v>
      </c>
      <c r="R12" s="307"/>
      <c r="S12" s="308">
        <f t="shared" si="1"/>
        <v>0.60000000000000009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1214</v>
      </c>
      <c r="B13" s="299"/>
      <c r="C13" s="300"/>
      <c r="D13" s="390" t="s">
        <v>1292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gal</v>
      </c>
      <c r="P13" s="305"/>
      <c r="Q13" s="306">
        <v>0.05</v>
      </c>
      <c r="R13" s="307"/>
      <c r="S13" s="308">
        <f t="shared" si="1"/>
        <v>0.60000000000000009</v>
      </c>
      <c r="T13" s="309"/>
      <c r="U13" s="310"/>
      <c r="V13" s="310"/>
      <c r="W13" s="311">
        <f>IFERROR(IF(D13="","",INDEX(Tabla_Completa,MATCH('Soli_citud '!D13,Materiales,0),7)*S13),"")</f>
        <v>0</v>
      </c>
      <c r="X13" s="311"/>
      <c r="Y13" s="311"/>
    </row>
    <row r="14" spans="1:31" ht="17.25" customHeight="1">
      <c r="A14" s="298" t="s">
        <v>39</v>
      </c>
      <c r="B14" s="299"/>
      <c r="C14" s="300"/>
      <c r="D14" s="390" t="s">
        <v>576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U</v>
      </c>
      <c r="P14" s="305"/>
      <c r="Q14" s="306">
        <v>1</v>
      </c>
      <c r="R14" s="307"/>
      <c r="S14" s="308">
        <f t="shared" si="1"/>
        <v>12</v>
      </c>
      <c r="T14" s="309"/>
      <c r="U14" s="310"/>
      <c r="V14" s="310"/>
      <c r="W14" s="311">
        <f>IFERROR(IF(D14="","",INDEX(Tabla_Completa,MATCH('Soli_citud '!D14,Materiales,0),7)*S14),"")</f>
        <v>11980.92</v>
      </c>
      <c r="X14" s="311"/>
      <c r="Y14" s="311"/>
    </row>
    <row r="15" spans="1:31" ht="15.75" customHeight="1">
      <c r="A15" s="298" t="s">
        <v>39</v>
      </c>
      <c r="B15" s="299"/>
      <c r="C15" s="300"/>
      <c r="D15" s="390" t="s">
        <v>543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</v>
      </c>
      <c r="P15" s="305"/>
      <c r="Q15" s="306">
        <v>1</v>
      </c>
      <c r="R15" s="307"/>
      <c r="S15" s="308">
        <f t="shared" si="1"/>
        <v>12</v>
      </c>
      <c r="T15" s="309"/>
      <c r="U15" s="310"/>
      <c r="V15" s="310"/>
      <c r="W15" s="311">
        <f>IFERROR(IF(D15="","",INDEX(Tabla_Completa,MATCH('Soli_citud '!D15,Materiales,0),7)*S15),"")</f>
        <v>15365.28</v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IF('Soli_citud '!O1="","",'Soli_citud '!O1)</f>
        <v>45957</v>
      </c>
      <c r="O1" s="489"/>
      <c r="P1" s="427" t="s">
        <v>54</v>
      </c>
      <c r="Q1" s="428"/>
      <c r="R1" s="433" t="str">
        <f>IF('Soli_citud '!D4="","",'Soli_citud '!D4)</f>
        <v>Complementarios Hispania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'Soli_citud '!F1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IF('Soli_citud '!O3="","",'Soli_citud '!O3)</f>
        <v>3372453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3437.3514285714286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IF('Soli_citud '!E2="","",'Soli_citud 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IFERROR(IF('Soli_citud '!D10="","",'Soli_citud '!D10),"")</f>
        <v xml:space="preserve">TRABILLA 1 1/2" NÍQUEL </v>
      </c>
      <c r="D12" s="407"/>
      <c r="E12" s="407"/>
      <c r="F12" s="407"/>
      <c r="G12" s="213" t="str">
        <f>IF('Soli_citud '!O10="","",'Soli_citud '!O10)</f>
        <v>U</v>
      </c>
      <c r="H12" s="213" cm="1">
        <f t="array" ref="H12">_xlfn.IFS('Soli_citud '!S10="","",'Soli_citud '!S10&lt;=0,"",'Soli_citud '!S10&gt;0,'Soli_citud '!S10)</f>
        <v>12</v>
      </c>
      <c r="I12" s="214"/>
      <c r="J12" s="215"/>
      <c r="K12" s="197" cm="1">
        <f t="array" ref="K12">IFERROR(_xlfn.IFS(H12="","",J12=H12,"Cumplido",J12&lt;H12,H12-J12,J12&gt;H12,"Revisar"),"")</f>
        <v>12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IFERROR(IF('Soli_citud '!D11="","",'Soli_citud '!D11),"")</f>
        <v>FORRO MARROQUINERO DE POLIÉSTER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960</v>
      </c>
      <c r="I13" s="214"/>
      <c r="J13" s="216"/>
      <c r="K13" s="197" cm="1">
        <f t="array" ref="K13">IFERROR(_xlfn.IFS(H13="","",J13=H13,"Cumplido",J13&lt;H13,H13-J13,J13&gt;H13,"Revisar"),"")</f>
        <v>960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IFERROR(IF('Soli_citud '!D12="","",'Soli_citud '!D12),"")</f>
        <v>Cemento de contacto</v>
      </c>
      <c r="D14" s="407"/>
      <c r="E14" s="407"/>
      <c r="F14" s="407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0.60000000000000009</v>
      </c>
      <c r="I14" s="214"/>
      <c r="J14" s="216"/>
      <c r="K14" s="197" cm="1">
        <f t="array" ref="K14">IFERROR(_xlfn.IFS(H14="","",J14=H14,"Cumplido",J14&lt;H14,H14-J14,J14&gt;H14,"Revisar"),"")</f>
        <v>0.60000000000000009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IFERROR(IF('Soli_citud '!D13="","",'Soli_citud '!D13),"")</f>
        <v>Tinta marroquinera negra</v>
      </c>
      <c r="D15" s="407"/>
      <c r="E15" s="407"/>
      <c r="F15" s="407"/>
      <c r="G15" s="213" t="str">
        <f>IF('Soli_citud '!O13="","",'Soli_citud '!O13)</f>
        <v>gal</v>
      </c>
      <c r="H15" s="213" cm="1">
        <f t="array" ref="H15">_xlfn.IFS('Soli_citud '!S13="","",'Soli_citud '!S13&lt;=0,"",'Soli_citud '!S13&gt;0,'Soli_citud '!S13)</f>
        <v>0.60000000000000009</v>
      </c>
      <c r="I15" s="214"/>
      <c r="J15" s="216"/>
      <c r="K15" s="197" cm="1">
        <f t="array" ref="K15">IFERROR(_xlfn.IFS(H15="","",J15=H15,"Cumplido",J15&lt;H15,H15-J15,J15&gt;H15,"Revisar"),"")</f>
        <v>0.60000000000000009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IFERROR(IF('Soli_citud '!D14="","",'Soli_citud '!D14),"")</f>
        <v xml:space="preserve">CUADRANTE 1 1/2" NÍQUEL </v>
      </c>
      <c r="D16" s="407"/>
      <c r="E16" s="407"/>
      <c r="F16" s="407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12</v>
      </c>
      <c r="I16" s="214"/>
      <c r="J16" s="216"/>
      <c r="K16" s="197" cm="1">
        <f t="array" ref="K16">IFERROR(_xlfn.IFS(H16="","",J16=H16,"Cumplido",J16&lt;H16,H16-J16,J16&gt;H16,"Revisar"),"")</f>
        <v>12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LV2710-1</v>
      </c>
      <c r="C17" s="407" t="str">
        <f>IFERROR(IF('Soli_citud '!D15="","",'Soli_citud '!D15),"")</f>
        <v>BROCHE IMÁN NIQUELADO MEDIANO 1/2"</v>
      </c>
      <c r="D17" s="407"/>
      <c r="E17" s="407"/>
      <c r="F17" s="407"/>
      <c r="G17" s="213" t="str">
        <f>IF('Soli_citud '!O15="","",'Soli_citud '!O15)</f>
        <v>cm</v>
      </c>
      <c r="H17" s="213" cm="1">
        <f t="array" ref="H17">_xlfn.IFS('Soli_citud '!S15="","",'Soli_citud '!S15&lt;=0,"",'Soli_citud '!S15&gt;0,'Soli_citud '!S15)</f>
        <v>12</v>
      </c>
      <c r="I17" s="214"/>
      <c r="J17" s="216"/>
      <c r="K17" s="197" cm="1">
        <f t="array" ref="K17">IFERROR(_xlfn.IFS(H17="","",J17=H17,"Cumplido",J17&lt;H17,H17-J17,J17&gt;H17,"Revisar"),"")</f>
        <v>12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