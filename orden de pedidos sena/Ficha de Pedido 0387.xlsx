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12 JARDIN 1 A 5\1 BILLETERA\"/>
    </mc:Choice>
  </mc:AlternateContent>
  <xr:revisionPtr revIDLastSave="0" documentId="13_ncr:1_{0BA34F13-5DD5-4527-B15E-7A7F9B2B4A67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<sst xmlns="http://schemas.openxmlformats.org/spreadsheetml/2006/main" count="5039" uniqueCount="1396">
  <si>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</si>
  <si>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</si>
  <si>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</si>
  <si>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</si>
  <si>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</si>
  <si>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</si>
  <si>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</si>
  <si>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</si>
  <si>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</si>
  <si>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</si>
  <si>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</si>
  <si>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</si>
  <si>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</si>
  <si>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</si>
  <si>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</si>
  <si>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</si>
  <si>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</si>
  <si>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</si>
  <si>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</si>
  <si>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</si>
  <si>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</si>
  <si>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</si>
  <si>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</si>
  <si>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</si>
  <si>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</si>
  <si>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</si>
  <si>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</si>
  <si>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</si>
  <si>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</si>
  <si>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</si>
  <si>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</si>
  <si>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</si>
  <si>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</si>
  <si>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</si>
  <si>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</si>
  <si>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</si>
  <si>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</si>
  <si>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</si>
  <si>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</si>
  <si>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</si>
  <si>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</si>
  <si>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</si>
  <si>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</si>
  <si>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</si>
  <si>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</si>
  <si>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</si>
  <si>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</si>
  <si>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</si>
  <si>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</si>
  <si>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</si>
  <si>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</si>
  <si>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</si>
  <si>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</si>
  <si>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</si>
  <si>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</si>
  <si>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</si>
  <si>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</si>
  <si>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</si>
  <si>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</si>
  <si>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</si>
  <si>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</si>
  <si>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</si>
  <si>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</si>
  <si>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</si>
  <si>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</si>
  <si>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</si>
  <si>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</si>
  <si>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</si>
  <si>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</si>
  <si>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</si>
  <si>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</si>
  <si>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</si>
  <si>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</si>
  <si>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</si>
  <si>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</si>
  <si>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</si>
  <si>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</si>
  <si>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</si>
  <si>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</si>
  <si>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</si>
  <si>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</si>
  <si>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</si>
  <si>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</si>
  <si>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</si>
  <si>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</si>
  <si>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</si>
  <si>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</si>
  <si>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</si>
  <si>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</si>
  <si>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</si>
  <si>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</si>
  <si>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</si>
  <si>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</si>
  <si>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</si>
  <si>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</si>
  <si>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</si>
  <si>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</si>
  <si>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</si>
  <si>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</si>
  <si>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</si>
  <si>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</si>
  <si>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</si>
  <si>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</si>
  <si>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</si>
  <si>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</si>
  <si>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</si>
  <si>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</si>
  <si>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</si>
  <si>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</si>
  <si>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</si>
  <si>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</si>
  <si>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</si>
  <si>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</si>
  <si>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</si>
  <si>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</si>
  <si>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</si>
  <si>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</si>
  <si>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</si>
  <si>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</si>
  <si>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</si>
  <si>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</si>
  <si>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</si>
  <si>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</si>
  <si>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</si>
  <si>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</si>
  <si>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</si>
  <si>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</si>
  <si>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</si>
  <si>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</si>
  <si>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</si>
  <si>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</si>
  <si>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</si>
  <si>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</si>
  <si>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</si>
  <si>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</si>
  <si>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</si>
  <si>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</si>
  <si>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</si>
  <si>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</si>
  <si>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</si>
  <si>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</si>
  <si>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</si>
  <si>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</si>
  <si>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</si>
  <si>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</si>
  <si>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</si>
  <si>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</si>
  <si>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</si>
  <si>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</si>
  <si>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</si>
  <si>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</si>
  <si>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</si>
  <si>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</si>
  <si>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</si>
  <si>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</si>
  <si>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</si>
  <si>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</si>
  <si>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</si>
  <si>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</si>
  <si>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</si>
  <si>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</si>
  <si>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</si>
  <si>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</si>
  <si>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</si>
  <si>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</si>
  <si>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</si>
  <si>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</si>
  <si>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</si>
  <si>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</si>
  <si>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</si>
  <si>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</si>
  <si>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</si>
  <si>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</si>
  <si>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</si>
  <si>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</si>
  <si>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</si>
  <si>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</si>
  <si>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</si>
  <si>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</si>
  <si>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</si>
  <si>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</si>
  <si>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</si>
  <si>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</si>
  <si>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</si>
  <si>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</si>
  <si>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</si>
  <si>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</si>
  <si>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</si>
  <si>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</si>
  <si>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</si>
  <si>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</si>
  <si>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</si>
  <si>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</si>
  <si>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</si>
  <si>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</si>
  <si>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</si>
  <si>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</si>
  <si>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</si>
  <si>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</si>
  <si>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</si>
  <si>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</si>
  <si>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</si>
  <si>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</si>
  <si>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</si>
  <si>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</si>
  <si>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</si>
  <si>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</si>
  <si>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</si>
  <si>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</si>
  <si>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</si>
  <si>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</si>
  <si>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</si>
  <si>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</si>
  <si>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</si>
  <si>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</si>
  <si>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</si>
  <si>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</si>
  <si>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</si>
  <si>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</si>
  <si>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</si>
  <si>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</si>
  <si>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</si>
  <si>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</si>
  <si>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</si>
  <si>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</si>
  <si>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</si>
  <si>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</si>
  <si>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</si>
  <si>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</si>
  <si>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</si>
  <si>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</si>
  <si>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</si>
  <si>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</si>
  <si>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</si>
  <si>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</si>
  <si>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</si>
  <si>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</si>
  <si>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</si>
  <si>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</si>
  <si>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</si>
  <si>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</si>
  <si>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</si>
  <si>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</si>
  <si>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</si>
  <si>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</si>
  <si>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</si>
  <si>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</si>
  <si>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</si>
  <si>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</si>
  <si>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</si>
  <si>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</si>
  <si>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</si>
  <si>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</si>
  <si>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</si>
  <si>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</si>
  <si>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</si>
  <si>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</si>
  <si>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</si>
  <si>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</si>
  <si>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</si>
  <si>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</si>
  <si>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</si>
  <si>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</si>
  <si>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</si>
  <si>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</si>
  <si>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</si>
  <si>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</si>
  <si>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</si>
  <si>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</si>
  <si>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</si>
  <si>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</si>
  <si>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</si>
  <si>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</si>
  <si>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</si>
  <si>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</si>
  <si>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</si>
  <si>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</si>
  <si>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</si>
  <si>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</si>
  <si>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</si>
  <si>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</si>
  <si>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</si>
  <si>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</si>
  <si>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</si>
  <si>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</si>
  <si>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</si>
  <si>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</si>
  <si>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</si>
  <si>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</si>
  <si>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</si>
  <si>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</si>
  <si>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</si>
  <si>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</si>
  <si>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</si>
  <si>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</si>
  <si>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</si>
  <si>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</si>
  <si>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</si>
  <si>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</si>
  <si>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</si>
  <si>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</si>
  <si>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</si>
  <si>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</si>
  <si>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</si>
  <si>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</si>
  <si>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</si>
  <si>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</si>
  <si>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</si>
  <si>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</si>
  <si>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</si>
  <si>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</si>
  <si>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</si>
  <si>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</si>
  <si>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</si>
  <si>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</si>
  <si>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</si>
  <si>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</si>
  <si>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</si>
  <si>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</si>
  <si>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</si>
  <si>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</si>
  <si>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</si>
  <si>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</si>
  <si>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</si>
  <si>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</si>
  <si>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</si>
  <si>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</si>
  <si>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</si>
  <si>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</si>
  <si>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</si>
  <si>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</si>
  <si>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</si>
  <si>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</si>
  <si>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</si>
  <si>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</si>
  <si>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</si>
  <si>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</si>
  <si>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</si>
  <si>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</si>
  <si>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</si>
  <si>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</si>
  <si>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</si>
  <si>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</si>
  <si>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</si>
  <si>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</si>
  <si>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</si>
  <si>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</si>
  <si>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</si>
  <si>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</si>
  <si>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</si>
  <si>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</si>
  <si>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</si>
  <si>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</si>
  <si>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</si>
  <si>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</si>
  <si>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</si>
  <si>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</si>
  <si>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</si>
  <si>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</si>
  <si>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</si>
  <si>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</si>
  <si>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</si>
  <si>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</si>
  <si>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</si>
  <si>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</si>
  <si>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</si>
  <si>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</si>
  <si>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</si>
  <si>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</si>
  <si>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</si>
  <si>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</si>
  <si>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</si>
  <si>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</si>
  <si>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</si>
  <si>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</si>
  <si>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</si>
  <si>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</si>
  <si>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</si>
  <si>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</si>
  <si>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</si>
  <si>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</si>
  <si>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</si>
  <si>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</si>
  <si>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</si>
  <si>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</si>
  <si>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</si>
  <si>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</si>
  <si>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</si>
  <si>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</si>
  <si>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</si>
  <si>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</si>
  <si>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</si>
  <si>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</si>
  <si>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</si>
  <si>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</si>
  <si>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</si>
  <si>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</si>
  <si>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</si>
  <si>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</si>
  <si>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</si>
  <si>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</si>
  <si>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</si>
  <si>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</si>
  <si>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</si>
  <si>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</si>
  <si>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</si>
  <si>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</si>
  <si>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</si>
  <si>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</si>
  <si>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</si>
  <si>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</si>
  <si>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</si>
  <si>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</si>
  <si>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</si>
  <si>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</si>
  <si>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</si>
  <si>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</si>
  <si>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</si>
  <si>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</si>
  <si>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</si>
  <si>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</si>
  <si>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</si>
  <si>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</si>
  <si>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</si>
  <si>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</si>
  <si>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</si>
  <si>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</si>
  <si>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</si>
  <si>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</si>
  <si>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</si>
  <si>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</si>
  <si>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</si>
  <si>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</si>
  <si>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</si>
  <si>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</si>
  <si>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</si>
  <si>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</si>
  <si>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</si>
  <si>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</si>
  <si>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</si>
  <si>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</si>
  <si>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</si>
  <si>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</si>
  <si>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</si>
  <si>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</si>
  <si>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</si>
  <si>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</si>
  <si>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</si>
  <si>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</si>
  <si>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</si>
  <si>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</si>
  <si>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</si>
  <si>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</si>
  <si>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</si>
  <si>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</si>
  <si>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</si>
  <si>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</si>
  <si>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</si>
  <si>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</si>
  <si>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</si>
  <si>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</si>
  <si>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</si>
  <si>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</si>
  <si>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</si>
  <si>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</si>
  <si>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</si>
  <si>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</si>
  <si>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</si>
  <si>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</si>
  <si>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</si>
  <si>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</si>
  <si>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</si>
  <si>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</si>
  <si>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</si>
  <si>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</si>
  <si>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</si>
  <si>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</si>
  <si>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</si>
  <si>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</si>
  <si>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</si>
  <si>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</si>
  <si>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</si>
  <si>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</si>
  <si>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</si>
  <si>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</si>
  <si>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</si>
  <si>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</si>
  <si>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</si>
  <si>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</si>
  <si>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</si>
  <si>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</si>
  <si>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</si>
  <si>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</si>
  <si>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</si>
  <si>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</si>
  <si>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</si>
  <si>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</si>
  <si>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</si>
  <si>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</si>
  <si>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</si>
  <si>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</si>
  <si>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</si>
  <si>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</si>
  <si>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</si>
  <si>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</si>
  <si>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</si>
  <si>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</si>
  <si>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</si>
  <si>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</si>
  <si>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</si>
  <si>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</si>
  <si>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</si>
  <si>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</si>
  <si>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</si>
  <si>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</si>
  <si>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</si>
  <si>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</si>
  <si>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</si>
  <si>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</si>
  <si>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</si>
  <si>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</si>
  <si>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</si>
  <si>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</si>
  <si>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</si>
  <si>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</si>
  <si>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</si>
  <si>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</si>
  <si>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</si>
  <si>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</si>
  <si>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</si>
  <si>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</si>
  <si>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</si>
  <si>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</si>
  <si>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</si>
  <si>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</si>
  <si>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</si>
  <si>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</si>
  <si>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</si>
  <si>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</si>
  <si>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</si>
  <si>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</si>
  <si>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</si>
  <si>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</si>
  <si>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</si>
  <si>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</si>
  <si>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</si>
  <si>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</si>
  <si>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</si>
  <si>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</si>
  <si>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</si>
  <si>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</si>
  <si>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</si>
  <si>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</si>
  <si>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</si>
  <si>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</si>
  <si>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</si>
  <si>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</si>
  <si>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</si>
  <si>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</si>
  <si>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</si>
  <si>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</si>
  <si>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</si>
  <si>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</si>
  <si>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</si>
  <si>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</si>
  <si>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</si>
  <si>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</si>
  <si>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</si>
  <si>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</si>
  <si>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</si>
  <si>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</si>
  <si>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</si>
  <si>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</si>
  <si>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</si>
  <si>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</si>
  <si>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</si>
  <si>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</si>
  <si>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</si>
  <si>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</si>
  <si>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</si>
  <si>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</si>
  <si>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</si>
  <si>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</si>
  <si>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</si>
  <si>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</si>
  <si>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</si>
  <si>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</si>
  <si>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</si>
  <si>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</si>
  <si>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</si>
  <si>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</si>
  <si>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</si>
  <si>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</si>
  <si>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</si>
  <si>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</si>
  <si>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</si>
  <si>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</si>
  <si>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</si>
  <si>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</si>
  <si>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</si>
  <si>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</si>
  <si>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</si>
  <si>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</si>
  <si>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</si>
  <si>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</si>
  <si>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</si>
  <si>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</si>
  <si>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</si>
  <si>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</si>
  <si>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</si>
  <si>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</si>
  <si>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</si>
  <si>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</si>
  <si>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</si>
  <si>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</si>
  <si>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</si>
  <si>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</si>
  <si>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</si>
  <si>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</si>
  <si>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</si>
  <si>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</si>
  <si>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</si>
  <si>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</si>
  <si>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</si>
  <si>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</si>
  <si>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</si>
  <si>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</si>
  <si>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</si>
  <si>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</si>
  <si>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</si>
  <si>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</si>
  <si>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</si>
  <si>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</si>
  <si>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</si>
  <si>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</si>
  <si>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</si>
  <si>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</si>
  <si>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</si>
  <si>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</si>
  <si>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</si>
  <si>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</si>
  <si>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</si>
  <si>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</si>
  <si>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</si>
  <si>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</si>
  <si>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</si>
  <si>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</si>
  <si>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</si>
  <si>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</si>
  <si>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</si>
  <si>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</si>
  <si>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</si>
  <si>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</si>
  <si>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</si>
  <si>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</si>
  <si>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</si>
  <si>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</si>
  <si>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</si>
  <si>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</si>
  <si>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</si>
  <si>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</si>
  <si>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</si>
  <si>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</si>
  <si>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</si>
  <si>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</si>
  <si>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</si>
  <si>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</si>
  <si>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</si>
  <si>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</si>
  <si>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</si>
  <si>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</si>
  <si>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</si>
  <si>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</si>
  <si>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</si>
  <si>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</si>
  <si>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</si>
  <si>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</si>
  <si>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</si>
  <si>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</si>
  <si>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</si>
  <si>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</si>
  <si>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</si>
  <si>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</si>
  <si>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</si>
  <si>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</si>
  <si>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</si>
  <si>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</si>
  <si>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</si>
  <si>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</si>
  <si>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</si>
  <si>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</si>
  <si>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</si>
  <si>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</si>
  <si>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</si>
  <si>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</si>
  <si>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</si>
  <si>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</si>
  <si>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</si>
  <si>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</si>
  <si>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</si>
  <si>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</si>
  <si>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</si>
  <si>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</si>
  <si>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</si>
  <si>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</si>
  <si>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</si>
  <si>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</si>
  <si>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</si>
  <si>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</si>
  <si>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</si>
  <si>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</si>
  <si>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</si>
  <si>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</si>
  <si>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</si>
  <si>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</si>
  <si>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</si>
  <si>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</si>
  <si>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</si>
  <si>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</si>
  <si>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</si>
  <si>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</si>
  <si>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</si>
  <si>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</si>
  <si>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</si>
  <si>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</si>
  <si>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</si>
  <si>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</si>
  <si>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</si>
  <si>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</si>
  <si>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</si>
  <si>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</si>
  <si>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</si>
  <si>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</si>
  <si>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</si>
  <si>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</si>
  <si>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</si>
  <si>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</si>
  <si>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</si>
  <si>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</si>
  <si>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</si>
  <si>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</si>
  <si>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</si>
  <si>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</si>
  <si>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</si>
  <si>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</si>
  <si>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</si>
  <si>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</si>
  <si>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</si>
  <si>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</si>
  <si>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</si>
  <si>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</si>
  <si>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</si>
  <si>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</si>
  <si>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</si>
  <si>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</si>
  <si>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</si>
  <si>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</si>
  <si>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</si>
  <si>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</si>
  <si>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</si>
  <si>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</si>
  <si>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</si>
  <si>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</si>
  <si>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</si>
  <si>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</si>
  <si>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</si>
  <si>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</si>
  <si>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</si>
  <si>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</si>
  <si>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</si>
  <si>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</si>
  <si>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</si>
  <si>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</si>
  <si>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</si>
  <si>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</si>
  <si>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</si>
  <si>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</si>
  <si>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</si>
  <si>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</si>
  <si>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</si>
  <si>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</si>
  <si>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</si>
  <si>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</si>
  <si>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</si>
  <si>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</si>
  <si>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</si>
  <si>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</si>
  <si>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</si>
  <si>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</si>
  <si>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</si>
  <si>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</si>
  <si>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</si>
  <si>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</si>
  <si>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</si>
  <si>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</si>
  <si>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</si>
  <si>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</si>
  <si>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</si>
  <si>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</si>
  <si>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</si>
  <si>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</si>
  <si>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</si>
  <si>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</si>
  <si>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</si>
  <si>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</si>
  <si>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</si>
  <si>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</si>
  <si>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</si>
  <si>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</si>
  <si>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</si>
  <si>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</si>
  <si>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</si>
  <si>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</si>
  <si>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</si>
  <si>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</si>
  <si>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</si>
  <si>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</si>
  <si>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</si>
  <si>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</si>
  <si>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</si>
  <si>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</si>
  <si>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</si>
  <si>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</si>
  <si>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</si>
  <si>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</si>
  <si>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</si>
  <si>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</si>
  <si>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</si>
  <si>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</si>
  <si>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</si>
  <si>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</si>
  <si>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</si>
  <si>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</si>
  <si>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</si>
  <si>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</si>
  <si>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</si>
  <si>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</si>
  <si>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</si>
  <si>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</si>
  <si>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</si>
  <si>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</si>
  <si>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</si>
  <si>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</si>
  <si>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</si>
  <si>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</si>
  <si>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</si>
  <si>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</si>
  <si>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</si>
  <si>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</si>
  <si>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</si>
  <si>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</si>
  <si>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</si>
  <si>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</si>
  <si>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</si>
  <si>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</si>
  <si>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</si>
  <si>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</si>
  <si>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</si>
  <si>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</si>
  <si>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</si>
  <si>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</si>
  <si>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</si>
  <si>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</si>
  <si>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</si>
  <si>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</si>
  <si>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</si>
  <si>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</si>
  <si>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</si>
  <si>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</si>
  <si>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</si>
  <si>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</si>
  <si>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</si>
  <si>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</si>
  <si>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</si>
  <si>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</si>
  <si>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</si>
  <si>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</si>
  <si>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</si>
  <si>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</si>
  <si>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</si>
  <si>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</si>
  <si>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</si>
  <si>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</si>
  <si>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</si>
  <si>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</si>
  <si>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</si>
  <si>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</si>
  <si>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</si>
  <si>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</si>
  <si>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</si>
  <si>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</si>
  <si>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</si>
  <si>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</si>
  <si>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</si>
  <si>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</si>
  <si>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</si>
  <si>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</si>
  <si>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</si>
  <si>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</si>
  <si>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</si>
  <si>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</si>
  <si>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</si>
  <si>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</si>
  <si>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</si>
  <si>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</si>
  <si>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</si>
  <si>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</si>
  <si>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</si>
  <si>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</si>
  <si>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</si>
  <si>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</si>
  <si>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</si>
  <si>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</si>
  <si>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</si>
  <si>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</si>
  <si>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</si>
  <si>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</si>
  <si>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</si>
  <si>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</si>
  <si>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</si>
  <si>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</si>
  <si>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</si>
  <si>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</si>
  <si>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</si>
  <si>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</si>
  <si>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</si>
  <si>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</si>
  <si>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</si>
  <si>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</si>
  <si>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</si>
  <si>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</si>
  <si>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</si>
  <si>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</si>
  <si>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</si>
  <si>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</si>
  <si>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</si>
  <si>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</si>
  <si>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</si>
  <si>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</si>
  <si>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</si>
  <si>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</si>
  <si>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</si>
  <si>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</si>
  <si>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</si>
  <si>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</si>
  <si>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</si>
  <si>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</si>
  <si>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</si>
  <si>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</si>
  <si>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</si>
  <si>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</si>
  <si>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</si>
  <si>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</si>
  <si>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</si>
  <si>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</si>
  <si>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</si>
  <si>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</si>
  <si>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</si>
  <si>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</si>
  <si>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</si>
  <si>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</si>
  <si>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</si>
  <si>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</si>
  <si>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</si>
  <si>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</si>
  <si>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</si>
  <si>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</si>
  <si>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</si>
  <si>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</si>
  <si>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</si>
  <si>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</si>
  <si>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</si>
  <si>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</si>
  <si>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</si>
  <si>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</si>
  <si>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</si>
  <si>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</si>
  <si>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</si>
  <si>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</si>
  <si>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</si>
  <si>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</si>
  <si>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</si>
  <si>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</si>
  <si>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</si>
  <si>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</si>
  <si>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</si>
  <si>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</si>
  <si>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</si>
  <si>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</si>
  <si>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</si>
  <si>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</si>
  <si>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</si>
  <si>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</si>
  <si>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</si>
  <si>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</si>
  <si>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</si>
  <si>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</si>
  <si>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</si>
  <si>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</si>
  <si>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</si>
  <si>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</si>
  <si>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</si>
  <si>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</si>
  <si>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</si>
  <si>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</si>
  <si>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</si>
  <si>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</si>
  <si>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</si>
  <si>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</si>
  <si>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</si>
  <si>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</si>
  <si>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</si>
  <si>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</si>
  <si>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</si>
  <si>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</si>
  <si>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</si>
  <si>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</si>
  <si>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</si>
  <si>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</si>
  <si>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</si>
  <si>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</si>
  <si>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</si>
  <si>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</si>
  <si>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</si>
  <si>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</si>
  <si>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</si>
  <si>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</si>
  <si>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</si>
  <si>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</si>
  <si>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</si>
  <si>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</si>
  <si>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</si>
  <si>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</si>
  <si>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</si>
  <si>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</si>
  <si>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</si>
  <si>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</si>
  <si>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</si>
  <si>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</si>
  <si>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</si>
  <si>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</si>
  <si>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</si>
  <si>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</si>
  <si>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</si>
  <si>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</si>
  <si>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</si>
  <si>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</si>
  <si>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</si>
  <si>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</si>
  <si>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</si>
  <si>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</si>
  <si>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</si>
  <si>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</si>
  <si>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</si>
  <si>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</si>
  <si>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</si>
  <si>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</si>
  <si>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</si>
  <si>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</si>
  <si>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</si>
  <si>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</si>
  <si>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</si>
  <si>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</si>
  <si>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</si>
  <si>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</si>
  <si>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</si>
  <si>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</si>
  <si>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</si>
  <si>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</si>
  <si>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</si>
  <si>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</si>
  <si>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</si>
  <si>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</si>
  <si>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</si>
  <si>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</si>
  <si>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</si>
  <si>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</si>
  <si>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</si>
  <si>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</si>
  <si>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</si>
  <si>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</si>
  <si>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</si>
  <si>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</si>
  <si>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</si>
  <si>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</si>
  <si>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</si>
  <si>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</si>
  <si>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</si>
  <si>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</si>
  <si>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</si>
  <si>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</si>
  <si>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</si>
  <si>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</si>
  <si>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</si>
  <si>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</si>
  <si>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</si>
  <si>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</si>
  <si>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</si>
  <si>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</si>
  <si>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</si>
  <si>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</si>
  <si>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</si>
  <si>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</si>
  <si>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</si>
  <si>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</si>
  <si>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</si>
  <si>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</si>
  <si>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</si>
  <si>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</si>
  <si>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</si>
  <si>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</si>
  <si>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</si>
  <si>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</si>
  <si>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</si>
  <si>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</si>
  <si>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</si>
  <si>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</si>
  <si>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</si>
  <si>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</si>
  <si>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</si>
  <si>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</si>
  <si>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</si>
  <si>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</si>
  <si>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</si>
  <si>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</si>
  <si>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</si>
  <si>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</si>
  <si>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</si>
  <si>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</si>
  <si>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</si>
  <si>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</si>
  <si>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</si>
  <si>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</si>
  <si>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</si>
  <si>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</si>
  <si>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</si>
  <si>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</si>
  <si>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</si>
  <si>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</si>
  <si>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</si>
  <si>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</si>
  <si>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</si>
  <si>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</si>
  <si>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</si>
  <si>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</si>
  <si>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</si>
  <si>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</si>
  <si>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</si>
  <si>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</si>
  <si>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</si>
  <si>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</si>
  <si>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</si>
  <si>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</si>
  <si>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</si>
  <si>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</si>
  <si>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</si>
  <si>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</si>
  <si>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</si>
  <si>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</si>
  <si>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</si>
  <si>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</si>
  <si>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</si>
  <si>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</si>
  <si>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</si>
  <si>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</si>
  <si>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</si>
  <si>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</si>
  <si>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</si>
  <si>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</si>
  <si>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</si>
  <si>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</si>
  <si>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</si>
  <si>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</si>
  <si>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</si>
  <si>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</si>
  <si>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</si>
  <si>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</si>
  <si>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</si>
  <si>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</si>
  <si>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</si>
  <si>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</si>
  <si>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</si>
  <si>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</si>
  <si>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</si>
  <si>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</si>
  <si>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</si>
  <si>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</si>
  <si>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</si>
  <si>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</si>
  <si>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</si>
  <si>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</si>
  <si>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</si>
  <si>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</si>
  <si>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</si>
  <si>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</si>
  <si>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</si>
  <si>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</si>
  <si>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</si>
  <si>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</si>
  <si>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</si>
  <si>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</si>
  <si>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</si>
  <si>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</si>
  <si>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</si>
  <si>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</si>
  <si>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</si>
  <si>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</si>
  <si>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</si>
  <si>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</si>
  <si>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</si>
  <si>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</si>
  <si>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</si>
  <si>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</si>
  <si>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</si>
  <si>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</si>
  <si>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</si>
  <si>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</si>
  <si>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</si>
  <si>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</si>
  <si>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</si>
  <si>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</si>
  <si>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</si>
  <si>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</si>
  <si>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</si>
  <si>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</si>
  <si>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</si>
  <si>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</si>
  <si>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</si>
  <si>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</si>
  <si>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</si>
  <si>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</si>
  <si>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</si>
  <si>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</si>
  <si>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</si>
  <si>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</si>
  <si>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</si>
  <si>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</si>
  <si>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</si>
  <si>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</si>
  <si>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</si>
  <si>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</si>
  <si>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</si>
  <si>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</si>
  <si>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</si>
  <si>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</si>
  <si>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</si>
  <si>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</si>
  <si>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</si>
  <si>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</si>
  <si>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</si>
  <si>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</si>
  <si>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</si>
  <si>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</si>
  <si>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</si>
  <si>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</si>
  <si>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</si>
  <si>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</si>
  <si>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</si>
  <si>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</si>
  <si>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</si>
  <si>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</si>
  <si>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</si>
  <si>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</si>
  <si>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</si>
  <si>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</si>
  <si>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</si>
  <si>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</si>
  <si>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</si>
  <si>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</si>
  <si>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</si>
  <si>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</si>
  <si>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</si>
  <si>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</si>
  <si>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</si>
  <si>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</si>
  <si>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</si>
  <si>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</si>
  <si>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</si>
  <si>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</si>
  <si>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</si>
  <si>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</si>
  <si>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</si>
  <si>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</si>
  <si>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</si>
  <si>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</si>
  <si>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</si>
  <si>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</si>
  <si>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</si>
  <si>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</si>
  <si>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</si>
  <si>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</si>
  <si>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</si>
  <si>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</si>
  <si>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</si>
  <si>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</si>
  <si>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</si>
  <si>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</si>
  <si>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</si>
  <si>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</si>
  <si>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</si>
  <si>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</si>
  <si>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</si>
  <si>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</si>
  <si>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</si>
  <si>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</si>
  <si>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</si>
  <si>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</si>
  <si>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</si>
  <si>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</si>
  <si>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</si>
  <si>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</si>
  <si>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</si>
  <si>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</si>
  <si>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</si>
  <si>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</si>
  <si>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</si>
  <si>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</si>
  <si>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</si>
  <si>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</si>
  <si>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</si>
  <si>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</si>
  <si>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</si>
  <si>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</si>
  <si>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</si>
  <si>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</si>
  <si>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</si>
  <si>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</si>
  <si>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</si>
  <si>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</si>
  <si>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</si>
  <si>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</si>
  <si>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</si>
  <si>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</si>
  <si>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</si>
  <si>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</si>
  <si>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</si>
  <si>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</si>
  <si>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</si>
  <si>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</si>
  <si>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</si>
  <si>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</si>
  <si>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</si>
  <si>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</si>
  <si>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</si>
  <si>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</si>
  <si>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</si>
  <si>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</si>
  <si>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</si>
  <si>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</si>
  <si>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</si>
  <si>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</si>
  <si>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</si>
  <si>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</si>
  <si>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</si>
  <si>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</si>
  <si>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</si>
  <si>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</si>
  <si>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</si>
  <si>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</si>
  <si>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</si>
  <si>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</si>
  <si>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</si>
  <si>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</si>
  <si>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</si>
  <si>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</si>
  <si>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</si>
  <si>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</si>
  <si>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</si>
  <si>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</si>
  <si>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</si>
  <si>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</si>
  <si>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</si>
  <si>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</si>
  <si>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</si>
  <si>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</si>
  <si>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</si>
  <si>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</si>
  <si>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</si>
  <si>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</si>
  <si>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</si>
  <si>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</si>
  <si>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</si>
  <si>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</si>
  <si>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</si>
  <si>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</si>
  <si>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</si>
  <si>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</si>
  <si>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</si>
  <si>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</si>
  <si>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</si>
  <si>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</si>
  <si>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</si>
  <si>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</si>
  <si>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</si>
  <si>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</si>
  <si>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>GRUPO 2 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</si>
</sst>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GR0207-11</v>
      </c>
      <c r="G1" s="333"/>
      <c r="H1" s="334"/>
      <c r="I1" s="347" t="s">
        <v>1</v>
      </c>
      <c r="J1" s="348"/>
      <c r="K1" s="232">
        <v>11</v>
      </c>
      <c r="L1" s="321" t="s">
        <v>2</v>
      </c>
      <c r="M1" s="349"/>
      <c r="N1" s="349"/>
      <c r="O1" s="350">
        <v>45840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 t="s">
        <v>1392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 t="s">
        <v>1395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 t="s">
        <v>1391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233956.34112725669</v>
      </c>
      <c r="E5" s="387"/>
      <c r="F5" s="388"/>
      <c r="G5" s="364" t="s">
        <v>16</v>
      </c>
      <c r="H5" s="389"/>
      <c r="I5" s="389"/>
      <c r="J5" s="365"/>
      <c r="K5" s="328">
        <v>40</v>
      </c>
      <c r="L5" s="328"/>
      <c r="M5" s="329" t="s">
        <v>17</v>
      </c>
      <c r="N5" s="329"/>
      <c r="O5" s="325">
        <f>IFERROR(IF(K5=0,"",D5*K5),"")</f>
        <v>9358253.6450902671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 t="s">
        <v>1393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2.5000000000000001E-2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150</v>
      </c>
      <c r="R10" s="307"/>
      <c r="S10" s="308">
        <f>IFERROR(IF(Q10="Unidad","1",(Q10*$K$5)),"")</f>
        <v>6000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1058</v>
      </c>
      <c r="B11" s="299"/>
      <c r="C11" s="300"/>
      <c r="D11" s="390" t="s">
        <v>1078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50</v>
      </c>
      <c r="R11" s="307"/>
      <c r="S11" s="308">
        <f t="shared" ref="S11:S31" si="1">IFERROR(IF(Q11="Unidad","1",(Q11*$K$5)),"")</f>
        <v>2000</v>
      </c>
      <c r="T11" s="309"/>
      <c r="U11" s="310"/>
      <c r="V11" s="310"/>
      <c r="W11" s="311">
        <f>IFERROR(IF(D11="","",INDEX(Tabla_Completa,MATCH('Soli_citud '!D11,Materiales,0),7)*S11),"")</f>
        <v>616660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342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150</v>
      </c>
      <c r="R12" s="307"/>
      <c r="S12" s="308">
        <f t="shared" si="1"/>
        <v>6000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565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55</v>
      </c>
      <c r="R13" s="307"/>
      <c r="S13" s="308">
        <f t="shared" si="1"/>
        <v>2200</v>
      </c>
      <c r="T13" s="309"/>
      <c r="U13" s="310"/>
      <c r="V13" s="310"/>
      <c r="W13" s="311">
        <f>IFERROR(IF(D13="","",INDEX(Tabla_Completa,MATCH('Soli_citud '!D13,Materiales,0),7)*S13),"")</f>
        <v>8140000</v>
      </c>
      <c r="X13" s="311"/>
      <c r="Y13" s="311"/>
    </row>
    <row r="14" spans="1:31" ht="17.25" customHeight="1">
      <c r="A14" s="298" t="s">
        <v>31</v>
      </c>
      <c r="B14" s="299"/>
      <c r="C14" s="300"/>
      <c r="D14" s="390" t="s">
        <v>107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29</v>
      </c>
      <c r="R14" s="307"/>
      <c r="S14" s="308">
        <f t="shared" si="1"/>
        <v>1160</v>
      </c>
      <c r="T14" s="309"/>
      <c r="U14" s="310"/>
      <c r="V14" s="310"/>
      <c r="W14" s="311">
        <f>IFERROR(IF(D14="","",INDEX(Tabla_Completa,MATCH('Soli_citud '!D14,Materiales,0),7)*S14),"")</f>
        <v>20260.311756935269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1098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10</v>
      </c>
      <c r="R15" s="307"/>
      <c r="S15" s="308">
        <f t="shared" si="1"/>
        <v>400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6</v>
      </c>
      <c r="R16" s="307"/>
      <c r="S16" s="308">
        <f t="shared" si="1"/>
        <v>240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347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Cono</v>
      </c>
      <c r="P17" s="305"/>
      <c r="Q17" s="306">
        <v>2</v>
      </c>
      <c r="R17" s="307"/>
      <c r="S17" s="308">
        <f t="shared" si="1"/>
        <v>80</v>
      </c>
      <c r="T17" s="309"/>
      <c r="U17" s="310"/>
      <c r="V17" s="310"/>
      <c r="W17" s="311">
        <f>IFERROR(IF(D17="","",INDEX(Tabla_Completa,MATCH('Soli_citud '!D17,Materiales,0),7)*S17),"")</f>
        <v>581333.33333333337</v>
      </c>
      <c r="X17" s="311"/>
      <c r="Y17" s="311"/>
    </row>
    <row r="18" spans="1:25" ht="15.75" customHeight="1">
      <c r="A18" s="298" t="s">
        <v>48</v>
      </c>
      <c r="B18" s="299"/>
      <c r="C18" s="300"/>
      <c r="D18" s="390" t="s">
        <v>1211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10</v>
      </c>
      <c r="R18" s="307"/>
      <c r="S18" s="308">
        <f t="shared" si="1"/>
        <v>400</v>
      </c>
      <c r="T18" s="309"/>
      <c r="U18" s="310" t="s">
        <v>1314</v>
      </c>
      <c r="V18" s="310"/>
      <c r="W18" s="311">
        <f>IFERROR(IF(D18="","",INDEX(Tabla_Completa,MATCH('Soli_citud '!D18,Materiales,0),7)*S18),"")</f>
        <v>1144000</v>
      </c>
      <c r="X18" s="311"/>
      <c r="Y18" s="311"/>
    </row>
    <row r="19" spans="1:25" ht="15.75">
      <c r="A19" s="298" t="s">
        <v>1014</v>
      </c>
      <c r="B19" s="299"/>
      <c r="C19" s="300"/>
      <c r="D19" s="301" t="s">
        <v>1013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80</v>
      </c>
      <c r="T19" s="309"/>
      <c r="U19" s="310" t="s">
        <v>1314</v>
      </c>
      <c r="V19" s="310"/>
      <c r="W19" s="311">
        <f>IFERROR(IF(D19="","",INDEX(Tabla_Completa,MATCH('Soli_citud '!D19,Materiales,0),7)*S19),"")</f>
        <v>7100000</v>
      </c>
      <c r="X19" s="311"/>
      <c r="Y19" s="311"/>
    </row>
    <row r="20" spans="1:25" ht="15.75">
      <c r="A20" s="298" t="s">
        <v>1014</v>
      </c>
      <c r="B20" s="299"/>
      <c r="C20" s="300"/>
      <c r="D20" s="301" t="s">
        <v>1017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U</v>
      </c>
      <c r="P20" s="305"/>
      <c r="Q20" s="306">
        <v>10</v>
      </c>
      <c r="R20" s="307"/>
      <c r="S20" s="308">
        <f t="shared" si="1"/>
        <v>400</v>
      </c>
      <c r="T20" s="309"/>
      <c r="U20" s="310" t="s">
        <v>1314</v>
      </c>
      <c r="V20" s="310"/>
      <c r="W20" s="311">
        <f>IFERROR(IF(D20="","",INDEX(Tabla_Completa,MATCH('Soli_citud '!D20,Materiales,0),7)*S20),"")</f>
        <v>2060000</v>
      </c>
      <c r="X20" s="311"/>
      <c r="Y20" s="311"/>
    </row>
    <row r="21" spans="1:25" ht="15.75">
      <c r="A21" s="298" t="s">
        <v>1014</v>
      </c>
      <c r="B21" s="299"/>
      <c r="C21" s="300"/>
      <c r="D21" s="301" t="s">
        <v>1037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U</v>
      </c>
      <c r="P21" s="305"/>
      <c r="Q21" s="306">
        <v>10</v>
      </c>
      <c r="R21" s="307"/>
      <c r="S21" s="308">
        <f t="shared" si="1"/>
        <v>400</v>
      </c>
      <c r="T21" s="309"/>
      <c r="U21" s="310" t="s">
        <v>1314</v>
      </c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1014</v>
      </c>
      <c r="B22" s="299"/>
      <c r="C22" s="300"/>
      <c r="D22" s="301" t="s">
        <v>1038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20</v>
      </c>
      <c r="R22" s="307"/>
      <c r="S22" s="308">
        <f t="shared" si="1"/>
        <v>800</v>
      </c>
      <c r="T22" s="309"/>
      <c r="U22" s="310" t="s">
        <v>1314</v>
      </c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 t="s">
        <v>1014</v>
      </c>
      <c r="B23" s="299"/>
      <c r="C23" s="300"/>
      <c r="D23" s="301" t="s">
        <v>1047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>U</v>
      </c>
      <c r="P23" s="305"/>
      <c r="Q23" s="306">
        <v>10</v>
      </c>
      <c r="R23" s="307"/>
      <c r="S23" s="308">
        <f t="shared" si="1"/>
        <v>400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 t="s">
        <v>232</v>
      </c>
      <c r="B24" s="299"/>
      <c r="C24" s="300"/>
      <c r="D24" s="301" t="s">
        <v>1394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>
        <v>10</v>
      </c>
      <c r="R24" s="307"/>
      <c r="S24" s="308">
        <f t="shared" si="1"/>
        <v>400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45840</v>
      </c>
      <c r="O1" s="489"/>
      <c r="P1" s="427" t="s">
        <v>55</v>
      </c>
      <c r="Q1" s="428"/>
      <c r="R1" s="433" t="str">
        <f>IF('Soli_citud '!D4="","",'Soli_citud '!D4)</f>
        <v>PROTOTIPO BILLETERA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GR0207-11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>GRUPO 2 JARDIN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233956.34112725669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GIOVANNI RESTREPO MEJIA 71639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GR0207-11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6000</v>
      </c>
      <c r="I12" s="214"/>
      <c r="J12" s="215"/>
      <c r="K12" s="197" cm="1">
        <f t="array" ref="K12">IFERROR(_xlfn.IFS(H12="","",J12=H12,"Cumplido",J12&lt;H12,H12-J12,J12&gt;H12,"Revisar"),"")</f>
        <v>6000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GR0207-11</v>
      </c>
      <c r="C13" s="407" t="str">
        <f>IFERROR(IF('Soli_citud '!D11="","",'Soli_citud '!D11),"")</f>
        <v xml:space="preserve">AGUJAS CAPOTERA CON PUNTA #5
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2000</v>
      </c>
      <c r="I13" s="214"/>
      <c r="J13" s="216"/>
      <c r="K13" s="197" cm="1">
        <f t="array" ref="K13">IFERROR(_xlfn.IFS(H13="","",J13=H13,"Cumplido",J13&lt;H13,H13-J13,J13&gt;H13,"Revisar"),"")</f>
        <v>2000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GR0207-11</v>
      </c>
      <c r="C14" s="407" t="str">
        <f>IFERROR(IF('Soli_citud '!D12="","",'Soli_citud '!D12),"")</f>
        <v>HILO ENCERADO  NEGRO _ CONO</v>
      </c>
      <c r="D14" s="407"/>
      <c r="E14" s="407"/>
      <c r="F14" s="407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6000</v>
      </c>
      <c r="I14" s="214"/>
      <c r="J14" s="216"/>
      <c r="K14" s="197" cm="1">
        <f t="array" ref="K14">IFERROR(_xlfn.IFS(H14="","",J14=H14,"Cumplido",J14&lt;H14,H14-J14,J14&gt;H14,"Revisar"),"")</f>
        <v>6000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GR0207-11</v>
      </c>
      <c r="C15" s="407" t="str">
        <f>IFERROR(IF('Soli_citud '!D13="","",'Soli_citud '!D13),"")</f>
        <v>CLIP METÁLICO PARA BILLETES NÍQUEL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2200</v>
      </c>
      <c r="I15" s="214"/>
      <c r="J15" s="216"/>
      <c r="K15" s="197" cm="1">
        <f t="array" ref="K15">IFERROR(_xlfn.IFS(H15="","",J15=H15,"Cumplido",J15&lt;H15,H15-J15,J15&gt;H15,"Revisar"),"")</f>
        <v>2200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GR0207-11</v>
      </c>
      <c r="C16" s="407" t="str">
        <f>IFERROR(IF('Soli_citud '!D14="","",'Soli_citud '!D14),"")</f>
        <v xml:space="preserve">PEGANTE CEMENTO DE CONTACTO BASE CLOROPRENO
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1160</v>
      </c>
      <c r="I16" s="214"/>
      <c r="J16" s="216"/>
      <c r="K16" s="197" cm="1">
        <f t="array" ref="K16">IFERROR(_xlfn.IFS(H16="","",J16=H16,"Cumplido",J16&lt;H16,H16-J16,J16&gt;H16,"Revisar"),"")</f>
        <v>1160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GR0207-11</v>
      </c>
      <c r="C17" s="407" t="str">
        <f>IFERROR(IF('Soli_citud '!D15="","",'Soli_citud '!D15),"")</f>
        <v xml:space="preserve">ENVACES PARA PEGANTE
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400</v>
      </c>
      <c r="I17" s="214"/>
      <c r="J17" s="216"/>
      <c r="K17" s="197" cm="1">
        <f t="array" ref="K17">IFERROR(_xlfn.IFS(H17="","",J17=H17,"Cumplido",J17&lt;H17,H17-J17,J17&gt;H17,"Revisar"),"")</f>
        <v>400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GR0207-11</v>
      </c>
      <c r="C18" s="407" t="str">
        <f>IFERROR(IF('Soli_citud '!D16="","",'Soli_citud '!D16),"")</f>
        <v xml:space="preserve">CARTULINA PLANA </v>
      </c>
      <c r="D18" s="407"/>
      <c r="E18" s="407"/>
      <c r="F18" s="407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240</v>
      </c>
      <c r="I18" s="214"/>
      <c r="J18" s="216"/>
      <c r="K18" s="197" cm="1">
        <f t="array" ref="K18">IFERROR(_xlfn.IFS(H18="","",J18=H18,"Cumplido",J18&lt;H18,H18-J18,J18&gt;H18,"Revisar"),"")</f>
        <v>240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GR0207-11</v>
      </c>
      <c r="C19" s="407" t="str">
        <f>IFERROR(IF('Soli_citud '!D17="","",'Soli_citud '!D17),"")</f>
        <v xml:space="preserve">HILO NYLON #20
</v>
      </c>
      <c r="D19" s="407"/>
      <c r="E19" s="407"/>
      <c r="F19" s="407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80</v>
      </c>
      <c r="I19" s="214"/>
      <c r="J19" s="216"/>
      <c r="K19" s="197" cm="1">
        <f t="array" ref="K19">IFERROR(_xlfn.IFS(H19="","",J19=H19,"Cumplido",J19&lt;H19,H19-J19,J19&gt;H19,"Revisar"),"")</f>
        <v>80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GR0207-11</v>
      </c>
      <c r="C20" s="407" t="str">
        <f>IFERROR(IF('Soli_citud '!D18="","",'Soli_citud '!D18),"")</f>
        <v>TIJERAS PUNTA ROMA</v>
      </c>
      <c r="D20" s="407"/>
      <c r="E20" s="407"/>
      <c r="F20" s="407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400</v>
      </c>
      <c r="I20" s="214"/>
      <c r="J20" s="216"/>
      <c r="K20" s="197" cm="1">
        <f t="array" ref="K20">IFERROR(_xlfn.IFS(H20="","",J20=H20,"Cumplido",J20&lt;H20,H20-J20,J20&gt;H20,"Revisar"),"")</f>
        <v>400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GR0207-11</v>
      </c>
      <c r="C21" s="407" t="str">
        <f>IFERROR(IF('Soli_citud '!D19="","",'Soli_citud '!D19),"")</f>
        <v xml:space="preserve">BASE O SUPERFICIE PARA CORTE SILICONADA
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80</v>
      </c>
      <c r="I21" s="214"/>
      <c r="J21" s="216"/>
      <c r="K21" s="197" cm="1">
        <f t="array" ref="K21">IFERROR(_xlfn.IFS(H21="","",J21=H21,"Cumplido",J21&lt;H21,H21-J21,J21&gt;H21,"Revisar"),"")</f>
        <v>80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GR0207-11</v>
      </c>
      <c r="C22" s="407" t="str">
        <f>IFERROR(IF('Soli_citud '!D20="","",'Soli_citud '!D20),"")</f>
        <v xml:space="preserve">CORTADO X-ACTO
</v>
      </c>
      <c r="D22" s="407"/>
      <c r="E22" s="407"/>
      <c r="F22" s="407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400</v>
      </c>
      <c r="I22" s="217"/>
      <c r="J22" s="216"/>
      <c r="K22" s="197" cm="1">
        <f t="array" ref="K22">IFERROR(_xlfn.IFS(H22="","",J22=H22,"Cumplido",J22&lt;H22,H22-J22,J22&gt;H22,"Revisar"),"")</f>
        <v>400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GR0207-11</v>
      </c>
      <c r="C23" s="407" t="str">
        <f>IFERROR(IF('Soli_citud '!D21="","",'Soli_citud '!D21),"")</f>
        <v xml:space="preserve">MARTILLO N°3 DE GUARNICION    _ </v>
      </c>
      <c r="D23" s="407"/>
      <c r="E23" s="407"/>
      <c r="F23" s="407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400</v>
      </c>
      <c r="I23" s="217"/>
      <c r="J23" s="216"/>
      <c r="K23" s="197" cm="1">
        <f t="array" ref="K23">IFERROR(_xlfn.IFS(H23="","",J23=H23,"Cumplido",J23&lt;H23,H23-J23,J23&gt;H23,"Revisar"),"")</f>
        <v>400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GR0207-11</v>
      </c>
      <c r="C24" s="407" t="str">
        <f>IFERROR(IF('Soli_citud '!D22="","",'Soli_citud '!D22),"")</f>
        <v xml:space="preserve">PERFORADORES/SACABOCADOS
</v>
      </c>
      <c r="D24" s="407"/>
      <c r="E24" s="407"/>
      <c r="F24" s="407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800</v>
      </c>
      <c r="I24" s="217"/>
      <c r="J24" s="216"/>
      <c r="K24" s="197" cm="1">
        <f t="array" ref="K24">IFERROR(_xlfn.IFS(H24="","",J24=H24,"Cumplido",J24&lt;H24,H24-J24,J24&gt;H24,"Revisar"),"")</f>
        <v>800</v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GR0207-11</v>
      </c>
      <c r="C25" s="407" t="str">
        <f>IFERROR(IF('Soli_citud '!D23="","",'Soli_citud '!D23),"")</f>
        <v xml:space="preserve">REPTO DE CUCHILLAS BISTRÍ X-ACTO 
</v>
      </c>
      <c r="D25" s="407"/>
      <c r="E25" s="407"/>
      <c r="F25" s="407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400</v>
      </c>
      <c r="I25" s="217"/>
      <c r="J25" s="216"/>
      <c r="K25" s="197" cm="1">
        <f t="array" ref="K25">IFERROR(_xlfn.IFS(H25="","",J25=H25,"Cumplido",J25&lt;H25,H25-J25,J25&gt;H25,"Revisar"),"")</f>
        <v>400</v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GR0207-11</v>
      </c>
      <c r="C26" s="407" t="str">
        <f>IFERROR(IF('Soli_citud '!D24="","",'Soli_citud '!D24),"")</f>
        <v>papel de lija</v>
      </c>
      <c r="D26" s="407"/>
      <c r="E26" s="407"/>
      <c r="F26" s="407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400</v>
      </c>
      <c r="I26" s="217"/>
      <c r="J26" s="216"/>
      <c r="K26" s="197" cm="1">
        <f t="array" ref="K26">IFERROR(_xlfn.IFS(H26="","",J26=H26,"Cumplido",J26&lt;H26,H26-J26,J26&gt;H26,"Revisar"),"")</f>
        <v>400</v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2025-07-02T22:50:57Z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