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ENA\OneDrive - Servicio Nacional de Aprendizaje\Escritorio\TODO 2025 JADER GOMEZ CDMC\PEDIDOS FICHAS 2025\JOHANNA RODRIGUEZ\"/>
    </mc:Choice>
  </mc:AlternateContent>
  <xr:revisionPtr revIDLastSave="0" documentId="13_ncr:1_{A3997144-AF2A-4BE9-9D9B-8A6E2742602E}" xr6:coauthVersionLast="36" xr6:coauthVersionMax="36" xr10:uidLastSave="{00000000-0000-0000-0000-000000000000}"/>
  <bookViews>
    <workbookView xWindow="0" yWindow="0" windowWidth="15360" windowHeight="7125" xr2:uid="{00000000-000D-0000-FFFF-FFFF00000000}"/>
  </bookViews>
  <sheets>
    <sheet name="MATERIALES AA-RRHH" sheetId="2" r:id="rId1"/>
    <sheet name="LOTE 5 PAPELERIA (2)" sheetId="1" r:id="rId2"/>
  </sheets>
  <definedNames>
    <definedName name="_xlnm._FilterDatabase" localSheetId="1" hidden="1">'LOTE 5 PAPELERIA (2)'!$A$4:$U$102</definedName>
    <definedName name="_xlnm._FilterDatabase" localSheetId="0" hidden="1">'MATERIALES AA-RRHH'!$A$2:$M$37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2" l="1"/>
  <c r="G11" i="2"/>
  <c r="G28" i="2" l="1"/>
  <c r="G37" i="2"/>
  <c r="G5" i="2"/>
  <c r="G14" i="2"/>
  <c r="G30" i="2"/>
  <c r="G31" i="2"/>
  <c r="G6" i="2"/>
  <c r="G7" i="2"/>
  <c r="G8" i="2"/>
  <c r="G3" i="2"/>
  <c r="G9" i="2"/>
  <c r="G15" i="2"/>
  <c r="G18" i="2"/>
  <c r="G19" i="2"/>
  <c r="G20" i="2"/>
  <c r="G16" i="2"/>
  <c r="G17" i="2"/>
  <c r="G10" i="2"/>
  <c r="G13" i="2"/>
  <c r="G21" i="2"/>
  <c r="G34" i="2"/>
  <c r="G35" i="2"/>
  <c r="G36" i="2"/>
  <c r="G32" i="2"/>
  <c r="G22" i="2"/>
  <c r="G23" i="2"/>
  <c r="G25" i="2"/>
  <c r="G26" i="2"/>
  <c r="G27" i="2"/>
  <c r="G24" i="2"/>
  <c r="G29" i="2"/>
  <c r="G33" i="2"/>
  <c r="G4" i="2"/>
  <c r="Z2" i="1" l="1"/>
  <c r="AB40" i="1" l="1"/>
  <c r="AB11" i="1"/>
  <c r="V27" i="1" l="1"/>
  <c r="AB27" i="1" s="1"/>
  <c r="V28" i="1"/>
  <c r="AB28" i="1" s="1"/>
  <c r="V78" i="1"/>
  <c r="AB78" i="1" s="1"/>
  <c r="V69" i="1"/>
  <c r="AB69" i="1" s="1"/>
  <c r="V67" i="1"/>
  <c r="AB67" i="1" s="1"/>
  <c r="V46" i="1"/>
  <c r="AB46" i="1" s="1"/>
  <c r="V42" i="1"/>
  <c r="AB42" i="1" s="1"/>
  <c r="V36" i="1"/>
  <c r="AB36" i="1" s="1"/>
  <c r="V24" i="1"/>
  <c r="AB24" i="1" s="1"/>
  <c r="V21" i="1"/>
  <c r="AB21" i="1" s="1"/>
  <c r="V15" i="1"/>
  <c r="AB15" i="1" s="1"/>
  <c r="V9" i="1"/>
  <c r="AB9" i="1" s="1"/>
  <c r="I101" i="1" l="1"/>
  <c r="I100" i="1"/>
  <c r="I99" i="1"/>
  <c r="I98" i="1"/>
  <c r="I97" i="1"/>
  <c r="I96" i="1"/>
  <c r="I95" i="1"/>
  <c r="I94" i="1"/>
  <c r="I93" i="1"/>
  <c r="I92" i="1"/>
  <c r="I91" i="1"/>
  <c r="I90" i="1"/>
  <c r="I89" i="1"/>
  <c r="T88" i="1"/>
  <c r="I88" i="1"/>
  <c r="I87" i="1"/>
  <c r="I86" i="1"/>
  <c r="R85" i="1"/>
  <c r="Q85" i="1"/>
  <c r="L85" i="1"/>
  <c r="I85" i="1"/>
  <c r="I84" i="1"/>
  <c r="I83" i="1"/>
  <c r="I82" i="1"/>
  <c r="I81" i="1"/>
  <c r="I80" i="1"/>
  <c r="I79" i="1"/>
  <c r="I78" i="1"/>
  <c r="I77" i="1"/>
  <c r="I76" i="1"/>
  <c r="I75" i="1"/>
  <c r="I74" i="1"/>
  <c r="I73" i="1"/>
  <c r="I72" i="1"/>
  <c r="I71" i="1"/>
  <c r="I70" i="1"/>
  <c r="I69" i="1"/>
  <c r="I68" i="1"/>
  <c r="U67" i="1"/>
  <c r="I67" i="1"/>
  <c r="I66" i="1"/>
  <c r="I65" i="1"/>
  <c r="I64" i="1"/>
  <c r="I63" i="1"/>
  <c r="I62" i="1"/>
  <c r="I61" i="1"/>
  <c r="I60" i="1"/>
  <c r="I59" i="1"/>
  <c r="I58" i="1"/>
  <c r="I57" i="1"/>
  <c r="I56" i="1"/>
  <c r="I55" i="1"/>
  <c r="I54" i="1"/>
  <c r="I53" i="1"/>
  <c r="I52" i="1"/>
  <c r="I51" i="1"/>
  <c r="I50" i="1"/>
  <c r="I49" i="1"/>
  <c r="L48" i="1"/>
  <c r="I48" i="1"/>
  <c r="I47" i="1"/>
  <c r="L46" i="1"/>
  <c r="I46" i="1"/>
  <c r="I45" i="1"/>
  <c r="I44" i="1"/>
  <c r="I43" i="1"/>
  <c r="I42" i="1"/>
  <c r="I41" i="1"/>
  <c r="I40" i="1"/>
  <c r="I39" i="1"/>
  <c r="I38" i="1"/>
  <c r="R37" i="1"/>
  <c r="O37" i="1"/>
  <c r="V37" i="1" s="1"/>
  <c r="AB37" i="1" s="1"/>
  <c r="I37" i="1"/>
  <c r="I36" i="1"/>
  <c r="I35" i="1"/>
  <c r="O34" i="1"/>
  <c r="V34" i="1" s="1"/>
  <c r="AB34" i="1" s="1"/>
  <c r="L34" i="1"/>
  <c r="I34" i="1"/>
  <c r="I33" i="1"/>
  <c r="I32" i="1"/>
  <c r="I31" i="1"/>
  <c r="I30" i="1"/>
  <c r="O29" i="1"/>
  <c r="V29" i="1" s="1"/>
  <c r="AB29" i="1" s="1"/>
  <c r="I29" i="1"/>
  <c r="I28" i="1"/>
  <c r="I27" i="1"/>
  <c r="I26" i="1"/>
  <c r="I25" i="1"/>
  <c r="I24" i="1"/>
  <c r="I23" i="1"/>
  <c r="R22" i="1"/>
  <c r="P22" i="1"/>
  <c r="O22" i="1"/>
  <c r="V22" i="1" s="1"/>
  <c r="AB22" i="1" s="1"/>
  <c r="L22" i="1"/>
  <c r="J22" i="1"/>
  <c r="I22" i="1"/>
  <c r="U21" i="1"/>
  <c r="I21" i="1"/>
  <c r="R20" i="1"/>
  <c r="K20" i="1"/>
  <c r="J20" i="1"/>
  <c r="I20" i="1"/>
  <c r="I19" i="1"/>
  <c r="I18" i="1"/>
  <c r="I17" i="1"/>
  <c r="I16" i="1"/>
  <c r="I15" i="1"/>
  <c r="P14" i="1"/>
  <c r="I14" i="1"/>
  <c r="I13" i="1"/>
  <c r="I12" i="1"/>
  <c r="I11" i="1"/>
  <c r="I10" i="1"/>
  <c r="I9" i="1"/>
  <c r="I8" i="1"/>
  <c r="I7" i="1"/>
  <c r="I6" i="1"/>
  <c r="I5" i="1"/>
  <c r="I10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000-000001000000}">
      <text>
        <r>
          <rPr>
            <sz val="11"/>
            <color theme="1"/>
            <rFont val="Calibri"/>
            <family val="2"/>
            <scheme val="minor"/>
          </rPr>
          <t>Buscarlo en la hoja Adjunta
	-Nikkel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Johana Rodriguez</author>
  </authors>
  <commentList>
    <comment ref="B4" authorId="0" shapeId="0" xr:uid="{00000000-0006-0000-0100-000001000000}">
      <text>
        <r>
          <rPr>
            <sz val="11"/>
            <color theme="1"/>
            <rFont val="Calibri"/>
            <family val="2"/>
            <scheme val="minor"/>
          </rPr>
          <t>Buscarlo en la hoja Adjunta
	-Nikkel</t>
        </r>
      </text>
    </comment>
    <comment ref="V40" authorId="1" shapeId="0" xr:uid="{00000000-0006-0000-0100-000002000000}">
      <text>
        <r>
          <rPr>
            <b/>
            <sz val="9"/>
            <color indexed="81"/>
            <rFont val="Tahoma"/>
            <family val="2"/>
          </rPr>
          <t>Luisa las pide y nos da un poco</t>
        </r>
      </text>
    </comment>
  </commentList>
</comments>
</file>

<file path=xl/sharedStrings.xml><?xml version="1.0" encoding="utf-8"?>
<sst xmlns="http://schemas.openxmlformats.org/spreadsheetml/2006/main" count="629" uniqueCount="299">
  <si>
    <t>FICHA TECNICA LOTE 5 PAPELERIA</t>
  </si>
  <si>
    <t>ECONOMICA MAYBE</t>
  </si>
  <si>
    <t>articulacióm</t>
  </si>
  <si>
    <t>Item</t>
  </si>
  <si>
    <t>Código
UNSPSC</t>
  </si>
  <si>
    <t>Producto</t>
  </si>
  <si>
    <t>Descripción</t>
  </si>
  <si>
    <t>Unidad de medida</t>
  </si>
  <si>
    <t>Presentación</t>
  </si>
  <si>
    <t>Cantidad
solicitada</t>
  </si>
  <si>
    <t>Valor unit establecido Incluido IVA</t>
  </si>
  <si>
    <t>V/TOTAL</t>
  </si>
  <si>
    <t>Cantidades TGH Y AA</t>
  </si>
  <si>
    <t>cantidades GIC</t>
  </si>
  <si>
    <t>BILINGÜISMO</t>
  </si>
  <si>
    <t>cantidades de LOGISTICA</t>
  </si>
  <si>
    <t>Cantidad Contabilidad</t>
  </si>
  <si>
    <t>Cantidad Recursos Humanos y Asistencia administrativa Media Técnica</t>
  </si>
  <si>
    <t>ADSI</t>
  </si>
  <si>
    <t>MEDULAR MEDIA TECNICA</t>
  </si>
  <si>
    <t>HAVI</t>
  </si>
  <si>
    <t>SERVICIOS TECNOLOGICOS E INVESTIGACIÓN</t>
  </si>
  <si>
    <t>MEDULAR</t>
  </si>
  <si>
    <t>GENERAL CDMC</t>
  </si>
  <si>
    <t>FORMATO KARDEX</t>
  </si>
  <si>
    <t xml:space="preserve">Tarjetas kardex en cartulina verde claro para control de existencias de 21cm anch x 14cm larg aprox. </t>
  </si>
  <si>
    <t>Paquete x 100 unidades</t>
  </si>
  <si>
    <t>Sobre de Manila</t>
  </si>
  <si>
    <t>Sobre de manila tamaño carta especial Ecologico x 25 unidades. Medidas: 25 cm x 31 cm. Sin adhesivo.</t>
  </si>
  <si>
    <t>Folder</t>
  </si>
  <si>
    <t>Folder colgante de varilla plástica, tamaño oficio, material polipropileno, gramaje 200gr/m2, con capacidad para 200 hojas color verde, azul y roja.</t>
  </si>
  <si>
    <t>Paquete x 6 unidades</t>
  </si>
  <si>
    <t>Carpeta de presentación</t>
  </si>
  <si>
    <t>Carpeta plástica color blanco tamaño carta. Material de polipropileno calibre 50, textura exterior acanalada.</t>
  </si>
  <si>
    <t>Unidad</t>
  </si>
  <si>
    <t>Carpeta Catalogo</t>
  </si>
  <si>
    <t>Carpeta tipo catálogo de 1/1/2 pulgada de tres aros en herraje redondo, material pasta dura tamaño carta, color blanco con capacidad para 100 hojas.</t>
  </si>
  <si>
    <t>Carpetas Tamaño Oficio Unidades De Cartón Oficina</t>
  </si>
  <si>
    <t>Paquete de 100 carpetas tamaño oficio.
- Cartón Marrón
- Aptas para organizar documentos de oficina o personales</t>
  </si>
  <si>
    <t>paquete x 100</t>
  </si>
  <si>
    <t xml:space="preserve">paquete x100 </t>
  </si>
  <si>
    <t xml:space="preserve">Carpeta de carton  tamaño oficio </t>
  </si>
  <si>
    <t>Carpeta Celuguía o Yute tamaño  Oficio de Cartón,Vertical que es el lado mas angosto de la tapa,Oficio:21.5 cm X 33  cm</t>
  </si>
  <si>
    <t>PLASTIFOLDER OFICIO CON BISEL</t>
  </si>
  <si>
    <t xml:space="preserve">Plastifolder oficio con bisel con bisel legajador en plástico, tipo carpeta de presentación </t>
  </si>
  <si>
    <t>ARCHIVADOR TIPO AZ</t>
  </si>
  <si>
    <t>Archivador tipo a-z, elaborado en cartón rígido y reforzado con dos biseles en el borde inferior, con herraje y esquineros metálicos para una mayor resistencia al roce, tamaño carta</t>
  </si>
  <si>
    <t>Papel de notas adhesivas</t>
  </si>
  <si>
    <t>Notas adhesivas de 5x5cms, papel de alta calidad, blocks con 100 notas en amarillo, uva, azul, verde, naranja y fucsia, con dhesivo estándar para pegar en cualquier material.</t>
  </si>
  <si>
    <t>Block x 100 notas</t>
  </si>
  <si>
    <t>Bisturi</t>
  </si>
  <si>
    <t>Bisturí plastico de escritorio. Mecanismo dispensador de hojas de fácil acceso, almacena hasta 5 hojas en el mango de la cuchilla, empuñadura y paneles de goma termoplástica</t>
  </si>
  <si>
    <t>Kits Combo Bisturí Tira X12 Unidades Colores Plastico</t>
  </si>
  <si>
    <t>Palitos De Madera Para Paleta (Decoraciones especiales para el aula y accesorios decorativos)</t>
  </si>
  <si>
    <t xml:space="preserve">Palos de madera paquete por 100 unidades
Piezas por artículo: 100
Peso: 2.06 Lb.
Dimensión embalaje: 11cm largo x 1 cm ancho </t>
  </si>
  <si>
    <t>paquete: 100 unidades</t>
  </si>
  <si>
    <t>Palos De Madera De Bambú Para Pinchos  (Decoraciones especiales para el aula y accesorios decorativos)</t>
  </si>
  <si>
    <t xml:space="preserve">Material: bambú
Tamaño: 30cm
Color: Color Natural
Contiene 50 unidades por paquete.
</t>
  </si>
  <si>
    <t>Palos De Madera De Bambú Para Pinchos 20 Cm Paquete por  50 Unidades</t>
  </si>
  <si>
    <t>Carton Industrial Piedra</t>
  </si>
  <si>
    <t>MATERIA PRIMA Reciclaje de papel y carton, Se obtiene de la mezcla de materiales plegadiza y cartón corrugado.
PRENSADO: Por que es sometido a un proceso de prensado en húmedo para compactar la fibra, obteniendo características de dureza y rigidez.
COMPOSICION INTERNA DEL CARTON: Las láminas de cartón están compuestas por fibras de celulosa largas y cortas, que se adquieren del papel reciclado.
CALIBRE: 2MM
COLOR: Café Claro
HUMEDAD: 7.5 % + - 1.0 % PH 7.0
PRESENTACION: 70 cm X 100 cm
PESO: 1.800 gramos +- 20 gramos</t>
  </si>
  <si>
    <t>Pliego</t>
  </si>
  <si>
    <t>CARTÓN DUPLEX</t>
  </si>
  <si>
    <t>Tipo de cartón sencillo y muy fino, se valora por su peso y gramaje. 
Flexible y de fácil manipulación. Formado por dos capas fibrosas unidas entre si durante su fabricación, en estado humedo, sin intervención de adhesivo alguno. fabricada 100% fibra virgen con mayor rigidez y 3 capaz de esmalte. Se utiliza principlamente para articulos de papelería, tarjetas, carpetas, packaging y otros. 
Presentación de 100cm x 70cm - Grosor 0.56</t>
  </si>
  <si>
    <t>Carton paja</t>
  </si>
  <si>
    <t>Carton paja en pliegos 100cm x 70 cm 3mm de espesor</t>
  </si>
  <si>
    <t xml:space="preserve">Cartulina plana </t>
  </si>
  <si>
    <t>Octavo de cartulina paquete x 10 unidades (rojo,azul.,amarillo.verde.blanco) 25 cm × 35 cm.</t>
  </si>
  <si>
    <t>Colores surtidos Paquete x 10 octavos</t>
  </si>
  <si>
    <t>Papel Periódico</t>
  </si>
  <si>
    <t>Papel periódico de 65 gr/m2. Dimensiones: 70x100 cm</t>
  </si>
  <si>
    <t xml:space="preserve">Papel acuarela </t>
  </si>
  <si>
    <t xml:space="preserve">Este bloc está hecho con un papel de calidad superior, libre de ácido, con una superficie de grano áspero para usar en ambas caras, con un contenido de 35% de algodón que garantiza una absorción ideal para trabajos en técnicas húmedas y una larga duración en el tiempo.Recomendado para técnicas como: acuarela, acrílico, guacha, témpera, tinta china, tinta mojada, aguafuerte y linoleografía. 300GR Medida 21.5 x 28 cm
• 20 hojas
•Medidas: 30 cm x 22 cm x 1.3 cm en empaque
</t>
  </si>
  <si>
    <t>Block  x20  hojas</t>
  </si>
  <si>
    <t>Papel Bond</t>
  </si>
  <si>
    <t>Papel bond de 75 gr/m2 tamaño carta, 100% Blanco; presentación por resma de 500 hojas. Papel ecologico</t>
  </si>
  <si>
    <t>Resma x 500 hojas</t>
  </si>
  <si>
    <t>Papel Contact Transparente Original</t>
  </si>
  <si>
    <t>ROLLO PAPEL CONTAC TRANSPARENTE 20 MTS
COLOR: TRANSPARENTE
LONGITUD: 20 MTS
ANCHO: 45 CM
MATERIAL: PVC
PAPEL DE TIPO ADHESIVO PARA DIVERSOS USOS EN LA OFICINA, INDUSTRIA O ESCOLAR.</t>
  </si>
  <si>
    <t>Rollo X 20 Metros</t>
  </si>
  <si>
    <t>Papel Metalizado Majestic</t>
  </si>
  <si>
    <t>Papel Metalizado Majestic
Superficies relucientes, colores vibrantes y una preciosa fuente de oro y plata.
 Gramaje 250gr 
Tamaño 70cm x 100cm
Colores : oro,plata, negro, azul.</t>
  </si>
  <si>
    <t>Papel fino de lujo para
imprimir</t>
  </si>
  <si>
    <t>Papel fino de lujo para imprimir certificados, tamaño carta, gramaje 180, colores marfil, beige y blanco.</t>
  </si>
  <si>
    <t>Paquete x 25 Hojas</t>
  </si>
  <si>
    <t>Papel tamaño oficio, gramaje 180, colores marfil, beige y blanco.</t>
  </si>
  <si>
    <t>Paquete x 50 unidades</t>
  </si>
  <si>
    <t>Papel Seda</t>
  </si>
  <si>
    <t>Papel seda de 40 gr/m2 colores surtidos diferentes tonalidades (amarillo, azúl, rojo, verde, naranja, morado, lila, rosado, crema, blanco, café, gris, y negro).</t>
  </si>
  <si>
    <t>Papel para impresión</t>
  </si>
  <si>
    <t>Papel impresión bond de 75g, Ancho de 24” x 50 metros</t>
  </si>
  <si>
    <t>Rollo x 50 metros</t>
  </si>
  <si>
    <t xml:space="preserve">Papel fino pliego </t>
  </si>
  <si>
    <t xml:space="preserve">Papel tipo cartulina fina 250gr con efecto satinado 100cm x 70cm </t>
  </si>
  <si>
    <t>Cartulina 100 cmx70 cm</t>
  </si>
  <si>
    <t>Papel opalina de 120g ancho 24” x 20 metros</t>
  </si>
  <si>
    <t>Rollo x 20 metros</t>
  </si>
  <si>
    <t>Pegamento cianoacrilato</t>
  </si>
  <si>
    <t xml:space="preserve">PEGANTE 15 SEGUNDOS (INSTANTANEO)  Cianocrilato,  Pegamento que se comporta como un hibrido entre los adhesivos instantaneos de cianocrilato (tipo superglue 3) y los pegamentos  de secado lento, tiene mas resistencia que el adhesivo universal, pega en tan solo 15 segundos, libre de solventes. Durante ese tiempo, se le pueden hacer correcciones  a las piezas. Uso: para la mayoría de siperficies - presentación envase y/o envase de 5 gramos. </t>
  </si>
  <si>
    <t>Frasco x 5g</t>
  </si>
  <si>
    <t>Pegamento</t>
  </si>
  <si>
    <t>Alto nivel de adherencia que te permite pegar casi cualquier tipo de material, excelente para, papeles, cartulinas y cartones, es de color blanco pero a la hora de secarse queda transparente</t>
  </si>
  <si>
    <t>Tarro x 125 grs</t>
  </si>
  <si>
    <t xml:space="preserve">Pegamento madera </t>
  </si>
  <si>
    <t xml:space="preserve">Pegante en Liquido de 1000 Gramos para madera </t>
  </si>
  <si>
    <t>Tarro x 1000 g</t>
  </si>
  <si>
    <t>Silicona liquida</t>
  </si>
  <si>
    <t>Frascos de silicona liquida de 250 ml</t>
  </si>
  <si>
    <t>Frasco x 250ml</t>
  </si>
  <si>
    <t>Fommy</t>
  </si>
  <si>
    <t>Caucho espuma "fommy" colores fuertes y pasteles surtidos (amarillo, azúl, rojo, naranja, verde, fucsia, rosado, purpura, café, negro, crema, beige, piel, blanco, gris), presentación por medio pliego</t>
  </si>
  <si>
    <t>1/2 Pliego</t>
  </si>
  <si>
    <t xml:space="preserve">Paquete de Fommy 1/8 </t>
  </si>
  <si>
    <t>Paquete de fomii 1/8 colores surtidos x 10, paquete x 10 unidades</t>
  </si>
  <si>
    <t>Paquetex10 unidades</t>
  </si>
  <si>
    <t>Guias Separadoras</t>
  </si>
  <si>
    <t>Guias separadoras en cartulina con pestaña de colores pasteles surtidos (amarillo, azúl, verde, rosado).</t>
  </si>
  <si>
    <t>Paquete x 5 unidades</t>
  </si>
  <si>
    <t>Tarjeta de índice</t>
  </si>
  <si>
    <t>Fichas bibliográficas de colores 3x 5 cm</t>
  </si>
  <si>
    <t>Paquete x 100</t>
  </si>
  <si>
    <t>Marcador de vinilo</t>
  </si>
  <si>
    <t>Para marcar tarjetas con grosor de la punta de 30mm colores surtidos(amarillo, azùl, rojo, verde, naranja, morado, negro, blanco, cafe, gris, dorado, plateado, lila, rosado) ideal papel, plástico, madera, vidrio, metal y una variedad de otras superficies, resistente al agua despuès del secado.
Perfecto para hacer letras anchas en carteles y más de 30 mm</t>
  </si>
  <si>
    <t>Caja x 12 Unidades colores surtidos</t>
  </si>
  <si>
    <t>Nailon</t>
  </si>
  <si>
    <t>Nailon (nylon) de grosor 0,25 mm.</t>
  </si>
  <si>
    <t>Carrete x 50 metros</t>
  </si>
  <si>
    <t>Antifaz</t>
  </si>
  <si>
    <t>Antifaz tapa ojos, diseño gafa, elaborado en papel holográfico; presentación en paquete por 25 unidades.</t>
  </si>
  <si>
    <t>Paquete x 25 Unidades</t>
  </si>
  <si>
    <t>Banderines</t>
  </si>
  <si>
    <t>Banderines elaborados en material plástico. Paquete por 10 metros</t>
  </si>
  <si>
    <t>Paquete x 10 metros</t>
  </si>
  <si>
    <t>Billetes didácticos</t>
  </si>
  <si>
    <t>Billetes didácticos Dolares americanos, impresos a color por ambos lados denominaciones $1, $5,$ 10,$20,$50,$100- medidas aprox. 12cms lg x 7 cm ancho</t>
  </si>
  <si>
    <t>Block papel iris de colores</t>
  </si>
  <si>
    <t>Block papel iris colores surtidos vivos, tamaño carta x 50 hojas</t>
  </si>
  <si>
    <t>Blok x 50 hojas</t>
  </si>
  <si>
    <t>Bolígrafo</t>
  </si>
  <si>
    <t>Bolígrafo Retráctil Color Rojo 1.0 mm tinta roja, . Tinta tropicalizada de excelente desempeño en todos los climas. Escritura suave y sin interrupciones.</t>
  </si>
  <si>
    <t>Caja x 12 unidades</t>
  </si>
  <si>
    <t>Bolígrafo Retráctil Color negro 1.0 mm tinta negra. Tinta tropicalizada de excelente desempeño en todos los climas. Escritura suave y sin interrupciones.</t>
  </si>
  <si>
    <t>Boligrafos de color</t>
  </si>
  <si>
    <t>Caja x 12 unidades de boligrafos retractil desechables de tinta color azul</t>
  </si>
  <si>
    <t>Borrador para tablero</t>
  </si>
  <si>
    <t>Borrador para tablero blanco con mango de madera y superficie de fieltro.</t>
  </si>
  <si>
    <t>Juego didactico adivina quién? clásico</t>
  </si>
  <si>
    <t>juego didactico - juego de mesa. DESCRIPCIÖN:
Componentes del juego: 2 tableros, 48 tarjetas con rostros, 24 tarjetas misterio, 10 clavijas de puntaje, Reglamento</t>
  </si>
  <si>
    <t>Juego de Bingo completo</t>
  </si>
  <si>
    <t>Juego educativo de bingo, consta de:
1 tablero de control 25 *68 cm
1 balotera 35 cm de alto
1 juego de balotas del 1 al 75
100 tablas de carton</t>
  </si>
  <si>
    <t>Juego didactico - loteria bilingüe</t>
  </si>
  <si>
    <t>Contiene 6 tableros y 48 laminas lotería de animales, frutas, naturaleza y vegetales
Medida de la caja : 34×22 cm
Medida del tablero: 21.3 x 17 cm
Medida de las laminas:  5.7 x 4.9 cm</t>
  </si>
  <si>
    <t>juego didactco- loteria bilingüe - 48 tarjetas -impreso- vocabualrio  objetos</t>
  </si>
  <si>
    <t xml:space="preserve">Juego didactico -Rompecabezas Bilingüe </t>
  </si>
  <si>
    <t>Rompecabezas Bilingüe Mi Cuerpo-63 piezas doble faz
Tamaño final 49 x 33.5 cm
Ingles – Español</t>
  </si>
  <si>
    <t>Juego de escalera</t>
  </si>
  <si>
    <t>Juego de escalera, tapete didactico, de medidas 1,20 m X 1,20 m, material lona enrollable, a color.</t>
  </si>
  <si>
    <t>Tapete en lona</t>
  </si>
  <si>
    <t>Juego mesa de ajedrez</t>
  </si>
  <si>
    <t>Tablero de ajedrez material madera 40x40 cm con 32 fichas, color amarillo y negro</t>
  </si>
  <si>
    <t>Caja</t>
  </si>
  <si>
    <t>Juengo Dominó 28 piezas</t>
  </si>
  <si>
    <t>Dominó de 28 fichas doble seis decolores, de dimensiones 5 x 2,5 x 1cm, caja de almacenamiento de lata duradera</t>
  </si>
  <si>
    <t>Caja X 28 Piezas</t>
  </si>
  <si>
    <t>Juego de mesa RUMMI-Q</t>
  </si>
  <si>
    <t>Juego de mesa Rummi-q en caja con el siguiente contenido: Caja de fichas plásticas.</t>
  </si>
  <si>
    <t>Juego Parques</t>
  </si>
  <si>
    <t>Tablero mediano en caucho, 4 puestos, dados en pasta y en empaque cilíndrico con tapa</t>
  </si>
  <si>
    <t>Estuche en empaque individual</t>
  </si>
  <si>
    <t>Tarjetas didacticas inglés- ilustradas Frutas</t>
  </si>
  <si>
    <t xml:space="preserve">Tarjetas didacticas ilustradas -vocabulario frutas en Inglés 14 cm x 10 cmtipo impreso- </t>
  </si>
  <si>
    <t>Caja x 50 tarjetas</t>
  </si>
  <si>
    <t>Tarjetas didacticas inglés- ilustradas Actividades</t>
  </si>
  <si>
    <t>Tarjetas didacticas en inglés ilustradas -tipo impreso- vocabulario actividades diarias 14 cm x 10 cm</t>
  </si>
  <si>
    <t>Tarjetas didacticas inglés- ilustradas Animales</t>
  </si>
  <si>
    <t>Tarjetas didacticas ilustradas en inglés -tipo impreso- animales 14 cm x 10 cm</t>
  </si>
  <si>
    <t>REMOVEDORES DE GRAPAS (SACA GANCHOS)</t>
  </si>
  <si>
    <t>Removedores de grapas (saca ganchos) para grapas 26/6, 24/6 y 23/8. construcción metálica cromada, guardas de dedos en plástico abs de alta resistencia, puntas metálicas fuertes.</t>
  </si>
  <si>
    <t>CALCULADORA ESCRITORIO</t>
  </si>
  <si>
    <t>Calculadora 12 digitos mediana</t>
  </si>
  <si>
    <t xml:space="preserve">BLOCK  NOTAS BLANCO </t>
  </si>
  <si>
    <t>Block cuadriculado papel bond blanco, tamaño media carta, minimo de 50 hojas</t>
  </si>
  <si>
    <t>CUADERNO ARGOLLADO GRANDE 5 MATERIAS</t>
  </si>
  <si>
    <t>Cuaderno argollado grande minimo de 100 hojas de 5 materias dividido por separadores por cada materia.</t>
  </si>
  <si>
    <t>Block para dibujo técnico</t>
  </si>
  <si>
    <t>Block para dibujo tecnico, dibujo de planos Para ejercitar el dibujo isométrico (3D) y de vistas múltiples (2D).17,5 cm x 24,4 cm x 0,5 cm formato horizontal-28 hojas Papel 115 gramos base 28/30 Libro impreso.rotulado</t>
  </si>
  <si>
    <t>MEMORIAS USB 8GB</t>
  </si>
  <si>
    <t>capacidad de 8 gb -interfaz host usb 2.0/2.0
-almacenamiento en memoria flash nan
-usb lista para windows, linux y mac readyboost
dimensiones 55 mm x 21 mm x 10,1 mm aproximadamente.
los productos deberán estar debidamente protegidos en empaques unitarios y en cartones, tamaño manejable con membretes que identifiquen la cantidad y tipo de usb para envíos nacionales o internacionales</t>
  </si>
  <si>
    <t>Memoria USB 128 gigas</t>
  </si>
  <si>
    <t>Regla metalica</t>
  </si>
  <si>
    <t>Regla de precisión, con doble escala, fabricada con acero inoxidable con superficie cromada y/o satinada; grabado profundo al ácido y cromado negro.
 Medidas en milimetros y pulgadas, resistente, durable y alta calidad.
Material: acero inoxidable 
milimetrada - fotograbada 
Medida: 50 cm 
Calibre 1,5 mm</t>
  </si>
  <si>
    <t>REGLA PLÁSTICA</t>
  </si>
  <si>
    <t>Regla plástica material resinas plásticas de alta resistencia, mínimo 30 mm, identifica milímetros, centímetros, y pulgadas y borde biselado</t>
  </si>
  <si>
    <t>Escuadras 45°</t>
  </si>
  <si>
    <t>Escuadra de  45 grados 32 cms acrílico transparente - verde óptico.herramienta  para realizar trazos puntuales y precisos, en planos o particularmente en dibujo técnico.</t>
  </si>
  <si>
    <t>Escuadras 60°</t>
  </si>
  <si>
    <t>Escuadra-cartabon  de  60 grados 32 cms acrílico transparente - verde óptico.herramienta  para realizar trazos puntuales y precisos, en planos o particularmente en dibujo técnico.</t>
  </si>
  <si>
    <t>Pinceles lengua de gato</t>
  </si>
  <si>
    <t>Ideal para manualidades pincel,tiene forma ovalada en la parte superior y aplanada 
Utilizado para trazos concretos. Absorbe gran cantidad de pintura. Desde #1 a #12</t>
  </si>
  <si>
    <t>Paquete x 12 unidades de diferentes calibres</t>
  </si>
  <si>
    <t xml:space="preserve">kit de pinceles suaves </t>
  </si>
  <si>
    <t>kit de pinceles planos cerda natural,nylon Mango Madera,
Juego de pinceles planos con cerdas de nylon, números: 1, 3, 5, 7, 9 y 11, con mango de madera, contramarcados.</t>
  </si>
  <si>
    <t xml:space="preserve">kit x 6 unidades de diferentes numeracion </t>
  </si>
  <si>
    <t>Marcador colores punta fina</t>
  </si>
  <si>
    <t>Marcador de punta fina que escribe sobre la mayoría de las superficies. Punta resistente que no se daña. Tinta de secado rápido que no se decolora.
Colores: surtidos
Alta precisión gracias a la punta fina
Escriben sobre: papel, plástico, metal, madera, vidrio y muchas otras superficies porosas y no porosas
Tinta: indeleble y resistente al agua
Cierre: Hermético con capuchón que evita el secado de la tinta
Cuerpo: solido
Forma del cuerpo: redondo
Material del cuerpo: Polipropileno
Material de la punta: acrilica
Tipo de punta: Bala
Grosor del trazo: 0.9 mm
Metros de escritura: 400
Tipo de tinta: Base solventa y colorantes
Presentacion: 24 unidades
Conformes a la norma ASTM D-4236</t>
  </si>
  <si>
    <t>Paquete x 24 unidades colores surtidos</t>
  </si>
  <si>
    <t>Marcadores doble punta</t>
  </si>
  <si>
    <t>Marcadores doble punta por 8 unidades.  Están diseñados para escribir prácticamente en todas partes.Marcas de tinta orgullosamente permanentes en papel, plástico, metal y muchas otras superficies más.
La tinta notablemente resistente se seca rápidamente y resiste el desvanecimiento y el agua; AP certificado.
La punta doble infinitamente versátil es perfecta para innumerables usos.
14.6 x 19.3 x 1.5 cm
colores surtidos e brinda la oportunidad de dos puntas en un solo marcador para dar diferentes acabados en tus dibujos y proyectos.</t>
  </si>
  <si>
    <t>Paquete x 8 unidades colores surtidos</t>
  </si>
  <si>
    <t>Borrador miga de pan</t>
  </si>
  <si>
    <t xml:space="preserve">Goma suave de caucho sintético tipo “miga de pan”. Para borrar una amplia gama de lápices de grafito sobre toda clase de papeles.No dejan mancha al borrar
No maltratan el papel
Medidas de cada borrador 5,5 cm x 2 cm x 0,9 mm
</t>
  </si>
  <si>
    <t>Caja x 20 unidades</t>
  </si>
  <si>
    <t xml:space="preserve">Acuarelas </t>
  </si>
  <si>
    <t>Caja de 12 Tubos de Acuarela de Colores Contiene tubos de acuarela de colores variados que se disuelven en el agua y son fáciles de mezclar. Se caracterizan por ser colores intensos y brillantes.Acuarelas altamente pigmentadas, con colores intensos.
Usable sobre papel de acuarela o cartulina. Fácil de limpiar con agua.12 ml</t>
  </si>
  <si>
    <t xml:space="preserve">Pinturas para cuero </t>
  </si>
  <si>
    <t>kit de inicio de pintura de cuero acrílico brand kit de 12 colores surtidos  (rojo, azul, neutro, lila, verde, naranja, rosa fuerte, magenta, amarillo, morado, negro y marrón) de pintura acrílicas cada 1 oz la botella tiene un pequeño cepillo en la tapa no se agrietará ni pelará basado en agua para una fácil limpieza mezclable para innumerables colores personalizados funciona en muchos materiales, como cuero, charol, vinilo, suelas intermedias, pestañas y mas. Medidas 3.81 cm largo - 3.81 cm ancho - 5.72 cm alto</t>
  </si>
  <si>
    <t xml:space="preserve">kit x 12 unidades colores surtidos </t>
  </si>
  <si>
    <t xml:space="preserve">Compás </t>
  </si>
  <si>
    <t>Compás de presición metálico  Ruedas de sujeción robustas, tornillos centrales firmes, brazos fáciles de ajustar,
agujas antideslizantes y abrazaderas para minas
- Incluye Extensor
- Incluye compas pequeño auxiliar
- Incluye accesorio para lápices y rapidógrafos
- incluye afilaminas, tarro portaminas, soporte largo minas y estuche plástico con
termoformado para ubicar cada pieza
Medidas: 20 cm X 10 cm X 2 cm
Peso: 212 gr</t>
  </si>
  <si>
    <t>Kit</t>
  </si>
  <si>
    <t>Compas de presicion punta metal y punta lapiz</t>
  </si>
  <si>
    <t>Compás de precisión
Diámetro máximo del círculo es de 103 / 8 (265 mm)
Brújula de arco de resorte: metálica  
Rueda central: ajuste de precisión
Pieza de plomo intercambiable y un acabado de níquel para resistir el óxido y las manchas.
Compas incluye un tubo de plomo de repuesto y viene en una billetera de plástico.
Medidas: Alto 19.1cm Largo 1.3cm Ancho 8.4cm
Peso: 1 libra
Color: Chrome</t>
  </si>
  <si>
    <t xml:space="preserve">Curvigrafo </t>
  </si>
  <si>
    <t>PARA DIBUJAR TODO TIPO DE CURVAS IRREGULARES. TAMBIÉN LLAMADOS CURVAS FRANCESAS, CURVAS DE BURMESTER. acrílico transparente - verde óptico.</t>
  </si>
  <si>
    <t xml:space="preserve">Paleta para mezclar pintura </t>
  </si>
  <si>
    <t xml:space="preserve">Paleta plásticaa de 10 huecos con medida de 17.5cm x 1.5cm  </t>
  </si>
  <si>
    <t>Cinta Doble cara De Poliéster</t>
  </si>
  <si>
    <t xml:space="preserve">Cinta adhesiva doble cara con soporte de pelicula en poliester, con adhesivo acrilico modificado y protector de pelicula en poliester rojo siliconado en ambas caras.
cinta doble cara de altas prestaciones, su mejro rendimiento es sobre superficies especulares, resistente a altas temperaturas y alta carga de rotura.
Adhesivo: acrilico base solvente
Soporte: Tereftalato de polietileno transparente (PET)
Color: Pelicula de polietileno rojo
Espesor soporte + adhesivo: 0.205 mm
PEEL N/25mm:  8.5
Fuerza de cohesion a carga constante: 1000 minutos
Resistente a la temperatura: 93°C
Fuerza adhesiva: HSE material
Largo de rollo: 50 mts
</t>
  </si>
  <si>
    <t xml:space="preserve">Corrector liquido </t>
  </si>
  <si>
    <t xml:space="preserve"> Fluido blanco y opaco, a manera de tinta, que se aplica en el papel para tapar errores en el texto. Una vez que está seco, se puede escribir sobre el mismo. </t>
  </si>
  <si>
    <t xml:space="preserve">Cinta de enmascarar gruesa </t>
  </si>
  <si>
    <t xml:space="preserve">Cinta de enmascarar ancho 24 mm por 40 metros de longitud
Es un tipo de cinta adhesiva fabricada generalmente con papel, de fácil desprendimiento, autoadhesiva </t>
  </si>
  <si>
    <t>Marcador negro punta fina</t>
  </si>
  <si>
    <t>Marcador de punta fina que escribe sobre la mayoría de las superficies. Punta resistente que no se daña. Tinta de secado rápido que no se decolora.
Color: negro
Alta precisión gracias a la punta fina
Escriben sobre: papel, plástico, metal, madera, vidrio y muchas otras superficies porosas y no porosas
Tinta: indeleble y resistente al agua
Cierre: Hermético con capuchón que evita el secado de la tinta
Cuerpo: solido
Forma del cuerpo: redondo
Material del cuerpo: Polipropileno
Material de la punta: acrilica
Tipo de punta: Bala
Grosor del trazo: 0.9 mm
Metros de escritura: 400
Tipo de tinta: Base solventa y colorantes
Presentacion: 24 unidades
Conformes a la norma ASTM D-4236</t>
  </si>
  <si>
    <t>paquete x 24 unidades</t>
  </si>
  <si>
    <t>Carteleras en marco de aluminio
Medidas: 100 cms de ancho por 70 cms de alto</t>
  </si>
  <si>
    <t>Cartelera con marco en aluminio abatible (de 25 mm), con acrílico cristal  de 2 mm, respaldo en poliestireno blanco y esquineras cromadas. Con impresión en papel opalina</t>
  </si>
  <si>
    <t>Tablero acrílico premium con cuadrícula de 120×80 cms sobre pedestal con ruedas</t>
  </si>
  <si>
    <t xml:space="preserve">Tablero en fórmica blanca (con o sin cuadricula), especial para escribir con marcador borrable y marco en aluminio montado sobre estructura metálica con ruedas con freno.
Medida Tablero: 120 cms de ancho por 80 cms de alto. (Medidas totales de borde a borde)
Medida Total incluyendo estructura y ruedas: 120 cms de ancho por 180 cms de alto. El tablero queda a 1 metro del piso.
</t>
  </si>
  <si>
    <t>LUPA CUENTA HILOS</t>
  </si>
  <si>
    <t>Tabla Salvacorte 45x60 cm</t>
  </si>
  <si>
    <t>La tabla Salva corte o base para cortar es una superficie sobre la cual se puede realizar trabajos de materiales cortopunzantes y protege superficies. Sobre esta tabla se puede escribir, colorear, cortar y hacer todo tipo de manualidades sin que se dañe el material con el que se está trabajando. La característica especial de esta tabla es que tiene una capacidad de auto recuperarse una vez se trabaja en ella y ayuda que el filo de los cortadores no se desgaste rápidamente.
Peso: 500gr</t>
  </si>
  <si>
    <t>Espatulas metalicas</t>
  </si>
  <si>
    <t>Herramientas manuales
Material : Acero inoxidable 
Mango: Madera
Juego: 5 unidades</t>
  </si>
  <si>
    <t>Kit x 5 Unidades</t>
  </si>
  <si>
    <t>Tinta para impresión HP DesignJet T 120 x 80ml</t>
  </si>
  <si>
    <t>Tinta para impresión HP DesignJet T 120 x 80ml
 Colores: 
 Negro</t>
  </si>
  <si>
    <t>Cartucho x Unidad</t>
  </si>
  <si>
    <t xml:space="preserve">Tinta para impresión HP DesignJet T 120 x 29ml 
</t>
  </si>
  <si>
    <t>Tinta para impresión HP DesignJet T 120 x 29ml 
 Colores: 
 Amarillo</t>
  </si>
  <si>
    <t>Tinta para impresión HP DesignJet T 120 x 29ml 
 Colores: 
 Cyan</t>
  </si>
  <si>
    <t>Tinta para impresión HP DesignJet T 120 x 29ml 
 Colores: 
 Magenta</t>
  </si>
  <si>
    <t>Tijeras punta roma</t>
  </si>
  <si>
    <t>Tijera escolar de acero inoxidable, empuñadura de plástico y punta roma, una de las hojas númerada. Medida 130mm. Cumple norma en 71. 100% reciclable. Tijera escolar punta roma.</t>
  </si>
  <si>
    <t xml:space="preserve">Porta escarapelas </t>
  </si>
  <si>
    <t xml:space="preserve">Porta Documentos, bolsillos porta escarapelas elaborados en policloruro de vinilo (PVC) transparente  
Tamaño:10,5cm x 16cm con 
CINTA PORTA-CARNET </t>
  </si>
  <si>
    <t>Madera MDF</t>
  </si>
  <si>
    <t>Lamina de 183cm*244cm  sin recubrimiento para usos y aplicaciones interiores.
Acabado liso en las dos caras superficiales, alta resistencia a la flexión, buena tracción perpendicular</t>
  </si>
  <si>
    <t>Lámina 
183 cm x 244 cm</t>
  </si>
  <si>
    <t>V/TOTAL CON IVA</t>
  </si>
  <si>
    <t xml:space="preserve">     Nombre y firma: Luz Marina Mejía Pérez
     C.C. No.43.047.767 expedida en Medellín
     Nit: 800.154.801-6
     Dirección: Calle 78 Nª 52
     Número de teléfono: 448-99-48
     Correo electrónico: maybe@une.net.co
</t>
  </si>
  <si>
    <t>distribución Luisa y Johana</t>
  </si>
  <si>
    <t>PEDIDO POR FICHA 2022</t>
  </si>
  <si>
    <t>FICHA JOSE DIAZ
2266522</t>
  </si>
  <si>
    <t>PEDIDO POR FICHA 2025</t>
  </si>
  <si>
    <t>Paquete 100 unidades</t>
  </si>
  <si>
    <t>Paquete 50 Unidades</t>
  </si>
  <si>
    <t>Paquete</t>
  </si>
  <si>
    <t>Removedor de grapas (Saca ganchos)</t>
  </si>
  <si>
    <t xml:space="preserve">Fluido blanco y opaco, a manera de tinta, que se aplica en el papel para tapar errores en el texto. Una vez que está seco, se puede escribir sobre el mismo. </t>
  </si>
  <si>
    <t>Papel Bond carta</t>
  </si>
  <si>
    <t xml:space="preserve">Cinta de enmascarar ancha </t>
  </si>
  <si>
    <t>Paquete x 24 unidades</t>
  </si>
  <si>
    <t>SOLICITUD MATERIALES AREAS ADMINISTRATIVAS</t>
  </si>
  <si>
    <t>Sobre bolsillo de acetato carta delgado x100 und</t>
  </si>
  <si>
    <t>Sobre bolsillo de acetato</t>
  </si>
  <si>
    <t>AA BP 10 
Johana 3166301</t>
  </si>
  <si>
    <t>AA CI 10
Johana 3167048</t>
  </si>
  <si>
    <t>AA CI 11
Johana 2922093</t>
  </si>
  <si>
    <t>RRHH FR 11
Johana 2916297</t>
  </si>
  <si>
    <t>RRHH CEFIT 11
Johana 2932187</t>
  </si>
  <si>
    <t>RRHH IECOMI 11
Johana 2920863</t>
  </si>
  <si>
    <t>NO HAY</t>
  </si>
  <si>
    <t>ROLLO</t>
  </si>
  <si>
    <t>PLIEGOS</t>
  </si>
  <si>
    <t>PQTES</t>
  </si>
  <si>
    <t>UNIDADES</t>
  </si>
  <si>
    <t>TARRO * 500 ML</t>
  </si>
  <si>
    <t>YA SE ENTREGARON</t>
  </si>
  <si>
    <t>DEVOLUTIVAS</t>
  </si>
  <si>
    <t>CAJA * 12</t>
  </si>
  <si>
    <t>CAJA * 20</t>
  </si>
  <si>
    <t>PQTE * 6</t>
  </si>
  <si>
    <t>TACOS</t>
  </si>
  <si>
    <t>RESMAS OF.</t>
  </si>
  <si>
    <t>kit de formas didácticas</t>
  </si>
  <si>
    <t>kit * 6</t>
  </si>
  <si>
    <t>CAJA * 8</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</si>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</sst>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164" formatCode="_-&quot;$&quot;\ * #,##0.00_-;\-&quot;$&quot;\ * #,##0.00_-;_-&quot;$&quot;\ * &quot;-&quot;_-;_-@_-"/>
  </numFmts>
  <fonts count="13"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font>
    <font>
      <b/>
      <sz val="10"/>
      <color rgb="FF000000"/>
      <name val="Calibri"/>
      <family val="2"/>
    </font>
    <font>
      <b/>
      <sz val="9"/>
      <color rgb="FF000000"/>
      <name val="Arial"/>
      <family val="2"/>
    </font>
    <font>
      <b/>
      <sz val="9"/>
      <color theme="1"/>
      <name val="Arial"/>
      <family val="2"/>
    </font>
    <font>
      <b/>
      <sz val="12"/>
      <color theme="1"/>
      <name val="Calibri"/>
      <family val="2"/>
    </font>
    <font>
      <sz val="11"/>
      <color theme="1"/>
      <name val="Calibri"/>
      <family val="2"/>
    </font>
    <font>
      <b/>
      <sz val="9"/>
      <color indexed="81"/>
      <name val="Tahoma"/>
      <family val="2"/>
    </font>
    <font>
      <sz val="8"/>
      <color theme="1"/>
      <name val="Calibri"/>
      <family val="2"/>
    </font>
    <font>
      <sz val="10"/>
      <color theme="1"/>
      <name val="Calibri"/>
      <family val="2"/>
      <scheme val="minor"/>
    </font>
    <font>
      <b/>
      <sz val="10"/>
      <color rgb="FFFF0000"/>
      <name val="Calibri"/>
      <family val="2"/>
      <scheme val="minor"/>
    </font>
  </fonts>
  <fills count="17">
    <fill>
      <patternFill patternType="none"/>
    </fill>
    <fill>
      <patternFill patternType="gray125"/>
    </fill>
    <fill>
      <patternFill patternType="solid">
        <fgColor theme="0"/>
        <bgColor rgb="FFB4C6E7"/>
      </patternFill>
    </fill>
    <fill>
      <patternFill patternType="solid">
        <fgColor theme="0"/>
        <bgColor indexed="64"/>
      </patternFill>
    </fill>
    <fill>
      <patternFill patternType="solid">
        <fgColor theme="0"/>
        <bgColor rgb="FFD9E2F3"/>
      </patternFill>
    </fill>
    <fill>
      <patternFill patternType="solid">
        <fgColor rgb="FFEAD1DC"/>
        <bgColor indexed="64"/>
      </patternFill>
    </fill>
    <fill>
      <patternFill patternType="solid">
        <fgColor theme="0"/>
        <bgColor rgb="FF8EAADB"/>
      </patternFill>
    </fill>
    <fill>
      <patternFill patternType="solid">
        <fgColor theme="0"/>
        <bgColor rgb="FFFFC000"/>
      </patternFill>
    </fill>
    <fill>
      <patternFill patternType="solid">
        <fgColor theme="7" tint="0.39997558519241921"/>
        <bgColor rgb="FFFFC000"/>
      </patternFill>
    </fill>
    <fill>
      <patternFill patternType="solid">
        <fgColor rgb="FFFFC000"/>
        <bgColor rgb="FFFFC000"/>
      </patternFill>
    </fill>
    <fill>
      <patternFill patternType="solid">
        <fgColor theme="5" tint="0.79998168889431442"/>
        <bgColor indexed="64"/>
      </patternFill>
    </fill>
    <fill>
      <patternFill patternType="solid">
        <fgColor rgb="FFFFFF00"/>
        <bgColor rgb="FFFFC000"/>
      </patternFill>
    </fill>
    <fill>
      <patternFill patternType="solid">
        <fgColor rgb="FF92D050"/>
        <bgColor indexed="64"/>
      </patternFill>
    </fill>
    <fill>
      <patternFill patternType="solid">
        <fgColor rgb="FFFFFF00"/>
        <bgColor rgb="FFD9E2F3"/>
      </patternFill>
    </fill>
    <fill>
      <patternFill patternType="solid">
        <fgColor rgb="FFFFFF00"/>
        <bgColor indexed="64"/>
      </patternFill>
    </fill>
    <fill>
      <patternFill patternType="solid">
        <fgColor theme="7" tint="0.39997558519241921"/>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s>
  <cellStyleXfs count="3">
    <xf numFmtId="0" fontId="0" fillId="0" borderId="0"/>
    <xf numFmtId="42" fontId="1" fillId="0" borderId="0" applyFont="0" applyFill="0" applyBorder="0" applyAlignment="0" applyProtection="0"/>
    <xf numFmtId="0" fontId="1" fillId="0" borderId="0"/>
  </cellStyleXfs>
  <cellXfs count="61">
    <xf numFmtId="0" fontId="0" fillId="0" borderId="0" xfId="0"/>
    <xf numFmtId="0" fontId="3" fillId="2" borderId="1" xfId="2" applyFont="1" applyFill="1" applyBorder="1" applyAlignment="1">
      <alignment vertical="top"/>
    </xf>
    <xf numFmtId="164" fontId="2" fillId="3" borderId="1" xfId="0" applyNumberFormat="1" applyFont="1" applyFill="1" applyBorder="1" applyAlignment="1">
      <alignment vertical="top"/>
    </xf>
    <xf numFmtId="0" fontId="0" fillId="3" borderId="0" xfId="0" applyFill="1" applyAlignment="1">
      <alignment horizontal="left" vertical="top"/>
    </xf>
    <xf numFmtId="0" fontId="4" fillId="4" borderId="1" xfId="2" applyFont="1" applyFill="1" applyBorder="1" applyAlignment="1">
      <alignment vertical="top" wrapText="1"/>
    </xf>
    <xf numFmtId="164" fontId="2" fillId="3" borderId="1" xfId="1" applyNumberFormat="1" applyFont="1" applyFill="1" applyBorder="1" applyAlignment="1">
      <alignment vertical="top" wrapText="1"/>
    </xf>
    <xf numFmtId="0" fontId="5" fillId="0" borderId="1" xfId="0" applyFont="1" applyBorder="1" applyAlignment="1">
      <alignment horizontal="center"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0" fillId="3" borderId="1" xfId="0" applyFill="1" applyBorder="1" applyAlignment="1">
      <alignment horizontal="center" vertical="top"/>
    </xf>
    <xf numFmtId="0" fontId="7" fillId="6" borderId="1" xfId="2" applyFont="1" applyFill="1" applyBorder="1" applyAlignment="1">
      <alignment vertical="top"/>
    </xf>
    <xf numFmtId="0" fontId="8" fillId="7" borderId="1" xfId="2" applyFont="1" applyFill="1" applyBorder="1" applyAlignment="1">
      <alignment vertical="top" wrapText="1"/>
    </xf>
    <xf numFmtId="164" fontId="0" fillId="3" borderId="1" xfId="1" applyNumberFormat="1" applyFont="1" applyFill="1" applyBorder="1" applyAlignment="1">
      <alignment vertical="top"/>
    </xf>
    <xf numFmtId="1" fontId="8" fillId="7" borderId="1" xfId="2" applyNumberFormat="1" applyFont="1" applyFill="1" applyBorder="1" applyAlignment="1">
      <alignment vertical="top" wrapText="1"/>
    </xf>
    <xf numFmtId="0" fontId="8" fillId="7" borderId="1" xfId="2" applyFont="1" applyFill="1" applyBorder="1" applyAlignment="1">
      <alignment vertical="top"/>
    </xf>
    <xf numFmtId="0" fontId="8" fillId="8" borderId="1" xfId="2" applyFont="1" applyFill="1" applyBorder="1" applyAlignment="1">
      <alignment vertical="top" wrapText="1"/>
    </xf>
    <xf numFmtId="0" fontId="8" fillId="9" borderId="1" xfId="2" applyFont="1" applyFill="1" applyBorder="1" applyAlignment="1">
      <alignment vertical="top" wrapText="1"/>
    </xf>
    <xf numFmtId="164" fontId="0" fillId="10" borderId="1" xfId="1" applyNumberFormat="1" applyFont="1" applyFill="1" applyBorder="1" applyAlignment="1">
      <alignment vertical="top"/>
    </xf>
    <xf numFmtId="164" fontId="2" fillId="10" borderId="1" xfId="0" applyNumberFormat="1" applyFont="1" applyFill="1" applyBorder="1" applyAlignment="1">
      <alignment horizontal="left" vertical="top"/>
    </xf>
    <xf numFmtId="0" fontId="2" fillId="3" borderId="3" xfId="0" applyFont="1" applyFill="1" applyBorder="1" applyAlignment="1">
      <alignment vertical="top"/>
    </xf>
    <xf numFmtId="0" fontId="0" fillId="3" borderId="5" xfId="0" applyFill="1" applyBorder="1" applyAlignment="1">
      <alignment vertical="top"/>
    </xf>
    <xf numFmtId="0" fontId="0" fillId="3" borderId="5" xfId="0" applyFill="1" applyBorder="1" applyAlignment="1">
      <alignment vertical="top" wrapText="1"/>
    </xf>
    <xf numFmtId="0" fontId="0" fillId="3" borderId="0" xfId="0" applyFill="1" applyAlignment="1">
      <alignment horizontal="left" vertical="top" wrapText="1"/>
    </xf>
    <xf numFmtId="0" fontId="0" fillId="3" borderId="0" xfId="0" applyFill="1" applyAlignment="1">
      <alignment vertical="top"/>
    </xf>
    <xf numFmtId="164" fontId="0" fillId="3" borderId="0" xfId="0" applyNumberFormat="1" applyFill="1" applyAlignment="1">
      <alignment horizontal="left" vertical="top"/>
    </xf>
    <xf numFmtId="0" fontId="0" fillId="3" borderId="1" xfId="0" applyFill="1" applyBorder="1" applyAlignment="1">
      <alignment horizontal="center" vertical="top" wrapText="1"/>
    </xf>
    <xf numFmtId="0" fontId="8" fillId="11" borderId="1" xfId="2" applyFont="1" applyFill="1" applyBorder="1" applyAlignment="1">
      <alignment vertical="top" wrapText="1"/>
    </xf>
    <xf numFmtId="0" fontId="8" fillId="0" borderId="1" xfId="2" applyFont="1" applyFill="1" applyBorder="1" applyAlignment="1">
      <alignment vertical="top" wrapText="1"/>
    </xf>
    <xf numFmtId="0" fontId="0" fillId="10" borderId="1" xfId="0" applyFill="1" applyBorder="1" applyAlignment="1">
      <alignment horizontal="center" vertical="top"/>
    </xf>
    <xf numFmtId="0" fontId="0" fillId="3" borderId="6"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6" fillId="0" borderId="9" xfId="0" applyFont="1" applyBorder="1" applyAlignment="1">
      <alignment horizontal="center" wrapText="1"/>
    </xf>
    <xf numFmtId="0" fontId="6" fillId="0" borderId="10" xfId="0" applyFont="1" applyBorder="1" applyAlignment="1">
      <alignment horizontal="center" wrapText="1"/>
    </xf>
    <xf numFmtId="0" fontId="0" fillId="12" borderId="1" xfId="0" applyFill="1" applyBorder="1" applyAlignment="1">
      <alignment horizontal="center" vertical="top"/>
    </xf>
    <xf numFmtId="0" fontId="0" fillId="10" borderId="0" xfId="0" applyFill="1" applyAlignment="1">
      <alignment horizontal="left" vertical="top"/>
    </xf>
    <xf numFmtId="0" fontId="0" fillId="0" borderId="1" xfId="0" applyFill="1" applyBorder="1" applyAlignment="1">
      <alignment horizontal="center" vertical="top"/>
    </xf>
    <xf numFmtId="0" fontId="0" fillId="3" borderId="0" xfId="0" applyFill="1" applyAlignment="1">
      <alignment horizontal="left"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8" fillId="7" borderId="1" xfId="2" applyFont="1" applyFill="1" applyBorder="1" applyAlignment="1">
      <alignment horizontal="center" vertical="top" wrapText="1"/>
    </xf>
    <xf numFmtId="0" fontId="8" fillId="11" borderId="1" xfId="2" applyFont="1" applyFill="1" applyBorder="1" applyAlignment="1">
      <alignment horizontal="center" vertical="top" wrapText="1"/>
    </xf>
    <xf numFmtId="0" fontId="4" fillId="4" borderId="1" xfId="2" applyFont="1" applyFill="1" applyBorder="1" applyAlignment="1">
      <alignment horizontal="center" vertical="center" wrapText="1"/>
    </xf>
    <xf numFmtId="0" fontId="4" fillId="13" borderId="1" xfId="2" applyFont="1" applyFill="1" applyBorder="1" applyAlignment="1">
      <alignment horizontal="center" vertical="center" wrapText="1"/>
    </xf>
    <xf numFmtId="0" fontId="10" fillId="7" borderId="1" xfId="2" applyFont="1" applyFill="1" applyBorder="1" applyAlignment="1">
      <alignment vertical="top" wrapText="1"/>
    </xf>
    <xf numFmtId="0" fontId="8" fillId="14" borderId="1" xfId="2" applyFont="1" applyFill="1" applyBorder="1" applyAlignment="1">
      <alignment vertical="top" wrapText="1"/>
    </xf>
    <xf numFmtId="0" fontId="0" fillId="3" borderId="0" xfId="0" applyFill="1" applyAlignment="1">
      <alignment horizontal="center" vertical="top"/>
    </xf>
    <xf numFmtId="0" fontId="0" fillId="3" borderId="0" xfId="0" applyFill="1" applyAlignment="1">
      <alignment horizontal="center" vertical="center"/>
    </xf>
    <xf numFmtId="0" fontId="8" fillId="15" borderId="1" xfId="2" applyFont="1" applyFill="1" applyBorder="1" applyAlignment="1">
      <alignment vertical="top" wrapText="1"/>
    </xf>
    <xf numFmtId="0" fontId="0" fillId="3" borderId="0" xfId="0" applyFill="1" applyAlignment="1">
      <alignment horizontal="center" vertical="top" wrapText="1"/>
    </xf>
    <xf numFmtId="0" fontId="0" fillId="3" borderId="0" xfId="0" applyFill="1" applyAlignment="1">
      <alignment horizontal="center" vertical="center" wrapText="1"/>
    </xf>
    <xf numFmtId="0" fontId="11" fillId="3" borderId="0" xfId="0" applyFont="1" applyFill="1" applyAlignment="1">
      <alignment horizontal="center" vertical="top" wrapText="1"/>
    </xf>
    <xf numFmtId="0" fontId="8" fillId="16" borderId="1" xfId="2" applyFont="1" applyFill="1" applyBorder="1" applyAlignment="1">
      <alignment vertical="top" wrapText="1"/>
    </xf>
    <xf numFmtId="0" fontId="12" fillId="14" borderId="0" xfId="0" applyFont="1" applyFill="1" applyAlignment="1">
      <alignment horizontal="center" vertical="top"/>
    </xf>
    <xf numFmtId="0" fontId="2" fillId="3" borderId="1" xfId="0" applyFont="1" applyFill="1" applyBorder="1" applyAlignment="1">
      <alignment vertical="top"/>
    </xf>
    <xf numFmtId="0" fontId="0" fillId="3" borderId="1" xfId="0" applyFill="1" applyBorder="1" applyAlignment="1">
      <alignment vertical="top"/>
    </xf>
    <xf numFmtId="0" fontId="0" fillId="3" borderId="1" xfId="0" applyFill="1" applyBorder="1" applyAlignment="1">
      <alignment horizontal="left" vertical="top"/>
    </xf>
    <xf numFmtId="0" fontId="0" fillId="14"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cellXfs>
  <cellStyles count="3">
    <cellStyle name="Moneda [0]" xfId="1" builtinId="7"/>
    <cellStyle name="Normal" xfId="0" builtinId="0"/>
    <cellStyle name="Normal 4" xfId="2" xr:uid="{00000000-0005-0000-0000-000002000000}"/>
  </cellStyles>
  <dxfs count="20">
    <dxf>
      <fill>
        <patternFill>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O46"/>
  <sheetViews>
    <sheetView tabSelected="1" zoomScale="115" zoomScaleNormal="115" workbookViewId="0">
      <pane xSplit="4" ySplit="2" topLeftCell="L26" activePane="bottomRight" state="frozen"/>
      <selection pane="topRight" activeCell="E1" sqref="E1"/>
      <selection pane="bottomLeft" activeCell="A5" sqref="A5"/>
      <selection pane="bottomRight" activeCell="C32" sqref="C32"/>
    </sheetView>
  </sheetViews>
  <sheetFormatPr baseColWidth="10" defaultRowHeight="15" x14ac:dyDescent="0.25"/>
  <cols>
    <col min="1" max="1" width="11.42578125" style="3"/>
    <col min="2" max="2" width="7.7109375" style="3" customWidth="1"/>
    <col min="3" max="3" width="32" style="3" customWidth="1"/>
    <col min="4" max="4" width="21" style="3" customWidth="1"/>
    <col min="5" max="5" width="11.42578125" style="3" customWidth="1"/>
    <col min="6" max="6" width="12.5703125" style="3" customWidth="1"/>
    <col min="7" max="13" width="8.85546875" style="3" customWidth="1"/>
    <col min="14" max="15" width="11.42578125" style="46"/>
    <col min="16" max="16384" width="11.42578125" style="3"/>
  </cols>
  <sheetData>
    <row r="1" spans="1:15" ht="15.75" thickBot="1" x14ac:dyDescent="0.3">
      <c r="B1" s="1"/>
      <c r="C1" s="1" t="s">
        <v>273</v>
      </c>
      <c r="D1" s="1"/>
      <c r="E1" s="1"/>
      <c r="F1" s="1"/>
      <c r="G1" s="1"/>
      <c r="H1" s="3" t="s">
        <v>264</v>
      </c>
    </row>
    <row r="2" spans="1:15" s="37" customFormat="1" ht="53.25" customHeight="1" x14ac:dyDescent="0.25">
      <c r="A2" s="42" t="s">
        <v>3</v>
      </c>
      <c r="B2" s="42" t="s">
        <v>4</v>
      </c>
      <c r="C2" s="42" t="s">
        <v>5</v>
      </c>
      <c r="D2" s="42" t="s">
        <v>6</v>
      </c>
      <c r="E2" s="42" t="s">
        <v>7</v>
      </c>
      <c r="F2" s="42" t="s">
        <v>8</v>
      </c>
      <c r="G2" s="43" t="s">
        <v>9</v>
      </c>
      <c r="H2" s="38" t="s">
        <v>276</v>
      </c>
      <c r="I2" s="38" t="s">
        <v>277</v>
      </c>
      <c r="J2" s="38" t="s">
        <v>278</v>
      </c>
      <c r="K2" s="39" t="s">
        <v>279</v>
      </c>
      <c r="L2" s="39" t="s">
        <v>281</v>
      </c>
      <c r="M2" s="39" t="s">
        <v>280</v>
      </c>
      <c r="N2" s="47"/>
      <c r="O2" s="47"/>
    </row>
    <row r="3" spans="1:15" ht="15" customHeight="1" x14ac:dyDescent="0.25">
      <c r="A3" s="10">
        <v>1</v>
      </c>
      <c r="B3" s="44">
        <v>14111507</v>
      </c>
      <c r="C3" s="45" t="s">
        <v>270</v>
      </c>
      <c r="D3" s="27" t="s">
        <v>75</v>
      </c>
      <c r="E3" s="11" t="s">
        <v>34</v>
      </c>
      <c r="F3" s="11" t="s">
        <v>76</v>
      </c>
      <c r="G3" s="41">
        <f t="shared" ref="G3:G37" si="0">SUM(H3:M3)</f>
        <v>3</v>
      </c>
      <c r="H3" s="9">
        <v>0</v>
      </c>
      <c r="I3" s="9">
        <v>0</v>
      </c>
      <c r="J3" s="9">
        <v>1</v>
      </c>
      <c r="K3" s="9">
        <v>0</v>
      </c>
      <c r="L3" s="9">
        <v>1</v>
      </c>
      <c r="M3" s="9">
        <v>1</v>
      </c>
      <c r="N3" s="46">
        <v>3</v>
      </c>
      <c r="O3" s="46" t="s">
        <v>294</v>
      </c>
    </row>
    <row r="4" spans="1:15" ht="15" customHeight="1" x14ac:dyDescent="0.25">
      <c r="A4" s="10">
        <v>2</v>
      </c>
      <c r="B4" s="44">
        <v>14111530</v>
      </c>
      <c r="C4" s="45" t="s">
        <v>47</v>
      </c>
      <c r="D4" s="27" t="s">
        <v>48</v>
      </c>
      <c r="E4" s="11" t="s">
        <v>34</v>
      </c>
      <c r="F4" s="11" t="s">
        <v>49</v>
      </c>
      <c r="G4" s="41">
        <f t="shared" si="0"/>
        <v>6</v>
      </c>
      <c r="H4" s="9">
        <v>1</v>
      </c>
      <c r="I4" s="9">
        <v>1</v>
      </c>
      <c r="J4" s="9">
        <v>1</v>
      </c>
      <c r="K4" s="9">
        <v>1</v>
      </c>
      <c r="L4" s="9">
        <v>1</v>
      </c>
      <c r="M4" s="9">
        <v>1</v>
      </c>
      <c r="N4" s="46">
        <v>3</v>
      </c>
      <c r="O4" s="46" t="s">
        <v>293</v>
      </c>
    </row>
    <row r="5" spans="1:15" ht="15" customHeight="1" x14ac:dyDescent="0.25">
      <c r="A5" s="10">
        <v>3</v>
      </c>
      <c r="B5" s="44">
        <v>14111514</v>
      </c>
      <c r="C5" s="52" t="s">
        <v>135</v>
      </c>
      <c r="D5" s="27" t="s">
        <v>136</v>
      </c>
      <c r="E5" s="11" t="s">
        <v>34</v>
      </c>
      <c r="F5" s="11" t="s">
        <v>137</v>
      </c>
      <c r="G5" s="41">
        <f t="shared" si="0"/>
        <v>12</v>
      </c>
      <c r="H5" s="9">
        <v>2</v>
      </c>
      <c r="I5" s="9">
        <v>2</v>
      </c>
      <c r="J5" s="9">
        <v>2</v>
      </c>
      <c r="K5" s="9">
        <v>2</v>
      </c>
      <c r="L5" s="9">
        <v>2</v>
      </c>
      <c r="M5" s="9">
        <v>2</v>
      </c>
      <c r="N5" s="46" t="s">
        <v>282</v>
      </c>
      <c r="O5" s="46" t="s">
        <v>282</v>
      </c>
    </row>
    <row r="6" spans="1:15" ht="15" customHeight="1" x14ac:dyDescent="0.25">
      <c r="A6" s="10">
        <v>4</v>
      </c>
      <c r="B6" s="44">
        <v>14121503</v>
      </c>
      <c r="C6" s="52" t="s">
        <v>64</v>
      </c>
      <c r="D6" s="27" t="s">
        <v>65</v>
      </c>
      <c r="E6" s="11" t="s">
        <v>34</v>
      </c>
      <c r="F6" s="11" t="s">
        <v>61</v>
      </c>
      <c r="G6" s="41">
        <f t="shared" si="0"/>
        <v>8</v>
      </c>
      <c r="H6" s="9">
        <v>0</v>
      </c>
      <c r="I6" s="9">
        <v>0</v>
      </c>
      <c r="J6" s="9">
        <v>8</v>
      </c>
      <c r="K6" s="9">
        <v>0</v>
      </c>
      <c r="L6" s="9">
        <v>0</v>
      </c>
      <c r="M6" s="9">
        <v>0</v>
      </c>
    </row>
    <row r="7" spans="1:15" ht="15" customHeight="1" x14ac:dyDescent="0.25">
      <c r="A7" s="10">
        <v>5</v>
      </c>
      <c r="B7" s="44">
        <v>14111519</v>
      </c>
      <c r="C7" s="45" t="s">
        <v>66</v>
      </c>
      <c r="D7" s="27" t="s">
        <v>67</v>
      </c>
      <c r="E7" s="11" t="s">
        <v>267</v>
      </c>
      <c r="F7" s="11" t="s">
        <v>68</v>
      </c>
      <c r="G7" s="41">
        <f t="shared" si="0"/>
        <v>18</v>
      </c>
      <c r="H7" s="9">
        <v>3</v>
      </c>
      <c r="I7" s="9">
        <v>3</v>
      </c>
      <c r="J7" s="9">
        <v>3</v>
      </c>
      <c r="K7" s="9">
        <v>3</v>
      </c>
      <c r="L7" s="9">
        <v>3</v>
      </c>
      <c r="M7" s="9">
        <v>3</v>
      </c>
      <c r="N7" s="46">
        <v>8</v>
      </c>
      <c r="O7" s="46" t="s">
        <v>285</v>
      </c>
    </row>
    <row r="8" spans="1:15" ht="15" customHeight="1" x14ac:dyDescent="0.25">
      <c r="A8" s="10">
        <v>6</v>
      </c>
      <c r="B8" s="44">
        <v>14111525</v>
      </c>
      <c r="C8" s="45" t="s">
        <v>69</v>
      </c>
      <c r="D8" s="27" t="s">
        <v>70</v>
      </c>
      <c r="E8" s="11" t="s">
        <v>34</v>
      </c>
      <c r="F8" s="11" t="s">
        <v>61</v>
      </c>
      <c r="G8" s="41">
        <f t="shared" si="0"/>
        <v>60</v>
      </c>
      <c r="H8" s="9">
        <v>10</v>
      </c>
      <c r="I8" s="9">
        <v>10</v>
      </c>
      <c r="J8" s="9">
        <v>10</v>
      </c>
      <c r="K8" s="9">
        <v>10</v>
      </c>
      <c r="L8" s="9">
        <v>10</v>
      </c>
      <c r="M8" s="9">
        <v>10</v>
      </c>
      <c r="N8" s="46">
        <v>60</v>
      </c>
      <c r="O8" s="46" t="s">
        <v>284</v>
      </c>
    </row>
    <row r="9" spans="1:15" ht="15" customHeight="1" x14ac:dyDescent="0.25">
      <c r="A9" s="10">
        <v>7</v>
      </c>
      <c r="B9" s="44">
        <v>14111530</v>
      </c>
      <c r="C9" s="45" t="s">
        <v>77</v>
      </c>
      <c r="D9" s="27" t="s">
        <v>78</v>
      </c>
      <c r="E9" s="11" t="s">
        <v>34</v>
      </c>
      <c r="F9" s="11" t="s">
        <v>79</v>
      </c>
      <c r="G9" s="41">
        <f t="shared" si="0"/>
        <v>1</v>
      </c>
      <c r="H9" s="9">
        <v>0</v>
      </c>
      <c r="I9" s="9">
        <v>0</v>
      </c>
      <c r="J9" s="9">
        <v>1</v>
      </c>
      <c r="K9" s="9">
        <v>0</v>
      </c>
      <c r="L9" s="9">
        <v>0</v>
      </c>
      <c r="M9" s="9">
        <v>0</v>
      </c>
      <c r="N9" s="46">
        <v>1</v>
      </c>
      <c r="O9" s="46" t="s">
        <v>283</v>
      </c>
    </row>
    <row r="10" spans="1:15" ht="15" customHeight="1" x14ac:dyDescent="0.25">
      <c r="A10" s="10">
        <v>8</v>
      </c>
      <c r="B10" s="44">
        <v>44122010</v>
      </c>
      <c r="C10" s="45" t="s">
        <v>115</v>
      </c>
      <c r="D10" s="27" t="s">
        <v>116</v>
      </c>
      <c r="E10" s="11" t="s">
        <v>34</v>
      </c>
      <c r="F10" s="11" t="s">
        <v>117</v>
      </c>
      <c r="G10" s="41">
        <f t="shared" si="0"/>
        <v>24</v>
      </c>
      <c r="H10" s="9">
        <v>0</v>
      </c>
      <c r="I10" s="9">
        <v>0</v>
      </c>
      <c r="J10" s="9">
        <v>8</v>
      </c>
      <c r="K10" s="9">
        <v>0</v>
      </c>
      <c r="L10" s="9">
        <v>8</v>
      </c>
      <c r="M10" s="9">
        <v>8</v>
      </c>
      <c r="N10" s="46">
        <v>15</v>
      </c>
      <c r="O10" s="46" t="s">
        <v>286</v>
      </c>
    </row>
    <row r="11" spans="1:15" ht="15" customHeight="1" x14ac:dyDescent="0.25">
      <c r="A11" s="10">
        <v>9</v>
      </c>
      <c r="B11" s="44">
        <v>44122003</v>
      </c>
      <c r="C11" s="45" t="s">
        <v>35</v>
      </c>
      <c r="D11" s="27" t="s">
        <v>36</v>
      </c>
      <c r="E11" s="11" t="s">
        <v>34</v>
      </c>
      <c r="F11" s="11" t="s">
        <v>34</v>
      </c>
      <c r="G11" s="41">
        <f t="shared" si="0"/>
        <v>24</v>
      </c>
      <c r="H11" s="9">
        <v>0</v>
      </c>
      <c r="I11" s="9">
        <v>0</v>
      </c>
      <c r="J11" s="9">
        <v>8</v>
      </c>
      <c r="K11" s="9">
        <v>0</v>
      </c>
      <c r="L11" s="9">
        <v>8</v>
      </c>
      <c r="M11" s="9">
        <v>8</v>
      </c>
      <c r="N11" s="46">
        <v>24</v>
      </c>
      <c r="O11" s="46" t="s">
        <v>286</v>
      </c>
    </row>
    <row r="12" spans="1:15" ht="15" customHeight="1" x14ac:dyDescent="0.25">
      <c r="A12" s="10">
        <v>10</v>
      </c>
      <c r="B12" s="44">
        <v>44122003</v>
      </c>
      <c r="C12" s="48" t="s">
        <v>275</v>
      </c>
      <c r="D12" s="27" t="s">
        <v>274</v>
      </c>
      <c r="E12" s="11" t="s">
        <v>34</v>
      </c>
      <c r="F12" s="11" t="s">
        <v>120</v>
      </c>
      <c r="G12" s="41">
        <f t="shared" si="0"/>
        <v>1</v>
      </c>
      <c r="H12" s="9">
        <v>0</v>
      </c>
      <c r="I12" s="9">
        <v>0</v>
      </c>
      <c r="J12" s="9">
        <v>1</v>
      </c>
      <c r="K12" s="9">
        <v>0</v>
      </c>
      <c r="L12" s="9">
        <v>0</v>
      </c>
      <c r="M12" s="9">
        <v>0</v>
      </c>
      <c r="N12" s="46" t="s">
        <v>282</v>
      </c>
      <c r="O12" s="46" t="s">
        <v>282</v>
      </c>
    </row>
    <row r="13" spans="1:15" ht="15" customHeight="1" x14ac:dyDescent="0.25">
      <c r="A13" s="10">
        <v>11</v>
      </c>
      <c r="B13" s="44">
        <v>14111518</v>
      </c>
      <c r="C13" s="52" t="s">
        <v>118</v>
      </c>
      <c r="D13" s="27" t="s">
        <v>119</v>
      </c>
      <c r="E13" s="11" t="s">
        <v>34</v>
      </c>
      <c r="F13" s="11" t="s">
        <v>120</v>
      </c>
      <c r="G13" s="41">
        <f t="shared" si="0"/>
        <v>6</v>
      </c>
      <c r="H13" s="9">
        <v>1</v>
      </c>
      <c r="I13" s="9">
        <v>1</v>
      </c>
      <c r="J13" s="9">
        <v>1</v>
      </c>
      <c r="K13" s="9">
        <v>1</v>
      </c>
      <c r="L13" s="9">
        <v>1</v>
      </c>
      <c r="M13" s="9">
        <v>1</v>
      </c>
      <c r="N13" s="46" t="s">
        <v>282</v>
      </c>
      <c r="O13" s="46" t="s">
        <v>282</v>
      </c>
    </row>
    <row r="14" spans="1:15" ht="15" customHeight="1" x14ac:dyDescent="0.25">
      <c r="A14" s="10">
        <v>12</v>
      </c>
      <c r="B14" s="44">
        <v>60121113</v>
      </c>
      <c r="C14" s="52" t="s">
        <v>298</v>
      </c>
      <c r="D14" s="27" t="s">
        <v>81</v>
      </c>
      <c r="E14" s="11" t="s">
        <v>34</v>
      </c>
      <c r="F14" s="11" t="s">
        <v>61</v>
      </c>
      <c r="G14" s="41">
        <f t="shared" si="0"/>
        <v>15</v>
      </c>
      <c r="H14" s="9">
        <v>0</v>
      </c>
      <c r="I14" s="9">
        <v>0</v>
      </c>
      <c r="J14" s="9">
        <v>5</v>
      </c>
      <c r="K14" s="9">
        <v>0</v>
      </c>
      <c r="L14" s="9">
        <v>5</v>
      </c>
      <c r="M14" s="9">
        <v>5</v>
      </c>
      <c r="N14" s="46" t="s">
        <v>282</v>
      </c>
      <c r="O14" s="46" t="s">
        <v>282</v>
      </c>
    </row>
    <row r="15" spans="1:15" ht="15" customHeight="1" x14ac:dyDescent="0.25">
      <c r="A15" s="10">
        <v>13</v>
      </c>
      <c r="B15" s="44">
        <v>14121600</v>
      </c>
      <c r="C15" s="52" t="s">
        <v>87</v>
      </c>
      <c r="D15" s="27" t="s">
        <v>88</v>
      </c>
      <c r="E15" s="11" t="s">
        <v>34</v>
      </c>
      <c r="F15" s="11" t="s">
        <v>61</v>
      </c>
      <c r="G15" s="41">
        <f t="shared" si="0"/>
        <v>120</v>
      </c>
      <c r="H15" s="9">
        <v>20</v>
      </c>
      <c r="I15" s="9">
        <v>20</v>
      </c>
      <c r="J15" s="9">
        <v>20</v>
      </c>
      <c r="K15" s="9">
        <v>20</v>
      </c>
      <c r="L15" s="9">
        <v>20</v>
      </c>
      <c r="M15" s="9">
        <v>20</v>
      </c>
      <c r="N15" s="46" t="s">
        <v>282</v>
      </c>
      <c r="O15" s="46" t="s">
        <v>282</v>
      </c>
    </row>
    <row r="16" spans="1:15" ht="15" customHeight="1" x14ac:dyDescent="0.25">
      <c r="A16" s="10">
        <v>14</v>
      </c>
      <c r="B16" s="44">
        <v>13111307</v>
      </c>
      <c r="C16" s="45" t="s">
        <v>109</v>
      </c>
      <c r="D16" s="27" t="s">
        <v>110</v>
      </c>
      <c r="E16" s="11" t="s">
        <v>34</v>
      </c>
      <c r="F16" s="11" t="s">
        <v>111</v>
      </c>
      <c r="G16" s="41">
        <f t="shared" si="0"/>
        <v>18</v>
      </c>
      <c r="H16" s="9">
        <v>3</v>
      </c>
      <c r="I16" s="9">
        <v>3</v>
      </c>
      <c r="J16" s="9">
        <v>3</v>
      </c>
      <c r="K16" s="9">
        <v>3</v>
      </c>
      <c r="L16" s="9">
        <v>3</v>
      </c>
      <c r="M16" s="9">
        <v>3</v>
      </c>
      <c r="N16" s="46">
        <v>18</v>
      </c>
    </row>
    <row r="17" spans="1:15" ht="31.5" customHeight="1" x14ac:dyDescent="0.25">
      <c r="A17" s="10">
        <v>15</v>
      </c>
      <c r="B17" s="44">
        <v>49181500</v>
      </c>
      <c r="C17" s="45" t="s">
        <v>112</v>
      </c>
      <c r="D17" s="27" t="s">
        <v>113</v>
      </c>
      <c r="E17" s="11" t="s">
        <v>34</v>
      </c>
      <c r="F17" s="11" t="s">
        <v>114</v>
      </c>
      <c r="G17" s="41">
        <f t="shared" si="0"/>
        <v>6</v>
      </c>
      <c r="H17" s="36">
        <v>1</v>
      </c>
      <c r="I17" s="36">
        <v>1</v>
      </c>
      <c r="J17" s="36">
        <v>1</v>
      </c>
      <c r="K17" s="36">
        <v>1</v>
      </c>
      <c r="L17" s="36">
        <v>1</v>
      </c>
      <c r="M17" s="36">
        <v>1</v>
      </c>
      <c r="N17" s="51" t="s">
        <v>288</v>
      </c>
      <c r="O17" s="51" t="s">
        <v>288</v>
      </c>
    </row>
    <row r="18" spans="1:15" ht="29.25" customHeight="1" x14ac:dyDescent="0.25">
      <c r="A18" s="10">
        <v>16</v>
      </c>
      <c r="B18" s="44">
        <v>31201610</v>
      </c>
      <c r="C18" s="45" t="s">
        <v>100</v>
      </c>
      <c r="D18" s="27" t="s">
        <v>101</v>
      </c>
      <c r="E18" s="11" t="s">
        <v>34</v>
      </c>
      <c r="F18" s="11" t="s">
        <v>102</v>
      </c>
      <c r="G18" s="41">
        <f t="shared" si="0"/>
        <v>4</v>
      </c>
      <c r="H18" s="9">
        <v>1</v>
      </c>
      <c r="I18" s="9">
        <v>0</v>
      </c>
      <c r="J18" s="9">
        <v>1</v>
      </c>
      <c r="K18" s="9">
        <v>0</v>
      </c>
      <c r="L18" s="9">
        <v>1</v>
      </c>
      <c r="M18" s="9">
        <v>1</v>
      </c>
      <c r="N18" s="46">
        <v>1</v>
      </c>
      <c r="O18" s="50" t="s">
        <v>287</v>
      </c>
    </row>
    <row r="19" spans="1:15" ht="29.25" customHeight="1" x14ac:dyDescent="0.25">
      <c r="A19" s="10">
        <v>17</v>
      </c>
      <c r="B19" s="44">
        <v>31201610</v>
      </c>
      <c r="C19" s="45" t="s">
        <v>103</v>
      </c>
      <c r="D19" s="27" t="s">
        <v>104</v>
      </c>
      <c r="E19" s="11" t="s">
        <v>34</v>
      </c>
      <c r="F19" s="11" t="s">
        <v>105</v>
      </c>
      <c r="G19" s="41">
        <f t="shared" si="0"/>
        <v>1</v>
      </c>
      <c r="H19" s="9">
        <v>0</v>
      </c>
      <c r="I19" s="9">
        <v>0</v>
      </c>
      <c r="J19" s="9">
        <v>1</v>
      </c>
      <c r="K19" s="9">
        <v>0</v>
      </c>
      <c r="L19" s="9">
        <v>0</v>
      </c>
      <c r="M19" s="9">
        <v>0</v>
      </c>
      <c r="N19" s="46">
        <v>1</v>
      </c>
      <c r="O19" s="49" t="s">
        <v>287</v>
      </c>
    </row>
    <row r="20" spans="1:15" ht="15" customHeight="1" x14ac:dyDescent="0.25">
      <c r="A20" s="10">
        <v>18</v>
      </c>
      <c r="B20" s="44">
        <v>12352310</v>
      </c>
      <c r="C20" s="27" t="s">
        <v>106</v>
      </c>
      <c r="D20" s="27" t="s">
        <v>107</v>
      </c>
      <c r="E20" s="11" t="s">
        <v>34</v>
      </c>
      <c r="F20" s="11" t="s">
        <v>108</v>
      </c>
      <c r="G20" s="41">
        <f t="shared" si="0"/>
        <v>4</v>
      </c>
      <c r="H20" s="36">
        <v>1</v>
      </c>
      <c r="I20" s="36">
        <v>0</v>
      </c>
      <c r="J20" s="36">
        <v>1</v>
      </c>
      <c r="K20" s="9">
        <v>0</v>
      </c>
      <c r="L20" s="9">
        <v>1</v>
      </c>
      <c r="M20" s="9">
        <v>1</v>
      </c>
      <c r="N20" s="46" t="s">
        <v>282</v>
      </c>
      <c r="O20" s="46" t="s">
        <v>282</v>
      </c>
    </row>
    <row r="21" spans="1:15" ht="15" customHeight="1" x14ac:dyDescent="0.25">
      <c r="A21" s="10">
        <v>19</v>
      </c>
      <c r="B21" s="44">
        <v>44121708</v>
      </c>
      <c r="C21" s="45" t="s">
        <v>121</v>
      </c>
      <c r="D21" s="27" t="s">
        <v>122</v>
      </c>
      <c r="E21" s="11" t="s">
        <v>34</v>
      </c>
      <c r="F21" s="11" t="s">
        <v>123</v>
      </c>
      <c r="G21" s="41">
        <f t="shared" si="0"/>
        <v>3</v>
      </c>
      <c r="H21" s="9">
        <v>1</v>
      </c>
      <c r="I21" s="9">
        <v>0</v>
      </c>
      <c r="J21" s="9">
        <v>0</v>
      </c>
      <c r="K21" s="9">
        <v>0</v>
      </c>
      <c r="L21" s="9">
        <v>1</v>
      </c>
      <c r="M21" s="9">
        <v>1</v>
      </c>
      <c r="N21" s="46">
        <v>1</v>
      </c>
      <c r="O21" s="46" t="s">
        <v>297</v>
      </c>
    </row>
    <row r="22" spans="1:15" ht="15" customHeight="1" x14ac:dyDescent="0.25">
      <c r="A22" s="10">
        <v>20</v>
      </c>
      <c r="B22" s="44">
        <v>43202000</v>
      </c>
      <c r="C22" s="45" t="s">
        <v>188</v>
      </c>
      <c r="D22" s="27" t="s">
        <v>188</v>
      </c>
      <c r="E22" s="11" t="s">
        <v>34</v>
      </c>
      <c r="F22" s="11" t="s">
        <v>34</v>
      </c>
      <c r="G22" s="41">
        <f t="shared" si="0"/>
        <v>3</v>
      </c>
      <c r="H22" s="9">
        <v>1</v>
      </c>
      <c r="I22" s="9">
        <v>1</v>
      </c>
      <c r="J22" s="9">
        <v>0</v>
      </c>
      <c r="K22" s="9">
        <v>1</v>
      </c>
      <c r="L22" s="9">
        <v>0</v>
      </c>
      <c r="M22" s="9">
        <v>0</v>
      </c>
      <c r="N22" s="46">
        <v>3</v>
      </c>
      <c r="O22" s="53" t="s">
        <v>289</v>
      </c>
    </row>
    <row r="23" spans="1:15" ht="15" customHeight="1" x14ac:dyDescent="0.25">
      <c r="A23" s="10">
        <v>21</v>
      </c>
      <c r="B23" s="44">
        <v>44121708</v>
      </c>
      <c r="C23" s="27" t="s">
        <v>206</v>
      </c>
      <c r="D23" s="27" t="s">
        <v>207</v>
      </c>
      <c r="E23" s="11" t="s">
        <v>34</v>
      </c>
      <c r="F23" s="11" t="s">
        <v>208</v>
      </c>
      <c r="G23" s="41">
        <f t="shared" si="0"/>
        <v>6</v>
      </c>
      <c r="H23" s="9">
        <v>1</v>
      </c>
      <c r="I23" s="9">
        <v>1</v>
      </c>
      <c r="J23" s="9">
        <v>1</v>
      </c>
      <c r="K23" s="9">
        <v>1</v>
      </c>
      <c r="L23" s="9">
        <v>1</v>
      </c>
      <c r="M23" s="9">
        <v>1</v>
      </c>
      <c r="N23" s="46" t="s">
        <v>282</v>
      </c>
      <c r="O23" s="46" t="s">
        <v>282</v>
      </c>
    </row>
    <row r="24" spans="1:15" ht="15" customHeight="1" x14ac:dyDescent="0.25">
      <c r="A24" s="10">
        <v>22</v>
      </c>
      <c r="B24" s="44">
        <v>44121708</v>
      </c>
      <c r="C24" s="27" t="s">
        <v>232</v>
      </c>
      <c r="D24" s="27" t="s">
        <v>233</v>
      </c>
      <c r="E24" s="11" t="s">
        <v>34</v>
      </c>
      <c r="F24" s="11" t="s">
        <v>272</v>
      </c>
      <c r="G24" s="41">
        <f t="shared" si="0"/>
        <v>1</v>
      </c>
      <c r="H24" s="9">
        <v>1</v>
      </c>
      <c r="I24" s="9">
        <v>0</v>
      </c>
      <c r="J24" s="9">
        <v>0</v>
      </c>
      <c r="K24" s="9">
        <v>0</v>
      </c>
      <c r="L24" s="9">
        <v>0</v>
      </c>
      <c r="M24" s="9">
        <v>0</v>
      </c>
      <c r="N24" s="46">
        <v>2</v>
      </c>
      <c r="O24" s="46" t="s">
        <v>290</v>
      </c>
    </row>
    <row r="25" spans="1:15" ht="15" customHeight="1" x14ac:dyDescent="0.25">
      <c r="A25" s="10">
        <v>23</v>
      </c>
      <c r="B25" s="44">
        <v>44121804</v>
      </c>
      <c r="C25" s="27" t="s">
        <v>209</v>
      </c>
      <c r="D25" s="27" t="s">
        <v>210</v>
      </c>
      <c r="E25" s="11" t="s">
        <v>34</v>
      </c>
      <c r="F25" s="11" t="s">
        <v>211</v>
      </c>
      <c r="G25" s="41">
        <f t="shared" si="0"/>
        <v>6</v>
      </c>
      <c r="H25" s="9">
        <v>1</v>
      </c>
      <c r="I25" s="9">
        <v>1</v>
      </c>
      <c r="J25" s="9">
        <v>1</v>
      </c>
      <c r="K25" s="9">
        <v>1</v>
      </c>
      <c r="L25" s="9">
        <v>1</v>
      </c>
      <c r="M25" s="9">
        <v>1</v>
      </c>
      <c r="N25" s="46">
        <v>6</v>
      </c>
      <c r="O25" s="46" t="s">
        <v>291</v>
      </c>
    </row>
    <row r="26" spans="1:15" ht="15" customHeight="1" x14ac:dyDescent="0.25">
      <c r="A26" s="10">
        <v>24</v>
      </c>
      <c r="B26" s="44">
        <v>43232503</v>
      </c>
      <c r="C26" s="27" t="s">
        <v>228</v>
      </c>
      <c r="D26" s="27" t="s">
        <v>269</v>
      </c>
      <c r="E26" s="11" t="s">
        <v>34</v>
      </c>
      <c r="F26" s="11" t="s">
        <v>34</v>
      </c>
      <c r="G26" s="41">
        <f t="shared" si="0"/>
        <v>3</v>
      </c>
      <c r="H26" s="9">
        <v>0</v>
      </c>
      <c r="I26" s="9">
        <v>0</v>
      </c>
      <c r="J26" s="9">
        <v>1</v>
      </c>
      <c r="K26" s="9">
        <v>0</v>
      </c>
      <c r="L26" s="9">
        <v>1</v>
      </c>
      <c r="M26" s="9">
        <v>1</v>
      </c>
      <c r="N26" s="46" t="s">
        <v>282</v>
      </c>
      <c r="O26" s="46" t="s">
        <v>282</v>
      </c>
    </row>
    <row r="27" spans="1:15" ht="15" customHeight="1" x14ac:dyDescent="0.25">
      <c r="A27" s="10">
        <v>25</v>
      </c>
      <c r="B27" s="44">
        <v>31201503</v>
      </c>
      <c r="C27" s="27" t="s">
        <v>271</v>
      </c>
      <c r="D27" s="27" t="s">
        <v>231</v>
      </c>
      <c r="E27" s="11" t="s">
        <v>34</v>
      </c>
      <c r="F27" s="11" t="s">
        <v>34</v>
      </c>
      <c r="G27" s="41">
        <f t="shared" si="0"/>
        <v>3</v>
      </c>
      <c r="H27" s="9">
        <v>0</v>
      </c>
      <c r="I27" s="9">
        <v>0</v>
      </c>
      <c r="J27" s="9">
        <v>1</v>
      </c>
      <c r="K27" s="9">
        <v>0</v>
      </c>
      <c r="L27" s="9">
        <v>1</v>
      </c>
      <c r="M27" s="9">
        <v>1</v>
      </c>
      <c r="N27" s="46" t="s">
        <v>282</v>
      </c>
      <c r="O27" s="46" t="s">
        <v>282</v>
      </c>
    </row>
    <row r="28" spans="1:15" ht="15" customHeight="1" x14ac:dyDescent="0.25">
      <c r="A28" s="10">
        <v>26</v>
      </c>
      <c r="B28" s="44">
        <v>31201505</v>
      </c>
      <c r="C28" s="27" t="s">
        <v>226</v>
      </c>
      <c r="D28" s="27" t="s">
        <v>227</v>
      </c>
      <c r="E28" s="11" t="s">
        <v>34</v>
      </c>
      <c r="F28" s="11" t="s">
        <v>91</v>
      </c>
      <c r="G28" s="41">
        <f t="shared" si="0"/>
        <v>3</v>
      </c>
      <c r="H28" s="40">
        <v>0</v>
      </c>
      <c r="I28" s="40">
        <v>0</v>
      </c>
      <c r="J28" s="9">
        <v>1</v>
      </c>
      <c r="K28" s="40">
        <v>0</v>
      </c>
      <c r="L28" s="9">
        <v>1</v>
      </c>
      <c r="M28" s="9">
        <v>1</v>
      </c>
      <c r="N28" s="46" t="s">
        <v>282</v>
      </c>
      <c r="O28" s="46" t="s">
        <v>282</v>
      </c>
    </row>
    <row r="29" spans="1:15" ht="15" customHeight="1" x14ac:dyDescent="0.25">
      <c r="A29" s="10">
        <v>27</v>
      </c>
      <c r="B29" s="44">
        <v>31201610</v>
      </c>
      <c r="C29" s="27" t="s">
        <v>252</v>
      </c>
      <c r="D29" s="27" t="s">
        <v>253</v>
      </c>
      <c r="E29" s="11" t="s">
        <v>34</v>
      </c>
      <c r="F29" s="11" t="s">
        <v>34</v>
      </c>
      <c r="G29" s="41">
        <f t="shared" si="0"/>
        <v>12</v>
      </c>
      <c r="H29" s="9">
        <v>2</v>
      </c>
      <c r="I29" s="9">
        <v>2</v>
      </c>
      <c r="J29" s="9">
        <v>2</v>
      </c>
      <c r="K29" s="9">
        <v>2</v>
      </c>
      <c r="L29" s="9">
        <v>2</v>
      </c>
      <c r="M29" s="9">
        <v>2</v>
      </c>
      <c r="N29" s="46" t="s">
        <v>282</v>
      </c>
      <c r="O29" s="46" t="s">
        <v>282</v>
      </c>
    </row>
    <row r="30" spans="1:15" ht="15" customHeight="1" x14ac:dyDescent="0.25">
      <c r="A30" s="10">
        <v>28</v>
      </c>
      <c r="B30" s="44">
        <v>60111400</v>
      </c>
      <c r="C30" s="27" t="s">
        <v>53</v>
      </c>
      <c r="D30" s="27" t="s">
        <v>54</v>
      </c>
      <c r="E30" s="11" t="s">
        <v>267</v>
      </c>
      <c r="F30" s="11" t="s">
        <v>265</v>
      </c>
      <c r="G30" s="41">
        <f t="shared" si="0"/>
        <v>3</v>
      </c>
      <c r="H30" s="9">
        <v>0</v>
      </c>
      <c r="I30" s="9">
        <v>0</v>
      </c>
      <c r="J30" s="9">
        <v>3</v>
      </c>
      <c r="K30" s="9">
        <v>0</v>
      </c>
      <c r="L30" s="9">
        <v>0</v>
      </c>
      <c r="M30" s="9">
        <v>0</v>
      </c>
      <c r="N30" s="46" t="s">
        <v>282</v>
      </c>
      <c r="O30" s="46" t="s">
        <v>282</v>
      </c>
    </row>
    <row r="31" spans="1:15" ht="15" customHeight="1" x14ac:dyDescent="0.25">
      <c r="A31" s="10">
        <v>29</v>
      </c>
      <c r="B31" s="44">
        <v>60111400</v>
      </c>
      <c r="C31" s="27" t="s">
        <v>56</v>
      </c>
      <c r="D31" s="27" t="s">
        <v>57</v>
      </c>
      <c r="E31" s="11" t="s">
        <v>267</v>
      </c>
      <c r="F31" s="11" t="s">
        <v>266</v>
      </c>
      <c r="G31" s="41">
        <f t="shared" si="0"/>
        <v>3</v>
      </c>
      <c r="H31" s="9">
        <v>0</v>
      </c>
      <c r="I31" s="9">
        <v>0</v>
      </c>
      <c r="J31" s="9">
        <v>1</v>
      </c>
      <c r="K31" s="9">
        <v>0</v>
      </c>
      <c r="L31" s="9">
        <v>1</v>
      </c>
      <c r="M31" s="9">
        <v>1</v>
      </c>
      <c r="N31" s="46" t="s">
        <v>282</v>
      </c>
      <c r="O31" s="46" t="s">
        <v>282</v>
      </c>
    </row>
    <row r="32" spans="1:15" ht="15" customHeight="1" x14ac:dyDescent="0.25">
      <c r="A32" s="10">
        <v>30</v>
      </c>
      <c r="B32" s="44">
        <v>4516005</v>
      </c>
      <c r="C32" s="27" t="s">
        <v>268</v>
      </c>
      <c r="D32" s="27" t="s">
        <v>177</v>
      </c>
      <c r="E32" s="11" t="s">
        <v>34</v>
      </c>
      <c r="F32" s="11" t="s">
        <v>34</v>
      </c>
      <c r="G32" s="41">
        <f t="shared" si="0"/>
        <v>3</v>
      </c>
      <c r="H32" s="9">
        <v>0</v>
      </c>
      <c r="I32" s="9">
        <v>0</v>
      </c>
      <c r="J32" s="9">
        <v>1</v>
      </c>
      <c r="K32" s="9">
        <v>0</v>
      </c>
      <c r="L32" s="9">
        <v>1</v>
      </c>
      <c r="M32" s="9">
        <v>1</v>
      </c>
      <c r="N32" s="46" t="s">
        <v>282</v>
      </c>
      <c r="O32" s="46" t="s">
        <v>282</v>
      </c>
    </row>
    <row r="33" spans="1:15" ht="15" customHeight="1" x14ac:dyDescent="0.25">
      <c r="A33" s="10">
        <v>31</v>
      </c>
      <c r="B33" s="44">
        <v>60101405</v>
      </c>
      <c r="C33" s="27" t="s">
        <v>254</v>
      </c>
      <c r="D33" s="27" t="s">
        <v>255</v>
      </c>
      <c r="E33" s="11" t="s">
        <v>34</v>
      </c>
      <c r="F33" s="11" t="s">
        <v>34</v>
      </c>
      <c r="G33" s="41">
        <f t="shared" si="0"/>
        <v>75</v>
      </c>
      <c r="H33" s="9">
        <v>0</v>
      </c>
      <c r="I33" s="9">
        <v>0</v>
      </c>
      <c r="J33" s="9">
        <v>25</v>
      </c>
      <c r="K33" s="9">
        <v>0</v>
      </c>
      <c r="L33" s="9">
        <v>25</v>
      </c>
      <c r="M33" s="9">
        <v>25</v>
      </c>
      <c r="N33" s="46" t="s">
        <v>282</v>
      </c>
      <c r="O33" s="46" t="s">
        <v>282</v>
      </c>
    </row>
    <row r="34" spans="1:15" ht="15" customHeight="1" x14ac:dyDescent="0.25">
      <c r="A34" s="10">
        <v>32</v>
      </c>
      <c r="B34" s="44">
        <v>11151608</v>
      </c>
      <c r="C34" s="27" t="s">
        <v>124</v>
      </c>
      <c r="D34" s="27" t="s">
        <v>125</v>
      </c>
      <c r="E34" s="11" t="s">
        <v>34</v>
      </c>
      <c r="F34" s="11" t="s">
        <v>126</v>
      </c>
      <c r="G34" s="41">
        <f t="shared" si="0"/>
        <v>6</v>
      </c>
      <c r="H34" s="9">
        <v>1</v>
      </c>
      <c r="I34" s="9">
        <v>1</v>
      </c>
      <c r="J34" s="9">
        <v>1</v>
      </c>
      <c r="K34" s="9">
        <v>1</v>
      </c>
      <c r="L34" s="9">
        <v>1</v>
      </c>
      <c r="M34" s="9">
        <v>1</v>
      </c>
      <c r="N34" s="46" t="s">
        <v>282</v>
      </c>
      <c r="O34" s="46" t="s">
        <v>282</v>
      </c>
    </row>
    <row r="35" spans="1:15" ht="15" customHeight="1" x14ac:dyDescent="0.25">
      <c r="A35" s="10">
        <v>33</v>
      </c>
      <c r="B35" s="44">
        <v>60110000</v>
      </c>
      <c r="C35" s="27" t="s">
        <v>130</v>
      </c>
      <c r="D35" s="27" t="s">
        <v>131</v>
      </c>
      <c r="E35" s="11" t="s">
        <v>34</v>
      </c>
      <c r="F35" s="11" t="s">
        <v>132</v>
      </c>
      <c r="G35" s="41">
        <f t="shared" si="0"/>
        <v>6</v>
      </c>
      <c r="H35" s="9">
        <v>1</v>
      </c>
      <c r="I35" s="9">
        <v>1</v>
      </c>
      <c r="J35" s="9">
        <v>1</v>
      </c>
      <c r="K35" s="9">
        <v>1</v>
      </c>
      <c r="L35" s="9">
        <v>1</v>
      </c>
      <c r="M35" s="9">
        <v>1</v>
      </c>
      <c r="N35" s="46" t="s">
        <v>282</v>
      </c>
      <c r="O35" s="46" t="s">
        <v>282</v>
      </c>
    </row>
    <row r="36" spans="1:15" ht="15" customHeight="1" x14ac:dyDescent="0.25">
      <c r="A36" s="10">
        <v>34</v>
      </c>
      <c r="B36" s="44">
        <v>60102902</v>
      </c>
      <c r="C36" s="27" t="s">
        <v>133</v>
      </c>
      <c r="D36" s="27" t="s">
        <v>134</v>
      </c>
      <c r="E36" s="11" t="s">
        <v>34</v>
      </c>
      <c r="F36" s="11" t="s">
        <v>86</v>
      </c>
      <c r="G36" s="41">
        <f t="shared" si="0"/>
        <v>4</v>
      </c>
      <c r="H36" s="9">
        <v>2</v>
      </c>
      <c r="I36" s="9">
        <v>2</v>
      </c>
      <c r="J36" s="9">
        <v>0</v>
      </c>
      <c r="K36" s="9">
        <v>0</v>
      </c>
      <c r="L36" s="9">
        <v>0</v>
      </c>
      <c r="M36" s="9">
        <v>0</v>
      </c>
      <c r="N36" s="46" t="s">
        <v>282</v>
      </c>
      <c r="O36" s="46" t="s">
        <v>282</v>
      </c>
    </row>
    <row r="37" spans="1:15" ht="15" customHeight="1" x14ac:dyDescent="0.25">
      <c r="A37" s="10">
        <v>35</v>
      </c>
      <c r="B37" s="44">
        <v>60121228</v>
      </c>
      <c r="C37" s="11" t="s">
        <v>200</v>
      </c>
      <c r="D37" s="11" t="s">
        <v>201</v>
      </c>
      <c r="E37" s="11" t="s">
        <v>34</v>
      </c>
      <c r="F37" s="11" t="s">
        <v>202</v>
      </c>
      <c r="G37" s="41">
        <f t="shared" si="0"/>
        <v>6</v>
      </c>
      <c r="H37" s="9">
        <v>0</v>
      </c>
      <c r="I37" s="9">
        <v>0</v>
      </c>
      <c r="J37" s="9">
        <v>6</v>
      </c>
      <c r="K37" s="9">
        <v>0</v>
      </c>
      <c r="L37" s="9">
        <v>0</v>
      </c>
      <c r="M37" s="9">
        <v>0</v>
      </c>
      <c r="N37" s="46">
        <v>5</v>
      </c>
      <c r="O37" s="46" t="s">
        <v>292</v>
      </c>
    </row>
    <row r="38" spans="1:15" x14ac:dyDescent="0.25">
      <c r="A38" s="54">
        <v>36</v>
      </c>
      <c r="B38" s="55"/>
      <c r="C38" s="55" t="s">
        <v>295</v>
      </c>
      <c r="D38" s="55" t="s">
        <v>295</v>
      </c>
      <c r="E38" s="56" t="s">
        <v>34</v>
      </c>
      <c r="F38" s="56" t="s">
        <v>296</v>
      </c>
      <c r="G38" s="57">
        <v>5</v>
      </c>
      <c r="H38" s="56"/>
      <c r="I38" s="56"/>
      <c r="J38" s="56"/>
      <c r="K38" s="56"/>
      <c r="L38" s="56"/>
      <c r="M38" s="56"/>
      <c r="N38" s="46">
        <v>5</v>
      </c>
      <c r="O38" s="46" t="s">
        <v>296</v>
      </c>
    </row>
    <row r="39" spans="1:15" x14ac:dyDescent="0.25">
      <c r="A39" s="23"/>
      <c r="B39" s="23"/>
      <c r="C39" s="23"/>
      <c r="D39" s="23"/>
    </row>
    <row r="40" spans="1:15" x14ac:dyDescent="0.25">
      <c r="A40" s="23"/>
      <c r="B40" s="23"/>
      <c r="C40" s="23"/>
      <c r="D40" s="23"/>
    </row>
    <row r="41" spans="1:15" x14ac:dyDescent="0.25">
      <c r="A41" s="23"/>
      <c r="B41" s="23"/>
      <c r="C41" s="23"/>
      <c r="D41" s="23"/>
    </row>
    <row r="42" spans="1:15" x14ac:dyDescent="0.25">
      <c r="A42" s="23"/>
      <c r="B42" s="23"/>
      <c r="C42" s="23"/>
      <c r="D42" s="23"/>
    </row>
    <row r="43" spans="1:15" x14ac:dyDescent="0.25">
      <c r="A43" s="23"/>
      <c r="B43" s="23"/>
      <c r="C43" s="23"/>
      <c r="D43" s="23"/>
    </row>
    <row r="44" spans="1:15" x14ac:dyDescent="0.25">
      <c r="A44" s="23"/>
      <c r="B44" s="23"/>
      <c r="C44" s="23"/>
      <c r="D44" s="23"/>
    </row>
    <row r="45" spans="1:15" x14ac:dyDescent="0.25">
      <c r="A45" s="23"/>
      <c r="B45" s="23"/>
      <c r="C45" s="23"/>
      <c r="D45" s="23"/>
    </row>
    <row r="46" spans="1:15" x14ac:dyDescent="0.25">
      <c r="A46" s="23"/>
      <c r="B46" s="23"/>
      <c r="C46" s="23"/>
      <c r="D46" s="23"/>
    </row>
  </sheetData>
  <autoFilter ref="A2:M37" xr:uid="{00000000-0009-0000-0000-000000000000}"/>
  <conditionalFormatting sqref="G30:G31 D14:G15 B16:G29 B6:G10 A3:G3 B32:G36 B13:G13 G37 A6:A7 A10:A11 A14:B15 A18:A19 A22:A23 A26:A27 A30:A32 A35:A37">
    <cfRule type="containsBlanks" dxfId="19" priority="23">
      <formula>LEN(TRIM(A3))=0</formula>
    </cfRule>
  </conditionalFormatting>
  <conditionalFormatting sqref="A4:G4 A8 A12 A16 A20 A24 A28 A33">
    <cfRule type="containsBlanks" dxfId="18" priority="19">
      <formula>LEN(TRIM(A4))=0</formula>
    </cfRule>
  </conditionalFormatting>
  <conditionalFormatting sqref="B30:F30">
    <cfRule type="containsBlanks" dxfId="17" priority="17">
      <formula>LEN(TRIM(B30))=0</formula>
    </cfRule>
  </conditionalFormatting>
  <conditionalFormatting sqref="B31:F31">
    <cfRule type="containsBlanks" dxfId="16" priority="15">
      <formula>LEN(TRIM(B31))=0</formula>
    </cfRule>
  </conditionalFormatting>
  <conditionalFormatting sqref="A5:G5 A9 A13 A17 A21 A25 A29 A34">
    <cfRule type="containsBlanks" dxfId="15" priority="13">
      <formula>LEN(TRIM(A5))=0</formula>
    </cfRule>
  </conditionalFormatting>
  <conditionalFormatting sqref="C14:C15">
    <cfRule type="containsBlanks" dxfId="14" priority="12">
      <formula>LEN(TRIM(C14))=0</formula>
    </cfRule>
  </conditionalFormatting>
  <conditionalFormatting sqref="H28:I28">
    <cfRule type="containsBlanks" dxfId="13" priority="11">
      <formula>LEN(TRIM(H28))=0</formula>
    </cfRule>
  </conditionalFormatting>
  <conditionalFormatting sqref="K28">
    <cfRule type="containsBlanks" dxfId="12" priority="10">
      <formula>LEN(TRIM(K28))=0</formula>
    </cfRule>
  </conditionalFormatting>
  <conditionalFormatting sqref="G11">
    <cfRule type="containsBlanks" dxfId="11" priority="9">
      <formula>LEN(TRIM(G11))=0</formula>
    </cfRule>
  </conditionalFormatting>
  <conditionalFormatting sqref="B11 E11:F11">
    <cfRule type="containsBlanks" dxfId="10" priority="8">
      <formula>LEN(TRIM(B11))=0</formula>
    </cfRule>
  </conditionalFormatting>
  <conditionalFormatting sqref="G12">
    <cfRule type="containsBlanks" dxfId="9" priority="5">
      <formula>LEN(TRIM(G12))=0</formula>
    </cfRule>
  </conditionalFormatting>
  <conditionalFormatting sqref="B12 E12">
    <cfRule type="containsBlanks" dxfId="8" priority="4">
      <formula>LEN(TRIM(B12))=0</formula>
    </cfRule>
  </conditionalFormatting>
  <conditionalFormatting sqref="F12">
    <cfRule type="containsBlanks" dxfId="7" priority="3">
      <formula>LEN(TRIM(F12))=0</formula>
    </cfRule>
  </conditionalFormatting>
  <conditionalFormatting sqref="B37:F37">
    <cfRule type="containsBlanks" dxfId="6" priority="2">
      <formula>LEN(TRIM(B37))=0</formula>
    </cfRule>
  </conditionalFormatting>
  <conditionalFormatting sqref="C11:D12">
    <cfRule type="containsBlanks" dxfId="5" priority="1">
      <formula>LEN(TRIM(C11))=0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2:AB113"/>
  <sheetViews>
    <sheetView zoomScale="85" zoomScaleNormal="85" workbookViewId="0">
      <pane xSplit="9" ySplit="4" topLeftCell="J5" activePane="bottomRight" state="frozen"/>
      <selection pane="topRight" activeCell="J1" sqref="J1"/>
      <selection pane="bottomLeft" activeCell="A7" sqref="A7"/>
      <selection pane="bottomRight" activeCell="C22" sqref="C22"/>
    </sheetView>
  </sheetViews>
  <sheetFormatPr baseColWidth="10" defaultRowHeight="15" x14ac:dyDescent="0.25"/>
  <cols>
    <col min="1" max="1" width="11.42578125" style="3"/>
    <col min="2" max="2" width="6" style="3" customWidth="1"/>
    <col min="3" max="3" width="32" style="3" customWidth="1"/>
    <col min="4" max="4" width="54.85546875" style="3" customWidth="1"/>
    <col min="5" max="7" width="11.42578125" style="3"/>
    <col min="8" max="8" width="14.42578125" style="24" customWidth="1"/>
    <col min="9" max="9" width="15.5703125" style="24" customWidth="1"/>
    <col min="10" max="14" width="11.42578125" style="3" customWidth="1"/>
    <col min="15" max="15" width="11.42578125" style="3"/>
    <col min="16" max="20" width="11.42578125" style="3" customWidth="1"/>
    <col min="21" max="16384" width="11.42578125" style="3"/>
  </cols>
  <sheetData>
    <row r="2" spans="1:28" x14ac:dyDescent="0.25">
      <c r="Z2" s="3">
        <f>264/10</f>
        <v>26.4</v>
      </c>
    </row>
    <row r="3" spans="1:28" ht="15.75" thickBot="1" x14ac:dyDescent="0.3">
      <c r="A3" s="1" t="s">
        <v>0</v>
      </c>
      <c r="B3" s="1"/>
      <c r="C3" s="1"/>
      <c r="D3" s="1"/>
      <c r="E3" s="1"/>
      <c r="F3" s="1"/>
      <c r="G3" s="1"/>
      <c r="H3" s="2" t="s">
        <v>1</v>
      </c>
      <c r="I3" s="2"/>
      <c r="O3" s="3" t="s">
        <v>2</v>
      </c>
      <c r="W3" s="3" t="s">
        <v>262</v>
      </c>
    </row>
    <row r="4" spans="1:28" ht="63" customHeight="1" thickBot="1" x14ac:dyDescent="0.25">
      <c r="A4" s="4" t="s">
        <v>3</v>
      </c>
      <c r="B4" s="4" t="s">
        <v>4</v>
      </c>
      <c r="C4" s="4" t="s">
        <v>5</v>
      </c>
      <c r="D4" s="4" t="s">
        <v>6</v>
      </c>
      <c r="E4" s="4" t="s">
        <v>7</v>
      </c>
      <c r="F4" s="4" t="s">
        <v>8</v>
      </c>
      <c r="G4" s="4" t="s">
        <v>9</v>
      </c>
      <c r="H4" s="5" t="s">
        <v>10</v>
      </c>
      <c r="I4" s="5" t="s">
        <v>11</v>
      </c>
      <c r="J4" s="6" t="s">
        <v>12</v>
      </c>
      <c r="K4" s="6" t="s">
        <v>13</v>
      </c>
      <c r="L4" s="7" t="s">
        <v>14</v>
      </c>
      <c r="M4" s="7" t="s">
        <v>15</v>
      </c>
      <c r="N4" s="7" t="s">
        <v>16</v>
      </c>
      <c r="O4" s="7" t="s">
        <v>17</v>
      </c>
      <c r="P4" s="7" t="s">
        <v>18</v>
      </c>
      <c r="Q4" s="7" t="s">
        <v>19</v>
      </c>
      <c r="R4" s="8" t="s">
        <v>20</v>
      </c>
      <c r="S4" s="7" t="s">
        <v>21</v>
      </c>
      <c r="T4" s="7" t="s">
        <v>22</v>
      </c>
      <c r="U4" s="25" t="s">
        <v>23</v>
      </c>
      <c r="V4" s="25" t="s">
        <v>261</v>
      </c>
      <c r="W4" s="32">
        <v>2266264</v>
      </c>
      <c r="X4" s="32">
        <v>2479869</v>
      </c>
      <c r="Y4" s="33">
        <v>2487495</v>
      </c>
      <c r="Z4" s="33">
        <v>2487925</v>
      </c>
      <c r="AA4" s="33">
        <v>2495402</v>
      </c>
      <c r="AB4" s="33" t="s">
        <v>263</v>
      </c>
    </row>
    <row r="5" spans="1:28" ht="15" customHeight="1" x14ac:dyDescent="0.25">
      <c r="A5" s="10">
        <v>1</v>
      </c>
      <c r="B5" s="11">
        <v>14111800</v>
      </c>
      <c r="C5" s="11" t="s">
        <v>24</v>
      </c>
      <c r="D5" s="11" t="s">
        <v>25</v>
      </c>
      <c r="E5" s="11" t="s">
        <v>26</v>
      </c>
      <c r="F5" s="11" t="s">
        <v>26</v>
      </c>
      <c r="G5" s="11">
        <v>2</v>
      </c>
      <c r="H5" s="12">
        <v>8470</v>
      </c>
      <c r="I5" s="12">
        <f t="shared" ref="I5:I68" si="0">H5*G5</f>
        <v>16940</v>
      </c>
      <c r="J5" s="9"/>
      <c r="K5" s="9"/>
      <c r="L5" s="9"/>
      <c r="M5" s="9"/>
      <c r="N5" s="9">
        <v>2</v>
      </c>
      <c r="O5" s="9"/>
      <c r="P5" s="9"/>
      <c r="Q5" s="9"/>
      <c r="R5" s="9"/>
      <c r="S5" s="9"/>
      <c r="T5" s="9"/>
      <c r="U5" s="9"/>
      <c r="V5" s="9"/>
    </row>
    <row r="6" spans="1:28" ht="15" customHeight="1" x14ac:dyDescent="0.25">
      <c r="A6" s="10">
        <v>2</v>
      </c>
      <c r="B6" s="11">
        <v>44121503</v>
      </c>
      <c r="C6" s="11" t="s">
        <v>27</v>
      </c>
      <c r="D6" s="11" t="s">
        <v>28</v>
      </c>
      <c r="E6" s="11" t="s">
        <v>26</v>
      </c>
      <c r="F6" s="11" t="s">
        <v>26</v>
      </c>
      <c r="G6" s="11">
        <v>2</v>
      </c>
      <c r="H6" s="12">
        <v>16710</v>
      </c>
      <c r="I6" s="12">
        <f t="shared" si="0"/>
        <v>33420</v>
      </c>
      <c r="J6" s="9">
        <v>1</v>
      </c>
      <c r="K6" s="9"/>
      <c r="L6" s="9"/>
      <c r="M6" s="9"/>
      <c r="N6" s="9"/>
      <c r="O6" s="9"/>
      <c r="P6" s="9"/>
      <c r="Q6" s="9"/>
      <c r="R6" s="9"/>
      <c r="S6" s="9">
        <v>1</v>
      </c>
      <c r="T6" s="9"/>
      <c r="U6" s="9"/>
      <c r="V6" s="9"/>
    </row>
    <row r="7" spans="1:28" ht="15" customHeight="1" x14ac:dyDescent="0.25">
      <c r="A7" s="10">
        <v>3</v>
      </c>
      <c r="B7" s="11">
        <v>44122017</v>
      </c>
      <c r="C7" s="11" t="s">
        <v>29</v>
      </c>
      <c r="D7" s="11" t="s">
        <v>30</v>
      </c>
      <c r="E7" s="11" t="s">
        <v>31</v>
      </c>
      <c r="F7" s="11" t="s">
        <v>31</v>
      </c>
      <c r="G7" s="13">
        <v>10</v>
      </c>
      <c r="H7" s="12">
        <v>35150</v>
      </c>
      <c r="I7" s="12">
        <f t="shared" si="0"/>
        <v>351500</v>
      </c>
      <c r="J7" s="9">
        <v>5</v>
      </c>
      <c r="K7" s="9"/>
      <c r="L7" s="9"/>
      <c r="M7" s="9"/>
      <c r="N7" s="9"/>
      <c r="O7" s="9"/>
      <c r="P7" s="9">
        <v>5</v>
      </c>
      <c r="Q7" s="9"/>
      <c r="R7" s="9"/>
      <c r="S7" s="9"/>
      <c r="T7" s="9"/>
      <c r="U7" s="9"/>
      <c r="V7" s="9"/>
    </row>
    <row r="8" spans="1:28" ht="15" customHeight="1" x14ac:dyDescent="0.25">
      <c r="A8" s="10">
        <v>4</v>
      </c>
      <c r="B8" s="11">
        <v>44122003</v>
      </c>
      <c r="C8" s="11" t="s">
        <v>32</v>
      </c>
      <c r="D8" s="11" t="s">
        <v>33</v>
      </c>
      <c r="E8" s="11" t="s">
        <v>34</v>
      </c>
      <c r="F8" s="11" t="s">
        <v>34</v>
      </c>
      <c r="G8" s="11">
        <v>50</v>
      </c>
      <c r="H8" s="12">
        <v>3326.46</v>
      </c>
      <c r="I8" s="12">
        <f t="shared" si="0"/>
        <v>166323</v>
      </c>
      <c r="J8" s="9">
        <v>50</v>
      </c>
      <c r="K8" s="9"/>
      <c r="L8" s="9"/>
      <c r="M8" s="9"/>
      <c r="N8" s="9"/>
      <c r="O8" s="9"/>
      <c r="P8" s="9"/>
      <c r="Q8" s="9"/>
      <c r="R8" s="9"/>
      <c r="S8" s="9"/>
      <c r="T8" s="9"/>
      <c r="U8" s="9"/>
      <c r="V8" s="29"/>
    </row>
    <row r="9" spans="1:28" ht="15" customHeight="1" x14ac:dyDescent="0.25">
      <c r="A9" s="10">
        <v>5</v>
      </c>
      <c r="B9" s="11">
        <v>44122003</v>
      </c>
      <c r="C9" s="26" t="s">
        <v>35</v>
      </c>
      <c r="D9" s="26" t="s">
        <v>36</v>
      </c>
      <c r="E9" s="11" t="s">
        <v>34</v>
      </c>
      <c r="F9" s="11" t="s">
        <v>34</v>
      </c>
      <c r="G9" s="11">
        <v>30</v>
      </c>
      <c r="H9" s="12">
        <v>9613.3333333333339</v>
      </c>
      <c r="I9" s="12">
        <f t="shared" si="0"/>
        <v>288400</v>
      </c>
      <c r="J9" s="9">
        <v>10</v>
      </c>
      <c r="K9" s="9"/>
      <c r="L9" s="9"/>
      <c r="M9" s="9"/>
      <c r="N9" s="9">
        <v>10</v>
      </c>
      <c r="O9" s="9">
        <v>10</v>
      </c>
      <c r="P9" s="9"/>
      <c r="Q9" s="9"/>
      <c r="R9" s="9"/>
      <c r="S9" s="9"/>
      <c r="T9" s="9"/>
      <c r="U9" s="9"/>
      <c r="V9" s="28">
        <f>+O9/2</f>
        <v>5</v>
      </c>
      <c r="W9" s="3">
        <v>1</v>
      </c>
      <c r="X9" s="3">
        <v>1</v>
      </c>
      <c r="Y9" s="3">
        <v>1</v>
      </c>
      <c r="Z9" s="3">
        <v>1</v>
      </c>
      <c r="AA9" s="3">
        <v>1</v>
      </c>
      <c r="AB9" s="3">
        <f>+V9-(W9+X9+Y9+Z9+AA9)</f>
        <v>0</v>
      </c>
    </row>
    <row r="10" spans="1:28" ht="15" customHeight="1" x14ac:dyDescent="0.25">
      <c r="A10" s="10">
        <v>6</v>
      </c>
      <c r="B10" s="11">
        <v>44122003</v>
      </c>
      <c r="C10" s="11" t="s">
        <v>37</v>
      </c>
      <c r="D10" s="11" t="s">
        <v>38</v>
      </c>
      <c r="E10" s="11" t="s">
        <v>39</v>
      </c>
      <c r="F10" s="11" t="s">
        <v>40</v>
      </c>
      <c r="G10" s="11">
        <v>4</v>
      </c>
      <c r="H10" s="12">
        <v>61667.5</v>
      </c>
      <c r="I10" s="12">
        <f t="shared" si="0"/>
        <v>246670</v>
      </c>
      <c r="J10" s="9">
        <v>1</v>
      </c>
      <c r="K10" s="9">
        <v>2</v>
      </c>
      <c r="L10" s="9">
        <v>1</v>
      </c>
      <c r="M10" s="9"/>
      <c r="N10" s="9"/>
      <c r="O10" s="9"/>
      <c r="P10" s="9"/>
      <c r="Q10" s="9"/>
      <c r="R10" s="9"/>
      <c r="S10" s="9"/>
      <c r="T10" s="9"/>
      <c r="U10" s="9"/>
      <c r="V10" s="30"/>
    </row>
    <row r="11" spans="1:28" ht="15" customHeight="1" x14ac:dyDescent="0.25">
      <c r="A11" s="10">
        <v>7</v>
      </c>
      <c r="B11" s="11">
        <v>44122003</v>
      </c>
      <c r="C11" s="26" t="s">
        <v>41</v>
      </c>
      <c r="D11" s="26" t="s">
        <v>42</v>
      </c>
      <c r="E11" s="11" t="s">
        <v>39</v>
      </c>
      <c r="F11" s="11" t="s">
        <v>34</v>
      </c>
      <c r="G11" s="11">
        <v>2</v>
      </c>
      <c r="H11" s="12">
        <v>76295</v>
      </c>
      <c r="I11" s="12">
        <f t="shared" si="0"/>
        <v>152590</v>
      </c>
      <c r="J11" s="9"/>
      <c r="K11" s="9"/>
      <c r="L11" s="9"/>
      <c r="M11" s="9"/>
      <c r="N11" s="9"/>
      <c r="O11" s="9">
        <v>1</v>
      </c>
      <c r="P11" s="9"/>
      <c r="Q11" s="9">
        <v>1</v>
      </c>
      <c r="R11" s="9"/>
      <c r="S11" s="9"/>
      <c r="T11" s="9"/>
      <c r="U11" s="9"/>
      <c r="V11" s="34">
        <v>1</v>
      </c>
      <c r="W11" s="3">
        <v>0</v>
      </c>
      <c r="X11" s="3">
        <v>0</v>
      </c>
      <c r="Y11" s="3">
        <v>0</v>
      </c>
      <c r="Z11" s="35">
        <v>1</v>
      </c>
      <c r="AA11" s="3">
        <v>0</v>
      </c>
      <c r="AB11" s="3">
        <f>+V11-(W11+X11+Y11+Z11+AA11)</f>
        <v>0</v>
      </c>
    </row>
    <row r="12" spans="1:28" ht="15" customHeight="1" x14ac:dyDescent="0.25">
      <c r="A12" s="10">
        <v>8</v>
      </c>
      <c r="B12" s="11">
        <v>44122011</v>
      </c>
      <c r="C12" s="11" t="s">
        <v>43</v>
      </c>
      <c r="D12" s="11" t="s">
        <v>44</v>
      </c>
      <c r="E12" s="11" t="s">
        <v>39</v>
      </c>
      <c r="F12" s="11" t="s">
        <v>26</v>
      </c>
      <c r="G12" s="11">
        <v>2</v>
      </c>
      <c r="H12" s="12">
        <v>109000</v>
      </c>
      <c r="I12" s="12">
        <f t="shared" si="0"/>
        <v>218000</v>
      </c>
      <c r="J12" s="9"/>
      <c r="K12" s="9"/>
      <c r="L12" s="9"/>
      <c r="M12" s="9"/>
      <c r="N12" s="9">
        <v>2</v>
      </c>
      <c r="O12" s="9"/>
      <c r="P12" s="9"/>
      <c r="Q12" s="9"/>
      <c r="R12" s="9"/>
      <c r="S12" s="9"/>
      <c r="T12" s="9"/>
      <c r="U12" s="9"/>
      <c r="V12" s="31"/>
    </row>
    <row r="13" spans="1:28" ht="15" customHeight="1" x14ac:dyDescent="0.25">
      <c r="A13" s="10">
        <v>9</v>
      </c>
      <c r="B13" s="11">
        <v>44122011</v>
      </c>
      <c r="C13" s="11" t="s">
        <v>45</v>
      </c>
      <c r="D13" s="11" t="s">
        <v>46</v>
      </c>
      <c r="E13" s="11" t="s">
        <v>34</v>
      </c>
      <c r="F13" s="11" t="s">
        <v>34</v>
      </c>
      <c r="G13" s="11">
        <v>15</v>
      </c>
      <c r="H13" s="12">
        <v>8731.5333333333328</v>
      </c>
      <c r="I13" s="12">
        <f t="shared" si="0"/>
        <v>130973</v>
      </c>
      <c r="J13" s="9"/>
      <c r="K13" s="9"/>
      <c r="L13" s="9"/>
      <c r="M13" s="9"/>
      <c r="N13" s="9">
        <v>7</v>
      </c>
      <c r="O13" s="9"/>
      <c r="P13" s="9"/>
      <c r="Q13" s="9"/>
      <c r="R13" s="9"/>
      <c r="S13" s="9">
        <v>8</v>
      </c>
      <c r="T13" s="9"/>
      <c r="U13" s="9"/>
      <c r="V13" s="9"/>
    </row>
    <row r="14" spans="1:28" ht="15" customHeight="1" x14ac:dyDescent="0.25">
      <c r="A14" s="10">
        <v>10</v>
      </c>
      <c r="B14" s="11">
        <v>14111530</v>
      </c>
      <c r="C14" s="11" t="s">
        <v>47</v>
      </c>
      <c r="D14" s="11" t="s">
        <v>48</v>
      </c>
      <c r="E14" s="11" t="s">
        <v>34</v>
      </c>
      <c r="F14" s="11" t="s">
        <v>49</v>
      </c>
      <c r="G14" s="14">
        <v>30</v>
      </c>
      <c r="H14" s="12">
        <v>2670.7666666666669</v>
      </c>
      <c r="I14" s="12">
        <f t="shared" si="0"/>
        <v>80123</v>
      </c>
      <c r="J14" s="9">
        <v>4</v>
      </c>
      <c r="K14" s="9">
        <v>2</v>
      </c>
      <c r="L14" s="9">
        <v>5</v>
      </c>
      <c r="M14" s="9"/>
      <c r="N14" s="9">
        <v>3</v>
      </c>
      <c r="O14" s="9"/>
      <c r="P14" s="9">
        <f>20*0.3</f>
        <v>6</v>
      </c>
      <c r="Q14" s="9"/>
      <c r="R14" s="9">
        <v>6</v>
      </c>
      <c r="S14" s="9">
        <v>4</v>
      </c>
      <c r="T14" s="9"/>
      <c r="U14" s="9"/>
      <c r="V14" s="29"/>
    </row>
    <row r="15" spans="1:28" ht="15" customHeight="1" x14ac:dyDescent="0.25">
      <c r="A15" s="10">
        <v>11</v>
      </c>
      <c r="B15" s="11">
        <v>44121618</v>
      </c>
      <c r="C15" s="26" t="s">
        <v>50</v>
      </c>
      <c r="D15" s="26" t="s">
        <v>51</v>
      </c>
      <c r="E15" s="11" t="s">
        <v>34</v>
      </c>
      <c r="F15" s="11" t="s">
        <v>52</v>
      </c>
      <c r="G15" s="11">
        <v>20</v>
      </c>
      <c r="H15" s="12">
        <v>13260</v>
      </c>
      <c r="I15" s="12">
        <f t="shared" si="0"/>
        <v>265200</v>
      </c>
      <c r="J15" s="9"/>
      <c r="K15" s="9"/>
      <c r="L15" s="9">
        <v>5</v>
      </c>
      <c r="M15" s="9">
        <v>5</v>
      </c>
      <c r="N15" s="9"/>
      <c r="O15" s="9">
        <v>2</v>
      </c>
      <c r="P15" s="9">
        <v>1</v>
      </c>
      <c r="Q15" s="9"/>
      <c r="R15" s="9">
        <v>5</v>
      </c>
      <c r="S15" s="9">
        <v>1</v>
      </c>
      <c r="T15" s="9"/>
      <c r="U15" s="9">
        <v>1</v>
      </c>
      <c r="V15" s="28">
        <f>+O15/2</f>
        <v>1</v>
      </c>
      <c r="W15" s="3">
        <v>0</v>
      </c>
      <c r="X15" s="35">
        <v>1</v>
      </c>
      <c r="Y15" s="3">
        <v>0</v>
      </c>
      <c r="Z15" s="3">
        <v>0</v>
      </c>
      <c r="AA15" s="3">
        <v>0</v>
      </c>
      <c r="AB15" s="3">
        <f>+V15-(W15+X15+Y15+Z15+AA15)</f>
        <v>0</v>
      </c>
    </row>
    <row r="16" spans="1:28" ht="15" customHeight="1" x14ac:dyDescent="0.25">
      <c r="A16" s="10">
        <v>12</v>
      </c>
      <c r="B16" s="11">
        <v>60111400</v>
      </c>
      <c r="C16" s="11" t="s">
        <v>53</v>
      </c>
      <c r="D16" s="11" t="s">
        <v>54</v>
      </c>
      <c r="E16" s="11" t="s">
        <v>34</v>
      </c>
      <c r="F16" s="11" t="s">
        <v>55</v>
      </c>
      <c r="G16" s="11">
        <v>10</v>
      </c>
      <c r="H16" s="12">
        <v>3130</v>
      </c>
      <c r="I16" s="12">
        <f t="shared" si="0"/>
        <v>31300</v>
      </c>
      <c r="J16" s="9"/>
      <c r="K16" s="9"/>
      <c r="L16" s="9">
        <v>1</v>
      </c>
      <c r="M16" s="9">
        <v>6</v>
      </c>
      <c r="N16" s="9"/>
      <c r="O16" s="9"/>
      <c r="P16" s="9"/>
      <c r="Q16" s="9"/>
      <c r="R16" s="9"/>
      <c r="S16" s="9"/>
      <c r="T16" s="9"/>
      <c r="U16" s="9">
        <v>3</v>
      </c>
      <c r="V16" s="31"/>
    </row>
    <row r="17" spans="1:28" ht="15" customHeight="1" x14ac:dyDescent="0.25">
      <c r="A17" s="10">
        <v>13</v>
      </c>
      <c r="B17" s="11">
        <v>60111400</v>
      </c>
      <c r="C17" s="11" t="s">
        <v>56</v>
      </c>
      <c r="D17" s="11" t="s">
        <v>57</v>
      </c>
      <c r="E17" s="11" t="s">
        <v>34</v>
      </c>
      <c r="F17" s="11" t="s">
        <v>58</v>
      </c>
      <c r="G17" s="11">
        <v>10</v>
      </c>
      <c r="H17" s="12">
        <v>5010</v>
      </c>
      <c r="I17" s="12">
        <f t="shared" si="0"/>
        <v>50100</v>
      </c>
      <c r="J17" s="9"/>
      <c r="K17" s="9"/>
      <c r="L17" s="9">
        <v>1</v>
      </c>
      <c r="M17" s="9">
        <v>4</v>
      </c>
      <c r="N17" s="9"/>
      <c r="O17" s="9"/>
      <c r="P17" s="9"/>
      <c r="Q17" s="9"/>
      <c r="R17" s="9">
        <v>4</v>
      </c>
      <c r="S17" s="9"/>
      <c r="T17" s="9"/>
      <c r="U17" s="9">
        <v>1</v>
      </c>
      <c r="V17" s="9"/>
    </row>
    <row r="18" spans="1:28" ht="15" customHeight="1" x14ac:dyDescent="0.25">
      <c r="A18" s="10">
        <v>14</v>
      </c>
      <c r="B18" s="11">
        <v>60121142</v>
      </c>
      <c r="C18" s="15" t="s">
        <v>59</v>
      </c>
      <c r="D18" s="11" t="s">
        <v>60</v>
      </c>
      <c r="E18" s="11" t="s">
        <v>34</v>
      </c>
      <c r="F18" s="11" t="s">
        <v>61</v>
      </c>
      <c r="G18" s="11">
        <v>120</v>
      </c>
      <c r="H18" s="12">
        <v>8300</v>
      </c>
      <c r="I18" s="12">
        <f t="shared" si="0"/>
        <v>996000</v>
      </c>
      <c r="J18" s="9"/>
      <c r="K18" s="9"/>
      <c r="L18" s="9"/>
      <c r="M18" s="9"/>
      <c r="N18" s="9"/>
      <c r="O18" s="9"/>
      <c r="P18" s="9"/>
      <c r="Q18" s="9"/>
      <c r="R18" s="9"/>
      <c r="S18" s="9"/>
      <c r="T18" s="9">
        <v>120</v>
      </c>
      <c r="U18" s="9"/>
      <c r="V18" s="9"/>
    </row>
    <row r="19" spans="1:28" ht="15" customHeight="1" x14ac:dyDescent="0.25">
      <c r="A19" s="10">
        <v>15</v>
      </c>
      <c r="B19" s="11">
        <v>60121148</v>
      </c>
      <c r="C19" s="15" t="s">
        <v>62</v>
      </c>
      <c r="D19" s="11" t="s">
        <v>63</v>
      </c>
      <c r="E19" s="11" t="s">
        <v>34</v>
      </c>
      <c r="F19" s="11" t="s">
        <v>61</v>
      </c>
      <c r="G19" s="11">
        <v>120</v>
      </c>
      <c r="H19" s="12">
        <v>3215</v>
      </c>
      <c r="I19" s="12">
        <f t="shared" si="0"/>
        <v>385800</v>
      </c>
      <c r="J19" s="9"/>
      <c r="K19" s="9"/>
      <c r="L19" s="9"/>
      <c r="M19" s="9"/>
      <c r="N19" s="9"/>
      <c r="O19" s="9"/>
      <c r="P19" s="9"/>
      <c r="Q19" s="9"/>
      <c r="R19" s="9"/>
      <c r="S19" s="9"/>
      <c r="T19" s="9">
        <v>120</v>
      </c>
      <c r="U19" s="9"/>
      <c r="V19" s="9"/>
    </row>
    <row r="20" spans="1:28" ht="15" customHeight="1" x14ac:dyDescent="0.25">
      <c r="A20" s="10">
        <v>16</v>
      </c>
      <c r="B20" s="11">
        <v>14121503</v>
      </c>
      <c r="C20" s="11" t="s">
        <v>64</v>
      </c>
      <c r="D20" s="11" t="s">
        <v>65</v>
      </c>
      <c r="E20" s="11" t="s">
        <v>34</v>
      </c>
      <c r="F20" s="11" t="s">
        <v>61</v>
      </c>
      <c r="G20" s="11">
        <v>70</v>
      </c>
      <c r="H20" s="12">
        <v>3276</v>
      </c>
      <c r="I20" s="12">
        <f t="shared" si="0"/>
        <v>229320</v>
      </c>
      <c r="J20" s="9">
        <f>0.7*20</f>
        <v>14</v>
      </c>
      <c r="K20" s="9">
        <f>0.7*30</f>
        <v>21</v>
      </c>
      <c r="L20" s="9">
        <v>14</v>
      </c>
      <c r="M20" s="9"/>
      <c r="N20" s="9"/>
      <c r="O20" s="9"/>
      <c r="P20" s="9"/>
      <c r="Q20" s="9"/>
      <c r="R20" s="9">
        <f>0.7*30</f>
        <v>21</v>
      </c>
      <c r="S20" s="9"/>
      <c r="T20" s="9"/>
      <c r="U20" s="9"/>
      <c r="V20" s="29"/>
    </row>
    <row r="21" spans="1:28" ht="15" customHeight="1" x14ac:dyDescent="0.25">
      <c r="A21" s="10">
        <v>17</v>
      </c>
      <c r="B21" s="11">
        <v>14111519</v>
      </c>
      <c r="C21" s="26" t="s">
        <v>66</v>
      </c>
      <c r="D21" s="26" t="s">
        <v>67</v>
      </c>
      <c r="E21" s="11" t="s">
        <v>34</v>
      </c>
      <c r="F21" s="11" t="s">
        <v>68</v>
      </c>
      <c r="G21" s="11">
        <v>150</v>
      </c>
      <c r="H21" s="12">
        <v>1583.1533333333334</v>
      </c>
      <c r="I21" s="12">
        <f t="shared" si="0"/>
        <v>237473</v>
      </c>
      <c r="J21" s="9">
        <v>10</v>
      </c>
      <c r="K21" s="9">
        <v>10</v>
      </c>
      <c r="L21" s="9">
        <v>10</v>
      </c>
      <c r="M21" s="9">
        <v>5</v>
      </c>
      <c r="N21" s="9">
        <v>10</v>
      </c>
      <c r="O21" s="9">
        <v>30</v>
      </c>
      <c r="P21" s="9">
        <v>2</v>
      </c>
      <c r="Q21" s="9"/>
      <c r="R21" s="9">
        <v>30</v>
      </c>
      <c r="S21" s="9"/>
      <c r="T21" s="9"/>
      <c r="U21" s="9">
        <f>150-107</f>
        <v>43</v>
      </c>
      <c r="V21" s="28">
        <f t="shared" ref="V21:V22" si="1">+O21/2</f>
        <v>15</v>
      </c>
      <c r="W21" s="3">
        <v>3</v>
      </c>
      <c r="X21" s="3">
        <v>3</v>
      </c>
      <c r="Y21" s="3">
        <v>3</v>
      </c>
      <c r="Z21" s="3">
        <v>3</v>
      </c>
      <c r="AA21" s="3">
        <v>3</v>
      </c>
      <c r="AB21" s="3">
        <f t="shared" ref="AB21:AB22" si="2">+V21-(W21+X21+Y21+Z21+AA21)</f>
        <v>0</v>
      </c>
    </row>
    <row r="22" spans="1:28" ht="15" customHeight="1" x14ac:dyDescent="0.25">
      <c r="A22" s="10">
        <v>18</v>
      </c>
      <c r="B22" s="11">
        <v>14111525</v>
      </c>
      <c r="C22" s="26" t="s">
        <v>69</v>
      </c>
      <c r="D22" s="26" t="s">
        <v>70</v>
      </c>
      <c r="E22" s="11" t="s">
        <v>34</v>
      </c>
      <c r="F22" s="11" t="s">
        <v>61</v>
      </c>
      <c r="G22" s="11">
        <v>700</v>
      </c>
      <c r="H22" s="12">
        <v>513.33285714285716</v>
      </c>
      <c r="I22" s="12">
        <f t="shared" si="0"/>
        <v>359333</v>
      </c>
      <c r="J22" s="9">
        <f>0.8*40</f>
        <v>32</v>
      </c>
      <c r="K22" s="9">
        <v>32</v>
      </c>
      <c r="L22" s="9">
        <f>0.8*30</f>
        <v>24</v>
      </c>
      <c r="M22" s="9"/>
      <c r="N22" s="9"/>
      <c r="O22" s="9">
        <f>0.8*300</f>
        <v>240</v>
      </c>
      <c r="P22" s="9">
        <f>0.8*150</f>
        <v>120</v>
      </c>
      <c r="Q22" s="9"/>
      <c r="R22" s="9">
        <f>0.8*300</f>
        <v>240</v>
      </c>
      <c r="S22" s="9"/>
      <c r="T22" s="9"/>
      <c r="U22" s="9">
        <v>2</v>
      </c>
      <c r="V22" s="28">
        <f t="shared" si="1"/>
        <v>120</v>
      </c>
      <c r="W22" s="3">
        <v>0</v>
      </c>
      <c r="X22" s="3">
        <v>25</v>
      </c>
      <c r="Y22" s="3">
        <v>25</v>
      </c>
      <c r="Z22" s="3">
        <v>25</v>
      </c>
      <c r="AA22" s="3">
        <v>25</v>
      </c>
      <c r="AB22" s="3">
        <f t="shared" si="2"/>
        <v>20</v>
      </c>
    </row>
    <row r="23" spans="1:28" ht="15" customHeight="1" x14ac:dyDescent="0.25">
      <c r="A23" s="10">
        <v>19</v>
      </c>
      <c r="B23" s="11">
        <v>60121109</v>
      </c>
      <c r="C23" s="11" t="s">
        <v>71</v>
      </c>
      <c r="D23" s="11" t="s">
        <v>72</v>
      </c>
      <c r="E23" s="11" t="s">
        <v>34</v>
      </c>
      <c r="F23" s="11" t="s">
        <v>73</v>
      </c>
      <c r="G23" s="11">
        <v>30</v>
      </c>
      <c r="H23" s="12">
        <v>37950</v>
      </c>
      <c r="I23" s="12">
        <f t="shared" si="0"/>
        <v>1138500</v>
      </c>
      <c r="J23" s="9"/>
      <c r="K23" s="9"/>
      <c r="L23" s="9">
        <v>1</v>
      </c>
      <c r="M23" s="9"/>
      <c r="N23" s="9"/>
      <c r="O23" s="9"/>
      <c r="P23" s="9"/>
      <c r="Q23" s="9">
        <v>15</v>
      </c>
      <c r="R23" s="9">
        <v>10</v>
      </c>
      <c r="S23" s="9"/>
      <c r="T23" s="9"/>
      <c r="U23" s="9"/>
    </row>
    <row r="24" spans="1:28" ht="15" customHeight="1" x14ac:dyDescent="0.25">
      <c r="A24" s="10">
        <v>20</v>
      </c>
      <c r="B24" s="11">
        <v>14111507</v>
      </c>
      <c r="C24" s="26" t="s">
        <v>74</v>
      </c>
      <c r="D24" s="26" t="s">
        <v>75</v>
      </c>
      <c r="E24" s="11" t="s">
        <v>34</v>
      </c>
      <c r="F24" s="11" t="s">
        <v>76</v>
      </c>
      <c r="G24" s="11">
        <v>60</v>
      </c>
      <c r="H24" s="12">
        <v>17375</v>
      </c>
      <c r="I24" s="12">
        <f t="shared" si="0"/>
        <v>1042500</v>
      </c>
      <c r="J24" s="9">
        <v>5</v>
      </c>
      <c r="K24" s="9"/>
      <c r="L24" s="9">
        <v>5</v>
      </c>
      <c r="M24" s="9"/>
      <c r="N24" s="9">
        <v>10</v>
      </c>
      <c r="O24" s="9">
        <v>10</v>
      </c>
      <c r="P24" s="9">
        <v>18</v>
      </c>
      <c r="Q24" s="9"/>
      <c r="R24" s="9">
        <v>5</v>
      </c>
      <c r="S24" s="9">
        <v>5</v>
      </c>
      <c r="T24" s="9"/>
      <c r="U24" s="9">
        <v>2</v>
      </c>
      <c r="V24" s="28">
        <f>+O24/2</f>
        <v>5</v>
      </c>
      <c r="W24" s="3">
        <v>1</v>
      </c>
      <c r="X24" s="3">
        <v>1</v>
      </c>
      <c r="Y24" s="3">
        <v>1</v>
      </c>
      <c r="Z24" s="3">
        <v>1</v>
      </c>
      <c r="AA24" s="3">
        <v>1</v>
      </c>
      <c r="AB24" s="3">
        <f>+V24-(W24+X24+Y24+Z24+AA24)</f>
        <v>0</v>
      </c>
    </row>
    <row r="25" spans="1:28" ht="15" customHeight="1" x14ac:dyDescent="0.25">
      <c r="A25" s="10">
        <v>21</v>
      </c>
      <c r="B25" s="11">
        <v>14111530</v>
      </c>
      <c r="C25" s="11" t="s">
        <v>77</v>
      </c>
      <c r="D25" s="11" t="s">
        <v>78</v>
      </c>
      <c r="E25" s="11" t="s">
        <v>34</v>
      </c>
      <c r="F25" s="11" t="s">
        <v>79</v>
      </c>
      <c r="G25" s="11">
        <v>8</v>
      </c>
      <c r="H25" s="12">
        <v>107770</v>
      </c>
      <c r="I25" s="12">
        <f t="shared" si="0"/>
        <v>862160</v>
      </c>
      <c r="J25" s="9"/>
      <c r="K25" s="9"/>
      <c r="L25" s="9"/>
      <c r="M25" s="9">
        <v>7</v>
      </c>
      <c r="N25" s="9"/>
      <c r="O25" s="9"/>
      <c r="P25" s="9"/>
      <c r="Q25" s="9"/>
      <c r="R25" s="9"/>
      <c r="S25" s="9"/>
      <c r="T25" s="9"/>
      <c r="U25" s="9">
        <v>1</v>
      </c>
    </row>
    <row r="26" spans="1:28" ht="15" customHeight="1" x14ac:dyDescent="0.25">
      <c r="A26" s="10">
        <v>22</v>
      </c>
      <c r="B26" s="11">
        <v>60121113</v>
      </c>
      <c r="C26" s="15" t="s">
        <v>80</v>
      </c>
      <c r="D26" s="11" t="s">
        <v>81</v>
      </c>
      <c r="E26" s="11" t="s">
        <v>34</v>
      </c>
      <c r="F26" s="11" t="s">
        <v>61</v>
      </c>
      <c r="G26" s="11">
        <v>50</v>
      </c>
      <c r="H26" s="12">
        <v>9275</v>
      </c>
      <c r="I26" s="12">
        <f t="shared" si="0"/>
        <v>463750</v>
      </c>
      <c r="J26" s="9"/>
      <c r="K26" s="9"/>
      <c r="L26" s="9"/>
      <c r="M26" s="9"/>
      <c r="N26" s="9"/>
      <c r="O26" s="9"/>
      <c r="P26" s="9"/>
      <c r="Q26" s="9"/>
      <c r="R26" s="9"/>
      <c r="S26" s="9"/>
      <c r="T26" s="9">
        <v>50</v>
      </c>
      <c r="U26" s="9"/>
    </row>
    <row r="27" spans="1:28" ht="15" customHeight="1" x14ac:dyDescent="0.25">
      <c r="A27" s="10">
        <v>23</v>
      </c>
      <c r="B27" s="11">
        <v>14111519</v>
      </c>
      <c r="C27" s="27" t="s">
        <v>82</v>
      </c>
      <c r="D27" s="27" t="s">
        <v>83</v>
      </c>
      <c r="E27" s="11" t="s">
        <v>34</v>
      </c>
      <c r="F27" s="11" t="s">
        <v>84</v>
      </c>
      <c r="G27" s="11">
        <v>10</v>
      </c>
      <c r="H27" s="12">
        <v>10205</v>
      </c>
      <c r="I27" s="12">
        <f t="shared" si="0"/>
        <v>102050</v>
      </c>
      <c r="J27" s="9">
        <v>2</v>
      </c>
      <c r="K27" s="9"/>
      <c r="L27" s="9">
        <v>3</v>
      </c>
      <c r="M27" s="9"/>
      <c r="N27" s="9"/>
      <c r="O27" s="9">
        <v>2</v>
      </c>
      <c r="P27" s="9">
        <v>3</v>
      </c>
      <c r="Q27" s="9"/>
      <c r="R27" s="9"/>
      <c r="S27" s="9"/>
      <c r="T27" s="9"/>
      <c r="U27" s="9"/>
      <c r="V27" s="28">
        <f t="shared" ref="V27:V29" si="3">+O27/2</f>
        <v>1</v>
      </c>
      <c r="W27" s="35">
        <v>1</v>
      </c>
      <c r="X27" s="3">
        <v>0</v>
      </c>
      <c r="Y27" s="3">
        <v>0</v>
      </c>
      <c r="Z27" s="3">
        <v>0</v>
      </c>
      <c r="AA27" s="3">
        <v>0</v>
      </c>
      <c r="AB27" s="3">
        <f t="shared" ref="AB27:AB29" si="4">+V27-(W27+X27+Y27+Z27+AA27)</f>
        <v>0</v>
      </c>
    </row>
    <row r="28" spans="1:28" ht="15" customHeight="1" x14ac:dyDescent="0.25">
      <c r="A28" s="10">
        <v>24</v>
      </c>
      <c r="B28" s="11">
        <v>14111500</v>
      </c>
      <c r="C28" s="27" t="s">
        <v>82</v>
      </c>
      <c r="D28" s="27" t="s">
        <v>85</v>
      </c>
      <c r="E28" s="11" t="s">
        <v>34</v>
      </c>
      <c r="F28" s="11" t="s">
        <v>86</v>
      </c>
      <c r="G28" s="11">
        <v>15</v>
      </c>
      <c r="H28" s="12">
        <v>21800</v>
      </c>
      <c r="I28" s="12">
        <f t="shared" si="0"/>
        <v>327000</v>
      </c>
      <c r="J28" s="9">
        <v>2</v>
      </c>
      <c r="K28" s="9">
        <v>5</v>
      </c>
      <c r="L28" s="9">
        <v>2</v>
      </c>
      <c r="M28" s="9"/>
      <c r="N28" s="9"/>
      <c r="O28" s="9">
        <v>2</v>
      </c>
      <c r="P28" s="9"/>
      <c r="Q28" s="9"/>
      <c r="R28" s="9"/>
      <c r="S28" s="9"/>
      <c r="T28" s="9"/>
      <c r="U28" s="9">
        <v>4</v>
      </c>
      <c r="V28" s="28">
        <f t="shared" si="3"/>
        <v>1</v>
      </c>
      <c r="W28" s="3">
        <v>0</v>
      </c>
      <c r="X28" s="3">
        <v>0</v>
      </c>
      <c r="Y28" s="35">
        <v>1</v>
      </c>
      <c r="Z28" s="3">
        <v>0</v>
      </c>
      <c r="AA28" s="3">
        <v>0</v>
      </c>
      <c r="AB28" s="3">
        <f t="shared" si="4"/>
        <v>0</v>
      </c>
    </row>
    <row r="29" spans="1:28" ht="15" customHeight="1" x14ac:dyDescent="0.25">
      <c r="A29" s="10">
        <v>25</v>
      </c>
      <c r="B29" s="11">
        <v>14121600</v>
      </c>
      <c r="C29" s="26" t="s">
        <v>87</v>
      </c>
      <c r="D29" s="26" t="s">
        <v>88</v>
      </c>
      <c r="E29" s="11" t="s">
        <v>34</v>
      </c>
      <c r="F29" s="11" t="s">
        <v>61</v>
      </c>
      <c r="G29" s="11">
        <v>400</v>
      </c>
      <c r="H29" s="12">
        <v>189.5</v>
      </c>
      <c r="I29" s="12">
        <f t="shared" si="0"/>
        <v>75800</v>
      </c>
      <c r="J29" s="9"/>
      <c r="K29" s="9"/>
      <c r="L29" s="9"/>
      <c r="M29" s="9"/>
      <c r="N29" s="9"/>
      <c r="O29" s="9">
        <f>400*0.66</f>
        <v>264</v>
      </c>
      <c r="P29" s="9">
        <v>66</v>
      </c>
      <c r="Q29" s="9"/>
      <c r="R29" s="9">
        <v>66</v>
      </c>
      <c r="S29" s="9"/>
      <c r="T29" s="9"/>
      <c r="U29" s="9"/>
      <c r="V29" s="28">
        <f t="shared" si="3"/>
        <v>132</v>
      </c>
      <c r="W29" s="3">
        <v>20</v>
      </c>
      <c r="X29" s="3">
        <v>20</v>
      </c>
      <c r="Y29" s="3">
        <v>20</v>
      </c>
      <c r="Z29" s="3">
        <v>20</v>
      </c>
      <c r="AA29" s="3">
        <v>20</v>
      </c>
      <c r="AB29" s="3">
        <f t="shared" si="4"/>
        <v>32</v>
      </c>
    </row>
    <row r="30" spans="1:28" ht="15" customHeight="1" x14ac:dyDescent="0.25">
      <c r="A30" s="10">
        <v>26</v>
      </c>
      <c r="B30" s="11">
        <v>14111507</v>
      </c>
      <c r="C30" s="11" t="s">
        <v>89</v>
      </c>
      <c r="D30" s="11" t="s">
        <v>90</v>
      </c>
      <c r="E30" s="11" t="s">
        <v>34</v>
      </c>
      <c r="F30" s="11" t="s">
        <v>91</v>
      </c>
      <c r="G30" s="11">
        <v>6</v>
      </c>
      <c r="H30" s="12">
        <v>38155</v>
      </c>
      <c r="I30" s="12">
        <f t="shared" si="0"/>
        <v>228930</v>
      </c>
      <c r="J30" s="9"/>
      <c r="K30" s="9"/>
      <c r="L30" s="9"/>
      <c r="M30" s="9"/>
      <c r="N30" s="9"/>
      <c r="O30" s="9"/>
      <c r="P30" s="9"/>
      <c r="Q30" s="9"/>
      <c r="R30" s="9"/>
      <c r="S30" s="9">
        <v>6</v>
      </c>
      <c r="T30" s="9"/>
      <c r="U30" s="9"/>
    </row>
    <row r="31" spans="1:28" ht="15" customHeight="1" x14ac:dyDescent="0.25">
      <c r="A31" s="10">
        <v>27</v>
      </c>
      <c r="B31" s="11">
        <v>14111519</v>
      </c>
      <c r="C31" s="11" t="s">
        <v>92</v>
      </c>
      <c r="D31" s="11" t="s">
        <v>93</v>
      </c>
      <c r="E31" s="11" t="s">
        <v>34</v>
      </c>
      <c r="F31" s="11" t="s">
        <v>94</v>
      </c>
      <c r="G31" s="11">
        <v>30</v>
      </c>
      <c r="H31" s="12">
        <v>9196.3666666666668</v>
      </c>
      <c r="I31" s="12">
        <f t="shared" si="0"/>
        <v>275891</v>
      </c>
      <c r="J31" s="9"/>
      <c r="K31" s="9"/>
      <c r="L31" s="9"/>
      <c r="M31" s="9"/>
      <c r="N31" s="9"/>
      <c r="O31" s="9"/>
      <c r="P31" s="9"/>
      <c r="Q31" s="9"/>
      <c r="R31" s="9"/>
      <c r="S31" s="9"/>
      <c r="T31" s="9"/>
      <c r="U31" s="9">
        <v>30</v>
      </c>
    </row>
    <row r="32" spans="1:28" ht="15" customHeight="1" x14ac:dyDescent="0.25">
      <c r="A32" s="10">
        <v>28</v>
      </c>
      <c r="B32" s="11">
        <v>14111507</v>
      </c>
      <c r="C32" s="11" t="s">
        <v>95</v>
      </c>
      <c r="D32" s="11" t="s">
        <v>95</v>
      </c>
      <c r="E32" s="11" t="s">
        <v>34</v>
      </c>
      <c r="F32" s="11" t="s">
        <v>96</v>
      </c>
      <c r="G32" s="11">
        <v>10</v>
      </c>
      <c r="H32" s="12">
        <v>46106.7</v>
      </c>
      <c r="I32" s="12">
        <f t="shared" si="0"/>
        <v>461067</v>
      </c>
      <c r="J32" s="9"/>
      <c r="K32" s="9">
        <v>6</v>
      </c>
      <c r="L32" s="9"/>
      <c r="M32" s="9"/>
      <c r="N32" s="9"/>
      <c r="O32" s="9"/>
      <c r="P32" s="9"/>
      <c r="Q32" s="9"/>
      <c r="R32" s="9"/>
      <c r="S32" s="9"/>
      <c r="T32" s="9"/>
      <c r="U32" s="9">
        <v>4</v>
      </c>
    </row>
    <row r="33" spans="1:28" ht="15" customHeight="1" x14ac:dyDescent="0.25">
      <c r="A33" s="10">
        <v>29</v>
      </c>
      <c r="B33" s="11">
        <v>31201610</v>
      </c>
      <c r="C33" s="16" t="s">
        <v>97</v>
      </c>
      <c r="D33" s="11" t="s">
        <v>98</v>
      </c>
      <c r="E33" s="11" t="s">
        <v>34</v>
      </c>
      <c r="F33" s="11" t="s">
        <v>99</v>
      </c>
      <c r="G33" s="11">
        <v>35</v>
      </c>
      <c r="H33" s="12">
        <v>5850</v>
      </c>
      <c r="I33" s="12">
        <f t="shared" si="0"/>
        <v>204750</v>
      </c>
      <c r="J33" s="9"/>
      <c r="K33" s="9"/>
      <c r="L33" s="9"/>
      <c r="M33" s="9"/>
      <c r="N33" s="9"/>
      <c r="O33" s="9"/>
      <c r="P33" s="9"/>
      <c r="Q33" s="9"/>
      <c r="R33" s="9"/>
      <c r="S33" s="9"/>
      <c r="T33" s="9">
        <v>35</v>
      </c>
      <c r="U33" s="9"/>
    </row>
    <row r="34" spans="1:28" ht="15" customHeight="1" x14ac:dyDescent="0.25">
      <c r="A34" s="10">
        <v>30</v>
      </c>
      <c r="B34" s="11">
        <v>31201610</v>
      </c>
      <c r="C34" s="26" t="s">
        <v>100</v>
      </c>
      <c r="D34" s="26" t="s">
        <v>101</v>
      </c>
      <c r="E34" s="11" t="s">
        <v>34</v>
      </c>
      <c r="F34" s="11" t="s">
        <v>102</v>
      </c>
      <c r="G34" s="11">
        <v>25</v>
      </c>
      <c r="H34" s="12">
        <v>2760</v>
      </c>
      <c r="I34" s="12">
        <f t="shared" si="0"/>
        <v>69000</v>
      </c>
      <c r="J34" s="9"/>
      <c r="K34" s="9"/>
      <c r="L34" s="9">
        <f>0.8*5</f>
        <v>4</v>
      </c>
      <c r="M34" s="9"/>
      <c r="N34" s="9">
        <v>4</v>
      </c>
      <c r="O34" s="9">
        <f>15*0.8</f>
        <v>12</v>
      </c>
      <c r="P34" s="9">
        <v>1</v>
      </c>
      <c r="Q34" s="9"/>
      <c r="R34" s="9">
        <v>4</v>
      </c>
      <c r="S34" s="9"/>
      <c r="T34" s="9"/>
      <c r="U34" s="9"/>
      <c r="V34" s="28">
        <f>+O34/2</f>
        <v>6</v>
      </c>
      <c r="W34" s="3">
        <v>1</v>
      </c>
      <c r="X34" s="3">
        <v>1</v>
      </c>
      <c r="Y34" s="3">
        <v>1</v>
      </c>
      <c r="Z34" s="3">
        <v>1</v>
      </c>
      <c r="AA34" s="3">
        <v>1</v>
      </c>
      <c r="AB34" s="3">
        <f>+V34-(W34+X34+Y34+Z34+AA34)</f>
        <v>1</v>
      </c>
    </row>
    <row r="35" spans="1:28" ht="15" customHeight="1" x14ac:dyDescent="0.25">
      <c r="A35" s="10">
        <v>31</v>
      </c>
      <c r="B35" s="11">
        <v>31201610</v>
      </c>
      <c r="C35" s="11" t="s">
        <v>103</v>
      </c>
      <c r="D35" s="11" t="s">
        <v>104</v>
      </c>
      <c r="E35" s="11" t="s">
        <v>34</v>
      </c>
      <c r="F35" s="11" t="s">
        <v>105</v>
      </c>
      <c r="G35" s="11">
        <v>8</v>
      </c>
      <c r="H35" s="12">
        <v>25650</v>
      </c>
      <c r="I35" s="12">
        <f t="shared" si="0"/>
        <v>205200</v>
      </c>
      <c r="J35" s="9"/>
      <c r="K35" s="9"/>
      <c r="L35" s="9">
        <v>1</v>
      </c>
      <c r="M35" s="9">
        <v>2</v>
      </c>
      <c r="N35" s="9"/>
      <c r="O35" s="9"/>
      <c r="P35" s="9"/>
      <c r="Q35" s="9"/>
      <c r="R35" s="9">
        <v>2</v>
      </c>
      <c r="S35" s="9">
        <v>1</v>
      </c>
      <c r="T35" s="9"/>
      <c r="U35" s="9">
        <v>2</v>
      </c>
    </row>
    <row r="36" spans="1:28" ht="15" customHeight="1" x14ac:dyDescent="0.25">
      <c r="A36" s="10">
        <v>32</v>
      </c>
      <c r="B36" s="11">
        <v>12352310</v>
      </c>
      <c r="C36" s="26" t="s">
        <v>106</v>
      </c>
      <c r="D36" s="26" t="s">
        <v>107</v>
      </c>
      <c r="E36" s="11" t="s">
        <v>34</v>
      </c>
      <c r="F36" s="11" t="s">
        <v>108</v>
      </c>
      <c r="G36" s="11">
        <v>20</v>
      </c>
      <c r="H36" s="12">
        <v>17680</v>
      </c>
      <c r="I36" s="12">
        <f t="shared" si="0"/>
        <v>353600</v>
      </c>
      <c r="J36" s="9"/>
      <c r="K36" s="9"/>
      <c r="L36" s="9">
        <v>10</v>
      </c>
      <c r="M36" s="9"/>
      <c r="N36" s="9"/>
      <c r="O36" s="9">
        <v>5</v>
      </c>
      <c r="P36" s="9">
        <v>2</v>
      </c>
      <c r="Q36" s="9"/>
      <c r="R36" s="9">
        <v>5</v>
      </c>
      <c r="S36" s="9"/>
      <c r="T36" s="9"/>
      <c r="U36" s="9">
        <v>2</v>
      </c>
      <c r="V36" s="28">
        <f t="shared" ref="V36:V37" si="5">+O36/2</f>
        <v>2.5</v>
      </c>
      <c r="W36" s="3">
        <v>0</v>
      </c>
      <c r="X36" s="35">
        <v>1</v>
      </c>
      <c r="Y36" s="3">
        <v>0</v>
      </c>
      <c r="Z36" s="3">
        <v>0</v>
      </c>
      <c r="AA36" s="35">
        <v>1</v>
      </c>
      <c r="AB36" s="3">
        <f>+V36-(W36+X36+Y36+Z36+AA36)+0.5</f>
        <v>1</v>
      </c>
    </row>
    <row r="37" spans="1:28" ht="15" customHeight="1" x14ac:dyDescent="0.25">
      <c r="A37" s="10">
        <v>33</v>
      </c>
      <c r="B37" s="11">
        <v>13111307</v>
      </c>
      <c r="C37" s="26" t="s">
        <v>109</v>
      </c>
      <c r="D37" s="26" t="s">
        <v>110</v>
      </c>
      <c r="E37" s="11" t="s">
        <v>34</v>
      </c>
      <c r="F37" s="11" t="s">
        <v>111</v>
      </c>
      <c r="G37" s="11">
        <v>150</v>
      </c>
      <c r="H37" s="12">
        <v>3145</v>
      </c>
      <c r="I37" s="12">
        <f t="shared" si="0"/>
        <v>471750</v>
      </c>
      <c r="J37" s="9"/>
      <c r="K37" s="9"/>
      <c r="L37" s="9">
        <v>10</v>
      </c>
      <c r="M37" s="9"/>
      <c r="N37" s="9"/>
      <c r="O37" s="9">
        <f>50*0.7</f>
        <v>35</v>
      </c>
      <c r="P37" s="9">
        <v>70</v>
      </c>
      <c r="Q37" s="9"/>
      <c r="R37" s="9">
        <f>50*0.7</f>
        <v>35</v>
      </c>
      <c r="S37" s="9"/>
      <c r="T37" s="9"/>
      <c r="U37" s="9"/>
      <c r="V37" s="28">
        <f t="shared" si="5"/>
        <v>17.5</v>
      </c>
      <c r="W37" s="3">
        <v>0</v>
      </c>
      <c r="X37" s="3">
        <v>3</v>
      </c>
      <c r="Y37" s="3">
        <v>3</v>
      </c>
      <c r="Z37" s="3">
        <v>3</v>
      </c>
      <c r="AA37" s="3">
        <v>3</v>
      </c>
      <c r="AB37" s="3">
        <f>+V37-(W37+X37+Y37+Z37+AA37)+0.5</f>
        <v>6</v>
      </c>
    </row>
    <row r="38" spans="1:28" ht="15" customHeight="1" x14ac:dyDescent="0.25">
      <c r="A38" s="10">
        <v>34</v>
      </c>
      <c r="B38" s="11">
        <v>49181500</v>
      </c>
      <c r="C38" s="16" t="s">
        <v>112</v>
      </c>
      <c r="D38" s="11" t="s">
        <v>113</v>
      </c>
      <c r="E38" s="11" t="s">
        <v>34</v>
      </c>
      <c r="F38" s="11" t="s">
        <v>114</v>
      </c>
      <c r="G38" s="11">
        <v>25</v>
      </c>
      <c r="H38" s="12">
        <v>13585</v>
      </c>
      <c r="I38" s="12">
        <f t="shared" si="0"/>
        <v>339625</v>
      </c>
      <c r="J38" s="9"/>
      <c r="K38" s="9"/>
      <c r="L38" s="9"/>
      <c r="M38" s="9"/>
      <c r="N38" s="9"/>
      <c r="O38" s="9"/>
      <c r="P38" s="9"/>
      <c r="Q38" s="9"/>
      <c r="R38" s="9"/>
      <c r="S38" s="9"/>
      <c r="T38" s="9">
        <v>25</v>
      </c>
      <c r="U38" s="9"/>
    </row>
    <row r="39" spans="1:28" ht="15" customHeight="1" x14ac:dyDescent="0.25">
      <c r="A39" s="10">
        <v>35</v>
      </c>
      <c r="B39" s="11">
        <v>44122010</v>
      </c>
      <c r="C39" s="11" t="s">
        <v>115</v>
      </c>
      <c r="D39" s="11" t="s">
        <v>116</v>
      </c>
      <c r="E39" s="11" t="s">
        <v>34</v>
      </c>
      <c r="F39" s="11" t="s">
        <v>117</v>
      </c>
      <c r="G39" s="11">
        <v>5</v>
      </c>
      <c r="H39" s="12">
        <v>2480</v>
      </c>
      <c r="I39" s="12">
        <f t="shared" si="0"/>
        <v>12400</v>
      </c>
      <c r="J39" s="9">
        <v>2</v>
      </c>
      <c r="K39" s="9"/>
      <c r="L39" s="9"/>
      <c r="M39" s="9"/>
      <c r="N39" s="9">
        <v>1</v>
      </c>
      <c r="O39" s="9"/>
      <c r="P39" s="9">
        <v>1</v>
      </c>
      <c r="Q39" s="9"/>
      <c r="R39" s="9"/>
      <c r="S39" s="9">
        <v>1</v>
      </c>
      <c r="T39" s="9"/>
      <c r="U39" s="9"/>
    </row>
    <row r="40" spans="1:28" ht="15" customHeight="1" x14ac:dyDescent="0.25">
      <c r="A40" s="10">
        <v>36</v>
      </c>
      <c r="B40" s="11">
        <v>14111518</v>
      </c>
      <c r="C40" s="26" t="s">
        <v>118</v>
      </c>
      <c r="D40" s="26" t="s">
        <v>119</v>
      </c>
      <c r="E40" s="11" t="s">
        <v>34</v>
      </c>
      <c r="F40" s="11" t="s">
        <v>120</v>
      </c>
      <c r="G40" s="11">
        <v>3</v>
      </c>
      <c r="H40" s="12">
        <v>4120</v>
      </c>
      <c r="I40" s="12">
        <f t="shared" si="0"/>
        <v>12360</v>
      </c>
      <c r="J40" s="9">
        <v>1</v>
      </c>
      <c r="K40" s="9"/>
      <c r="L40" s="9"/>
      <c r="M40" s="9"/>
      <c r="N40" s="9"/>
      <c r="O40" s="9">
        <v>1</v>
      </c>
      <c r="P40" s="9"/>
      <c r="Q40" s="9"/>
      <c r="R40" s="9">
        <v>1</v>
      </c>
      <c r="S40" s="9"/>
      <c r="T40" s="9"/>
      <c r="U40" s="9"/>
      <c r="V40" s="34">
        <v>0</v>
      </c>
      <c r="W40" s="3">
        <v>0</v>
      </c>
      <c r="X40" s="3">
        <v>0</v>
      </c>
      <c r="Y40" s="3">
        <v>0</v>
      </c>
      <c r="Z40" s="3">
        <v>0</v>
      </c>
      <c r="AA40" s="3">
        <v>0</v>
      </c>
      <c r="AB40" s="3">
        <f>+V40-(W40+X40+Y40+Z40+AA40)</f>
        <v>0</v>
      </c>
    </row>
    <row r="41" spans="1:28" ht="15" customHeight="1" x14ac:dyDescent="0.25">
      <c r="A41" s="10">
        <v>37</v>
      </c>
      <c r="B41" s="11">
        <v>44121708</v>
      </c>
      <c r="C41" s="11" t="s">
        <v>121</v>
      </c>
      <c r="D41" s="11" t="s">
        <v>122</v>
      </c>
      <c r="E41" s="11" t="s">
        <v>34</v>
      </c>
      <c r="F41" s="11" t="s">
        <v>123</v>
      </c>
      <c r="G41" s="11">
        <v>12</v>
      </c>
      <c r="H41" s="12">
        <v>22654</v>
      </c>
      <c r="I41" s="12">
        <f t="shared" si="0"/>
        <v>271848</v>
      </c>
      <c r="J41" s="9"/>
      <c r="K41" s="9">
        <v>1</v>
      </c>
      <c r="L41" s="9">
        <v>3</v>
      </c>
      <c r="M41" s="9"/>
      <c r="N41" s="9"/>
      <c r="O41" s="9"/>
      <c r="P41" s="9">
        <v>3</v>
      </c>
      <c r="Q41" s="9"/>
      <c r="R41" s="9">
        <v>3</v>
      </c>
      <c r="S41" s="9"/>
      <c r="T41" s="9"/>
      <c r="U41" s="9">
        <v>2</v>
      </c>
    </row>
    <row r="42" spans="1:28" ht="15" customHeight="1" x14ac:dyDescent="0.25">
      <c r="A42" s="10">
        <v>38</v>
      </c>
      <c r="B42" s="11">
        <v>11151608</v>
      </c>
      <c r="C42" s="26" t="s">
        <v>124</v>
      </c>
      <c r="D42" s="26" t="s">
        <v>125</v>
      </c>
      <c r="E42" s="11" t="s">
        <v>34</v>
      </c>
      <c r="F42" s="11" t="s">
        <v>126</v>
      </c>
      <c r="G42" s="11">
        <v>5</v>
      </c>
      <c r="H42" s="12">
        <v>2242.6</v>
      </c>
      <c r="I42" s="12">
        <f t="shared" si="0"/>
        <v>11213</v>
      </c>
      <c r="J42" s="9">
        <v>1</v>
      </c>
      <c r="K42" s="9"/>
      <c r="L42" s="9"/>
      <c r="M42" s="9"/>
      <c r="N42" s="9"/>
      <c r="O42" s="9">
        <v>2</v>
      </c>
      <c r="P42" s="9"/>
      <c r="Q42" s="9"/>
      <c r="R42" s="9">
        <v>1</v>
      </c>
      <c r="S42" s="9">
        <v>1</v>
      </c>
      <c r="T42" s="9"/>
      <c r="U42" s="9"/>
      <c r="V42" s="28">
        <f>+O42/2</f>
        <v>1</v>
      </c>
      <c r="W42" s="3">
        <v>0</v>
      </c>
      <c r="X42" s="3">
        <v>0</v>
      </c>
      <c r="Y42" s="35">
        <v>1</v>
      </c>
      <c r="Z42" s="3">
        <v>0</v>
      </c>
      <c r="AA42" s="3">
        <v>0</v>
      </c>
      <c r="AB42" s="3">
        <f>+V42-(W42+X42+Y42+Z42+AA42)</f>
        <v>0</v>
      </c>
    </row>
    <row r="43" spans="1:28" ht="15" customHeight="1" x14ac:dyDescent="0.25">
      <c r="A43" s="10">
        <v>39</v>
      </c>
      <c r="B43" s="11">
        <v>60120000</v>
      </c>
      <c r="C43" s="11" t="s">
        <v>127</v>
      </c>
      <c r="D43" s="11" t="s">
        <v>128</v>
      </c>
      <c r="E43" s="11" t="s">
        <v>34</v>
      </c>
      <c r="F43" s="11" t="s">
        <v>129</v>
      </c>
      <c r="G43" s="11">
        <v>8</v>
      </c>
      <c r="H43" s="12">
        <v>3146.625</v>
      </c>
      <c r="I43" s="12">
        <f t="shared" si="0"/>
        <v>25173</v>
      </c>
      <c r="J43" s="9"/>
      <c r="K43" s="9"/>
      <c r="L43" s="9">
        <v>4</v>
      </c>
      <c r="M43" s="9"/>
      <c r="N43" s="9"/>
      <c r="O43" s="9"/>
      <c r="P43" s="9"/>
      <c r="Q43" s="9"/>
      <c r="R43" s="9">
        <v>4</v>
      </c>
      <c r="S43" s="9"/>
      <c r="T43" s="9"/>
      <c r="U43" s="9"/>
    </row>
    <row r="44" spans="1:28" ht="15" customHeight="1" x14ac:dyDescent="0.25">
      <c r="A44" s="10">
        <v>40</v>
      </c>
      <c r="B44" s="11">
        <v>60110000</v>
      </c>
      <c r="C44" s="11" t="s">
        <v>130</v>
      </c>
      <c r="D44" s="11" t="s">
        <v>131</v>
      </c>
      <c r="E44" s="11" t="s">
        <v>34</v>
      </c>
      <c r="F44" s="11" t="s">
        <v>132</v>
      </c>
      <c r="G44" s="11">
        <v>8</v>
      </c>
      <c r="H44" s="12">
        <v>5376.625</v>
      </c>
      <c r="I44" s="12">
        <f t="shared" si="0"/>
        <v>43013</v>
      </c>
      <c r="J44" s="9"/>
      <c r="K44" s="9"/>
      <c r="L44" s="9">
        <v>8</v>
      </c>
      <c r="M44" s="9"/>
      <c r="N44" s="9"/>
      <c r="O44" s="9"/>
      <c r="P44" s="9"/>
      <c r="Q44" s="9"/>
      <c r="R44" s="9"/>
      <c r="S44" s="9"/>
      <c r="T44" s="9"/>
      <c r="U44" s="9"/>
    </row>
    <row r="45" spans="1:28" ht="15" customHeight="1" x14ac:dyDescent="0.25">
      <c r="A45" s="10">
        <v>41</v>
      </c>
      <c r="B45" s="11">
        <v>60102902</v>
      </c>
      <c r="C45" s="11" t="s">
        <v>133</v>
      </c>
      <c r="D45" s="11" t="s">
        <v>134</v>
      </c>
      <c r="E45" s="11" t="s">
        <v>34</v>
      </c>
      <c r="F45" s="11" t="s">
        <v>86</v>
      </c>
      <c r="G45" s="11">
        <v>4</v>
      </c>
      <c r="H45" s="12">
        <v>7039.5</v>
      </c>
      <c r="I45" s="12">
        <f t="shared" si="0"/>
        <v>28158</v>
      </c>
      <c r="J45" s="9"/>
      <c r="K45" s="9"/>
      <c r="L45" s="9">
        <v>3</v>
      </c>
      <c r="M45" s="9"/>
      <c r="N45" s="9">
        <v>1</v>
      </c>
      <c r="O45" s="9"/>
      <c r="P45" s="9"/>
      <c r="Q45" s="9"/>
      <c r="R45" s="9"/>
      <c r="S45" s="9"/>
      <c r="T45" s="9"/>
      <c r="U45" s="9"/>
    </row>
    <row r="46" spans="1:28" ht="15" customHeight="1" x14ac:dyDescent="0.25">
      <c r="A46" s="10">
        <v>42</v>
      </c>
      <c r="B46" s="11">
        <v>14111514</v>
      </c>
      <c r="C46" s="26" t="s">
        <v>135</v>
      </c>
      <c r="D46" s="26" t="s">
        <v>136</v>
      </c>
      <c r="E46" s="11" t="s">
        <v>34</v>
      </c>
      <c r="F46" s="11" t="s">
        <v>137</v>
      </c>
      <c r="G46" s="11">
        <v>60</v>
      </c>
      <c r="H46" s="12">
        <v>5628.6</v>
      </c>
      <c r="I46" s="12">
        <f t="shared" si="0"/>
        <v>337716</v>
      </c>
      <c r="J46" s="9"/>
      <c r="K46" s="9">
        <v>1</v>
      </c>
      <c r="L46" s="9">
        <f>0.25*20</f>
        <v>5</v>
      </c>
      <c r="M46" s="9"/>
      <c r="N46" s="9"/>
      <c r="O46" s="9">
        <v>25</v>
      </c>
      <c r="P46" s="9">
        <v>2</v>
      </c>
      <c r="Q46" s="9"/>
      <c r="R46" s="9">
        <v>25</v>
      </c>
      <c r="S46" s="9"/>
      <c r="T46" s="9"/>
      <c r="U46" s="9">
        <v>2</v>
      </c>
      <c r="V46" s="28">
        <f>+O46/2</f>
        <v>12.5</v>
      </c>
      <c r="W46" s="3">
        <v>2</v>
      </c>
      <c r="X46" s="3">
        <v>2</v>
      </c>
      <c r="Y46" s="3">
        <v>2</v>
      </c>
      <c r="Z46" s="3">
        <v>2</v>
      </c>
      <c r="AA46" s="3">
        <v>2</v>
      </c>
      <c r="AB46" s="3">
        <f>+V46-(W46+X46+Y46+Z46+AA46)+0.5</f>
        <v>3</v>
      </c>
    </row>
    <row r="47" spans="1:28" ht="15" customHeight="1" x14ac:dyDescent="0.25">
      <c r="A47" s="10">
        <v>43</v>
      </c>
      <c r="B47" s="11">
        <v>44121701</v>
      </c>
      <c r="C47" s="11" t="s">
        <v>138</v>
      </c>
      <c r="D47" s="11" t="s">
        <v>139</v>
      </c>
      <c r="E47" s="11" t="s">
        <v>34</v>
      </c>
      <c r="F47" s="11" t="s">
        <v>140</v>
      </c>
      <c r="G47" s="11">
        <v>8</v>
      </c>
      <c r="H47" s="12">
        <v>8789</v>
      </c>
      <c r="I47" s="12">
        <f t="shared" si="0"/>
        <v>70312</v>
      </c>
      <c r="J47" s="9"/>
      <c r="K47" s="9"/>
      <c r="L47" s="9">
        <v>4</v>
      </c>
      <c r="M47" s="9"/>
      <c r="N47" s="9"/>
      <c r="O47" s="9"/>
      <c r="P47" s="9">
        <v>1</v>
      </c>
      <c r="Q47" s="9"/>
      <c r="R47" s="9"/>
      <c r="S47" s="9">
        <v>3</v>
      </c>
      <c r="T47" s="9"/>
      <c r="U47" s="9"/>
    </row>
    <row r="48" spans="1:28" ht="15" customHeight="1" x14ac:dyDescent="0.25">
      <c r="A48" s="10">
        <v>44</v>
      </c>
      <c r="B48" s="11">
        <v>44121701</v>
      </c>
      <c r="C48" s="11" t="s">
        <v>138</v>
      </c>
      <c r="D48" s="11" t="s">
        <v>141</v>
      </c>
      <c r="E48" s="11" t="s">
        <v>34</v>
      </c>
      <c r="F48" s="11" t="s">
        <v>140</v>
      </c>
      <c r="G48" s="11">
        <v>10</v>
      </c>
      <c r="H48" s="12">
        <v>12510</v>
      </c>
      <c r="I48" s="12">
        <f t="shared" si="0"/>
        <v>125100</v>
      </c>
      <c r="J48" s="9"/>
      <c r="K48" s="9"/>
      <c r="L48" s="9">
        <f>0.4*5</f>
        <v>2</v>
      </c>
      <c r="M48" s="9"/>
      <c r="N48" s="9"/>
      <c r="O48" s="9"/>
      <c r="P48" s="9">
        <v>4</v>
      </c>
      <c r="Q48" s="9"/>
      <c r="R48" s="9">
        <v>4</v>
      </c>
      <c r="S48" s="9"/>
      <c r="T48" s="9"/>
      <c r="U48" s="9"/>
    </row>
    <row r="49" spans="1:21" ht="15" customHeight="1" x14ac:dyDescent="0.25">
      <c r="A49" s="10">
        <v>45</v>
      </c>
      <c r="B49" s="11">
        <v>44121701</v>
      </c>
      <c r="C49" s="11" t="s">
        <v>142</v>
      </c>
      <c r="D49" s="11" t="s">
        <v>143</v>
      </c>
      <c r="E49" s="11" t="s">
        <v>34</v>
      </c>
      <c r="F49" s="11" t="s">
        <v>140</v>
      </c>
      <c r="G49" s="11">
        <v>5</v>
      </c>
      <c r="H49" s="12">
        <v>8789</v>
      </c>
      <c r="I49" s="12">
        <f t="shared" si="0"/>
        <v>43945</v>
      </c>
      <c r="J49" s="9"/>
      <c r="K49" s="9"/>
      <c r="L49" s="9">
        <v>3</v>
      </c>
      <c r="M49" s="9"/>
      <c r="N49" s="9"/>
      <c r="O49" s="9"/>
      <c r="P49" s="9">
        <v>1</v>
      </c>
      <c r="Q49" s="9"/>
      <c r="R49" s="9"/>
      <c r="S49" s="9">
        <v>1</v>
      </c>
      <c r="T49" s="9"/>
      <c r="U49" s="9"/>
    </row>
    <row r="50" spans="1:21" ht="15" customHeight="1" x14ac:dyDescent="0.25">
      <c r="A50" s="10">
        <v>46</v>
      </c>
      <c r="B50" s="11">
        <v>44111912</v>
      </c>
      <c r="C50" s="11" t="s">
        <v>144</v>
      </c>
      <c r="D50" s="11" t="s">
        <v>145</v>
      </c>
      <c r="E50" s="11" t="s">
        <v>34</v>
      </c>
      <c r="F50" s="11" t="s">
        <v>34</v>
      </c>
      <c r="G50" s="11">
        <v>15</v>
      </c>
      <c r="H50" s="12">
        <v>2006</v>
      </c>
      <c r="I50" s="12">
        <f t="shared" si="0"/>
        <v>30090</v>
      </c>
      <c r="J50" s="9"/>
      <c r="K50" s="9"/>
      <c r="L50" s="9">
        <v>4</v>
      </c>
      <c r="M50" s="9"/>
      <c r="N50" s="9"/>
      <c r="O50" s="9"/>
      <c r="P50" s="9">
        <v>6</v>
      </c>
      <c r="Q50" s="9"/>
      <c r="R50" s="9">
        <v>4</v>
      </c>
      <c r="S50" s="9"/>
      <c r="T50" s="9"/>
      <c r="U50" s="9">
        <v>1</v>
      </c>
    </row>
    <row r="51" spans="1:21" ht="15" customHeight="1" x14ac:dyDescent="0.25">
      <c r="A51" s="10">
        <v>47</v>
      </c>
      <c r="B51" s="11">
        <v>60141102</v>
      </c>
      <c r="C51" s="11" t="s">
        <v>146</v>
      </c>
      <c r="D51" s="11" t="s">
        <v>147</v>
      </c>
      <c r="E51" s="11" t="s">
        <v>34</v>
      </c>
      <c r="F51" s="11" t="s">
        <v>34</v>
      </c>
      <c r="G51" s="11">
        <v>3</v>
      </c>
      <c r="H51" s="12">
        <v>103948</v>
      </c>
      <c r="I51" s="12">
        <f t="shared" si="0"/>
        <v>311844</v>
      </c>
      <c r="J51" s="9"/>
      <c r="K51" s="9"/>
      <c r="L51" s="9">
        <v>3</v>
      </c>
      <c r="M51" s="9"/>
      <c r="N51" s="9"/>
      <c r="O51" s="9"/>
      <c r="P51" s="9"/>
      <c r="Q51" s="9"/>
      <c r="R51" s="9"/>
      <c r="S51" s="9"/>
      <c r="T51" s="9"/>
      <c r="U51" s="9"/>
    </row>
    <row r="52" spans="1:21" ht="15" customHeight="1" x14ac:dyDescent="0.25">
      <c r="A52" s="10">
        <v>48</v>
      </c>
      <c r="B52" s="11">
        <v>60141107</v>
      </c>
      <c r="C52" s="11" t="s">
        <v>148</v>
      </c>
      <c r="D52" s="11" t="s">
        <v>149</v>
      </c>
      <c r="E52" s="11" t="s">
        <v>34</v>
      </c>
      <c r="F52" s="11" t="s">
        <v>34</v>
      </c>
      <c r="G52" s="11">
        <v>3</v>
      </c>
      <c r="H52" s="12">
        <v>100620</v>
      </c>
      <c r="I52" s="12">
        <f t="shared" si="0"/>
        <v>301860</v>
      </c>
      <c r="J52" s="9"/>
      <c r="K52" s="9"/>
      <c r="L52" s="9">
        <v>3</v>
      </c>
      <c r="M52" s="9"/>
      <c r="N52" s="9"/>
      <c r="O52" s="9"/>
      <c r="P52" s="9"/>
      <c r="Q52" s="9"/>
      <c r="R52" s="9"/>
      <c r="S52" s="9"/>
      <c r="T52" s="9"/>
      <c r="U52" s="9"/>
    </row>
    <row r="53" spans="1:21" ht="15" customHeight="1" x14ac:dyDescent="0.25">
      <c r="A53" s="10">
        <v>49</v>
      </c>
      <c r="B53" s="11">
        <v>60141113</v>
      </c>
      <c r="C53" s="11" t="s">
        <v>150</v>
      </c>
      <c r="D53" s="11" t="s">
        <v>151</v>
      </c>
      <c r="E53" s="11" t="s">
        <v>34</v>
      </c>
      <c r="F53" s="11" t="s">
        <v>34</v>
      </c>
      <c r="G53" s="11">
        <v>3</v>
      </c>
      <c r="H53" s="12">
        <v>25985.666666666668</v>
      </c>
      <c r="I53" s="12">
        <f t="shared" si="0"/>
        <v>77957</v>
      </c>
      <c r="J53" s="9"/>
      <c r="K53" s="9"/>
      <c r="L53" s="9">
        <v>3</v>
      </c>
      <c r="M53" s="9"/>
      <c r="N53" s="9"/>
      <c r="O53" s="9"/>
      <c r="P53" s="9"/>
      <c r="Q53" s="9"/>
      <c r="R53" s="9"/>
      <c r="S53" s="9"/>
      <c r="T53" s="9"/>
      <c r="U53" s="9"/>
    </row>
    <row r="54" spans="1:21" ht="15" customHeight="1" x14ac:dyDescent="0.25">
      <c r="A54" s="10">
        <v>50</v>
      </c>
      <c r="B54" s="11">
        <v>60141113</v>
      </c>
      <c r="C54" s="11" t="s">
        <v>150</v>
      </c>
      <c r="D54" s="11" t="s">
        <v>152</v>
      </c>
      <c r="E54" s="11" t="s">
        <v>34</v>
      </c>
      <c r="F54" s="11" t="s">
        <v>34</v>
      </c>
      <c r="G54" s="11">
        <v>3</v>
      </c>
      <c r="H54" s="12">
        <v>33709</v>
      </c>
      <c r="I54" s="12">
        <f t="shared" si="0"/>
        <v>101127</v>
      </c>
      <c r="J54" s="9"/>
      <c r="K54" s="9"/>
      <c r="L54" s="9">
        <v>3</v>
      </c>
      <c r="M54" s="9"/>
      <c r="N54" s="9"/>
      <c r="O54" s="9"/>
      <c r="P54" s="9"/>
      <c r="Q54" s="9"/>
      <c r="R54" s="9"/>
      <c r="S54" s="9"/>
      <c r="T54" s="9"/>
      <c r="U54" s="9"/>
    </row>
    <row r="55" spans="1:21" ht="15" customHeight="1" x14ac:dyDescent="0.25">
      <c r="A55" s="10">
        <v>51</v>
      </c>
      <c r="B55" s="11">
        <v>60141113</v>
      </c>
      <c r="C55" s="11" t="s">
        <v>153</v>
      </c>
      <c r="D55" s="11" t="s">
        <v>154</v>
      </c>
      <c r="E55" s="11" t="s">
        <v>34</v>
      </c>
      <c r="F55" s="11" t="s">
        <v>34</v>
      </c>
      <c r="G55" s="11">
        <v>3</v>
      </c>
      <c r="H55" s="12">
        <v>32370</v>
      </c>
      <c r="I55" s="12">
        <f t="shared" si="0"/>
        <v>97110</v>
      </c>
      <c r="J55" s="9"/>
      <c r="K55" s="9"/>
      <c r="L55" s="9">
        <v>3</v>
      </c>
      <c r="M55" s="9"/>
      <c r="N55" s="9"/>
      <c r="O55" s="9"/>
      <c r="P55" s="9"/>
      <c r="Q55" s="9"/>
      <c r="R55" s="9"/>
      <c r="S55" s="9"/>
      <c r="T55" s="9"/>
      <c r="U55" s="9"/>
    </row>
    <row r="56" spans="1:21" ht="15" customHeight="1" x14ac:dyDescent="0.25">
      <c r="A56" s="10">
        <v>52</v>
      </c>
      <c r="B56" s="11">
        <v>60141101</v>
      </c>
      <c r="C56" s="11" t="s">
        <v>155</v>
      </c>
      <c r="D56" s="11" t="s">
        <v>156</v>
      </c>
      <c r="E56" s="11" t="s">
        <v>34</v>
      </c>
      <c r="F56" s="11" t="s">
        <v>157</v>
      </c>
      <c r="G56" s="11">
        <v>3</v>
      </c>
      <c r="H56" s="12">
        <v>50245</v>
      </c>
      <c r="I56" s="12">
        <f t="shared" si="0"/>
        <v>150735</v>
      </c>
      <c r="J56" s="9">
        <v>1</v>
      </c>
      <c r="K56" s="9">
        <v>1</v>
      </c>
      <c r="L56" s="9">
        <v>1</v>
      </c>
      <c r="M56" s="9"/>
      <c r="N56" s="9"/>
      <c r="O56" s="9"/>
      <c r="P56" s="9"/>
      <c r="Q56" s="9"/>
      <c r="R56" s="9"/>
      <c r="S56" s="9"/>
      <c r="T56" s="9"/>
      <c r="U56" s="9"/>
    </row>
    <row r="57" spans="1:21" ht="15" customHeight="1" x14ac:dyDescent="0.25">
      <c r="A57" s="10">
        <v>53</v>
      </c>
      <c r="B57" s="11">
        <v>49181500</v>
      </c>
      <c r="C57" s="16" t="s">
        <v>158</v>
      </c>
      <c r="D57" s="11" t="s">
        <v>159</v>
      </c>
      <c r="E57" s="11" t="s">
        <v>34</v>
      </c>
      <c r="F57" s="11" t="s">
        <v>160</v>
      </c>
      <c r="G57" s="11">
        <v>1</v>
      </c>
      <c r="H57" s="12">
        <v>110153</v>
      </c>
      <c r="I57" s="12">
        <f t="shared" si="0"/>
        <v>110153</v>
      </c>
      <c r="J57" s="9"/>
      <c r="K57" s="9"/>
      <c r="L57" s="9"/>
      <c r="M57" s="9"/>
      <c r="N57" s="9"/>
      <c r="O57" s="9"/>
      <c r="P57" s="9"/>
      <c r="Q57" s="9"/>
      <c r="R57" s="9"/>
      <c r="S57" s="9"/>
      <c r="T57" s="9"/>
      <c r="U57" s="9">
        <v>1</v>
      </c>
    </row>
    <row r="58" spans="1:21" ht="15" customHeight="1" x14ac:dyDescent="0.25">
      <c r="A58" s="10">
        <v>54</v>
      </c>
      <c r="B58" s="11">
        <v>60102513</v>
      </c>
      <c r="C58" s="16" t="s">
        <v>161</v>
      </c>
      <c r="D58" s="11" t="s">
        <v>162</v>
      </c>
      <c r="E58" s="11" t="s">
        <v>34</v>
      </c>
      <c r="F58" s="11" t="s">
        <v>163</v>
      </c>
      <c r="G58" s="11">
        <v>2</v>
      </c>
      <c r="H58" s="12">
        <v>45846.5</v>
      </c>
      <c r="I58" s="12">
        <f t="shared" si="0"/>
        <v>91693</v>
      </c>
      <c r="J58" s="9"/>
      <c r="K58" s="9"/>
      <c r="L58" s="9"/>
      <c r="M58" s="9"/>
      <c r="N58" s="9"/>
      <c r="O58" s="9"/>
      <c r="P58" s="9"/>
      <c r="Q58" s="9"/>
      <c r="R58" s="9"/>
      <c r="S58" s="9"/>
      <c r="T58" s="9"/>
      <c r="U58" s="9">
        <v>2</v>
      </c>
    </row>
    <row r="59" spans="1:21" ht="15" customHeight="1" x14ac:dyDescent="0.25">
      <c r="A59" s="10">
        <v>55</v>
      </c>
      <c r="B59" s="11">
        <v>60141102</v>
      </c>
      <c r="C59" s="16" t="s">
        <v>164</v>
      </c>
      <c r="D59" s="11" t="s">
        <v>165</v>
      </c>
      <c r="E59" s="11" t="s">
        <v>34</v>
      </c>
      <c r="F59" s="11" t="s">
        <v>160</v>
      </c>
      <c r="G59" s="11">
        <v>3</v>
      </c>
      <c r="H59" s="12">
        <v>98275.666666666672</v>
      </c>
      <c r="I59" s="12">
        <f t="shared" si="0"/>
        <v>294827</v>
      </c>
      <c r="J59" s="9"/>
      <c r="K59" s="9"/>
      <c r="L59" s="9"/>
      <c r="M59" s="9"/>
      <c r="N59" s="9"/>
      <c r="O59" s="9"/>
      <c r="P59" s="9"/>
      <c r="Q59" s="9"/>
      <c r="R59" s="9"/>
      <c r="S59" s="9"/>
      <c r="T59" s="9"/>
      <c r="U59" s="9">
        <v>3</v>
      </c>
    </row>
    <row r="60" spans="1:21" ht="15" customHeight="1" x14ac:dyDescent="0.25">
      <c r="A60" s="10">
        <v>56</v>
      </c>
      <c r="B60" s="11">
        <v>60102603</v>
      </c>
      <c r="C60" s="16" t="s">
        <v>166</v>
      </c>
      <c r="D60" s="11" t="s">
        <v>167</v>
      </c>
      <c r="E60" s="11" t="s">
        <v>34</v>
      </c>
      <c r="F60" s="11" t="s">
        <v>168</v>
      </c>
      <c r="G60" s="11">
        <v>2</v>
      </c>
      <c r="H60" s="17">
        <v>49830</v>
      </c>
      <c r="I60" s="17">
        <f t="shared" si="0"/>
        <v>99660</v>
      </c>
      <c r="J60" s="9"/>
      <c r="K60" s="9"/>
      <c r="L60" s="9"/>
      <c r="M60" s="9"/>
      <c r="N60" s="9"/>
      <c r="O60" s="9"/>
      <c r="P60" s="9"/>
      <c r="Q60" s="9"/>
      <c r="R60" s="9"/>
      <c r="S60" s="9"/>
      <c r="T60" s="9"/>
      <c r="U60" s="9">
        <v>2</v>
      </c>
    </row>
    <row r="61" spans="1:21" ht="15" customHeight="1" x14ac:dyDescent="0.25">
      <c r="A61" s="10">
        <v>57</v>
      </c>
      <c r="B61" s="11">
        <v>60103704</v>
      </c>
      <c r="C61" s="11" t="s">
        <v>169</v>
      </c>
      <c r="D61" s="11" t="s">
        <v>170</v>
      </c>
      <c r="E61" s="11" t="s">
        <v>34</v>
      </c>
      <c r="F61" s="11" t="s">
        <v>171</v>
      </c>
      <c r="G61" s="11">
        <v>3</v>
      </c>
      <c r="H61" s="12">
        <v>43333.333333333336</v>
      </c>
      <c r="I61" s="12">
        <f t="shared" si="0"/>
        <v>130000</v>
      </c>
      <c r="J61" s="9"/>
      <c r="K61" s="9"/>
      <c r="L61" s="9">
        <v>3</v>
      </c>
      <c r="M61" s="9"/>
      <c r="N61" s="9"/>
      <c r="O61" s="9"/>
      <c r="P61" s="9"/>
      <c r="Q61" s="9"/>
      <c r="R61" s="9"/>
      <c r="S61" s="9"/>
      <c r="T61" s="9"/>
      <c r="U61" s="9"/>
    </row>
    <row r="62" spans="1:21" ht="15" customHeight="1" x14ac:dyDescent="0.25">
      <c r="A62" s="10">
        <v>58</v>
      </c>
      <c r="B62" s="11">
        <v>60103704</v>
      </c>
      <c r="C62" s="11" t="s">
        <v>172</v>
      </c>
      <c r="D62" s="11" t="s">
        <v>173</v>
      </c>
      <c r="E62" s="11" t="s">
        <v>34</v>
      </c>
      <c r="F62" s="11" t="s">
        <v>171</v>
      </c>
      <c r="G62" s="11">
        <v>3</v>
      </c>
      <c r="H62" s="12">
        <v>45500</v>
      </c>
      <c r="I62" s="12">
        <f t="shared" si="0"/>
        <v>136500</v>
      </c>
      <c r="J62" s="9"/>
      <c r="K62" s="9"/>
      <c r="L62" s="9">
        <v>3</v>
      </c>
      <c r="M62" s="9"/>
      <c r="N62" s="9"/>
      <c r="O62" s="9"/>
      <c r="P62" s="9"/>
      <c r="Q62" s="9"/>
      <c r="R62" s="9"/>
      <c r="S62" s="9"/>
      <c r="T62" s="9"/>
      <c r="U62" s="9"/>
    </row>
    <row r="63" spans="1:21" ht="15" customHeight="1" x14ac:dyDescent="0.25">
      <c r="A63" s="10">
        <v>59</v>
      </c>
      <c r="B63" s="11">
        <v>60103704</v>
      </c>
      <c r="C63" s="11" t="s">
        <v>174</v>
      </c>
      <c r="D63" s="11" t="s">
        <v>175</v>
      </c>
      <c r="E63" s="11" t="s">
        <v>34</v>
      </c>
      <c r="F63" s="11" t="s">
        <v>171</v>
      </c>
      <c r="G63" s="11">
        <v>3</v>
      </c>
      <c r="H63" s="12">
        <v>44156.666666666664</v>
      </c>
      <c r="I63" s="12">
        <f t="shared" si="0"/>
        <v>132470</v>
      </c>
      <c r="J63" s="9"/>
      <c r="K63" s="9"/>
      <c r="L63" s="9">
        <v>3</v>
      </c>
      <c r="M63" s="9"/>
      <c r="N63" s="9"/>
      <c r="O63" s="9"/>
      <c r="P63" s="9"/>
      <c r="Q63" s="9"/>
      <c r="R63" s="9"/>
      <c r="S63" s="9"/>
      <c r="T63" s="9"/>
      <c r="U63" s="9"/>
    </row>
    <row r="64" spans="1:21" ht="15" customHeight="1" x14ac:dyDescent="0.25">
      <c r="A64" s="10">
        <v>60</v>
      </c>
      <c r="B64" s="11">
        <v>4516005</v>
      </c>
      <c r="C64" s="11" t="s">
        <v>176</v>
      </c>
      <c r="D64" s="11" t="s">
        <v>177</v>
      </c>
      <c r="E64" s="11" t="s">
        <v>34</v>
      </c>
      <c r="F64" s="11" t="s">
        <v>34</v>
      </c>
      <c r="G64" s="11">
        <v>10</v>
      </c>
      <c r="H64" s="12">
        <v>2233.3000000000002</v>
      </c>
      <c r="I64" s="12">
        <f t="shared" si="0"/>
        <v>22333</v>
      </c>
      <c r="J64" s="9"/>
      <c r="K64" s="9"/>
      <c r="L64" s="9"/>
      <c r="M64" s="9"/>
      <c r="N64" s="9">
        <v>3</v>
      </c>
      <c r="O64" s="9"/>
      <c r="P64" s="9">
        <v>3</v>
      </c>
      <c r="Q64" s="9"/>
      <c r="R64" s="9">
        <v>4</v>
      </c>
      <c r="S64" s="9"/>
      <c r="T64" s="9"/>
      <c r="U64" s="9"/>
    </row>
    <row r="65" spans="1:28" ht="15" customHeight="1" x14ac:dyDescent="0.25">
      <c r="A65" s="10">
        <v>61</v>
      </c>
      <c r="B65" s="11">
        <v>44101800</v>
      </c>
      <c r="C65" s="11" t="s">
        <v>178</v>
      </c>
      <c r="D65" s="11" t="s">
        <v>179</v>
      </c>
      <c r="E65" s="11" t="s">
        <v>34</v>
      </c>
      <c r="F65" s="11" t="s">
        <v>34</v>
      </c>
      <c r="G65" s="11">
        <v>2</v>
      </c>
      <c r="H65" s="12">
        <v>36293.5</v>
      </c>
      <c r="I65" s="12">
        <f t="shared" si="0"/>
        <v>72587</v>
      </c>
      <c r="J65" s="9"/>
      <c r="K65" s="9"/>
      <c r="L65" s="9"/>
      <c r="M65" s="9"/>
      <c r="N65" s="9">
        <v>1</v>
      </c>
      <c r="O65" s="9"/>
      <c r="P65" s="9"/>
      <c r="Q65" s="9"/>
      <c r="R65" s="9"/>
      <c r="S65" s="9">
        <v>1</v>
      </c>
      <c r="T65" s="9"/>
      <c r="U65" s="9"/>
    </row>
    <row r="66" spans="1:28" ht="15" customHeight="1" x14ac:dyDescent="0.25">
      <c r="A66" s="10">
        <v>62</v>
      </c>
      <c r="B66" s="11">
        <v>14111500</v>
      </c>
      <c r="C66" s="11" t="s">
        <v>180</v>
      </c>
      <c r="D66" s="11" t="s">
        <v>181</v>
      </c>
      <c r="E66" s="11" t="s">
        <v>34</v>
      </c>
      <c r="F66" s="11" t="s">
        <v>34</v>
      </c>
      <c r="G66" s="11">
        <v>50</v>
      </c>
      <c r="H66" s="12">
        <v>5136.2</v>
      </c>
      <c r="I66" s="12">
        <f t="shared" si="0"/>
        <v>256810</v>
      </c>
      <c r="J66" s="9"/>
      <c r="K66" s="9"/>
      <c r="L66" s="9">
        <v>30</v>
      </c>
      <c r="M66" s="9"/>
      <c r="N66" s="9">
        <v>20</v>
      </c>
      <c r="O66" s="9"/>
      <c r="P66" s="9"/>
      <c r="Q66" s="9"/>
      <c r="R66" s="9"/>
      <c r="S66" s="9"/>
      <c r="T66" s="9"/>
      <c r="U66" s="9"/>
    </row>
    <row r="67" spans="1:28" ht="15" customHeight="1" x14ac:dyDescent="0.25">
      <c r="A67" s="10">
        <v>63</v>
      </c>
      <c r="B67" s="11">
        <v>14111514</v>
      </c>
      <c r="C67" s="26" t="s">
        <v>182</v>
      </c>
      <c r="D67" s="26" t="s">
        <v>183</v>
      </c>
      <c r="E67" s="11" t="s">
        <v>34</v>
      </c>
      <c r="F67" s="11" t="s">
        <v>34</v>
      </c>
      <c r="G67" s="11">
        <v>80</v>
      </c>
      <c r="H67" s="12">
        <v>18486</v>
      </c>
      <c r="I67" s="12">
        <f t="shared" si="0"/>
        <v>1478880</v>
      </c>
      <c r="J67" s="9">
        <v>10</v>
      </c>
      <c r="K67" s="9"/>
      <c r="L67" s="9">
        <v>20</v>
      </c>
      <c r="M67" s="9"/>
      <c r="N67" s="9">
        <v>5</v>
      </c>
      <c r="O67" s="9">
        <v>10</v>
      </c>
      <c r="P67" s="9">
        <v>9</v>
      </c>
      <c r="Q67" s="9"/>
      <c r="R67" s="9"/>
      <c r="S67" s="9"/>
      <c r="T67" s="9"/>
      <c r="U67" s="9">
        <f>80-54</f>
        <v>26</v>
      </c>
      <c r="V67" s="28">
        <f>+O67/2</f>
        <v>5</v>
      </c>
      <c r="W67" s="3">
        <v>1</v>
      </c>
      <c r="X67" s="3">
        <v>1</v>
      </c>
      <c r="Y67" s="3">
        <v>1</v>
      </c>
      <c r="Z67" s="3">
        <v>1</v>
      </c>
      <c r="AA67" s="3">
        <v>1</v>
      </c>
      <c r="AB67" s="3">
        <f>+V67-(W67+X67+Y67+Z67+AA67)</f>
        <v>0</v>
      </c>
    </row>
    <row r="68" spans="1:28" ht="15" customHeight="1" x14ac:dyDescent="0.25">
      <c r="A68" s="10">
        <v>64</v>
      </c>
      <c r="B68" s="11">
        <v>60121104</v>
      </c>
      <c r="C68" s="11" t="s">
        <v>184</v>
      </c>
      <c r="D68" s="11" t="s">
        <v>185</v>
      </c>
      <c r="E68" s="11" t="s">
        <v>34</v>
      </c>
      <c r="F68" s="11" t="s">
        <v>34</v>
      </c>
      <c r="G68" s="11">
        <v>20</v>
      </c>
      <c r="H68" s="12">
        <v>7204.6</v>
      </c>
      <c r="I68" s="12">
        <f t="shared" si="0"/>
        <v>144092</v>
      </c>
      <c r="J68" s="9"/>
      <c r="K68" s="9"/>
      <c r="L68" s="9"/>
      <c r="M68" s="9"/>
      <c r="N68" s="9"/>
      <c r="O68" s="9"/>
      <c r="P68" s="9"/>
      <c r="Q68" s="9">
        <v>16</v>
      </c>
      <c r="R68" s="9"/>
      <c r="S68" s="9"/>
      <c r="T68" s="9">
        <v>4</v>
      </c>
      <c r="U68" s="9"/>
    </row>
    <row r="69" spans="1:28" ht="15" customHeight="1" x14ac:dyDescent="0.25">
      <c r="A69" s="10">
        <v>65</v>
      </c>
      <c r="B69" s="11">
        <v>43202000</v>
      </c>
      <c r="C69" s="26" t="s">
        <v>186</v>
      </c>
      <c r="D69" s="26" t="s">
        <v>187</v>
      </c>
      <c r="E69" s="11" t="s">
        <v>34</v>
      </c>
      <c r="F69" s="11" t="s">
        <v>34</v>
      </c>
      <c r="G69" s="11">
        <v>20</v>
      </c>
      <c r="H69" s="12">
        <v>22518.5</v>
      </c>
      <c r="I69" s="12">
        <f t="shared" ref="I69:I101" si="6">H69*G69</f>
        <v>450370</v>
      </c>
      <c r="J69" s="9">
        <v>3</v>
      </c>
      <c r="K69" s="9"/>
      <c r="L69" s="9">
        <v>3</v>
      </c>
      <c r="M69" s="9"/>
      <c r="N69" s="9">
        <v>5</v>
      </c>
      <c r="O69" s="9">
        <v>3</v>
      </c>
      <c r="P69" s="9">
        <v>3</v>
      </c>
      <c r="Q69" s="9"/>
      <c r="R69" s="9">
        <v>3</v>
      </c>
      <c r="S69" s="9"/>
      <c r="T69" s="9"/>
      <c r="U69" s="9"/>
      <c r="V69" s="28">
        <f>+O69/2</f>
        <v>1.5</v>
      </c>
      <c r="AA69" s="35">
        <v>1</v>
      </c>
      <c r="AB69" s="3">
        <f>+V69-(W69+X69+Y69+Z69+AA69)+0.5</f>
        <v>1</v>
      </c>
    </row>
    <row r="70" spans="1:28" ht="15" customHeight="1" x14ac:dyDescent="0.25">
      <c r="A70" s="10">
        <v>66</v>
      </c>
      <c r="B70" s="11">
        <v>43202000</v>
      </c>
      <c r="C70" s="11" t="s">
        <v>188</v>
      </c>
      <c r="D70" s="11" t="s">
        <v>188</v>
      </c>
      <c r="E70" s="11" t="s">
        <v>34</v>
      </c>
      <c r="F70" s="11" t="s">
        <v>34</v>
      </c>
      <c r="G70" s="11">
        <v>15</v>
      </c>
      <c r="H70" s="12">
        <v>132350</v>
      </c>
      <c r="I70" s="12">
        <f t="shared" si="6"/>
        <v>1985250</v>
      </c>
      <c r="J70" s="9"/>
      <c r="K70" s="9"/>
      <c r="L70" s="9"/>
      <c r="M70" s="9"/>
      <c r="N70" s="9"/>
      <c r="O70" s="9"/>
      <c r="P70" s="9">
        <v>9</v>
      </c>
      <c r="Q70" s="9"/>
      <c r="R70" s="9"/>
      <c r="S70" s="9"/>
      <c r="T70" s="9"/>
      <c r="U70" s="9">
        <v>4</v>
      </c>
    </row>
    <row r="71" spans="1:28" ht="15" customHeight="1" x14ac:dyDescent="0.25">
      <c r="A71" s="10">
        <v>67</v>
      </c>
      <c r="B71" s="11">
        <v>41111604</v>
      </c>
      <c r="C71" s="11" t="s">
        <v>189</v>
      </c>
      <c r="D71" s="11" t="s">
        <v>190</v>
      </c>
      <c r="E71" s="11" t="s">
        <v>34</v>
      </c>
      <c r="F71" s="11" t="s">
        <v>34</v>
      </c>
      <c r="G71" s="11">
        <v>100</v>
      </c>
      <c r="H71" s="12">
        <v>6013.33</v>
      </c>
      <c r="I71" s="12">
        <f t="shared" si="6"/>
        <v>601333</v>
      </c>
      <c r="J71" s="9"/>
      <c r="K71" s="9"/>
      <c r="L71" s="9"/>
      <c r="M71" s="9"/>
      <c r="N71" s="9"/>
      <c r="O71" s="9"/>
      <c r="P71" s="9">
        <v>9</v>
      </c>
      <c r="Q71" s="9">
        <v>90</v>
      </c>
      <c r="R71" s="9"/>
      <c r="S71" s="9">
        <v>1</v>
      </c>
      <c r="T71" s="9"/>
      <c r="U71" s="9"/>
    </row>
    <row r="72" spans="1:28" ht="15" customHeight="1" x14ac:dyDescent="0.25">
      <c r="A72" s="10">
        <v>68</v>
      </c>
      <c r="B72" s="11">
        <v>44111800</v>
      </c>
      <c r="C72" s="11" t="s">
        <v>191</v>
      </c>
      <c r="D72" s="11" t="s">
        <v>192</v>
      </c>
      <c r="E72" s="11" t="s">
        <v>34</v>
      </c>
      <c r="F72" s="11" t="s">
        <v>34</v>
      </c>
      <c r="G72" s="11">
        <v>50</v>
      </c>
      <c r="H72" s="12">
        <v>1101.5</v>
      </c>
      <c r="I72" s="12">
        <f t="shared" si="6"/>
        <v>55075</v>
      </c>
      <c r="J72" s="9"/>
      <c r="K72" s="9"/>
      <c r="L72" s="9">
        <v>10</v>
      </c>
      <c r="M72" s="9"/>
      <c r="N72" s="9">
        <v>10</v>
      </c>
      <c r="O72" s="9"/>
      <c r="P72" s="9">
        <v>9</v>
      </c>
      <c r="Q72" s="9"/>
      <c r="R72" s="9">
        <v>10</v>
      </c>
      <c r="S72" s="9"/>
      <c r="T72" s="9"/>
      <c r="U72" s="9">
        <v>11</v>
      </c>
    </row>
    <row r="73" spans="1:28" ht="15" customHeight="1" x14ac:dyDescent="0.25">
      <c r="A73" s="10">
        <v>69</v>
      </c>
      <c r="B73" s="11">
        <v>27111803</v>
      </c>
      <c r="C73" s="11" t="s">
        <v>193</v>
      </c>
      <c r="D73" s="11" t="s">
        <v>194</v>
      </c>
      <c r="E73" s="11" t="s">
        <v>34</v>
      </c>
      <c r="F73" s="11" t="s">
        <v>34</v>
      </c>
      <c r="G73" s="11">
        <v>65</v>
      </c>
      <c r="H73" s="12">
        <v>5900</v>
      </c>
      <c r="I73" s="12">
        <f t="shared" si="6"/>
        <v>383500</v>
      </c>
      <c r="J73" s="9"/>
      <c r="K73" s="9"/>
      <c r="L73" s="9"/>
      <c r="M73" s="9"/>
      <c r="N73" s="9"/>
      <c r="O73" s="9"/>
      <c r="P73" s="9"/>
      <c r="Q73" s="9">
        <v>65</v>
      </c>
      <c r="R73" s="9"/>
      <c r="S73" s="9"/>
      <c r="T73" s="9"/>
      <c r="U73" s="9"/>
    </row>
    <row r="74" spans="1:28" ht="15" customHeight="1" x14ac:dyDescent="0.25">
      <c r="A74" s="10">
        <v>70</v>
      </c>
      <c r="B74" s="11">
        <v>27111803</v>
      </c>
      <c r="C74" s="11" t="s">
        <v>195</v>
      </c>
      <c r="D74" s="11" t="s">
        <v>196</v>
      </c>
      <c r="E74" s="11" t="s">
        <v>34</v>
      </c>
      <c r="F74" s="11" t="s">
        <v>34</v>
      </c>
      <c r="G74" s="11">
        <v>50</v>
      </c>
      <c r="H74" s="12">
        <v>5900</v>
      </c>
      <c r="I74" s="12">
        <f t="shared" si="6"/>
        <v>295000</v>
      </c>
      <c r="J74" s="9"/>
      <c r="K74" s="9"/>
      <c r="L74" s="9"/>
      <c r="M74" s="9"/>
      <c r="N74" s="9"/>
      <c r="O74" s="9"/>
      <c r="P74" s="9"/>
      <c r="Q74" s="9">
        <v>50</v>
      </c>
      <c r="R74" s="9"/>
      <c r="S74" s="9"/>
      <c r="T74" s="9"/>
      <c r="U74" s="9"/>
    </row>
    <row r="75" spans="1:28" ht="15" customHeight="1" x14ac:dyDescent="0.25">
      <c r="A75" s="10">
        <v>71</v>
      </c>
      <c r="B75" s="11">
        <v>60121229</v>
      </c>
      <c r="C75" s="11" t="s">
        <v>197</v>
      </c>
      <c r="D75" s="11" t="s">
        <v>198</v>
      </c>
      <c r="E75" s="11" t="s">
        <v>34</v>
      </c>
      <c r="F75" s="11" t="s">
        <v>199</v>
      </c>
      <c r="G75" s="11">
        <v>15</v>
      </c>
      <c r="H75" s="12">
        <v>22370</v>
      </c>
      <c r="I75" s="12">
        <f t="shared" si="6"/>
        <v>335550</v>
      </c>
      <c r="J75" s="9"/>
      <c r="K75" s="9"/>
      <c r="L75" s="9"/>
      <c r="M75" s="9"/>
      <c r="N75" s="9"/>
      <c r="O75" s="9"/>
      <c r="P75" s="9"/>
      <c r="Q75" s="9">
        <v>5</v>
      </c>
      <c r="R75" s="9">
        <v>10</v>
      </c>
      <c r="S75" s="9"/>
      <c r="T75" s="9"/>
      <c r="U75" s="9"/>
    </row>
    <row r="76" spans="1:28" ht="15" customHeight="1" x14ac:dyDescent="0.25">
      <c r="A76" s="10">
        <v>72</v>
      </c>
      <c r="B76" s="11">
        <v>60121228</v>
      </c>
      <c r="C76" s="11" t="s">
        <v>200</v>
      </c>
      <c r="D76" s="11" t="s">
        <v>201</v>
      </c>
      <c r="E76" s="11" t="s">
        <v>34</v>
      </c>
      <c r="F76" s="11" t="s">
        <v>202</v>
      </c>
      <c r="G76" s="11">
        <v>16</v>
      </c>
      <c r="H76" s="12">
        <v>12830</v>
      </c>
      <c r="I76" s="12">
        <f t="shared" si="6"/>
        <v>205280</v>
      </c>
      <c r="J76" s="9"/>
      <c r="K76" s="9"/>
      <c r="L76" s="9"/>
      <c r="M76" s="9"/>
      <c r="N76" s="9"/>
      <c r="O76" s="9"/>
      <c r="P76" s="9"/>
      <c r="Q76" s="9">
        <v>10</v>
      </c>
      <c r="R76" s="9">
        <v>6</v>
      </c>
      <c r="S76" s="9"/>
      <c r="T76" s="9"/>
      <c r="U76" s="9"/>
    </row>
    <row r="77" spans="1:28" ht="15" customHeight="1" x14ac:dyDescent="0.25">
      <c r="A77" s="10">
        <v>73</v>
      </c>
      <c r="B77" s="11">
        <v>44121708</v>
      </c>
      <c r="C77" s="11" t="s">
        <v>203</v>
      </c>
      <c r="D77" s="11" t="s">
        <v>204</v>
      </c>
      <c r="E77" s="11" t="s">
        <v>34</v>
      </c>
      <c r="F77" s="11" t="s">
        <v>205</v>
      </c>
      <c r="G77" s="11">
        <v>25</v>
      </c>
      <c r="H77" s="12">
        <v>22475</v>
      </c>
      <c r="I77" s="12">
        <f t="shared" si="6"/>
        <v>561875</v>
      </c>
      <c r="J77" s="9"/>
      <c r="K77" s="9">
        <v>3</v>
      </c>
      <c r="L77" s="9">
        <v>3</v>
      </c>
      <c r="M77" s="9"/>
      <c r="N77" s="9"/>
      <c r="O77" s="9"/>
      <c r="P77" s="9">
        <v>3</v>
      </c>
      <c r="Q77" s="9">
        <v>3</v>
      </c>
      <c r="R77" s="9">
        <v>3</v>
      </c>
      <c r="S77" s="9">
        <v>1</v>
      </c>
      <c r="T77" s="9"/>
      <c r="U77" s="9">
        <v>9</v>
      </c>
    </row>
    <row r="78" spans="1:28" ht="15" customHeight="1" x14ac:dyDescent="0.25">
      <c r="A78" s="10">
        <v>74</v>
      </c>
      <c r="B78" s="11">
        <v>44121708</v>
      </c>
      <c r="C78" s="26" t="s">
        <v>206</v>
      </c>
      <c r="D78" s="26" t="s">
        <v>207</v>
      </c>
      <c r="E78" s="11" t="s">
        <v>34</v>
      </c>
      <c r="F78" s="11" t="s">
        <v>208</v>
      </c>
      <c r="G78" s="11">
        <v>14</v>
      </c>
      <c r="H78" s="12">
        <v>22053.571428571428</v>
      </c>
      <c r="I78" s="12">
        <f t="shared" si="6"/>
        <v>308750</v>
      </c>
      <c r="J78" s="9"/>
      <c r="K78" s="9"/>
      <c r="L78" s="9">
        <v>5</v>
      </c>
      <c r="M78" s="9"/>
      <c r="N78" s="9"/>
      <c r="O78" s="9">
        <v>5</v>
      </c>
      <c r="P78" s="9"/>
      <c r="Q78" s="9"/>
      <c r="R78" s="9"/>
      <c r="S78" s="9"/>
      <c r="T78" s="9"/>
      <c r="U78" s="9">
        <v>4</v>
      </c>
      <c r="V78" s="28">
        <f>+O78/2</f>
        <v>2.5</v>
      </c>
      <c r="W78" s="35">
        <v>1</v>
      </c>
      <c r="X78" s="3">
        <v>0</v>
      </c>
      <c r="Y78" s="3">
        <v>0</v>
      </c>
      <c r="Z78" s="35">
        <v>1</v>
      </c>
      <c r="AA78" s="3">
        <v>0</v>
      </c>
      <c r="AB78" s="3">
        <f>+V78-(W78+X78+Y78+Z78+AA78)+0.5</f>
        <v>1</v>
      </c>
    </row>
    <row r="79" spans="1:28" ht="15" customHeight="1" x14ac:dyDescent="0.25">
      <c r="A79" s="10">
        <v>75</v>
      </c>
      <c r="B79" s="11">
        <v>44121804</v>
      </c>
      <c r="C79" s="11" t="s">
        <v>209</v>
      </c>
      <c r="D79" s="11" t="s">
        <v>210</v>
      </c>
      <c r="E79" s="11" t="s">
        <v>34</v>
      </c>
      <c r="F79" s="11" t="s">
        <v>211</v>
      </c>
      <c r="G79" s="11">
        <v>6</v>
      </c>
      <c r="H79" s="12">
        <v>20643.5</v>
      </c>
      <c r="I79" s="12">
        <f t="shared" si="6"/>
        <v>123861</v>
      </c>
      <c r="J79" s="9"/>
      <c r="K79" s="9"/>
      <c r="L79" s="9">
        <v>1</v>
      </c>
      <c r="M79" s="9"/>
      <c r="N79" s="9"/>
      <c r="O79" s="9"/>
      <c r="P79" s="9">
        <v>1</v>
      </c>
      <c r="Q79" s="9">
        <v>1</v>
      </c>
      <c r="R79" s="9">
        <v>1</v>
      </c>
      <c r="S79" s="9"/>
      <c r="T79" s="9"/>
      <c r="U79" s="9">
        <v>2</v>
      </c>
    </row>
    <row r="80" spans="1:28" ht="15" customHeight="1" x14ac:dyDescent="0.25">
      <c r="A80" s="10">
        <v>76</v>
      </c>
      <c r="B80" s="11">
        <v>60121223</v>
      </c>
      <c r="C80" s="11" t="s">
        <v>212</v>
      </c>
      <c r="D80" s="11" t="s">
        <v>213</v>
      </c>
      <c r="E80" s="11" t="s">
        <v>34</v>
      </c>
      <c r="F80" s="11" t="s">
        <v>140</v>
      </c>
      <c r="G80" s="11">
        <v>15</v>
      </c>
      <c r="H80" s="12">
        <v>35093.533333333333</v>
      </c>
      <c r="I80" s="12">
        <f t="shared" si="6"/>
        <v>526403</v>
      </c>
      <c r="J80" s="9"/>
      <c r="K80" s="9"/>
      <c r="L80" s="9">
        <v>1</v>
      </c>
      <c r="M80" s="9"/>
      <c r="N80" s="9"/>
      <c r="O80" s="9"/>
      <c r="P80" s="9"/>
      <c r="Q80" s="9">
        <v>3</v>
      </c>
      <c r="R80" s="9">
        <v>5</v>
      </c>
      <c r="S80" s="9"/>
      <c r="T80" s="9"/>
      <c r="U80" s="9"/>
    </row>
    <row r="81" spans="1:21" ht="15" customHeight="1" x14ac:dyDescent="0.25">
      <c r="A81" s="10">
        <v>77</v>
      </c>
      <c r="B81" s="11">
        <v>60121001</v>
      </c>
      <c r="C81" s="11" t="s">
        <v>214</v>
      </c>
      <c r="D81" s="11" t="s">
        <v>215</v>
      </c>
      <c r="E81" s="11" t="s">
        <v>34</v>
      </c>
      <c r="F81" s="11" t="s">
        <v>216</v>
      </c>
      <c r="G81" s="11">
        <v>12</v>
      </c>
      <c r="H81" s="12">
        <v>636792</v>
      </c>
      <c r="I81" s="12">
        <f t="shared" si="6"/>
        <v>7641504</v>
      </c>
      <c r="J81" s="9"/>
      <c r="K81" s="9"/>
      <c r="L81" s="9"/>
      <c r="M81" s="9"/>
      <c r="N81" s="9"/>
      <c r="O81" s="9"/>
      <c r="P81" s="9"/>
      <c r="Q81" s="9">
        <v>6</v>
      </c>
      <c r="R81" s="9"/>
      <c r="S81" s="9"/>
      <c r="T81" s="9">
        <v>6</v>
      </c>
      <c r="U81" s="9"/>
    </row>
    <row r="82" spans="1:21" ht="15" customHeight="1" x14ac:dyDescent="0.25">
      <c r="A82" s="10">
        <v>78</v>
      </c>
      <c r="B82" s="11">
        <v>44111803</v>
      </c>
      <c r="C82" s="11" t="s">
        <v>217</v>
      </c>
      <c r="D82" s="11" t="s">
        <v>218</v>
      </c>
      <c r="E82" s="11" t="s">
        <v>34</v>
      </c>
      <c r="F82" s="11" t="s">
        <v>219</v>
      </c>
      <c r="G82" s="11">
        <v>30</v>
      </c>
      <c r="H82" s="12">
        <v>16695</v>
      </c>
      <c r="I82" s="12">
        <f t="shared" si="6"/>
        <v>500850</v>
      </c>
      <c r="J82" s="9"/>
      <c r="K82" s="9"/>
      <c r="L82" s="9"/>
      <c r="M82" s="9"/>
      <c r="N82" s="9"/>
      <c r="O82" s="9"/>
      <c r="P82" s="9"/>
      <c r="Q82" s="9">
        <v>30</v>
      </c>
      <c r="R82" s="9"/>
      <c r="S82" s="9"/>
      <c r="T82" s="9"/>
      <c r="U82" s="9"/>
    </row>
    <row r="83" spans="1:21" ht="15" customHeight="1" x14ac:dyDescent="0.25">
      <c r="A83" s="10">
        <v>79</v>
      </c>
      <c r="B83" s="11">
        <v>27111534</v>
      </c>
      <c r="C83" s="11" t="s">
        <v>220</v>
      </c>
      <c r="D83" s="11" t="s">
        <v>221</v>
      </c>
      <c r="E83" s="11" t="s">
        <v>34</v>
      </c>
      <c r="F83" s="11" t="s">
        <v>168</v>
      </c>
      <c r="G83" s="11">
        <v>35</v>
      </c>
      <c r="H83" s="12">
        <v>20585</v>
      </c>
      <c r="I83" s="12">
        <f t="shared" si="6"/>
        <v>720475</v>
      </c>
      <c r="J83" s="9"/>
      <c r="K83" s="9"/>
      <c r="L83" s="9"/>
      <c r="M83" s="9"/>
      <c r="N83" s="9"/>
      <c r="O83" s="9"/>
      <c r="P83" s="9"/>
      <c r="Q83" s="9"/>
      <c r="R83" s="9"/>
      <c r="S83" s="9"/>
      <c r="T83" s="9">
        <v>35</v>
      </c>
      <c r="U83" s="9"/>
    </row>
    <row r="84" spans="1:21" ht="15" customHeight="1" x14ac:dyDescent="0.25">
      <c r="A84" s="10">
        <v>80</v>
      </c>
      <c r="B84" s="11">
        <v>44111805</v>
      </c>
      <c r="C84" s="11" t="s">
        <v>222</v>
      </c>
      <c r="D84" s="11" t="s">
        <v>223</v>
      </c>
      <c r="E84" s="11" t="s">
        <v>34</v>
      </c>
      <c r="F84" s="11" t="s">
        <v>34</v>
      </c>
      <c r="G84" s="11">
        <v>35</v>
      </c>
      <c r="H84" s="12">
        <v>4000</v>
      </c>
      <c r="I84" s="12">
        <f t="shared" si="6"/>
        <v>140000</v>
      </c>
      <c r="J84" s="9"/>
      <c r="K84" s="9"/>
      <c r="L84" s="9"/>
      <c r="M84" s="9"/>
      <c r="N84" s="9"/>
      <c r="O84" s="9"/>
      <c r="P84" s="9"/>
      <c r="Q84" s="9">
        <v>35</v>
      </c>
      <c r="R84" s="9"/>
      <c r="S84" s="9"/>
      <c r="T84" s="9"/>
      <c r="U84" s="9"/>
    </row>
    <row r="85" spans="1:21" ht="15" customHeight="1" x14ac:dyDescent="0.25">
      <c r="A85" s="10">
        <v>81</v>
      </c>
      <c r="B85" s="11">
        <v>60121237</v>
      </c>
      <c r="C85" s="11" t="s">
        <v>224</v>
      </c>
      <c r="D85" s="11" t="s">
        <v>225</v>
      </c>
      <c r="E85" s="11" t="s">
        <v>34</v>
      </c>
      <c r="F85" s="11" t="s">
        <v>34</v>
      </c>
      <c r="G85" s="11">
        <v>60</v>
      </c>
      <c r="H85" s="12">
        <v>1875.65</v>
      </c>
      <c r="I85" s="12">
        <f t="shared" si="6"/>
        <v>112539</v>
      </c>
      <c r="J85" s="9"/>
      <c r="K85" s="9"/>
      <c r="L85" s="9">
        <f>15*0.4</f>
        <v>6</v>
      </c>
      <c r="M85" s="9"/>
      <c r="N85" s="9"/>
      <c r="O85" s="9"/>
      <c r="P85" s="9"/>
      <c r="Q85" s="9">
        <f>100*0.4</f>
        <v>40</v>
      </c>
      <c r="R85" s="9">
        <f>20*0.4</f>
        <v>8</v>
      </c>
      <c r="S85" s="9"/>
      <c r="T85" s="9">
        <v>6</v>
      </c>
      <c r="U85" s="9"/>
    </row>
    <row r="86" spans="1:21" ht="15" customHeight="1" x14ac:dyDescent="0.25">
      <c r="A86" s="10">
        <v>82</v>
      </c>
      <c r="B86" s="11">
        <v>31201505</v>
      </c>
      <c r="C86" s="11" t="s">
        <v>226</v>
      </c>
      <c r="D86" s="11" t="s">
        <v>227</v>
      </c>
      <c r="E86" s="11" t="s">
        <v>34</v>
      </c>
      <c r="F86" s="11" t="s">
        <v>91</v>
      </c>
      <c r="G86" s="11">
        <v>35</v>
      </c>
      <c r="H86" s="12">
        <v>34700</v>
      </c>
      <c r="I86" s="12">
        <f t="shared" si="6"/>
        <v>1214500</v>
      </c>
      <c r="J86" s="9"/>
      <c r="K86" s="9"/>
      <c r="L86" s="9"/>
      <c r="M86" s="9"/>
      <c r="N86" s="9"/>
      <c r="O86" s="9"/>
      <c r="P86" s="9"/>
      <c r="Q86" s="9">
        <v>33</v>
      </c>
      <c r="R86" s="9"/>
      <c r="S86" s="9">
        <v>2</v>
      </c>
      <c r="T86" s="9"/>
      <c r="U86" s="9"/>
    </row>
    <row r="87" spans="1:21" ht="15" customHeight="1" x14ac:dyDescent="0.25">
      <c r="A87" s="10">
        <v>83</v>
      </c>
      <c r="B87" s="11">
        <v>43232503</v>
      </c>
      <c r="C87" s="11" t="s">
        <v>228</v>
      </c>
      <c r="D87" s="11" t="s">
        <v>229</v>
      </c>
      <c r="E87" s="11" t="s">
        <v>34</v>
      </c>
      <c r="F87" s="11" t="s">
        <v>34</v>
      </c>
      <c r="G87" s="11">
        <v>25</v>
      </c>
      <c r="H87" s="12">
        <v>2912.52</v>
      </c>
      <c r="I87" s="12">
        <f t="shared" si="6"/>
        <v>72813</v>
      </c>
      <c r="J87" s="9"/>
      <c r="K87" s="9"/>
      <c r="L87" s="9"/>
      <c r="M87" s="9"/>
      <c r="N87" s="9"/>
      <c r="O87" s="9"/>
      <c r="P87" s="9"/>
      <c r="Q87" s="9"/>
      <c r="R87" s="9">
        <v>10</v>
      </c>
      <c r="S87" s="9">
        <v>12</v>
      </c>
      <c r="T87" s="9"/>
      <c r="U87" s="9"/>
    </row>
    <row r="88" spans="1:21" ht="15" customHeight="1" x14ac:dyDescent="0.25">
      <c r="A88" s="10">
        <v>84</v>
      </c>
      <c r="B88" s="11">
        <v>31201503</v>
      </c>
      <c r="C88" s="11" t="s">
        <v>230</v>
      </c>
      <c r="D88" s="11" t="s">
        <v>231</v>
      </c>
      <c r="E88" s="11" t="s">
        <v>34</v>
      </c>
      <c r="F88" s="11" t="s">
        <v>34</v>
      </c>
      <c r="G88" s="11">
        <v>59</v>
      </c>
      <c r="H88" s="12">
        <v>9522.5084745762706</v>
      </c>
      <c r="I88" s="12">
        <f t="shared" si="6"/>
        <v>561828</v>
      </c>
      <c r="J88" s="9"/>
      <c r="K88" s="9"/>
      <c r="L88" s="9"/>
      <c r="M88" s="9"/>
      <c r="N88" s="9"/>
      <c r="O88" s="9"/>
      <c r="P88" s="9"/>
      <c r="Q88" s="9"/>
      <c r="R88" s="9">
        <v>15</v>
      </c>
      <c r="S88" s="9">
        <v>6</v>
      </c>
      <c r="T88" s="9">
        <f>59-21</f>
        <v>38</v>
      </c>
      <c r="U88" s="9"/>
    </row>
    <row r="89" spans="1:21" ht="15" customHeight="1" x14ac:dyDescent="0.25">
      <c r="A89" s="10">
        <v>85</v>
      </c>
      <c r="B89" s="11">
        <v>44121708</v>
      </c>
      <c r="C89" s="11" t="s">
        <v>232</v>
      </c>
      <c r="D89" s="11" t="s">
        <v>233</v>
      </c>
      <c r="E89" s="11" t="s">
        <v>34</v>
      </c>
      <c r="F89" s="11" t="s">
        <v>234</v>
      </c>
      <c r="G89" s="11">
        <v>5</v>
      </c>
      <c r="H89" s="12">
        <v>73154</v>
      </c>
      <c r="I89" s="12">
        <f t="shared" si="6"/>
        <v>365770</v>
      </c>
      <c r="J89" s="9"/>
      <c r="K89" s="9"/>
      <c r="L89" s="9"/>
      <c r="M89" s="9"/>
      <c r="N89" s="9"/>
      <c r="O89" s="9"/>
      <c r="P89" s="9"/>
      <c r="Q89" s="9"/>
      <c r="R89" s="9">
        <v>3</v>
      </c>
      <c r="S89" s="9">
        <v>1</v>
      </c>
      <c r="T89" s="9"/>
      <c r="U89" s="9">
        <v>1</v>
      </c>
    </row>
    <row r="90" spans="1:21" ht="15" customHeight="1" x14ac:dyDescent="0.25">
      <c r="A90" s="10">
        <v>86</v>
      </c>
      <c r="B90" s="11">
        <v>14111607</v>
      </c>
      <c r="C90" s="11" t="s">
        <v>235</v>
      </c>
      <c r="D90" s="11" t="s">
        <v>236</v>
      </c>
      <c r="E90" s="11" t="s">
        <v>34</v>
      </c>
      <c r="F90" s="11" t="s">
        <v>34</v>
      </c>
      <c r="G90" s="11">
        <v>4</v>
      </c>
      <c r="H90" s="12">
        <v>720750</v>
      </c>
      <c r="I90" s="12">
        <f t="shared" si="6"/>
        <v>2883000</v>
      </c>
      <c r="J90" s="9"/>
      <c r="K90" s="9"/>
      <c r="L90" s="9"/>
      <c r="M90" s="9"/>
      <c r="N90" s="9"/>
      <c r="O90" s="9"/>
      <c r="P90" s="9"/>
      <c r="Q90" s="9"/>
      <c r="R90" s="9"/>
      <c r="S90" s="9"/>
      <c r="T90" s="9"/>
      <c r="U90" s="9">
        <v>4</v>
      </c>
    </row>
    <row r="91" spans="1:21" ht="15" customHeight="1" x14ac:dyDescent="0.25">
      <c r="A91" s="10">
        <v>87</v>
      </c>
      <c r="B91" s="11">
        <v>14111503</v>
      </c>
      <c r="C91" s="11" t="s">
        <v>237</v>
      </c>
      <c r="D91" s="11" t="s">
        <v>238</v>
      </c>
      <c r="E91" s="11" t="s">
        <v>34</v>
      </c>
      <c r="F91" s="11" t="s">
        <v>34</v>
      </c>
      <c r="G91" s="11">
        <v>3</v>
      </c>
      <c r="H91" s="12">
        <v>1270000</v>
      </c>
      <c r="I91" s="12">
        <f t="shared" si="6"/>
        <v>3810000</v>
      </c>
      <c r="J91" s="9"/>
      <c r="K91" s="9"/>
      <c r="L91" s="9"/>
      <c r="M91" s="9"/>
      <c r="N91" s="9"/>
      <c r="O91" s="9"/>
      <c r="P91" s="9"/>
      <c r="Q91" s="9"/>
      <c r="R91" s="9"/>
      <c r="S91" s="9"/>
      <c r="T91" s="9"/>
      <c r="U91" s="9">
        <v>3</v>
      </c>
    </row>
    <row r="92" spans="1:21" ht="15" customHeight="1" x14ac:dyDescent="0.25">
      <c r="A92" s="10">
        <v>88</v>
      </c>
      <c r="B92" s="11">
        <v>41111714</v>
      </c>
      <c r="C92" s="11" t="s">
        <v>239</v>
      </c>
      <c r="D92" s="11" t="s">
        <v>239</v>
      </c>
      <c r="E92" s="11" t="s">
        <v>34</v>
      </c>
      <c r="F92" s="11" t="s">
        <v>34</v>
      </c>
      <c r="G92" s="11">
        <v>35</v>
      </c>
      <c r="H92" s="12">
        <v>38888.571428571428</v>
      </c>
      <c r="I92" s="12">
        <f t="shared" si="6"/>
        <v>1361100</v>
      </c>
      <c r="J92" s="9"/>
      <c r="K92" s="9"/>
      <c r="L92" s="9"/>
      <c r="M92" s="9"/>
      <c r="N92" s="9"/>
      <c r="O92" s="9"/>
      <c r="P92" s="9"/>
      <c r="Q92" s="9"/>
      <c r="R92" s="9"/>
      <c r="S92" s="9"/>
      <c r="T92" s="9">
        <v>35</v>
      </c>
      <c r="U92" s="9"/>
    </row>
    <row r="93" spans="1:21" ht="15" customHeight="1" x14ac:dyDescent="0.25">
      <c r="A93" s="10">
        <v>89</v>
      </c>
      <c r="B93" s="11">
        <v>44101604</v>
      </c>
      <c r="C93" s="11" t="s">
        <v>240</v>
      </c>
      <c r="D93" s="11" t="s">
        <v>241</v>
      </c>
      <c r="E93" s="11" t="s">
        <v>34</v>
      </c>
      <c r="F93" s="11" t="s">
        <v>34</v>
      </c>
      <c r="G93" s="11">
        <v>45</v>
      </c>
      <c r="H93" s="12">
        <v>79760</v>
      </c>
      <c r="I93" s="12">
        <f t="shared" si="6"/>
        <v>3589200</v>
      </c>
      <c r="J93" s="9"/>
      <c r="K93" s="9"/>
      <c r="L93" s="9"/>
      <c r="M93" s="9"/>
      <c r="N93" s="9"/>
      <c r="O93" s="9"/>
      <c r="P93" s="9"/>
      <c r="Q93" s="9">
        <v>25</v>
      </c>
      <c r="R93" s="9"/>
      <c r="S93" s="9"/>
      <c r="T93" s="9">
        <v>20</v>
      </c>
      <c r="U93" s="9"/>
    </row>
    <row r="94" spans="1:21" ht="15" customHeight="1" x14ac:dyDescent="0.25">
      <c r="A94" s="10">
        <v>90</v>
      </c>
      <c r="B94" s="11">
        <v>60121304</v>
      </c>
      <c r="C94" s="11" t="s">
        <v>242</v>
      </c>
      <c r="D94" s="11" t="s">
        <v>243</v>
      </c>
      <c r="E94" s="11" t="s">
        <v>34</v>
      </c>
      <c r="F94" s="11" t="s">
        <v>244</v>
      </c>
      <c r="G94" s="11">
        <v>25</v>
      </c>
      <c r="H94" s="12">
        <v>18895</v>
      </c>
      <c r="I94" s="12">
        <f t="shared" si="6"/>
        <v>472375</v>
      </c>
      <c r="J94" s="9"/>
      <c r="K94" s="9"/>
      <c r="L94" s="9"/>
      <c r="M94" s="9"/>
      <c r="N94" s="9"/>
      <c r="O94" s="9"/>
      <c r="P94" s="9"/>
      <c r="Q94" s="9">
        <v>15</v>
      </c>
      <c r="R94" s="9"/>
      <c r="S94" s="9"/>
      <c r="T94" s="9">
        <v>10</v>
      </c>
      <c r="U94" s="9"/>
    </row>
    <row r="95" spans="1:21" ht="15" customHeight="1" x14ac:dyDescent="0.25">
      <c r="A95" s="10">
        <v>91</v>
      </c>
      <c r="B95" s="11">
        <v>44103105</v>
      </c>
      <c r="C95" s="11" t="s">
        <v>245</v>
      </c>
      <c r="D95" s="11" t="s">
        <v>246</v>
      </c>
      <c r="E95" s="11" t="s">
        <v>34</v>
      </c>
      <c r="F95" s="11" t="s">
        <v>247</v>
      </c>
      <c r="G95" s="11">
        <v>9</v>
      </c>
      <c r="H95" s="12">
        <v>245960</v>
      </c>
      <c r="I95" s="12">
        <f t="shared" si="6"/>
        <v>2213640</v>
      </c>
      <c r="J95" s="9"/>
      <c r="K95" s="9"/>
      <c r="L95" s="9"/>
      <c r="M95" s="9"/>
      <c r="N95" s="9"/>
      <c r="O95" s="9"/>
      <c r="P95" s="9"/>
      <c r="Q95" s="9"/>
      <c r="R95" s="9"/>
      <c r="S95" s="9"/>
      <c r="T95" s="9"/>
      <c r="U95" s="9">
        <v>9</v>
      </c>
    </row>
    <row r="96" spans="1:21" ht="15" customHeight="1" x14ac:dyDescent="0.25">
      <c r="A96" s="10">
        <v>92</v>
      </c>
      <c r="B96" s="11">
        <v>44103105</v>
      </c>
      <c r="C96" s="11" t="s">
        <v>248</v>
      </c>
      <c r="D96" s="11" t="s">
        <v>249</v>
      </c>
      <c r="E96" s="11" t="s">
        <v>34</v>
      </c>
      <c r="F96" s="11" t="s">
        <v>247</v>
      </c>
      <c r="G96" s="11">
        <v>8</v>
      </c>
      <c r="H96" s="12">
        <v>200785</v>
      </c>
      <c r="I96" s="12">
        <f t="shared" si="6"/>
        <v>1606280</v>
      </c>
      <c r="J96" s="9"/>
      <c r="K96" s="9"/>
      <c r="L96" s="9"/>
      <c r="M96" s="9"/>
      <c r="N96" s="9"/>
      <c r="O96" s="9"/>
      <c r="P96" s="9"/>
      <c r="Q96" s="9"/>
      <c r="R96" s="9"/>
      <c r="S96" s="9"/>
      <c r="T96" s="9"/>
      <c r="U96" s="9">
        <v>8</v>
      </c>
    </row>
    <row r="97" spans="1:23" ht="15" customHeight="1" x14ac:dyDescent="0.25">
      <c r="A97" s="10">
        <v>93</v>
      </c>
      <c r="B97" s="11">
        <v>44103105</v>
      </c>
      <c r="C97" s="11" t="s">
        <v>248</v>
      </c>
      <c r="D97" s="11" t="s">
        <v>250</v>
      </c>
      <c r="E97" s="11" t="s">
        <v>34</v>
      </c>
      <c r="F97" s="11" t="s">
        <v>247</v>
      </c>
      <c r="G97" s="11">
        <v>8</v>
      </c>
      <c r="H97" s="12">
        <v>207935</v>
      </c>
      <c r="I97" s="12">
        <f t="shared" si="6"/>
        <v>1663480</v>
      </c>
      <c r="J97" s="9"/>
      <c r="K97" s="9"/>
      <c r="L97" s="9"/>
      <c r="M97" s="9"/>
      <c r="N97" s="9"/>
      <c r="O97" s="9"/>
      <c r="P97" s="9"/>
      <c r="Q97" s="9"/>
      <c r="R97" s="9"/>
      <c r="S97" s="9"/>
      <c r="T97" s="9"/>
      <c r="U97" s="9">
        <v>8</v>
      </c>
    </row>
    <row r="98" spans="1:23" ht="15" customHeight="1" x14ac:dyDescent="0.25">
      <c r="A98" s="10">
        <v>94</v>
      </c>
      <c r="B98" s="11">
        <v>44103105</v>
      </c>
      <c r="C98" s="11" t="s">
        <v>248</v>
      </c>
      <c r="D98" s="11" t="s">
        <v>251</v>
      </c>
      <c r="E98" s="11" t="s">
        <v>34</v>
      </c>
      <c r="F98" s="11" t="s">
        <v>247</v>
      </c>
      <c r="G98" s="11">
        <v>8</v>
      </c>
      <c r="H98" s="12">
        <v>212420</v>
      </c>
      <c r="I98" s="12">
        <f t="shared" si="6"/>
        <v>1699360</v>
      </c>
      <c r="J98" s="9"/>
      <c r="K98" s="9"/>
      <c r="L98" s="9"/>
      <c r="M98" s="9"/>
      <c r="N98" s="9"/>
      <c r="O98" s="9"/>
      <c r="P98" s="9"/>
      <c r="Q98" s="9"/>
      <c r="R98" s="9"/>
      <c r="S98" s="9"/>
      <c r="T98" s="9"/>
      <c r="U98" s="9">
        <v>8</v>
      </c>
    </row>
    <row r="99" spans="1:23" ht="15" customHeight="1" x14ac:dyDescent="0.25">
      <c r="A99" s="10">
        <v>95</v>
      </c>
      <c r="B99" s="11">
        <v>31201610</v>
      </c>
      <c r="C99" s="11" t="s">
        <v>252</v>
      </c>
      <c r="D99" s="11" t="s">
        <v>253</v>
      </c>
      <c r="E99" s="11" t="s">
        <v>34</v>
      </c>
      <c r="F99" s="11" t="s">
        <v>34</v>
      </c>
      <c r="G99" s="11">
        <v>50</v>
      </c>
      <c r="H99" s="12">
        <v>2860</v>
      </c>
      <c r="I99" s="12">
        <f t="shared" si="6"/>
        <v>143000</v>
      </c>
      <c r="J99" s="9"/>
      <c r="K99" s="9"/>
      <c r="L99" s="9"/>
      <c r="M99" s="9"/>
      <c r="N99" s="9"/>
      <c r="O99" s="9"/>
      <c r="P99" s="9"/>
      <c r="Q99" s="9"/>
      <c r="R99" s="9"/>
      <c r="S99" s="9"/>
      <c r="T99" s="9"/>
      <c r="U99" s="9">
        <v>50</v>
      </c>
    </row>
    <row r="100" spans="1:23" ht="15" customHeight="1" x14ac:dyDescent="0.25">
      <c r="A100" s="10">
        <v>96</v>
      </c>
      <c r="B100" s="11">
        <v>60101405</v>
      </c>
      <c r="C100" s="11" t="s">
        <v>254</v>
      </c>
      <c r="D100" s="11" t="s">
        <v>255</v>
      </c>
      <c r="E100" s="11" t="s">
        <v>34</v>
      </c>
      <c r="F100" s="11" t="s">
        <v>34</v>
      </c>
      <c r="G100" s="11">
        <v>334</v>
      </c>
      <c r="H100" s="12">
        <v>758.33233532934105</v>
      </c>
      <c r="I100" s="12">
        <f t="shared" si="6"/>
        <v>253282.99999999991</v>
      </c>
      <c r="J100" s="9"/>
      <c r="K100" s="9"/>
      <c r="L100" s="9"/>
      <c r="M100" s="9"/>
      <c r="N100" s="9"/>
      <c r="O100" s="9"/>
      <c r="P100" s="9"/>
      <c r="Q100" s="9"/>
      <c r="R100" s="9"/>
      <c r="S100" s="9"/>
      <c r="T100" s="9"/>
      <c r="U100" s="9">
        <v>334</v>
      </c>
    </row>
    <row r="101" spans="1:23" ht="15" customHeight="1" x14ac:dyDescent="0.25">
      <c r="A101" s="10">
        <v>97</v>
      </c>
      <c r="B101" s="11">
        <v>11122005</v>
      </c>
      <c r="C101" s="11" t="s">
        <v>256</v>
      </c>
      <c r="D101" s="11" t="s">
        <v>257</v>
      </c>
      <c r="E101" s="11" t="s">
        <v>34</v>
      </c>
      <c r="F101" s="11" t="s">
        <v>258</v>
      </c>
      <c r="G101" s="11">
        <v>3</v>
      </c>
      <c r="H101" s="12">
        <v>90973.666666666672</v>
      </c>
      <c r="I101" s="12">
        <f t="shared" si="6"/>
        <v>272921</v>
      </c>
      <c r="J101" s="9"/>
      <c r="K101" s="9"/>
      <c r="L101" s="9"/>
      <c r="M101" s="9"/>
      <c r="N101" s="9"/>
      <c r="O101" s="9"/>
      <c r="P101" s="9"/>
      <c r="Q101" s="9"/>
      <c r="R101" s="9"/>
      <c r="S101" s="9"/>
      <c r="T101" s="9">
        <v>3</v>
      </c>
      <c r="U101" s="9"/>
    </row>
    <row r="102" spans="1:23" ht="24" customHeight="1" x14ac:dyDescent="0.25">
      <c r="A102" s="58" t="s">
        <v>259</v>
      </c>
      <c r="B102" s="59"/>
      <c r="C102" s="59"/>
      <c r="D102" s="59"/>
      <c r="E102" s="59"/>
      <c r="F102" s="59"/>
      <c r="G102" s="59"/>
      <c r="H102" s="60"/>
      <c r="I102" s="18">
        <f>SUM(I5:I101)</f>
        <v>53013169</v>
      </c>
    </row>
    <row r="103" spans="1:23" ht="88.5" customHeight="1" x14ac:dyDescent="0.25">
      <c r="A103" s="19"/>
      <c r="B103" s="19"/>
      <c r="C103" s="19"/>
      <c r="D103" s="19"/>
      <c r="E103" s="19"/>
      <c r="F103" s="19"/>
      <c r="G103" s="19"/>
      <c r="H103" s="19"/>
      <c r="I103" s="19"/>
    </row>
    <row r="104" spans="1:23" s="22" customFormat="1" ht="102" customHeight="1" x14ac:dyDescent="0.25">
      <c r="A104" s="20" t="s">
        <v>260</v>
      </c>
      <c r="B104" s="20"/>
      <c r="C104" s="20"/>
      <c r="D104" s="20"/>
      <c r="E104" s="20"/>
      <c r="F104" s="21"/>
      <c r="G104" s="21"/>
      <c r="H104" s="21"/>
      <c r="I104" s="21"/>
      <c r="V104" s="3"/>
      <c r="W104" s="3"/>
    </row>
    <row r="105" spans="1:23" x14ac:dyDescent="0.25">
      <c r="A105" s="23"/>
      <c r="B105" s="23"/>
      <c r="C105" s="23"/>
      <c r="D105" s="23"/>
    </row>
    <row r="106" spans="1:23" x14ac:dyDescent="0.25">
      <c r="A106" s="23"/>
      <c r="B106" s="23"/>
      <c r="C106" s="23"/>
      <c r="D106" s="23"/>
    </row>
    <row r="107" spans="1:23" x14ac:dyDescent="0.25">
      <c r="A107" s="23"/>
      <c r="B107" s="23"/>
      <c r="C107" s="23"/>
      <c r="D107" s="23"/>
    </row>
    <row r="108" spans="1:23" x14ac:dyDescent="0.25">
      <c r="A108" s="23"/>
      <c r="B108" s="23"/>
      <c r="C108" s="23"/>
      <c r="D108" s="23"/>
    </row>
    <row r="109" spans="1:23" x14ac:dyDescent="0.25">
      <c r="A109" s="23"/>
      <c r="B109" s="23"/>
      <c r="C109" s="23"/>
      <c r="D109" s="23"/>
    </row>
    <row r="110" spans="1:23" x14ac:dyDescent="0.25">
      <c r="A110" s="23"/>
      <c r="B110" s="23"/>
      <c r="C110" s="23"/>
      <c r="D110" s="23"/>
    </row>
    <row r="111" spans="1:23" x14ac:dyDescent="0.25">
      <c r="A111" s="23"/>
      <c r="B111" s="23"/>
      <c r="C111" s="23"/>
      <c r="D111" s="23"/>
    </row>
    <row r="112" spans="1:23" x14ac:dyDescent="0.25">
      <c r="A112" s="23"/>
      <c r="B112" s="23"/>
      <c r="C112" s="23"/>
      <c r="D112" s="23"/>
    </row>
    <row r="113" spans="1:4" x14ac:dyDescent="0.25">
      <c r="A113" s="23"/>
      <c r="B113" s="23"/>
      <c r="C113" s="23"/>
      <c r="D113" s="23"/>
    </row>
  </sheetData>
  <mergeCells count="1">
    <mergeCell ref="A102:H102"/>
  </mergeCells>
  <conditionalFormatting sqref="C8:D101 E5:G101 A5:B101">
    <cfRule type="containsBlanks" dxfId="4" priority="2">
      <formula>LEN(TRIM(A5))=0</formula>
    </cfRule>
  </conditionalFormatting>
  <conditionalFormatting sqref="C5:D5">
    <cfRule type="containsBlanks" dxfId="3" priority="3">
      <formula>LEN(TRIM(C5))=0</formula>
    </cfRule>
  </conditionalFormatting>
  <conditionalFormatting sqref="C6:D6">
    <cfRule type="containsBlanks" dxfId="2" priority="4">
      <formula>LEN(TRIM(C6))=0</formula>
    </cfRule>
  </conditionalFormatting>
  <conditionalFormatting sqref="C7:D7">
    <cfRule type="containsBlanks" dxfId="1" priority="5">
      <formula>LEN(TRIM(C7))=0</formula>
    </cfRule>
  </conditionalFormatting>
  <conditionalFormatting sqref="H5:I101">
    <cfRule type="containsBlanks" dxfId="0" priority="1">
      <formula>LEN(TRIM(H5))=0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MATERIALES AA-RRHH</vt:lpstr>
      <vt:lpstr>LOTE 5 PAPELERIA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Milena Isaza Ossa</dc:creator>
  <cp:lastModifiedBy>SENA</cp:lastModifiedBy>
  <cp:lastPrinted>2025-05-08T14:02:57Z</cp:lastPrinted>
  <dcterms:created xsi:type="dcterms:W3CDTF">2022-10-12T00:32:31Z</dcterms:created>
  <dcterms:modified xsi:type="dcterms:W3CDTF">2025-05-14T14:21:07Z</dcterms:modified>
</cp:coreProperties>
</file>