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RENACERÀ\"/>
    </mc:Choice>
  </mc:AlternateContent>
  <xr:revisionPtr revIDLastSave="35" documentId="13_ncr:1_{1188A383-F052-4137-A5E7-8BF21A307D51}" xr6:coauthVersionLast="47" xr6:coauthVersionMax="47" xr10:uidLastSave="{FF4DA354-D596-4834-A19B-11732B73F20D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S16" i="43"/>
  <c r="S17" i="43"/>
  <c r="S18" i="43"/>
  <c r="S19" i="43"/>
  <c r="S20" i="43"/>
  <c r="S21" i="43"/>
  <c r="G23" i="59" s="1" a="1"/>
  <c r="S22" i="43"/>
  <c r="G24" i="59" s="1" a="1"/>
  <c r="S23" i="43"/>
  <c r="S24" i="43"/>
  <c r="G26" i="59" s="1" a="1"/>
  <c r="S25" i="43"/>
  <c r="G27" i="59" s="1" a="1"/>
  <c r="S26" i="43"/>
  <c r="G28" i="59" s="1" a="1"/>
  <c r="S27" i="43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7" i="59" a="1"/>
  <c r="G20" i="59" a="1"/>
  <c r="G25" i="59" a="1"/>
  <c r="G21" i="59" a="1"/>
  <c r="G29" i="59" a="1"/>
  <c r="Q3" i="59" a="1"/>
  <c r="O11" i="43" l="1"/>
  <c r="F13" i="59" s="1"/>
  <c r="W17" i="43"/>
  <c r="W16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9" i="59" s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5" i="59"/>
  <c r="J27" i="59"/>
  <c r="J16" i="59"/>
  <c r="J21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<sst xmlns="http://schemas.openxmlformats.org/spreadsheetml/2006/main" count="4127" uniqueCount="1157">
  <si>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</si>
  <si>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</si>
  <si>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</si>
  <si>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</si>
  <si>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</si>
  <si>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</si>
  <si>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</si>
  <si>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</si>
  <si>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</si>
  <si>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</si>
  <si>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</si>
  <si>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</si>
  <si>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BOLSO REDONDO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</si>
  <si>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</si>
  <si>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</si>
  <si>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</si>
  <si>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</si>
  <si>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</si>
  <si>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</si>
  <si>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</si>
  <si>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</si>
  <si>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</si>
  <si>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</si>
  <si>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</si>
  <si>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</si>
  <si>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</si>
  <si>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</si>
  <si>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ODENA 0,5 mm</t>
  </si>
  <si>
    <t>INSUMOS_COMPL_</t>
  </si>
  <si>
    <t xml:space="preserve">CARTULINA PLANA </t>
  </si>
  <si>
    <t>CINTA  DE ENMASCARAR</t>
  </si>
  <si>
    <t xml:space="preserve">HILO NYLON #20
</t>
  </si>
  <si>
    <t xml:space="preserve">HILO ENCERADO </t>
  </si>
  <si>
    <t>HERRAJES</t>
  </si>
  <si>
    <t>HEBILLA BURBUJA  PLÁSTICA 25 MM 1"</t>
  </si>
  <si>
    <t>LLAVE METÁLICA DESLIZADOR   #3 PARA CREMALLERA - PAVÓN</t>
  </si>
  <si>
    <t>CREMALLERA POLIÉSTER #3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</si>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</sst>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124239</xdr:colOff>
      <xdr:row>0</xdr:row>
      <xdr:rowOff>0</xdr:rowOff>
    </xdr:from>
    <xdr:to>
      <xdr:col>23</xdr:col>
      <xdr:colOff>356152</xdr:colOff>
      <xdr:row>7</xdr:row>
      <xdr:rowOff>8282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3CFC0-E104-438B-BCB0-C15DE9AA1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8282" y="0"/>
          <a:ext cx="1971261" cy="2087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JH0606-1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45449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3005383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28441.22723609801</v>
      </c>
      <c r="E5" s="366"/>
      <c r="F5" s="367"/>
      <c r="G5" s="351" t="s">
        <v>16</v>
      </c>
      <c r="H5" s="368"/>
      <c r="I5" s="368"/>
      <c r="J5" s="352"/>
      <c r="K5" s="326">
        <v>30</v>
      </c>
      <c r="L5" s="326"/>
      <c r="M5" s="327" t="s">
        <v>17</v>
      </c>
      <c r="N5" s="327"/>
      <c r="O5" s="316">
        <f ca="1">IFERROR(IF(K5=0,"",D5*K5),"")</f>
        <v>853236.81708294025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3.3333333333333333E-2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372">
        <v>0.2</v>
      </c>
      <c r="R10" s="285"/>
      <c r="S10" s="286">
        <f>IFERROR(IF(Q10="Unidad","1",(Q10*$K$5)),"")</f>
        <v>6</v>
      </c>
      <c r="T10" s="287"/>
      <c r="U10" s="288"/>
      <c r="V10" s="373"/>
      <c r="W10" s="289">
        <f ca="1">IFERROR(IF(D10="","",INDEX(Tabla_Completa,MATCH('Soli_citud '!D10,Materiales,0),7)*S10),"")</f>
        <v>3.2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0.4</v>
      </c>
      <c r="R11" s="285"/>
      <c r="S11" s="286">
        <f t="shared" ref="S11:S31" si="1">IFERROR(IF(Q11="Unidad","1",(Q11*$K$5)),"")</f>
        <v>12</v>
      </c>
      <c r="T11" s="287"/>
      <c r="U11" s="288"/>
      <c r="V11" s="288"/>
      <c r="W11" s="289">
        <f ca="1">IFERROR(IF(D11="","",INDEX(Tabla_Completa,MATCH('Soli_citud '!D11,Materiales,0),7)*S11),"")</f>
        <v>18997.84</v>
      </c>
      <c r="X11" s="289"/>
      <c r="Y11" s="289"/>
    </row>
    <row r="12" spans="1:28" ht="15.75" customHeight="1">
      <c r="A12" s="276" t="s">
        <v>28</v>
      </c>
      <c r="B12" s="277"/>
      <c r="C12" s="278"/>
      <c r="D12" s="374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1.2</v>
      </c>
      <c r="T12" s="287"/>
      <c r="U12" s="288"/>
      <c r="V12" s="288"/>
      <c r="W12" s="289">
        <f ca="1">IFERROR(IF(D12="","",INDEX(Tabla_Completa,MATCH('Soli_citud '!D12,Materiales,0),7)*S12),"")</f>
        <v>5016</v>
      </c>
      <c r="X12" s="289"/>
      <c r="Y12" s="289"/>
    </row>
    <row r="13" spans="1:28" ht="15.75" customHeight="1">
      <c r="A13" s="276" t="s">
        <v>26</v>
      </c>
      <c r="B13" s="277"/>
      <c r="C13" s="278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6</v>
      </c>
      <c r="T13" s="287"/>
      <c r="U13" s="288"/>
      <c r="V13" s="288"/>
      <c r="W13" s="289">
        <f ca="1">IFERROR(IF(D13="","",INDEX(Tabla_Completa,MATCH('Soli_citud '!D13,Materiales,0),7)*S13),"")</f>
        <v>43600</v>
      </c>
      <c r="X13" s="289"/>
      <c r="Y13" s="289"/>
    </row>
    <row r="14" spans="1:28" ht="17.25" customHeight="1">
      <c r="A14" s="276" t="s">
        <v>26</v>
      </c>
      <c r="B14" s="277"/>
      <c r="C14" s="278"/>
      <c r="D14" s="369" t="s">
        <v>32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Cono</v>
      </c>
      <c r="P14" s="283"/>
      <c r="Q14" s="284">
        <v>0.04</v>
      </c>
      <c r="R14" s="285"/>
      <c r="S14" s="286">
        <f t="shared" si="1"/>
        <v>1.2</v>
      </c>
      <c r="T14" s="287"/>
      <c r="U14" s="288"/>
      <c r="V14" s="288"/>
      <c r="W14" s="289">
        <f ca="1">IFERROR(IF(D14="","",INDEX(Tabla_Completa,MATCH('Soli_citud '!D14,Materiales,0),7)*S14),"")</f>
        <v>8400</v>
      </c>
      <c r="X14" s="289"/>
      <c r="Y14" s="289"/>
    </row>
    <row r="15" spans="1:28" ht="15.75" customHeight="1">
      <c r="A15" s="276" t="s">
        <v>33</v>
      </c>
      <c r="B15" s="277"/>
      <c r="C15" s="278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0.9</v>
      </c>
      <c r="R15" s="285"/>
      <c r="S15" s="286">
        <f t="shared" si="1"/>
        <v>27</v>
      </c>
      <c r="T15" s="287"/>
      <c r="U15" s="288"/>
      <c r="V15" s="288"/>
      <c r="W15" s="289">
        <f ca="1">IFERROR(IF(D15="","",INDEX(Tabla_Completa,MATCH('Soli_citud '!D15,Materiales,0),7)*S15),"")</f>
        <v>41769</v>
      </c>
      <c r="X15" s="289"/>
      <c r="Y15" s="289"/>
    </row>
    <row r="16" spans="1:28" ht="15.75" customHeight="1">
      <c r="A16" s="276" t="s">
        <v>33</v>
      </c>
      <c r="B16" s="277"/>
      <c r="C16" s="278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30</v>
      </c>
      <c r="T16" s="287"/>
      <c r="U16" s="288"/>
      <c r="V16" s="288"/>
      <c r="W16" s="289">
        <f ca="1">IFERROR(IF(D16="","",INDEX(Tabla_Completa,MATCH('Soli_citud '!D16,Materiales,0),7)*S16),"")</f>
        <v>13669.987499999999</v>
      </c>
      <c r="X16" s="289"/>
      <c r="Y16" s="289"/>
    </row>
    <row r="17" spans="1:25" ht="15.75" customHeight="1">
      <c r="A17" s="276" t="s">
        <v>26</v>
      </c>
      <c r="B17" s="277"/>
      <c r="C17" s="278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m</v>
      </c>
      <c r="P17" s="283"/>
      <c r="Q17" s="372">
        <v>0.4</v>
      </c>
      <c r="R17" s="285"/>
      <c r="S17" s="286">
        <f t="shared" si="1"/>
        <v>12</v>
      </c>
      <c r="T17" s="287"/>
      <c r="U17" s="288"/>
      <c r="V17" s="288"/>
      <c r="W17" s="289">
        <f ca="1">IFERROR(IF(D17="","",INDEX(Tabla_Completa,MATCH('Soli_citud '!D17,Materiales,0),7)*S17),"")</f>
        <v>11322</v>
      </c>
      <c r="X17" s="289"/>
      <c r="Y17" s="289"/>
    </row>
    <row r="18" spans="1:25" ht="15.75" customHeight="1">
      <c r="A18" s="276" t="s">
        <v>37</v>
      </c>
      <c r="B18" s="277"/>
      <c r="C18" s="278"/>
      <c r="D18" s="369" t="s">
        <v>38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1000</v>
      </c>
      <c r="R18" s="285"/>
      <c r="S18" s="286">
        <f t="shared" si="1"/>
        <v>30000</v>
      </c>
      <c r="T18" s="287"/>
      <c r="U18" s="288"/>
      <c r="V18" s="288"/>
      <c r="W18" s="289">
        <f ca="1">IFERROR(IF(D18="","",INDEX(Tabla_Completa,MATCH('Soli_citud '!D18,Materiales,0),7)*S18),"")</f>
        <v>225099.07529722591</v>
      </c>
      <c r="X18" s="289"/>
      <c r="Y18" s="289"/>
    </row>
    <row r="19" spans="1:25" ht="15.75">
      <c r="A19" s="276" t="s">
        <v>39</v>
      </c>
      <c r="B19" s="277"/>
      <c r="C19" s="278"/>
      <c r="D19" s="279" t="s">
        <v>40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0.01</v>
      </c>
      <c r="R19" s="285"/>
      <c r="S19" s="286">
        <f t="shared" si="1"/>
        <v>0.3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41</v>
      </c>
      <c r="B20" s="277"/>
      <c r="C20" s="278"/>
      <c r="D20" s="279" t="s">
        <v>42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3500</v>
      </c>
      <c r="R20" s="285"/>
      <c r="S20" s="286">
        <f t="shared" si="1"/>
        <v>105000</v>
      </c>
      <c r="T20" s="287"/>
      <c r="U20" s="288"/>
      <c r="V20" s="288"/>
      <c r="W20" s="289">
        <f ca="1">IFERROR(IF(D20="","",INDEX(Tabla_Completa,MATCH('Soli_citud '!D20,Materiales,0),7)*S20),"")</f>
        <v>293250</v>
      </c>
      <c r="X20" s="289"/>
      <c r="Y20" s="289"/>
    </row>
    <row r="21" spans="1:25" ht="15.75">
      <c r="A21" s="276" t="s">
        <v>41</v>
      </c>
      <c r="B21" s="277"/>
      <c r="C21" s="278"/>
      <c r="D21" s="279" t="s">
        <v>43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3200</v>
      </c>
      <c r="R21" s="285"/>
      <c r="S21" s="286">
        <f t="shared" si="1"/>
        <v>96000</v>
      </c>
      <c r="T21" s="287"/>
      <c r="U21" s="288"/>
      <c r="V21" s="288"/>
      <c r="W21" s="289">
        <f ca="1">IFERROR(IF(D21="","",INDEX(Tabla_Completa,MATCH('Soli_citud '!D21,Materiales,0),7)*S21),"")</f>
        <v>192109.71428571429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44</v>
      </c>
      <c r="B39" s="292"/>
      <c r="C39" s="292"/>
      <c r="D39" s="293" t="s">
        <v>45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47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48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37</v>
      </c>
      <c r="O44" s="303"/>
      <c r="P44" s="303"/>
      <c r="Q44" s="303"/>
      <c r="R44" s="300" t="s">
        <v>49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50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51</v>
      </c>
      <c r="O45" s="303"/>
      <c r="P45" s="303"/>
      <c r="Q45" s="303"/>
      <c r="R45" s="301" t="s">
        <v>52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53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54</v>
      </c>
      <c r="O46" s="303"/>
      <c r="P46" s="303"/>
      <c r="Q46" s="303"/>
      <c r="R46" s="302" t="s">
        <v>55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56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33</v>
      </c>
      <c r="O47" s="303"/>
      <c r="P47" s="303"/>
      <c r="Q47" s="303"/>
      <c r="R47" s="302" t="s">
        <v>57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58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59</v>
      </c>
      <c r="O48" s="303"/>
      <c r="P48" s="303"/>
      <c r="Q48" s="303"/>
      <c r="R48" s="302" t="s">
        <v>60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61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62</v>
      </c>
      <c r="O49" s="304"/>
      <c r="P49" s="304"/>
      <c r="Q49" s="304"/>
      <c r="R49" s="301" t="s">
        <v>63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64</v>
      </c>
      <c r="O50" s="303"/>
      <c r="P50" s="303"/>
      <c r="Q50" s="303"/>
      <c r="R50" s="302" t="s">
        <v>65</v>
      </c>
      <c r="S50" s="302"/>
      <c r="T50" s="302"/>
      <c r="U50" s="302"/>
      <c r="V50" s="302"/>
      <c r="W50" s="302"/>
      <c r="X50" s="302"/>
    </row>
    <row r="51" spans="1:24" ht="15.75">
      <c r="N51" s="303" t="s">
        <v>41</v>
      </c>
      <c r="O51" s="303"/>
      <c r="P51" s="303"/>
      <c r="Q51" s="303"/>
      <c r="R51" s="302" t="s">
        <v>66</v>
      </c>
      <c r="S51" s="302"/>
      <c r="T51" s="302"/>
      <c r="U51" s="302"/>
      <c r="V51" s="302"/>
      <c r="W51" s="302"/>
      <c r="X51" s="302"/>
    </row>
    <row r="52" spans="1:24" ht="15.75">
      <c r="N52" s="303" t="s">
        <v>67</v>
      </c>
      <c r="O52" s="303"/>
      <c r="P52" s="303"/>
      <c r="Q52" s="303"/>
      <c r="R52" s="302" t="s">
        <v>57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B18" sqref="B18:E18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7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68</v>
      </c>
      <c r="D1" s="395"/>
      <c r="E1" s="395"/>
      <c r="F1" s="395"/>
      <c r="G1" s="395"/>
      <c r="H1" s="395"/>
      <c r="I1" s="401" t="s">
        <v>69</v>
      </c>
      <c r="J1" s="402"/>
      <c r="K1" s="402"/>
      <c r="L1" s="403"/>
      <c r="M1" s="396">
        <f>IF('Soli_citud '!O1="","",'Soli_citud '!O1)</f>
        <v>45449</v>
      </c>
      <c r="N1" s="397"/>
      <c r="O1" s="430" t="s">
        <v>70</v>
      </c>
      <c r="P1" s="431"/>
      <c r="Q1" s="426" t="str">
        <f>IF('Soli_citud '!D4="","",'Soli_citud '!D4)</f>
        <v>BOLSO REDONDO</v>
      </c>
      <c r="R1" s="427"/>
      <c r="Z1" s="271" t="s">
        <v>71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72</v>
      </c>
      <c r="J2" s="405"/>
      <c r="K2" s="405"/>
      <c r="L2" s="406"/>
      <c r="M2" s="398" t="str">
        <f>'Soli_citud '!F1</f>
        <v>JH0606-1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73</v>
      </c>
      <c r="J3" s="400"/>
      <c r="K3" s="400"/>
      <c r="L3" s="400"/>
      <c r="M3" s="407">
        <f>IF('Soli_citud '!O3="","",'Soli_citud '!O3)</f>
        <v>3005383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74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75</v>
      </c>
      <c r="B6" s="392"/>
      <c r="C6" s="392"/>
      <c r="D6" s="377" t="s">
        <v>76</v>
      </c>
      <c r="E6" s="377"/>
      <c r="F6" s="377"/>
      <c r="G6" s="377"/>
      <c r="H6" s="378"/>
      <c r="I6" s="424" t="s">
        <v>77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28441.22723609801</v>
      </c>
      <c r="B8" s="393"/>
      <c r="C8" s="393"/>
      <c r="D8" s="379" t="s">
        <v>78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79</v>
      </c>
      <c r="B9" s="385"/>
      <c r="C9" s="409"/>
      <c r="D9" s="384" t="s">
        <v>80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81</v>
      </c>
      <c r="J10" s="442"/>
      <c r="K10" s="443"/>
      <c r="L10" s="259">
        <f>'Soli_citud '!K5</f>
        <v>30</v>
      </c>
      <c r="M10" s="439" t="s">
        <v>82</v>
      </c>
      <c r="N10" s="440"/>
      <c r="O10" s="434"/>
      <c r="P10" s="435"/>
      <c r="Q10" s="260" t="s">
        <v>83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84</v>
      </c>
      <c r="B11" s="410" t="s">
        <v>85</v>
      </c>
      <c r="C11" s="411"/>
      <c r="D11" s="411"/>
      <c r="E11" s="412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9" t="s">
        <v>24</v>
      </c>
      <c r="L11" s="441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375" t="str">
        <f>IFERROR(IF('Soli_citud '!D10="","",'Soli_citud '!D10),"")</f>
        <v>ODENA 0,5 mm</v>
      </c>
      <c r="C12" s="375"/>
      <c r="D12" s="375"/>
      <c r="E12" s="375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6</v>
      </c>
      <c r="H12" s="240">
        <v>45454</v>
      </c>
      <c r="I12" s="241">
        <v>6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12</v>
      </c>
      <c r="H13" s="240">
        <v>45454</v>
      </c>
      <c r="I13" s="242">
        <v>12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1.2</v>
      </c>
      <c r="H14" s="240">
        <v>45454</v>
      </c>
      <c r="I14" s="242">
        <v>1.2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 xml:space="preserve">HILO NYLON #20
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6</v>
      </c>
      <c r="H15" s="240">
        <v>45454</v>
      </c>
      <c r="I15" s="242">
        <v>6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 xml:space="preserve">HILO ENCERADO 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1.2</v>
      </c>
      <c r="H16" s="240"/>
      <c r="I16" s="242"/>
      <c r="J16" s="215" cm="1">
        <f t="array" ref="J16">IFERROR(_xlfn.IFS(G16="","",I16=G16,"Cumplido",I16&lt;G16,G16-I16,I16&gt;G16,"Revisar"),"")</f>
        <v>1.2</v>
      </c>
      <c r="K16" s="387" t="s">
        <v>97</v>
      </c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HEBILLA BURBUJA  PLÁSTICA 25 MM 1"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27</v>
      </c>
      <c r="H17" s="240">
        <v>45454</v>
      </c>
      <c r="I17" s="242">
        <v>27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35.25" customHeight="1">
      <c r="A18" s="81">
        <v>7</v>
      </c>
      <c r="B18" s="375" t="str">
        <f>IFERROR(IF('Soli_citud '!D16="","",'Soli_citud '!D16),"")</f>
        <v>LLAVE METÁLICA DESLIZADOR   #3 PARA CREMALLERA - PAVÓN</v>
      </c>
      <c r="C18" s="375"/>
      <c r="D18" s="375"/>
      <c r="E18" s="375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30</v>
      </c>
      <c r="H18" s="240">
        <v>45454</v>
      </c>
      <c r="I18" s="242">
        <v>30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#3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12</v>
      </c>
      <c r="H19" s="240">
        <v>45454</v>
      </c>
      <c r="I19" s="242">
        <v>12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30000</v>
      </c>
      <c r="H20" s="240">
        <v>45454</v>
      </c>
      <c r="I20" s="242">
        <v>30000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Cemento de contacto</v>
      </c>
      <c r="C21" s="375"/>
      <c r="D21" s="375"/>
      <c r="E21" s="375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0.3</v>
      </c>
      <c r="H21" s="240">
        <v>45454</v>
      </c>
      <c r="I21" s="242">
        <v>0.3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105000</v>
      </c>
      <c r="H22" s="240">
        <v>45454</v>
      </c>
      <c r="I22" s="242">
        <v>105000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>
        <v>140</v>
      </c>
      <c r="N22" s="216">
        <f t="shared" si="0"/>
        <v>750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96000</v>
      </c>
      <c r="H23" s="240">
        <v>45454</v>
      </c>
      <c r="I23" s="242">
        <v>96000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>
        <v>140</v>
      </c>
      <c r="N23" s="216">
        <f t="shared" si="0"/>
        <v>685.71428571428567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98</v>
      </c>
      <c r="F1" s="452"/>
      <c r="Z1" s="271" t="s">
        <v>71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50"/>
      <c r="D6" s="451"/>
      <c r="H6" s="448" t="s">
        <v>100</v>
      </c>
      <c r="I6" s="448"/>
    </row>
    <row r="7" spans="1:26" ht="47.25">
      <c r="A7" s="76" t="s">
        <v>84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37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37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37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37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37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37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37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120</v>
      </c>
      <c r="C15" s="144" t="s">
        <v>37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121</v>
      </c>
      <c r="C16" s="144" t="s">
        <v>37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122</v>
      </c>
      <c r="C17" s="144" t="s">
        <v>37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38</v>
      </c>
      <c r="C18" s="144" t="s">
        <v>37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123</v>
      </c>
      <c r="C19" s="144" t="s">
        <v>37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124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125</v>
      </c>
      <c r="C34" s="229" t="s">
        <v>126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127</v>
      </c>
      <c r="C35" s="229" t="s">
        <v>126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128</v>
      </c>
      <c r="C36" s="229" t="s">
        <v>126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129</v>
      </c>
      <c r="C37" s="229" t="s">
        <v>126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130</v>
      </c>
      <c r="C38" s="229" t="s">
        <v>126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131</v>
      </c>
      <c r="C39" s="229" t="s">
        <v>126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132</v>
      </c>
      <c r="C40" s="229" t="s">
        <v>126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133</v>
      </c>
      <c r="C41" s="229" t="s">
        <v>126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134</v>
      </c>
      <c r="C42" s="229" t="s">
        <v>126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135</v>
      </c>
      <c r="C43" s="229" t="s">
        <v>126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136</v>
      </c>
      <c r="C44" s="229" t="s">
        <v>126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137</v>
      </c>
      <c r="C45" s="229" t="s">
        <v>126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138</v>
      </c>
      <c r="C46" s="229" t="s">
        <v>126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139</v>
      </c>
      <c r="C47" s="229" t="s">
        <v>126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140</v>
      </c>
      <c r="C48" s="229" t="s">
        <v>126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141</v>
      </c>
      <c r="C49" s="229" t="s">
        <v>126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142</v>
      </c>
      <c r="C50" s="229" t="s">
        <v>126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143</v>
      </c>
      <c r="C51" s="229" t="s">
        <v>126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144</v>
      </c>
      <c r="C52" s="229" t="s">
        <v>126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145</v>
      </c>
      <c r="C53" s="229" t="s">
        <v>126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146</v>
      </c>
      <c r="C54" s="229" t="s">
        <v>126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147</v>
      </c>
      <c r="C55" s="229" t="s">
        <v>126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148</v>
      </c>
      <c r="C56" s="229" t="s">
        <v>126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149</v>
      </c>
      <c r="C57" s="229" t="s">
        <v>126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150</v>
      </c>
      <c r="C58" s="229" t="s">
        <v>126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151</v>
      </c>
      <c r="C59" s="229" t="s">
        <v>126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152</v>
      </c>
      <c r="C60" s="229" t="s">
        <v>126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153</v>
      </c>
      <c r="C61" s="229" t="s">
        <v>126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154</v>
      </c>
      <c r="C62" s="229" t="s">
        <v>126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155</v>
      </c>
      <c r="C63" s="229" t="s">
        <v>126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156</v>
      </c>
      <c r="C64" s="229" t="s">
        <v>126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157</v>
      </c>
      <c r="C65" s="229" t="s">
        <v>126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158</v>
      </c>
      <c r="C66" s="229" t="s">
        <v>126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159</v>
      </c>
      <c r="C67" s="229" t="s">
        <v>126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160</v>
      </c>
      <c r="C68" s="229" t="s">
        <v>126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161</v>
      </c>
      <c r="C69" s="229" t="s">
        <v>126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162</v>
      </c>
      <c r="C70" s="229" t="s">
        <v>126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163</v>
      </c>
      <c r="C71" s="229" t="s">
        <v>126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164</v>
      </c>
      <c r="C72" s="229" t="s">
        <v>126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165</v>
      </c>
      <c r="C73" s="229" t="s">
        <v>126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166</v>
      </c>
      <c r="C74" s="229" t="s">
        <v>126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167</v>
      </c>
      <c r="C75" s="229" t="s">
        <v>126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168</v>
      </c>
      <c r="C76" s="229" t="s">
        <v>126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169</v>
      </c>
      <c r="C77" s="229" t="s">
        <v>126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170</v>
      </c>
      <c r="C78" s="229" t="s">
        <v>126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171</v>
      </c>
      <c r="C79" s="229" t="s">
        <v>126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172</v>
      </c>
      <c r="C80" s="229" t="s">
        <v>126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173</v>
      </c>
      <c r="C81" s="229" t="s">
        <v>126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174</v>
      </c>
      <c r="C82" s="229" t="s">
        <v>126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175</v>
      </c>
      <c r="C83" s="229" t="s">
        <v>126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176</v>
      </c>
      <c r="C84" s="229" t="s">
        <v>126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177</v>
      </c>
      <c r="C85" s="229" t="s">
        <v>126</v>
      </c>
      <c r="D85" s="51" t="s">
        <v>178</v>
      </c>
      <c r="E85" s="46">
        <v>97321</v>
      </c>
      <c r="F85" s="193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179</v>
      </c>
      <c r="C86" s="229" t="s">
        <v>126</v>
      </c>
      <c r="D86" s="51" t="s">
        <v>178</v>
      </c>
      <c r="E86" s="46">
        <v>99191</v>
      </c>
      <c r="F86" s="193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180</v>
      </c>
      <c r="C87" s="229" t="s">
        <v>126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181</v>
      </c>
      <c r="C88" s="229" t="s">
        <v>126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182</v>
      </c>
      <c r="C89" s="229" t="s">
        <v>126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183</v>
      </c>
      <c r="C90" s="229" t="s">
        <v>126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184</v>
      </c>
      <c r="C91" s="229" t="s">
        <v>126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185</v>
      </c>
      <c r="C92" s="229" t="s">
        <v>126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186</v>
      </c>
      <c r="C93" s="229" t="s">
        <v>126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187</v>
      </c>
      <c r="C94" s="229" t="s">
        <v>126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188</v>
      </c>
      <c r="C95" s="229" t="s">
        <v>126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189</v>
      </c>
      <c r="C96" s="229" t="s">
        <v>126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190</v>
      </c>
      <c r="C97" s="229" t="s">
        <v>126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191</v>
      </c>
      <c r="C98" s="229" t="s">
        <v>126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192</v>
      </c>
      <c r="C99" s="229" t="s">
        <v>126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193</v>
      </c>
      <c r="C100" s="229" t="s">
        <v>126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194</v>
      </c>
      <c r="C101" s="229" t="s">
        <v>126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195</v>
      </c>
      <c r="C102" s="229" t="s">
        <v>126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196</v>
      </c>
      <c r="C103" s="229" t="s">
        <v>126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197</v>
      </c>
      <c r="C104" s="229" t="s">
        <v>126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198</v>
      </c>
      <c r="C105" s="229" t="s">
        <v>126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199</v>
      </c>
      <c r="C106" s="229" t="s">
        <v>126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200</v>
      </c>
      <c r="C107" s="229" t="s">
        <v>126</v>
      </c>
      <c r="D107" s="51" t="s">
        <v>178</v>
      </c>
      <c r="E107" s="46">
        <v>47662</v>
      </c>
      <c r="F107" s="193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201</v>
      </c>
      <c r="C108" s="229" t="s">
        <v>126</v>
      </c>
      <c r="D108" s="51" t="s">
        <v>178</v>
      </c>
      <c r="E108" s="46">
        <v>8533</v>
      </c>
      <c r="F108" s="193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202</v>
      </c>
      <c r="C109" s="229" t="s">
        <v>126</v>
      </c>
      <c r="D109" s="51" t="s">
        <v>178</v>
      </c>
      <c r="E109" s="46">
        <v>8367</v>
      </c>
      <c r="F109" s="193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203</v>
      </c>
      <c r="C110" s="229" t="s">
        <v>126</v>
      </c>
      <c r="D110" s="51" t="s">
        <v>178</v>
      </c>
      <c r="E110" s="46">
        <v>32859</v>
      </c>
      <c r="F110" s="193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204</v>
      </c>
      <c r="C111" s="229" t="s">
        <v>126</v>
      </c>
      <c r="D111" s="51" t="s">
        <v>178</v>
      </c>
      <c r="E111" s="46">
        <v>9366</v>
      </c>
      <c r="F111" s="193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205</v>
      </c>
      <c r="C112" s="229" t="s">
        <v>126</v>
      </c>
      <c r="D112" s="51" t="s">
        <v>178</v>
      </c>
      <c r="E112" s="46">
        <v>54502</v>
      </c>
      <c r="F112" s="193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206</v>
      </c>
      <c r="C113" s="229" t="s">
        <v>126</v>
      </c>
      <c r="D113" s="51" t="s">
        <v>207</v>
      </c>
      <c r="E113" s="46">
        <v>14170</v>
      </c>
      <c r="F113" s="193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208</v>
      </c>
      <c r="C114" s="229" t="s">
        <v>126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209</v>
      </c>
      <c r="C115" s="229" t="s">
        <v>126</v>
      </c>
      <c r="D115" s="51" t="s">
        <v>210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211</v>
      </c>
      <c r="C116" s="229" t="s">
        <v>126</v>
      </c>
      <c r="D116" s="51" t="s">
        <v>212</v>
      </c>
      <c r="E116" s="46">
        <v>50178</v>
      </c>
      <c r="F116" s="193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213</v>
      </c>
      <c r="C117" s="229" t="s">
        <v>126</v>
      </c>
      <c r="D117" s="51" t="s">
        <v>178</v>
      </c>
      <c r="E117" s="46">
        <v>35105</v>
      </c>
      <c r="F117" s="193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214</v>
      </c>
      <c r="C118" s="229" t="s">
        <v>126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215</v>
      </c>
      <c r="C119" s="229" t="s">
        <v>126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216</v>
      </c>
      <c r="C120" s="229" t="s">
        <v>126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217</v>
      </c>
      <c r="C121" s="229" t="s">
        <v>126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218</v>
      </c>
      <c r="C122" s="229" t="s">
        <v>126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219</v>
      </c>
      <c r="C123" s="229" t="s">
        <v>126</v>
      </c>
      <c r="D123" s="51" t="s">
        <v>220</v>
      </c>
      <c r="E123" s="46">
        <v>38591.666666666664</v>
      </c>
      <c r="F123" s="193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221</v>
      </c>
      <c r="C124" s="229" t="s">
        <v>126</v>
      </c>
      <c r="D124" s="51" t="s">
        <v>178</v>
      </c>
      <c r="E124" s="46">
        <v>22134</v>
      </c>
      <c r="F124" s="193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222</v>
      </c>
      <c r="C125" s="229" t="s">
        <v>126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223</v>
      </c>
      <c r="C126" s="229" t="s">
        <v>126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224</v>
      </c>
      <c r="C127" s="229" t="s">
        <v>126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225</v>
      </c>
      <c r="C128" s="229" t="s">
        <v>126</v>
      </c>
      <c r="D128" s="51" t="s">
        <v>178</v>
      </c>
      <c r="E128" s="46">
        <v>149370</v>
      </c>
      <c r="F128" s="193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226</v>
      </c>
      <c r="C129" s="229" t="s">
        <v>126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227</v>
      </c>
      <c r="C130" s="229" t="s">
        <v>126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228</v>
      </c>
      <c r="C131" s="229" t="s">
        <v>126</v>
      </c>
      <c r="D131" s="51" t="s">
        <v>212</v>
      </c>
      <c r="E131" s="46">
        <v>8850</v>
      </c>
      <c r="F131" s="193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229</v>
      </c>
      <c r="C132" s="229" t="s">
        <v>126</v>
      </c>
      <c r="D132" s="51" t="s">
        <v>230</v>
      </c>
      <c r="E132" s="46">
        <v>135533.5</v>
      </c>
      <c r="F132" s="193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231</v>
      </c>
      <c r="C133" s="229" t="s">
        <v>126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232</v>
      </c>
      <c r="C134" s="229" t="s">
        <v>126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233</v>
      </c>
      <c r="C135" s="229" t="s">
        <v>126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234</v>
      </c>
      <c r="C136" s="229" t="s">
        <v>126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235</v>
      </c>
      <c r="C137" s="229" t="s">
        <v>126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236</v>
      </c>
      <c r="C138" s="229" t="s">
        <v>126</v>
      </c>
      <c r="D138" s="51" t="s">
        <v>220</v>
      </c>
      <c r="E138" s="46">
        <v>90800</v>
      </c>
      <c r="F138" s="193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237</v>
      </c>
      <c r="C139" s="229" t="s">
        <v>126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238</v>
      </c>
      <c r="C140" s="229" t="s">
        <v>126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239</v>
      </c>
      <c r="C141" s="229" t="s">
        <v>126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124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240</v>
      </c>
      <c r="C162" s="229" t="s">
        <v>26</v>
      </c>
      <c r="D162" s="51" t="s">
        <v>178</v>
      </c>
      <c r="E162" s="46">
        <v>760</v>
      </c>
      <c r="F162" s="193" t="s">
        <v>178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241</v>
      </c>
      <c r="C163" s="229" t="s">
        <v>26</v>
      </c>
      <c r="D163" s="51" t="s">
        <v>242</v>
      </c>
      <c r="E163" s="46">
        <v>45667</v>
      </c>
      <c r="F163" s="193" t="s">
        <v>242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243</v>
      </c>
      <c r="C164" s="229" t="s">
        <v>26</v>
      </c>
      <c r="D164" s="51" t="s">
        <v>244</v>
      </c>
      <c r="E164" s="46">
        <v>41000</v>
      </c>
      <c r="F164" s="193" t="s">
        <v>245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246</v>
      </c>
      <c r="C165" s="229" t="s">
        <v>26</v>
      </c>
      <c r="D165" s="51" t="s">
        <v>244</v>
      </c>
      <c r="E165" s="46">
        <v>58500</v>
      </c>
      <c r="F165" s="193" t="s">
        <v>245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247</v>
      </c>
      <c r="C166" s="229" t="s">
        <v>26</v>
      </c>
      <c r="D166" s="51" t="s">
        <v>242</v>
      </c>
      <c r="E166" s="46">
        <v>17830</v>
      </c>
      <c r="F166" s="193" t="s">
        <v>248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249</v>
      </c>
      <c r="C167" s="229" t="s">
        <v>26</v>
      </c>
      <c r="D167" s="51" t="s">
        <v>178</v>
      </c>
      <c r="E167" s="46">
        <v>639</v>
      </c>
      <c r="F167" s="51" t="s">
        <v>178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250</v>
      </c>
      <c r="C168" s="229" t="s">
        <v>26</v>
      </c>
      <c r="D168" s="51" t="s">
        <v>178</v>
      </c>
      <c r="E168" s="46">
        <v>639</v>
      </c>
      <c r="F168" s="51" t="s">
        <v>178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251</v>
      </c>
      <c r="C169" s="229" t="s">
        <v>26</v>
      </c>
      <c r="D169" s="51" t="s">
        <v>178</v>
      </c>
      <c r="E169" s="46">
        <v>639</v>
      </c>
      <c r="F169" s="51" t="s">
        <v>178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252</v>
      </c>
      <c r="C170" s="229" t="s">
        <v>26</v>
      </c>
      <c r="D170" s="51" t="s">
        <v>178</v>
      </c>
      <c r="E170" s="46">
        <v>639</v>
      </c>
      <c r="F170" s="51" t="s">
        <v>178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253</v>
      </c>
      <c r="C171" s="229" t="s">
        <v>26</v>
      </c>
      <c r="D171" s="51" t="s">
        <v>178</v>
      </c>
      <c r="E171" s="46">
        <v>639</v>
      </c>
      <c r="F171" s="51" t="s">
        <v>178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254</v>
      </c>
      <c r="C172" s="229" t="s">
        <v>26</v>
      </c>
      <c r="D172" s="51" t="s">
        <v>178</v>
      </c>
      <c r="E172" s="46">
        <v>639</v>
      </c>
      <c r="F172" s="51" t="s">
        <v>178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255</v>
      </c>
      <c r="C173" s="229" t="s">
        <v>26</v>
      </c>
      <c r="D173" s="51" t="s">
        <v>178</v>
      </c>
      <c r="E173" s="46">
        <v>639</v>
      </c>
      <c r="F173" s="51" t="s">
        <v>178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256</v>
      </c>
      <c r="C174" s="229" t="s">
        <v>26</v>
      </c>
      <c r="D174" s="51" t="s">
        <v>178</v>
      </c>
      <c r="E174" s="46">
        <v>639</v>
      </c>
      <c r="F174" s="51" t="s">
        <v>178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257</v>
      </c>
      <c r="C175" s="229" t="s">
        <v>26</v>
      </c>
      <c r="D175" s="51" t="s">
        <v>178</v>
      </c>
      <c r="E175" s="46">
        <v>639</v>
      </c>
      <c r="F175" s="51" t="s">
        <v>178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258</v>
      </c>
      <c r="C176" s="229" t="s">
        <v>26</v>
      </c>
      <c r="D176" s="51" t="s">
        <v>178</v>
      </c>
      <c r="E176" s="46">
        <v>639</v>
      </c>
      <c r="F176" s="51" t="s">
        <v>178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259</v>
      </c>
      <c r="C177" s="229" t="s">
        <v>26</v>
      </c>
      <c r="D177" s="51" t="s">
        <v>178</v>
      </c>
      <c r="E177" s="46">
        <v>639</v>
      </c>
      <c r="F177" s="51" t="s">
        <v>178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260</v>
      </c>
      <c r="C178" s="229" t="s">
        <v>26</v>
      </c>
      <c r="D178" s="51" t="s">
        <v>178</v>
      </c>
      <c r="E178" s="46">
        <v>639</v>
      </c>
      <c r="F178" s="51" t="s">
        <v>178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261</v>
      </c>
      <c r="C179" s="229" t="s">
        <v>26</v>
      </c>
      <c r="D179" s="51" t="s">
        <v>178</v>
      </c>
      <c r="E179" s="46">
        <v>639</v>
      </c>
      <c r="F179" s="51" t="s">
        <v>178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262</v>
      </c>
      <c r="C180" s="229" t="s">
        <v>26</v>
      </c>
      <c r="D180" s="51" t="s">
        <v>178</v>
      </c>
      <c r="E180" s="46">
        <v>639</v>
      </c>
      <c r="F180" s="51" t="s">
        <v>178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263</v>
      </c>
      <c r="C181" s="229" t="s">
        <v>26</v>
      </c>
      <c r="D181" s="51" t="s">
        <v>178</v>
      </c>
      <c r="E181" s="46">
        <v>639</v>
      </c>
      <c r="F181" s="51" t="s">
        <v>178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264</v>
      </c>
      <c r="C182" s="229" t="s">
        <v>26</v>
      </c>
      <c r="D182" s="51" t="s">
        <v>178</v>
      </c>
      <c r="E182" s="65">
        <v>475.34</v>
      </c>
      <c r="F182" s="51" t="s">
        <v>178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265</v>
      </c>
      <c r="C183" s="229" t="s">
        <v>26</v>
      </c>
      <c r="D183" s="51" t="s">
        <v>178</v>
      </c>
      <c r="E183" s="65">
        <v>475.34</v>
      </c>
      <c r="F183" s="51" t="s">
        <v>178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266</v>
      </c>
      <c r="C184" s="229" t="s">
        <v>26</v>
      </c>
      <c r="D184" s="51" t="s">
        <v>178</v>
      </c>
      <c r="E184" s="65">
        <v>475.34</v>
      </c>
      <c r="F184" s="51" t="s">
        <v>178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267</v>
      </c>
      <c r="C185" s="229" t="s">
        <v>26</v>
      </c>
      <c r="D185" s="51" t="s">
        <v>178</v>
      </c>
      <c r="E185" s="65">
        <v>475.34</v>
      </c>
      <c r="F185" s="51" t="s">
        <v>178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268</v>
      </c>
      <c r="C186" s="229" t="s">
        <v>26</v>
      </c>
      <c r="D186" s="51" t="s">
        <v>178</v>
      </c>
      <c r="E186" s="65">
        <v>475.34</v>
      </c>
      <c r="F186" s="51" t="s">
        <v>178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269</v>
      </c>
      <c r="C187" s="229" t="s">
        <v>26</v>
      </c>
      <c r="D187" s="51" t="s">
        <v>178</v>
      </c>
      <c r="E187" s="65">
        <v>475.34</v>
      </c>
      <c r="F187" s="51" t="s">
        <v>178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270</v>
      </c>
      <c r="C188" s="229" t="s">
        <v>26</v>
      </c>
      <c r="D188" s="51" t="s">
        <v>178</v>
      </c>
      <c r="E188" s="65">
        <v>475.34</v>
      </c>
      <c r="F188" s="51" t="s">
        <v>178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271</v>
      </c>
      <c r="C189" s="229" t="s">
        <v>26</v>
      </c>
      <c r="D189" s="51" t="s">
        <v>178</v>
      </c>
      <c r="E189" s="65">
        <v>475.34</v>
      </c>
      <c r="F189" s="51" t="s">
        <v>178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272</v>
      </c>
      <c r="C190" s="229" t="s">
        <v>26</v>
      </c>
      <c r="D190" s="51" t="s">
        <v>178</v>
      </c>
      <c r="E190" s="65">
        <v>475.34</v>
      </c>
      <c r="F190" s="51" t="s">
        <v>178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273</v>
      </c>
      <c r="C191" s="229" t="s">
        <v>26</v>
      </c>
      <c r="D191" s="51" t="s">
        <v>178</v>
      </c>
      <c r="E191" s="65">
        <v>475.34</v>
      </c>
      <c r="F191" s="51" t="s">
        <v>178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274</v>
      </c>
      <c r="C192" s="229" t="s">
        <v>26</v>
      </c>
      <c r="D192" s="61" t="s">
        <v>245</v>
      </c>
      <c r="E192" s="65">
        <v>9800</v>
      </c>
      <c r="F192" s="196" t="s">
        <v>275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36</v>
      </c>
      <c r="C193" s="229" t="s">
        <v>26</v>
      </c>
      <c r="D193" s="61" t="s">
        <v>245</v>
      </c>
      <c r="E193" s="65">
        <v>943.5</v>
      </c>
      <c r="F193" s="196" t="s">
        <v>245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276</v>
      </c>
      <c r="C194" s="229" t="s">
        <v>26</v>
      </c>
      <c r="D194" s="61" t="s">
        <v>245</v>
      </c>
      <c r="E194" s="65">
        <v>943.5</v>
      </c>
      <c r="F194" s="196" t="s">
        <v>275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277</v>
      </c>
      <c r="C195" s="229" t="s">
        <v>26</v>
      </c>
      <c r="D195" s="61" t="s">
        <v>245</v>
      </c>
      <c r="E195" s="65">
        <v>1223</v>
      </c>
      <c r="F195" s="196" t="s">
        <v>275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278</v>
      </c>
      <c r="C196" s="229" t="s">
        <v>26</v>
      </c>
      <c r="D196" s="251" t="s">
        <v>242</v>
      </c>
      <c r="E196" s="65">
        <v>16471.25</v>
      </c>
      <c r="F196" s="252" t="s">
        <v>242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279</v>
      </c>
      <c r="C197" s="229" t="s">
        <v>26</v>
      </c>
      <c r="D197" s="251" t="s">
        <v>242</v>
      </c>
      <c r="E197" s="65">
        <v>32931.5</v>
      </c>
      <c r="F197" s="252" t="s">
        <v>242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280</v>
      </c>
      <c r="C198" s="229" t="s">
        <v>26</v>
      </c>
      <c r="D198" s="251" t="s">
        <v>242</v>
      </c>
      <c r="E198" s="65">
        <v>16209.5</v>
      </c>
      <c r="F198" s="252" t="s">
        <v>242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281</v>
      </c>
      <c r="C199" s="229" t="s">
        <v>26</v>
      </c>
      <c r="D199" s="52" t="s">
        <v>242</v>
      </c>
      <c r="E199" s="46">
        <v>32417</v>
      </c>
      <c r="F199" s="197" t="s">
        <v>242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282</v>
      </c>
      <c r="C200" s="229" t="s">
        <v>26</v>
      </c>
      <c r="D200" s="52" t="s">
        <v>242</v>
      </c>
      <c r="E200" s="46">
        <v>50250</v>
      </c>
      <c r="F200" s="197" t="s">
        <v>242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283</v>
      </c>
      <c r="C201" s="229" t="s">
        <v>26</v>
      </c>
      <c r="D201" s="52" t="s">
        <v>242</v>
      </c>
      <c r="E201" s="46">
        <v>25131.5</v>
      </c>
      <c r="F201" s="197" t="s">
        <v>242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284</v>
      </c>
      <c r="C202" s="229" t="s">
        <v>26</v>
      </c>
      <c r="D202" s="155" t="s">
        <v>244</v>
      </c>
      <c r="E202" s="156">
        <v>3700</v>
      </c>
      <c r="F202" s="193" t="s">
        <v>248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285</v>
      </c>
      <c r="C203" s="229" t="s">
        <v>26</v>
      </c>
      <c r="D203" s="51" t="s">
        <v>245</v>
      </c>
      <c r="E203" s="46">
        <v>92</v>
      </c>
      <c r="F203" s="193" t="s">
        <v>245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286</v>
      </c>
      <c r="C204" s="229" t="s">
        <v>26</v>
      </c>
      <c r="D204" s="155" t="s">
        <v>245</v>
      </c>
      <c r="E204" s="156">
        <v>92</v>
      </c>
      <c r="F204" s="193" t="s">
        <v>245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287</v>
      </c>
      <c r="C205" s="229" t="s">
        <v>26</v>
      </c>
      <c r="D205" s="155" t="s">
        <v>245</v>
      </c>
      <c r="E205" s="156">
        <v>92</v>
      </c>
      <c r="F205" s="193" t="s">
        <v>245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288</v>
      </c>
      <c r="C206" s="229" t="s">
        <v>26</v>
      </c>
      <c r="D206" s="155" t="s">
        <v>245</v>
      </c>
      <c r="E206" s="156">
        <v>8591.7999999999993</v>
      </c>
      <c r="F206" s="193" t="s">
        <v>245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289</v>
      </c>
      <c r="C207" s="229" t="s">
        <v>26</v>
      </c>
      <c r="D207" s="155" t="s">
        <v>245</v>
      </c>
      <c r="E207" s="156">
        <v>10740.701999999999</v>
      </c>
      <c r="F207" s="193" t="s">
        <v>245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290</v>
      </c>
      <c r="C208" s="229" t="s">
        <v>26</v>
      </c>
      <c r="D208" s="155" t="s">
        <v>245</v>
      </c>
      <c r="E208" s="156">
        <v>26000</v>
      </c>
      <c r="F208" s="193" t="s">
        <v>248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291</v>
      </c>
      <c r="C209" s="229" t="s">
        <v>26</v>
      </c>
      <c r="D209" s="155" t="s">
        <v>245</v>
      </c>
      <c r="E209" s="156">
        <v>13000</v>
      </c>
      <c r="F209" s="193" t="s">
        <v>248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32</v>
      </c>
      <c r="C210" s="229" t="s">
        <v>26</v>
      </c>
      <c r="D210" s="155" t="s">
        <v>245</v>
      </c>
      <c r="E210" s="156">
        <v>7000</v>
      </c>
      <c r="F210" s="193" t="s">
        <v>292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293</v>
      </c>
      <c r="C211" s="229" t="s">
        <v>26</v>
      </c>
      <c r="D211" s="51" t="s">
        <v>244</v>
      </c>
      <c r="E211" s="46">
        <v>12000</v>
      </c>
      <c r="F211" s="193" t="s">
        <v>292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</v>
      </c>
      <c r="C212" s="229" t="s">
        <v>26</v>
      </c>
      <c r="D212" s="155" t="s">
        <v>117</v>
      </c>
      <c r="E212" s="156">
        <v>7266.666666666667</v>
      </c>
      <c r="F212" s="193" t="s">
        <v>292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294</v>
      </c>
      <c r="C213" s="229" t="s">
        <v>26</v>
      </c>
      <c r="D213" s="155" t="s">
        <v>117</v>
      </c>
      <c r="E213" s="156">
        <v>7266.666666666667</v>
      </c>
      <c r="F213" s="193" t="s">
        <v>292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295</v>
      </c>
      <c r="C214" s="229" t="s">
        <v>26</v>
      </c>
      <c r="D214" s="155" t="s">
        <v>117</v>
      </c>
      <c r="E214" s="156">
        <v>7266.665</v>
      </c>
      <c r="F214" s="193" t="s">
        <v>292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296</v>
      </c>
      <c r="C215" s="229" t="s">
        <v>26</v>
      </c>
      <c r="D215" s="155" t="s">
        <v>244</v>
      </c>
      <c r="E215" s="156">
        <v>5000</v>
      </c>
      <c r="F215" s="193" t="s">
        <v>292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297</v>
      </c>
      <c r="C216" s="229" t="s">
        <v>26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298</v>
      </c>
      <c r="C217" s="229" t="s">
        <v>26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27</v>
      </c>
      <c r="C218" s="229" t="s">
        <v>26</v>
      </c>
      <c r="D218" s="51" t="s">
        <v>242</v>
      </c>
      <c r="E218" s="170">
        <v>8000</v>
      </c>
      <c r="F218" s="198" t="s">
        <v>248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299</v>
      </c>
      <c r="C219" s="229" t="s">
        <v>26</v>
      </c>
      <c r="D219" s="51" t="s">
        <v>242</v>
      </c>
      <c r="E219" s="170">
        <v>10000</v>
      </c>
      <c r="F219" s="198" t="s">
        <v>248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300</v>
      </c>
      <c r="C220" s="229" t="s">
        <v>26</v>
      </c>
      <c r="D220" s="51" t="s">
        <v>242</v>
      </c>
      <c r="E220" s="170">
        <v>10000</v>
      </c>
      <c r="F220" s="198" t="s">
        <v>248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301</v>
      </c>
      <c r="C221" s="229" t="s">
        <v>26</v>
      </c>
      <c r="D221" s="51" t="s">
        <v>210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302</v>
      </c>
      <c r="C222" s="229" t="s">
        <v>26</v>
      </c>
      <c r="D222" s="51" t="s">
        <v>275</v>
      </c>
      <c r="E222" s="46">
        <v>28.18</v>
      </c>
      <c r="F222" s="199" t="s">
        <v>275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303</v>
      </c>
      <c r="C223" s="229" t="s">
        <v>26</v>
      </c>
      <c r="D223" s="51" t="s">
        <v>275</v>
      </c>
      <c r="E223" s="170">
        <v>2700</v>
      </c>
      <c r="F223" s="198" t="s">
        <v>275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304</v>
      </c>
      <c r="C224" s="229" t="s">
        <v>26</v>
      </c>
      <c r="D224" s="51" t="s">
        <v>275</v>
      </c>
      <c r="E224" s="170">
        <v>18.53</v>
      </c>
      <c r="F224" s="198" t="s">
        <v>275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305</v>
      </c>
      <c r="C225" s="229" t="s">
        <v>26</v>
      </c>
      <c r="D225" s="51" t="s">
        <v>245</v>
      </c>
      <c r="E225" s="170">
        <v>1800</v>
      </c>
      <c r="F225" s="198" t="s">
        <v>275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306</v>
      </c>
      <c r="C226" s="229" t="s">
        <v>26</v>
      </c>
      <c r="D226" s="51" t="s">
        <v>245</v>
      </c>
      <c r="E226" s="170">
        <v>1057</v>
      </c>
      <c r="F226" s="198" t="s">
        <v>245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307</v>
      </c>
      <c r="C227" s="229" t="s">
        <v>26</v>
      </c>
      <c r="D227" s="51" t="s">
        <v>275</v>
      </c>
      <c r="E227" s="170">
        <v>18.53</v>
      </c>
      <c r="F227" s="198" t="s">
        <v>275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308</v>
      </c>
      <c r="C228" s="229" t="s">
        <v>26</v>
      </c>
      <c r="D228" s="51" t="s">
        <v>275</v>
      </c>
      <c r="E228" s="170">
        <v>22.8</v>
      </c>
      <c r="F228" s="198" t="s">
        <v>275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309</v>
      </c>
      <c r="C229" s="229" t="s">
        <v>26</v>
      </c>
      <c r="D229" s="51" t="s">
        <v>275</v>
      </c>
      <c r="E229" s="170">
        <v>22.8</v>
      </c>
      <c r="F229" s="198" t="s">
        <v>275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310</v>
      </c>
      <c r="C230" s="229" t="s">
        <v>26</v>
      </c>
      <c r="D230" s="51" t="s">
        <v>275</v>
      </c>
      <c r="E230" s="170">
        <v>14.73</v>
      </c>
      <c r="F230" s="198" t="s">
        <v>275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311</v>
      </c>
      <c r="C231" s="229" t="s">
        <v>26</v>
      </c>
      <c r="D231" s="51" t="s">
        <v>275</v>
      </c>
      <c r="E231" s="170">
        <v>14.73</v>
      </c>
      <c r="F231" s="198" t="s">
        <v>275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312</v>
      </c>
      <c r="C232" s="229" t="s">
        <v>26</v>
      </c>
      <c r="D232" s="51" t="s">
        <v>245</v>
      </c>
      <c r="E232" s="170">
        <v>819.99999999999989</v>
      </c>
      <c r="F232" s="198" t="s">
        <v>245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313</v>
      </c>
      <c r="C233" s="229" t="s">
        <v>26</v>
      </c>
      <c r="D233" s="51" t="s">
        <v>245</v>
      </c>
      <c r="E233" s="170">
        <v>1170</v>
      </c>
      <c r="F233" s="198" t="s">
        <v>245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314</v>
      </c>
      <c r="C234" s="229" t="s">
        <v>26</v>
      </c>
      <c r="D234" s="51" t="s">
        <v>245</v>
      </c>
      <c r="E234" s="170">
        <v>8000</v>
      </c>
      <c r="F234" s="198" t="s">
        <v>248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315</v>
      </c>
      <c r="C235" s="229" t="s">
        <v>26</v>
      </c>
      <c r="D235" s="51" t="s">
        <v>245</v>
      </c>
      <c r="E235" s="170">
        <v>11000</v>
      </c>
      <c r="F235" s="198" t="s">
        <v>248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316</v>
      </c>
      <c r="C236" s="229" t="s">
        <v>26</v>
      </c>
      <c r="D236" s="51" t="s">
        <v>245</v>
      </c>
      <c r="E236" s="170">
        <v>10858</v>
      </c>
      <c r="F236" s="198" t="s">
        <v>248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317</v>
      </c>
      <c r="C237" s="229" t="s">
        <v>26</v>
      </c>
      <c r="D237" s="51" t="s">
        <v>245</v>
      </c>
      <c r="E237" s="170">
        <v>13999.16</v>
      </c>
      <c r="F237" s="198" t="s">
        <v>245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318</v>
      </c>
      <c r="C238" s="229" t="s">
        <v>26</v>
      </c>
      <c r="D238" s="51" t="s">
        <v>242</v>
      </c>
      <c r="E238" s="170"/>
      <c r="F238" s="198" t="s">
        <v>275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319</v>
      </c>
      <c r="C239" s="229" t="s">
        <v>26</v>
      </c>
      <c r="D239" s="51" t="s">
        <v>220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320</v>
      </c>
      <c r="C240" s="229" t="s">
        <v>26</v>
      </c>
      <c r="D240" s="51" t="s">
        <v>245</v>
      </c>
      <c r="E240" s="46">
        <v>1035.3</v>
      </c>
      <c r="F240" s="199" t="s">
        <v>245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321</v>
      </c>
      <c r="C241" s="229" t="s">
        <v>26</v>
      </c>
      <c r="D241" s="51" t="s">
        <v>244</v>
      </c>
      <c r="E241" s="46">
        <v>700</v>
      </c>
      <c r="F241" s="199" t="s">
        <v>275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322</v>
      </c>
      <c r="C242" s="229" t="s">
        <v>26</v>
      </c>
      <c r="D242" s="51" t="s">
        <v>244</v>
      </c>
      <c r="E242" s="46">
        <v>1100</v>
      </c>
      <c r="F242" s="199" t="s">
        <v>275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323</v>
      </c>
      <c r="C243" s="229" t="s">
        <v>26</v>
      </c>
      <c r="D243" s="51" t="s">
        <v>275</v>
      </c>
      <c r="E243" s="46">
        <v>1000</v>
      </c>
      <c r="F243" s="199" t="s">
        <v>275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324</v>
      </c>
      <c r="C244" s="229" t="s">
        <v>26</v>
      </c>
      <c r="D244" s="51" t="s">
        <v>245</v>
      </c>
      <c r="E244" s="46">
        <v>700</v>
      </c>
      <c r="F244" s="199" t="s">
        <v>275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325</v>
      </c>
      <c r="C245" s="229" t="s">
        <v>26</v>
      </c>
      <c r="D245" s="51" t="s">
        <v>245</v>
      </c>
      <c r="E245" s="46">
        <v>84</v>
      </c>
      <c r="F245" s="199" t="s">
        <v>275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326</v>
      </c>
      <c r="C246" s="229" t="s">
        <v>26</v>
      </c>
      <c r="D246" s="51" t="s">
        <v>245</v>
      </c>
      <c r="E246" s="46">
        <v>10780</v>
      </c>
      <c r="F246" s="199" t="s">
        <v>248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124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84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327</v>
      </c>
      <c r="C519" s="229" t="s">
        <v>54</v>
      </c>
      <c r="D519" s="51" t="s">
        <v>328</v>
      </c>
      <c r="E519" s="46">
        <v>380</v>
      </c>
      <c r="F519" s="193" t="s">
        <v>328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329</v>
      </c>
      <c r="C520" s="229" t="s">
        <v>54</v>
      </c>
      <c r="D520" s="53" t="s">
        <v>328</v>
      </c>
      <c r="E520" s="55">
        <v>848.47</v>
      </c>
      <c r="F520" s="54" t="s">
        <v>328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330</v>
      </c>
      <c r="C521" s="229" t="s">
        <v>54</v>
      </c>
      <c r="D521" s="53" t="s">
        <v>328</v>
      </c>
      <c r="E521" s="46">
        <v>815</v>
      </c>
      <c r="F521" s="193" t="s">
        <v>328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331</v>
      </c>
      <c r="C522" s="229" t="s">
        <v>54</v>
      </c>
      <c r="D522" s="53" t="s">
        <v>328</v>
      </c>
      <c r="E522" s="46">
        <v>623.66666666666663</v>
      </c>
      <c r="F522" s="193" t="s">
        <v>328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332</v>
      </c>
      <c r="C523" s="229" t="s">
        <v>54</v>
      </c>
      <c r="D523" s="51" t="s">
        <v>328</v>
      </c>
      <c r="E523" s="46">
        <v>698.53</v>
      </c>
      <c r="F523" s="193" t="s">
        <v>328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333</v>
      </c>
      <c r="C524" s="229" t="s">
        <v>54</v>
      </c>
      <c r="D524" s="51" t="s">
        <v>328</v>
      </c>
      <c r="E524" s="46">
        <v>390.66666666666669</v>
      </c>
      <c r="F524" s="193" t="s">
        <v>328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334</v>
      </c>
      <c r="C525" s="229" t="s">
        <v>54</v>
      </c>
      <c r="D525" s="51" t="s">
        <v>328</v>
      </c>
      <c r="E525" s="46">
        <v>477.19</v>
      </c>
      <c r="F525" s="54" t="s">
        <v>328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335</v>
      </c>
      <c r="C526" s="229" t="s">
        <v>54</v>
      </c>
      <c r="D526" s="51" t="s">
        <v>328</v>
      </c>
      <c r="E526" s="46">
        <v>998.41</v>
      </c>
      <c r="F526" s="193" t="s">
        <v>328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336</v>
      </c>
      <c r="C527" s="229" t="s">
        <v>54</v>
      </c>
      <c r="D527" s="51" t="s">
        <v>328</v>
      </c>
      <c r="E527" s="46">
        <v>898.44999999999993</v>
      </c>
      <c r="F527" s="193" t="s">
        <v>328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337</v>
      </c>
      <c r="C528" s="229" t="s">
        <v>54</v>
      </c>
      <c r="D528" s="225" t="s">
        <v>328</v>
      </c>
      <c r="E528" s="227">
        <v>1500</v>
      </c>
      <c r="F528" s="179" t="s">
        <v>328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338</v>
      </c>
      <c r="C529" s="229" t="s">
        <v>54</v>
      </c>
      <c r="D529" s="51" t="s">
        <v>328</v>
      </c>
      <c r="E529" s="226">
        <v>53371.5</v>
      </c>
      <c r="F529" s="54" t="s">
        <v>328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339</v>
      </c>
      <c r="C530" s="229" t="s">
        <v>54</v>
      </c>
      <c r="D530" s="51" t="s">
        <v>328</v>
      </c>
      <c r="E530" s="46">
        <v>897.26</v>
      </c>
      <c r="F530" s="193" t="s">
        <v>328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340</v>
      </c>
      <c r="C531" s="229" t="s">
        <v>54</v>
      </c>
      <c r="D531" s="56" t="s">
        <v>328</v>
      </c>
      <c r="E531" s="46">
        <v>1673.3335</v>
      </c>
      <c r="F531" s="193" t="s">
        <v>328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341</v>
      </c>
      <c r="C532" s="229" t="s">
        <v>54</v>
      </c>
      <c r="D532" s="53" t="s">
        <v>328</v>
      </c>
      <c r="E532" s="48">
        <v>250</v>
      </c>
      <c r="F532" s="54" t="s">
        <v>328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342</v>
      </c>
      <c r="C533" s="229" t="s">
        <v>54</v>
      </c>
      <c r="D533" s="53" t="s">
        <v>328</v>
      </c>
      <c r="E533" s="55">
        <v>898.45</v>
      </c>
      <c r="F533" s="54" t="s">
        <v>328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343</v>
      </c>
      <c r="C534" s="229" t="s">
        <v>54</v>
      </c>
      <c r="D534" s="53" t="s">
        <v>328</v>
      </c>
      <c r="E534" s="55">
        <v>898.45</v>
      </c>
      <c r="F534" s="54" t="s">
        <v>328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344</v>
      </c>
      <c r="C535" s="229" t="s">
        <v>54</v>
      </c>
      <c r="D535" s="224" t="s">
        <v>328</v>
      </c>
      <c r="E535" s="149">
        <v>549.78</v>
      </c>
      <c r="F535" s="54" t="s">
        <v>328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345</v>
      </c>
      <c r="C536" s="229" t="s">
        <v>54</v>
      </c>
      <c r="D536" s="224" t="s">
        <v>328</v>
      </c>
      <c r="E536" s="228">
        <v>357</v>
      </c>
      <c r="F536" s="54" t="s">
        <v>328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346</v>
      </c>
      <c r="C537" s="229" t="s">
        <v>54</v>
      </c>
      <c r="D537" s="224" t="s">
        <v>328</v>
      </c>
      <c r="E537" s="149">
        <v>998.41</v>
      </c>
      <c r="F537" s="54" t="s">
        <v>328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347</v>
      </c>
      <c r="C538" s="229" t="s">
        <v>54</v>
      </c>
      <c r="D538" s="148" t="s">
        <v>328</v>
      </c>
      <c r="E538" s="149">
        <v>898.45</v>
      </c>
      <c r="F538" s="57" t="s">
        <v>328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348</v>
      </c>
      <c r="C539" s="229" t="s">
        <v>54</v>
      </c>
      <c r="D539" s="177" t="s">
        <v>328</v>
      </c>
      <c r="E539" s="178">
        <v>1200</v>
      </c>
      <c r="F539" s="179" t="s">
        <v>328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349</v>
      </c>
      <c r="C540" s="229" t="s">
        <v>54</v>
      </c>
      <c r="D540" s="148" t="s">
        <v>328</v>
      </c>
      <c r="E540" s="145">
        <v>1217</v>
      </c>
      <c r="F540" s="193" t="s">
        <v>328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350</v>
      </c>
      <c r="C541" s="229" t="s">
        <v>54</v>
      </c>
      <c r="D541" s="148" t="s">
        <v>328</v>
      </c>
      <c r="E541" s="149">
        <v>759.22</v>
      </c>
      <c r="F541" s="54" t="s">
        <v>328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124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84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351</v>
      </c>
      <c r="C565" s="229" t="s">
        <v>33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352</v>
      </c>
      <c r="C566" s="229" t="s">
        <v>33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353</v>
      </c>
      <c r="C567" s="229" t="s">
        <v>33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354</v>
      </c>
      <c r="C568" s="229" t="s">
        <v>33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355</v>
      </c>
      <c r="C569" s="229" t="s">
        <v>33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356</v>
      </c>
      <c r="C570" s="229" t="s">
        <v>33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357</v>
      </c>
      <c r="C571" s="229" t="s">
        <v>33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358</v>
      </c>
      <c r="C572" s="229" t="s">
        <v>33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359</v>
      </c>
      <c r="C573" s="229" t="s">
        <v>33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360</v>
      </c>
      <c r="C574" s="229" t="s">
        <v>33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361</v>
      </c>
      <c r="C575" s="229" t="s">
        <v>33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362</v>
      </c>
      <c r="C576" s="229" t="s">
        <v>33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363</v>
      </c>
      <c r="C577" s="229" t="s">
        <v>33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364</v>
      </c>
      <c r="C578" s="229" t="s">
        <v>33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365</v>
      </c>
      <c r="C579" s="229" t="s">
        <v>33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366</v>
      </c>
      <c r="C580" s="229" t="s">
        <v>33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367</v>
      </c>
      <c r="C581" s="229" t="s">
        <v>33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368</v>
      </c>
      <c r="C582" s="229" t="s">
        <v>33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369</v>
      </c>
      <c r="C583" s="229" t="s">
        <v>33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370</v>
      </c>
      <c r="C584" s="229" t="s">
        <v>33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371</v>
      </c>
      <c r="C585" s="229" t="s">
        <v>33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372</v>
      </c>
      <c r="C586" s="229" t="s">
        <v>33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373</v>
      </c>
      <c r="C587" s="229" t="s">
        <v>33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374</v>
      </c>
      <c r="C588" s="229" t="s">
        <v>33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375</v>
      </c>
      <c r="C589" s="229" t="s">
        <v>33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376</v>
      </c>
      <c r="C590" s="229" t="s">
        <v>33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377</v>
      </c>
      <c r="C591" s="229" t="s">
        <v>33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378</v>
      </c>
      <c r="C592" s="229" t="s">
        <v>33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379</v>
      </c>
      <c r="C593" s="229" t="s">
        <v>33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380</v>
      </c>
      <c r="C594" s="229" t="s">
        <v>33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381</v>
      </c>
      <c r="C595" s="229" t="s">
        <v>33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382</v>
      </c>
      <c r="C596" s="229" t="s">
        <v>33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383</v>
      </c>
      <c r="C597" s="229" t="s">
        <v>33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384</v>
      </c>
      <c r="C598" s="229" t="s">
        <v>33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385</v>
      </c>
      <c r="C599" s="229" t="s">
        <v>33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386</v>
      </c>
      <c r="C600" s="229" t="s">
        <v>33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387</v>
      </c>
      <c r="C601" s="229" t="s">
        <v>33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388</v>
      </c>
      <c r="C602" s="229" t="s">
        <v>33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389</v>
      </c>
      <c r="C603" s="229" t="s">
        <v>33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390</v>
      </c>
      <c r="C604" s="229" t="s">
        <v>33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391</v>
      </c>
      <c r="C605" s="229" t="s">
        <v>33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392</v>
      </c>
      <c r="C606" s="229" t="s">
        <v>33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393</v>
      </c>
      <c r="C607" s="229" t="s">
        <v>33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394</v>
      </c>
      <c r="C608" s="229" t="s">
        <v>33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395</v>
      </c>
      <c r="C609" s="229" t="s">
        <v>33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396</v>
      </c>
      <c r="C610" s="229" t="s">
        <v>33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397</v>
      </c>
      <c r="C611" s="229" t="s">
        <v>33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398</v>
      </c>
      <c r="C612" s="229" t="s">
        <v>33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399</v>
      </c>
      <c r="C613" s="229" t="s">
        <v>33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400</v>
      </c>
      <c r="C614" s="229" t="s">
        <v>33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401</v>
      </c>
      <c r="C615" s="229" t="s">
        <v>33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402</v>
      </c>
      <c r="C616" s="229" t="s">
        <v>33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403</v>
      </c>
      <c r="C617" s="229" t="s">
        <v>33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404</v>
      </c>
      <c r="C618" s="229" t="s">
        <v>33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405</v>
      </c>
      <c r="C619" s="229" t="s">
        <v>33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406</v>
      </c>
      <c r="C620" s="229" t="s">
        <v>33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407</v>
      </c>
      <c r="C621" s="229" t="s">
        <v>33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408</v>
      </c>
      <c r="C622" s="229" t="s">
        <v>33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409</v>
      </c>
      <c r="C623" s="229" t="s">
        <v>33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410</v>
      </c>
      <c r="C624" s="229" t="s">
        <v>33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411</v>
      </c>
      <c r="C625" s="229" t="s">
        <v>33</v>
      </c>
      <c r="D625" s="51" t="s">
        <v>117</v>
      </c>
      <c r="E625" s="46">
        <v>1280.44</v>
      </c>
      <c r="F625" s="193" t="s">
        <v>275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412</v>
      </c>
      <c r="C626" s="229" t="s">
        <v>33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413</v>
      </c>
      <c r="C627" s="229" t="s">
        <v>33</v>
      </c>
      <c r="D627" s="51" t="s">
        <v>117</v>
      </c>
      <c r="E627" s="46">
        <v>1280.44</v>
      </c>
      <c r="F627" s="193" t="s">
        <v>275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414</v>
      </c>
      <c r="C628" s="229" t="s">
        <v>33</v>
      </c>
      <c r="D628" s="51" t="s">
        <v>117</v>
      </c>
      <c r="E628" s="46">
        <v>1280.44</v>
      </c>
      <c r="F628" s="193" t="s">
        <v>275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415</v>
      </c>
      <c r="C629" s="229" t="s">
        <v>33</v>
      </c>
      <c r="D629" s="51" t="s">
        <v>117</v>
      </c>
      <c r="E629" s="46">
        <v>1280.44</v>
      </c>
      <c r="F629" s="193" t="s">
        <v>275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416</v>
      </c>
      <c r="C630" s="229" t="s">
        <v>33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417</v>
      </c>
      <c r="C631" s="229" t="s">
        <v>33</v>
      </c>
      <c r="D631" s="51" t="s">
        <v>117</v>
      </c>
      <c r="E631" s="46">
        <v>1280.44</v>
      </c>
      <c r="F631" s="193" t="s">
        <v>275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418</v>
      </c>
      <c r="C632" s="229" t="s">
        <v>33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419</v>
      </c>
      <c r="C633" s="229" t="s">
        <v>33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420</v>
      </c>
      <c r="C634" s="229" t="s">
        <v>33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421</v>
      </c>
      <c r="C635" s="229" t="s">
        <v>33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422</v>
      </c>
      <c r="C636" s="229" t="s">
        <v>33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423</v>
      </c>
      <c r="C637" s="229" t="s">
        <v>33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424</v>
      </c>
      <c r="C638" s="229" t="s">
        <v>33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425</v>
      </c>
      <c r="C639" s="229" t="s">
        <v>33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426</v>
      </c>
      <c r="C640" s="229" t="s">
        <v>33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427</v>
      </c>
      <c r="C641" s="229" t="s">
        <v>33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428</v>
      </c>
      <c r="C642" s="229" t="s">
        <v>33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429</v>
      </c>
      <c r="C643" s="229" t="s">
        <v>33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430</v>
      </c>
      <c r="C644" s="229" t="s">
        <v>33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431</v>
      </c>
      <c r="C645" s="229" t="s">
        <v>33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432</v>
      </c>
      <c r="C646" s="229" t="s">
        <v>33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433</v>
      </c>
      <c r="C647" s="229" t="s">
        <v>33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434</v>
      </c>
      <c r="C648" s="229" t="s">
        <v>33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435</v>
      </c>
      <c r="C649" s="229" t="s">
        <v>33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436</v>
      </c>
      <c r="C650" s="229" t="s">
        <v>33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437</v>
      </c>
      <c r="C651" s="229" t="s">
        <v>33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438</v>
      </c>
      <c r="C652" s="229" t="s">
        <v>33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439</v>
      </c>
      <c r="C653" s="229" t="s">
        <v>33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440</v>
      </c>
      <c r="C654" s="229" t="s">
        <v>33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441</v>
      </c>
      <c r="C655" s="229" t="s">
        <v>33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442</v>
      </c>
      <c r="C656" s="229" t="s">
        <v>33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443</v>
      </c>
      <c r="C657" s="229" t="s">
        <v>33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444</v>
      </c>
      <c r="C658" s="229" t="s">
        <v>33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445</v>
      </c>
      <c r="C659" s="229" t="s">
        <v>33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446</v>
      </c>
      <c r="C660" s="229" t="s">
        <v>33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447</v>
      </c>
      <c r="C661" s="229" t="s">
        <v>33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448</v>
      </c>
      <c r="C662" s="229" t="s">
        <v>33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33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33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33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33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33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33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33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33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33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33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33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33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33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33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33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33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33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33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33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33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33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33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33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33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33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33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33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33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33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33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33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33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33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33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33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33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33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34</v>
      </c>
      <c r="C700" s="229" t="s">
        <v>33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33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33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33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33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33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33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33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33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33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33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33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33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33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33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33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33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33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33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33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33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33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33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33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33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33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33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33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33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33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33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33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33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33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33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33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33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33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33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33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33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33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33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33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33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33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33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33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33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33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33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33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33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33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33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33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33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33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33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33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33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33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33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33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33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33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33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33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33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33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33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33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33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33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33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33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33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33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33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33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33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33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33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33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33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33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33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33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33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33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33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33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33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33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33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33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33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33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33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33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33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33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33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33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35</v>
      </c>
      <c r="C804" s="229" t="s">
        <v>33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589</v>
      </c>
      <c r="C805" s="229" t="s">
        <v>33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33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33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33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33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33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33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33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33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33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33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33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33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33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33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33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33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33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33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33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33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33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33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33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33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33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33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33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33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33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33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33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33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33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33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33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33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33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33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33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33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33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33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33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33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33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33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33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33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33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33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33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33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33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33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33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33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33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33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33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33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33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33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33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33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33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33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33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33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33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33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33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33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33</v>
      </c>
      <c r="D878" s="51" t="s">
        <v>117</v>
      </c>
      <c r="E878" s="46">
        <v>249.9</v>
      </c>
      <c r="F878" s="193" t="s">
        <v>275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33</v>
      </c>
      <c r="D879" s="51" t="s">
        <v>117</v>
      </c>
      <c r="E879" s="46">
        <v>131.97</v>
      </c>
      <c r="F879" s="193" t="s">
        <v>245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33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33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33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33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33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33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33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33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33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33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33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33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33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33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33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33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33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33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33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33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33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33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33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33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33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33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33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33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33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33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33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33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33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33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33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33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33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33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33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33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33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33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33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33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33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33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33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33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33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33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33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33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33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33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33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33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33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33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33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33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33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33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33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33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33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33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33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33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33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33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33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33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33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33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33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33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33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33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33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33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33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33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33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33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33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33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33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33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33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33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33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33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33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33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33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33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33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761</v>
      </c>
      <c r="C977" s="229" t="s">
        <v>33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762</v>
      </c>
      <c r="C978" s="229" t="s">
        <v>33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763</v>
      </c>
      <c r="C979" s="229" t="s">
        <v>33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764</v>
      </c>
      <c r="C980" s="229" t="s">
        <v>33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765</v>
      </c>
      <c r="C981" s="229" t="s">
        <v>33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766</v>
      </c>
      <c r="C982" s="229" t="s">
        <v>33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767</v>
      </c>
      <c r="C983" s="229" t="s">
        <v>33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768</v>
      </c>
      <c r="C984" s="229" t="s">
        <v>33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769</v>
      </c>
      <c r="C985" s="229" t="s">
        <v>33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124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99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84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770</v>
      </c>
      <c r="C1014" s="164" t="s">
        <v>41</v>
      </c>
      <c r="D1014" s="51" t="s">
        <v>245</v>
      </c>
      <c r="E1014" s="46">
        <v>8770.3333333333339</v>
      </c>
      <c r="F1014" s="193" t="s">
        <v>248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771</v>
      </c>
      <c r="C1015" s="164" t="s">
        <v>41</v>
      </c>
      <c r="D1015" s="51" t="s">
        <v>245</v>
      </c>
      <c r="E1015" s="46">
        <v>17830</v>
      </c>
      <c r="F1015" s="193" t="s">
        <v>248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772</v>
      </c>
      <c r="C1016" s="164" t="s">
        <v>41</v>
      </c>
      <c r="D1016" s="51" t="s">
        <v>245</v>
      </c>
      <c r="E1016" s="46">
        <v>28016</v>
      </c>
      <c r="F1016" s="193" t="s">
        <v>248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773</v>
      </c>
      <c r="C1017" s="164" t="s">
        <v>41</v>
      </c>
      <c r="D1017" s="51" t="s">
        <v>245</v>
      </c>
      <c r="E1017" s="46">
        <v>18321</v>
      </c>
      <c r="F1017" s="193" t="s">
        <v>248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43</v>
      </c>
      <c r="C1018" s="164" t="s">
        <v>41</v>
      </c>
      <c r="D1018" s="51" t="s">
        <v>244</v>
      </c>
      <c r="E1018" s="46">
        <v>28016</v>
      </c>
      <c r="F1018" s="193" t="s">
        <v>248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41</v>
      </c>
      <c r="D1019" s="51" t="s">
        <v>244</v>
      </c>
      <c r="E1019" s="46">
        <v>10317</v>
      </c>
      <c r="F1019" s="193" t="s">
        <v>248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41</v>
      </c>
      <c r="D1020" s="51" t="s">
        <v>245</v>
      </c>
      <c r="E1020" s="46">
        <v>10200</v>
      </c>
      <c r="F1020" s="193" t="s">
        <v>248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41</v>
      </c>
      <c r="D1021" s="51" t="s">
        <v>245</v>
      </c>
      <c r="E1021" s="46">
        <v>39999.47</v>
      </c>
      <c r="F1021" s="193" t="s">
        <v>248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41</v>
      </c>
      <c r="D1022" s="51" t="s">
        <v>244</v>
      </c>
      <c r="E1022" s="46">
        <v>10200</v>
      </c>
      <c r="F1022" s="193" t="s">
        <v>248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41</v>
      </c>
      <c r="D1023" s="51" t="s">
        <v>248</v>
      </c>
      <c r="E1023" s="46">
        <v>28550</v>
      </c>
      <c r="F1023" s="193" t="s">
        <v>248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41</v>
      </c>
      <c r="D1024" s="155" t="s">
        <v>245</v>
      </c>
      <c r="E1024" s="156">
        <v>34999.089999999997</v>
      </c>
      <c r="F1024" s="193" t="s">
        <v>248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41</v>
      </c>
      <c r="D1025" s="155" t="s">
        <v>245</v>
      </c>
      <c r="E1025" s="156">
        <v>24999.52</v>
      </c>
      <c r="F1025" s="193" t="s">
        <v>248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41</v>
      </c>
      <c r="D1026" s="155" t="s">
        <v>245</v>
      </c>
      <c r="E1026" s="156">
        <v>13269</v>
      </c>
      <c r="F1026" s="193" t="s">
        <v>248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41</v>
      </c>
      <c r="D1027" s="155" t="s">
        <v>245</v>
      </c>
      <c r="E1027" s="156">
        <v>20059.829999999998</v>
      </c>
      <c r="F1027" s="193" t="s">
        <v>248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41</v>
      </c>
      <c r="D1028" s="155" t="s">
        <v>245</v>
      </c>
      <c r="E1028" s="156">
        <v>31945</v>
      </c>
      <c r="F1028" s="193" t="s">
        <v>248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41</v>
      </c>
      <c r="D1029" s="155" t="s">
        <v>245</v>
      </c>
      <c r="E1029" s="156">
        <v>59308.5</v>
      </c>
      <c r="F1029" s="193" t="s">
        <v>248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41</v>
      </c>
      <c r="D1030" s="155" t="s">
        <v>245</v>
      </c>
      <c r="E1030" s="156">
        <v>22911.759999999998</v>
      </c>
      <c r="F1030" s="193" t="s">
        <v>248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41</v>
      </c>
      <c r="D1031" s="155" t="s">
        <v>245</v>
      </c>
      <c r="E1031" s="156">
        <v>39358.5</v>
      </c>
      <c r="F1031" s="193" t="s">
        <v>248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41</v>
      </c>
      <c r="D1032" s="155" t="s">
        <v>245</v>
      </c>
      <c r="E1032" s="156">
        <v>34666.660000000003</v>
      </c>
      <c r="F1032" s="193" t="s">
        <v>248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788</v>
      </c>
      <c r="C1033" s="164" t="s">
        <v>41</v>
      </c>
      <c r="D1033" s="155" t="s">
        <v>248</v>
      </c>
      <c r="E1033" s="156">
        <v>3550</v>
      </c>
      <c r="F1033" s="193" t="s">
        <v>248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789</v>
      </c>
      <c r="C1034" s="164" t="s">
        <v>41</v>
      </c>
      <c r="D1034" s="155" t="s">
        <v>245</v>
      </c>
      <c r="E1034" s="156">
        <v>6970</v>
      </c>
      <c r="F1034" s="193" t="s">
        <v>248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790</v>
      </c>
      <c r="C1035" s="164" t="s">
        <v>41</v>
      </c>
      <c r="D1035" s="155" t="s">
        <v>245</v>
      </c>
      <c r="E1035" s="156">
        <v>9500</v>
      </c>
      <c r="F1035" s="193" t="s">
        <v>248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791</v>
      </c>
      <c r="C1036" s="164" t="s">
        <v>41</v>
      </c>
      <c r="D1036" s="155" t="s">
        <v>245</v>
      </c>
      <c r="E1036" s="156">
        <v>4098</v>
      </c>
      <c r="F1036" s="193" t="s">
        <v>248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792</v>
      </c>
      <c r="C1037" s="164" t="s">
        <v>41</v>
      </c>
      <c r="D1037" s="155" t="s">
        <v>245</v>
      </c>
      <c r="E1037" s="156">
        <v>8770.3333333333339</v>
      </c>
      <c r="F1037" s="193" t="s">
        <v>248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793</v>
      </c>
      <c r="C1038" s="164" t="s">
        <v>41</v>
      </c>
      <c r="D1038" s="155" t="s">
        <v>245</v>
      </c>
      <c r="E1038" s="156">
        <v>44000</v>
      </c>
      <c r="F1038" s="193" t="s">
        <v>248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794</v>
      </c>
      <c r="C1039" s="164" t="s">
        <v>41</v>
      </c>
      <c r="D1039" s="155" t="s">
        <v>244</v>
      </c>
      <c r="E1039" s="156">
        <v>18500</v>
      </c>
      <c r="F1039" s="193" t="s">
        <v>248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42</v>
      </c>
      <c r="C1040" s="164" t="s">
        <v>41</v>
      </c>
      <c r="D1040" s="155" t="s">
        <v>244</v>
      </c>
      <c r="E1040" s="156">
        <v>39100</v>
      </c>
      <c r="F1040" s="193" t="s">
        <v>248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41</v>
      </c>
      <c r="D1041" s="51" t="s">
        <v>244</v>
      </c>
      <c r="E1041" s="46">
        <v>11950</v>
      </c>
      <c r="F1041" s="193" t="s">
        <v>248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41</v>
      </c>
      <c r="D1042" s="51" t="s">
        <v>245</v>
      </c>
      <c r="E1042" s="46">
        <v>5194</v>
      </c>
      <c r="F1042" s="193" t="s">
        <v>248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41</v>
      </c>
      <c r="D1043" s="155" t="s">
        <v>244</v>
      </c>
      <c r="E1043" s="156">
        <v>39358.5</v>
      </c>
      <c r="F1043" s="193" t="s">
        <v>248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41</v>
      </c>
      <c r="D1044" s="51" t="s">
        <v>244</v>
      </c>
      <c r="E1044" s="46">
        <v>31945</v>
      </c>
      <c r="F1044" s="193" t="s">
        <v>248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41</v>
      </c>
      <c r="D1045" s="51" t="s">
        <v>244</v>
      </c>
      <c r="E1045" s="46">
        <v>59308.5</v>
      </c>
      <c r="F1045" s="193" t="s">
        <v>248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41</v>
      </c>
      <c r="D1046" s="51" t="s">
        <v>245</v>
      </c>
      <c r="E1046" s="46">
        <v>0</v>
      </c>
      <c r="F1046" s="193" t="s">
        <v>248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124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30">
      <c r="A1070" s="86">
        <v>1</v>
      </c>
      <c r="B1070" s="213" t="s">
        <v>801</v>
      </c>
      <c r="C1070" s="229" t="s">
        <v>67</v>
      </c>
      <c r="D1070" s="51" t="s">
        <v>242</v>
      </c>
      <c r="E1070" s="46">
        <v>49000</v>
      </c>
      <c r="F1070" s="193" t="s">
        <v>242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67</v>
      </c>
      <c r="D1071" s="51" t="s">
        <v>178</v>
      </c>
      <c r="E1071" s="46">
        <v>14150</v>
      </c>
      <c r="F1071" s="193" t="s">
        <v>178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67</v>
      </c>
      <c r="D1072" s="51" t="s">
        <v>178</v>
      </c>
      <c r="E1072" s="46">
        <v>16000</v>
      </c>
      <c r="F1072" s="193" t="s">
        <v>178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67</v>
      </c>
      <c r="D1073" s="51" t="s">
        <v>178</v>
      </c>
      <c r="E1073" s="46">
        <v>18633.3</v>
      </c>
      <c r="F1073" s="193" t="s">
        <v>178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67</v>
      </c>
      <c r="D1074" s="51" t="s">
        <v>178</v>
      </c>
      <c r="E1074" s="46">
        <v>8550</v>
      </c>
      <c r="F1074" s="193" t="s">
        <v>178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67</v>
      </c>
      <c r="D1075" s="51" t="s">
        <v>178</v>
      </c>
      <c r="E1075" s="46">
        <v>14000</v>
      </c>
      <c r="F1075" s="193" t="s">
        <v>178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67</v>
      </c>
      <c r="D1076" s="51" t="s">
        <v>178</v>
      </c>
      <c r="E1076" s="46">
        <v>24800</v>
      </c>
      <c r="F1076" s="193" t="s">
        <v>178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124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84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178</v>
      </c>
      <c r="E1115" s="46">
        <v>61500</v>
      </c>
      <c r="F1115" s="193" t="s">
        <v>178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210</v>
      </c>
      <c r="E1132" s="46">
        <v>62000</v>
      </c>
      <c r="F1132" s="193" t="s">
        <v>210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124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99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84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835</v>
      </c>
      <c r="C1157" s="40" t="s">
        <v>28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28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28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28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28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28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28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28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28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28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28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28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28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28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28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28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28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28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28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28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28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28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28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28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28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28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29</v>
      </c>
      <c r="C1183" s="40" t="s">
        <v>28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30</v>
      </c>
      <c r="C1184" s="40" t="s">
        <v>28</v>
      </c>
      <c r="D1184" s="51" t="s">
        <v>244</v>
      </c>
      <c r="E1184" s="46">
        <v>4180</v>
      </c>
      <c r="F1184" s="193" t="s">
        <v>244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28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28</v>
      </c>
      <c r="D1186" s="101" t="s">
        <v>245</v>
      </c>
      <c r="E1186" s="46">
        <v>0</v>
      </c>
      <c r="F1186" s="193" t="s">
        <v>245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28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28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28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28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28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28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28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28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28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28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28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28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28</v>
      </c>
      <c r="D1199" s="51" t="s">
        <v>242</v>
      </c>
      <c r="E1199" s="46">
        <v>867804</v>
      </c>
      <c r="F1199" s="193" t="s">
        <v>242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28</v>
      </c>
      <c r="D1200" s="51" t="s">
        <v>242</v>
      </c>
      <c r="E1200" s="46">
        <v>1097662</v>
      </c>
      <c r="F1200" s="193" t="s">
        <v>242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28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28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28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28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28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28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28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28</v>
      </c>
      <c r="D1208" s="60" t="s">
        <v>178</v>
      </c>
      <c r="E1208" s="46">
        <v>3200</v>
      </c>
      <c r="F1208" s="193" t="s">
        <v>178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28</v>
      </c>
      <c r="D1209" s="90" t="s">
        <v>220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28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28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28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124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99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84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896</v>
      </c>
      <c r="C1257" s="229" t="s">
        <v>64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64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64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64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64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64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64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64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64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64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64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64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64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64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64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64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64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64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64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64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64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64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64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64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64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64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64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64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64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64</v>
      </c>
      <c r="D1286" s="51" t="s">
        <v>865</v>
      </c>
      <c r="E1286" s="46">
        <v>3145</v>
      </c>
      <c r="F1286" s="193" t="s">
        <v>248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64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64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64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64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64</v>
      </c>
      <c r="D1291" s="51" t="s">
        <v>220</v>
      </c>
      <c r="E1291" s="46">
        <v>98275.666666666672</v>
      </c>
      <c r="F1291" s="193" t="s">
        <v>220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64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64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64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64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64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64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64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64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64</v>
      </c>
      <c r="D1300" s="51" t="s">
        <v>242</v>
      </c>
      <c r="E1300" s="46">
        <v>90973.666666666672</v>
      </c>
      <c r="F1300" s="193" t="s">
        <v>248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64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64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64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64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64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64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64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64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64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64</v>
      </c>
      <c r="D1310" s="51" t="s">
        <v>212</v>
      </c>
      <c r="E1310" s="46">
        <v>3130</v>
      </c>
      <c r="F1310" s="193" t="s">
        <v>212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64</v>
      </c>
      <c r="D1311" s="51" t="s">
        <v>212</v>
      </c>
      <c r="E1311" s="46">
        <v>5010</v>
      </c>
      <c r="F1311" s="193" t="s">
        <v>212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64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64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64</v>
      </c>
      <c r="D1314" s="51" t="s">
        <v>244</v>
      </c>
      <c r="E1314" s="46">
        <v>107770</v>
      </c>
      <c r="F1314" s="193" t="s">
        <v>244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64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64</v>
      </c>
      <c r="D1316" s="51" t="s">
        <v>212</v>
      </c>
      <c r="E1316" s="46">
        <v>21800</v>
      </c>
      <c r="F1316" s="193" t="s">
        <v>212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64</v>
      </c>
      <c r="D1317" s="51" t="s">
        <v>865</v>
      </c>
      <c r="E1317" s="46">
        <v>9196.3666666666668</v>
      </c>
      <c r="F1317" s="193" t="s">
        <v>248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64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64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64</v>
      </c>
      <c r="D1320" s="51" t="s">
        <v>244</v>
      </c>
      <c r="E1320" s="46">
        <v>38155</v>
      </c>
      <c r="F1320" s="193" t="s">
        <v>244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64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64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64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64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64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64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64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64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64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64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64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64</v>
      </c>
      <c r="D1332" s="51" t="s">
        <v>220</v>
      </c>
      <c r="E1332" s="46">
        <v>45500</v>
      </c>
      <c r="F1332" s="193" t="s">
        <v>220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64</v>
      </c>
      <c r="D1333" s="51" t="s">
        <v>220</v>
      </c>
      <c r="E1333" s="46">
        <v>44156.666666666664</v>
      </c>
      <c r="F1333" s="193" t="s">
        <v>220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64</v>
      </c>
      <c r="D1334" s="51" t="s">
        <v>220</v>
      </c>
      <c r="E1334" s="46">
        <v>43333.333333333336</v>
      </c>
      <c r="F1334" s="193" t="s">
        <v>220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64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64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64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64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28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124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99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84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982</v>
      </c>
      <c r="C1351" s="104" t="s">
        <v>39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39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39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39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39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39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39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39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39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39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39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39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39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39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39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39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39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40</v>
      </c>
      <c r="C1368" s="104" t="s">
        <v>39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39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39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39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39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39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39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39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39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39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39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39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39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39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39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39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39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39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39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39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39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39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39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39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39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39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39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39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39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39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39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39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39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39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39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39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39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39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39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39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39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39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39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39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39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39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39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39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39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39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39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39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39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39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39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39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39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39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39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39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39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39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39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39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39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39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39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39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39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37</v>
      </c>
    </row>
    <row r="3" spans="1:13" outlineLevel="1">
      <c r="A3" s="3" t="s">
        <v>1081</v>
      </c>
      <c r="B3" s="5" t="s">
        <v>220</v>
      </c>
      <c r="D3" s="12" t="s">
        <v>1082</v>
      </c>
      <c r="F3" s="2" t="s">
        <v>9</v>
      </c>
      <c r="H3" s="21" t="s">
        <v>1083</v>
      </c>
      <c r="I3" s="22">
        <v>43687423</v>
      </c>
      <c r="K3" t="s">
        <v>1084</v>
      </c>
      <c r="M3" s="82" t="s">
        <v>54</v>
      </c>
    </row>
    <row r="4" spans="1:13" ht="30" outlineLevel="1">
      <c r="A4" s="2" t="s">
        <v>1085</v>
      </c>
      <c r="B4" s="5" t="s">
        <v>275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33</v>
      </c>
    </row>
    <row r="5" spans="1:13" ht="30" outlineLevel="1">
      <c r="A5" s="3" t="s">
        <v>1090</v>
      </c>
      <c r="B5" s="5" t="s">
        <v>1091</v>
      </c>
      <c r="D5" s="13" t="s">
        <v>14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809</v>
      </c>
    </row>
    <row r="6" spans="1:13" outlineLevel="1">
      <c r="A6" s="2" t="s">
        <v>292</v>
      </c>
      <c r="B6" s="5" t="s">
        <v>292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28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26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41</v>
      </c>
    </row>
    <row r="9" spans="1:13" outlineLevel="1">
      <c r="A9" s="2" t="s">
        <v>1108</v>
      </c>
      <c r="B9" s="5" t="s">
        <v>965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67</v>
      </c>
    </row>
    <row r="10" spans="1:13" outlineLevel="1">
      <c r="A10" s="2" t="s">
        <v>1112</v>
      </c>
      <c r="B10" s="5" t="s">
        <v>111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126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64</v>
      </c>
    </row>
    <row r="12" spans="1:13" outlineLevel="1">
      <c r="A12" s="3" t="s">
        <v>1121</v>
      </c>
      <c r="B12" s="5" t="s">
        <v>829</v>
      </c>
      <c r="F12" s="3"/>
      <c r="H12" s="30" t="s">
        <v>1122</v>
      </c>
      <c r="I12" s="31">
        <v>32184975</v>
      </c>
      <c r="M12" s="247" t="s">
        <v>39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992</v>
      </c>
      <c r="H14" s="27" t="s">
        <v>1126</v>
      </c>
      <c r="I14" s="23">
        <v>70512283</v>
      </c>
    </row>
    <row r="15" spans="1:13" outlineLevel="1">
      <c r="A15" s="2" t="s">
        <v>210</v>
      </c>
      <c r="B15" s="5" t="s">
        <v>210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242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985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245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112</v>
      </c>
      <c r="H21" s="24" t="s">
        <v>1141</v>
      </c>
      <c r="I21" s="25">
        <v>1032366226</v>
      </c>
    </row>
    <row r="22" spans="1:9" outlineLevel="1">
      <c r="A22" t="s">
        <v>207</v>
      </c>
      <c r="B22" s="5" t="s">
        <v>207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212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178</v>
      </c>
      <c r="H24" s="24" t="s">
        <v>1146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1147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1148</v>
      </c>
      <c r="I26" s="29">
        <v>70114326</v>
      </c>
    </row>
    <row r="27" spans="1:9" outlineLevel="1">
      <c r="A27" t="s">
        <v>244</v>
      </c>
      <c r="B27" s="5" t="s">
        <v>244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117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