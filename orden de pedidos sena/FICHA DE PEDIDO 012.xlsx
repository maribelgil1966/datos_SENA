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sena4-my.sharepoint.com/personal/jperez_sena_edu_co/Documents/Escritorio/AÑO 2023/2023/PEDIDOS 2023/MAIBELLINY/FEBRERO/"/>
    </mc:Choice>
  </mc:AlternateContent>
  <xr:revisionPtr revIDLastSave="13" documentId="13_ncr:1_{19F26E01-C0BA-4C50-AD4E-526D1930E9B6}" xr6:coauthVersionLast="47" xr6:coauthVersionMax="47" xr10:uidLastSave="{A6AF3FC0-86B2-4CBC-879D-A066D3349063}"/>
  <bookViews>
    <workbookView xWindow="-120" yWindow="-120" windowWidth="29040" windowHeight="15840" xr2:uid="{00000000-000D-0000-FFFF-FFFF00000000}"/>
  </bookViews>
  <sheets>
    <sheet name="consumos" sheetId="1" r:id="rId1"/>
    <sheet name="PEDIDO" sheetId="2" r:id="rId2"/>
    <sheet name="lista" sheetId="3" state="hidden" r:id="rId3"/>
    <sheet name="MEDIDAS" sheetId="4" r:id="rId4"/>
    <sheet name="INVENTARIO" sheetId="5" r:id="rId5"/>
    <sheet name="Hoja3" sheetId="6" state="hidden" r:id="rId6"/>
  </sheets>
  <definedNames>
    <definedName name="broche">INVENTARIO!$B$3:$C$145</definedName>
    <definedName name="COL" localSheetId="0">#REF!</definedName>
    <definedName name="COMPRA">INVENTARIO!$C$3:$C$145</definedName>
    <definedName name="consumo" localSheetId="0">#REF!</definedName>
    <definedName name="INVENTARIO">INVENTARIO!$A$3:$B$145</definedName>
    <definedName name="listo">INVENTARIO!$A$3:$A$147</definedName>
    <definedName name="MATERIAL" localSheetId="0">#REF!</definedName>
    <definedName name="materiale" localSheetId="0">#REF!</definedName>
    <definedName name="materiales" localSheetId="0">consumos!$A$34:$A$58</definedName>
    <definedName name="materiales">consumos!$A$35:$A$58</definedName>
    <definedName name="matriales" localSheetId="0">consumos!$A$34</definedName>
    <definedName name="medidas">lista!$B$2:$B$17</definedName>
    <definedName name="metro">lista!$E$2:$E$19</definedName>
    <definedName name="NO">#REF!</definedName>
    <definedName name="proveedores">lista!$D$2:$D$19</definedName>
    <definedName name="REFF" localSheetId="0">#REF!</definedName>
    <definedName name="total">#REF!</definedName>
    <definedName name="Z_0F6C7FCE_20BD_4B57_B04C_CA521EC9CEDE_.wvu.Cols" localSheetId="1">#REF!</definedName>
    <definedName name="Z_0F6C7FCE_20BD_4B57_B04C_CA521EC9CEDE_.wvu.Rows" localSheetId="0">consumos!$6:$6</definedName>
    <definedName name="Z_A1062AEC_4503_4894_A1CA_D2E6C43956FD_.wvu.FilterData" localSheetId="4" hidden="1">INVENTARIO!$B$1:$D$1</definedName>
  </definedNames>
  <calcPr calcId="191028"/>
  <customWorkbookViews>
    <customWorkbookView name="PC - Vista personalizada" guid="{A1062AEC-4503-4894-A1CA-D2E6C43956FD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0" roundtripDataSignature="AMtx7mjJULLJqQXDZjfvCrYTwbmmBuymKw=="/>
    </ext>
  </extLst>
</workbook>
</file>

<file path=xl/calcChain.xml><?xml version="1.0" encoding="utf-8"?>
<calcChain xmlns="http://schemas.openxmlformats.org/spreadsheetml/2006/main">
  <c r="E30" i="6" l="1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31" i="6" s="1"/>
  <c r="C42" i="4"/>
  <c r="E25" i="2" s="1"/>
  <c r="B42" i="4"/>
  <c r="C34" i="4"/>
  <c r="E17" i="2" s="1"/>
  <c r="B34" i="4"/>
  <c r="C17" i="4"/>
  <c r="E17" i="4" s="1"/>
  <c r="G17" i="4" s="1"/>
  <c r="E16" i="4"/>
  <c r="G16" i="4" s="1"/>
  <c r="D16" i="4"/>
  <c r="C16" i="4"/>
  <c r="C15" i="4"/>
  <c r="E15" i="4" s="1"/>
  <c r="G15" i="4" s="1"/>
  <c r="E14" i="4"/>
  <c r="G14" i="4" s="1"/>
  <c r="D14" i="4"/>
  <c r="C14" i="4"/>
  <c r="C11" i="4"/>
  <c r="E11" i="4" s="1"/>
  <c r="G11" i="4" s="1"/>
  <c r="E10" i="4"/>
  <c r="G10" i="4" s="1"/>
  <c r="D10" i="4"/>
  <c r="C10" i="4"/>
  <c r="C9" i="4"/>
  <c r="E9" i="4" s="1"/>
  <c r="G9" i="4" s="1"/>
  <c r="E8" i="4"/>
  <c r="G8" i="4" s="1"/>
  <c r="D8" i="4"/>
  <c r="C8" i="4"/>
  <c r="C5" i="4"/>
  <c r="E5" i="4" s="1"/>
  <c r="G5" i="4" s="1"/>
  <c r="E4" i="4"/>
  <c r="G4" i="4" s="1"/>
  <c r="D4" i="4"/>
  <c r="C4" i="4"/>
  <c r="C3" i="4"/>
  <c r="E3" i="4" s="1"/>
  <c r="G3" i="4" s="1"/>
  <c r="E2" i="4"/>
  <c r="G2" i="4" s="1"/>
  <c r="D2" i="4"/>
  <c r="C2" i="4"/>
  <c r="V51" i="2"/>
  <c r="W51" i="2" s="1"/>
  <c r="U51" i="2"/>
  <c r="V50" i="2"/>
  <c r="W50" i="2" s="1"/>
  <c r="U50" i="2"/>
  <c r="W49" i="2"/>
  <c r="V49" i="2"/>
  <c r="U49" i="2"/>
  <c r="V48" i="2"/>
  <c r="W48" i="2" s="1"/>
  <c r="U48" i="2"/>
  <c r="V47" i="2"/>
  <c r="W47" i="2" s="1"/>
  <c r="U47" i="2"/>
  <c r="V46" i="2"/>
  <c r="W46" i="2" s="1"/>
  <c r="U46" i="2"/>
  <c r="V45" i="2"/>
  <c r="W45" i="2" s="1"/>
  <c r="U45" i="2"/>
  <c r="W44" i="2"/>
  <c r="V44" i="2"/>
  <c r="U44" i="2"/>
  <c r="V43" i="2"/>
  <c r="W43" i="2" s="1"/>
  <c r="U43" i="2"/>
  <c r="K43" i="2"/>
  <c r="V42" i="2"/>
  <c r="W42" i="2" s="1"/>
  <c r="U42" i="2"/>
  <c r="K42" i="2"/>
  <c r="V41" i="2"/>
  <c r="W41" i="2" s="1"/>
  <c r="U41" i="2"/>
  <c r="K41" i="2"/>
  <c r="V40" i="2"/>
  <c r="W40" i="2" s="1"/>
  <c r="U40" i="2"/>
  <c r="K40" i="2"/>
  <c r="V39" i="2"/>
  <c r="W39" i="2" s="1"/>
  <c r="U39" i="2"/>
  <c r="K39" i="2"/>
  <c r="V38" i="2"/>
  <c r="W38" i="2" s="1"/>
  <c r="U38" i="2"/>
  <c r="K38" i="2"/>
  <c r="V37" i="2"/>
  <c r="W37" i="2" s="1"/>
  <c r="U37" i="2"/>
  <c r="K37" i="2"/>
  <c r="V36" i="2"/>
  <c r="W36" i="2" s="1"/>
  <c r="U36" i="2"/>
  <c r="K36" i="2"/>
  <c r="V35" i="2"/>
  <c r="W35" i="2" s="1"/>
  <c r="U35" i="2"/>
  <c r="K35" i="2"/>
  <c r="V34" i="2"/>
  <c r="W34" i="2" s="1"/>
  <c r="U34" i="2"/>
  <c r="K34" i="2"/>
  <c r="V33" i="2"/>
  <c r="W33" i="2" s="1"/>
  <c r="U33" i="2"/>
  <c r="K33" i="2"/>
  <c r="V32" i="2"/>
  <c r="W32" i="2" s="1"/>
  <c r="U32" i="2"/>
  <c r="K32" i="2"/>
  <c r="V31" i="2"/>
  <c r="W31" i="2" s="1"/>
  <c r="U31" i="2"/>
  <c r="K31" i="2"/>
  <c r="V30" i="2"/>
  <c r="W30" i="2" s="1"/>
  <c r="U30" i="2"/>
  <c r="W29" i="2"/>
  <c r="V29" i="2"/>
  <c r="U29" i="2"/>
  <c r="K29" i="2"/>
  <c r="V28" i="2"/>
  <c r="W28" i="2" s="1"/>
  <c r="U28" i="2"/>
  <c r="J28" i="2"/>
  <c r="I28" i="2"/>
  <c r="H28" i="2" s="1"/>
  <c r="D28" i="2"/>
  <c r="C28" i="2"/>
  <c r="B45" i="4" s="1"/>
  <c r="C45" i="4" s="1"/>
  <c r="B28" i="2"/>
  <c r="W27" i="2"/>
  <c r="V27" i="2"/>
  <c r="U27" i="2"/>
  <c r="J27" i="2"/>
  <c r="I27" i="2"/>
  <c r="H27" i="2"/>
  <c r="D27" i="2"/>
  <c r="C27" i="2"/>
  <c r="B44" i="4" s="1"/>
  <c r="C44" i="4" s="1"/>
  <c r="B27" i="2"/>
  <c r="V26" i="2"/>
  <c r="W26" i="2" s="1"/>
  <c r="U26" i="2"/>
  <c r="J26" i="2"/>
  <c r="I26" i="2"/>
  <c r="H26" i="2" s="1"/>
  <c r="D26" i="2"/>
  <c r="C26" i="2"/>
  <c r="B43" i="4" s="1"/>
  <c r="C43" i="4" s="1"/>
  <c r="B26" i="2"/>
  <c r="W25" i="2"/>
  <c r="V25" i="2"/>
  <c r="U25" i="2"/>
  <c r="J25" i="2"/>
  <c r="I25" i="2"/>
  <c r="H25" i="2"/>
  <c r="D25" i="2"/>
  <c r="C25" i="2"/>
  <c r="B25" i="2"/>
  <c r="V24" i="2"/>
  <c r="W24" i="2" s="1"/>
  <c r="U24" i="2"/>
  <c r="J24" i="2"/>
  <c r="I24" i="2"/>
  <c r="H24" i="2" s="1"/>
  <c r="D24" i="2"/>
  <c r="C24" i="2"/>
  <c r="B41" i="4" s="1"/>
  <c r="C41" i="4" s="1"/>
  <c r="B24" i="2"/>
  <c r="W23" i="2"/>
  <c r="V23" i="2"/>
  <c r="U23" i="2"/>
  <c r="J23" i="2"/>
  <c r="I23" i="2"/>
  <c r="H23" i="2"/>
  <c r="D23" i="2"/>
  <c r="C23" i="2"/>
  <c r="B40" i="4" s="1"/>
  <c r="C40" i="4" s="1"/>
  <c r="B23" i="2"/>
  <c r="V22" i="2"/>
  <c r="W22" i="2" s="1"/>
  <c r="U22" i="2"/>
  <c r="J22" i="2"/>
  <c r="I22" i="2"/>
  <c r="H22" i="2" s="1"/>
  <c r="D22" i="2"/>
  <c r="C22" i="2"/>
  <c r="B39" i="4" s="1"/>
  <c r="C39" i="4" s="1"/>
  <c r="B22" i="2"/>
  <c r="V21" i="2"/>
  <c r="W21" i="2" s="1"/>
  <c r="U21" i="2"/>
  <c r="J21" i="2"/>
  <c r="I21" i="2"/>
  <c r="H21" i="2"/>
  <c r="D21" i="2"/>
  <c r="C21" i="2"/>
  <c r="B38" i="4" s="1"/>
  <c r="C38" i="4" s="1"/>
  <c r="B21" i="2"/>
  <c r="V20" i="2"/>
  <c r="W20" i="2" s="1"/>
  <c r="U20" i="2"/>
  <c r="J20" i="2"/>
  <c r="I20" i="2"/>
  <c r="H20" i="2"/>
  <c r="D20" i="2"/>
  <c r="C20" i="2"/>
  <c r="B37" i="4" s="1"/>
  <c r="C37" i="4" s="1"/>
  <c r="B20" i="2"/>
  <c r="V19" i="2"/>
  <c r="W19" i="2" s="1"/>
  <c r="U19" i="2"/>
  <c r="J19" i="2"/>
  <c r="I19" i="2"/>
  <c r="H19" i="2"/>
  <c r="D19" i="2"/>
  <c r="C19" i="2"/>
  <c r="B36" i="4" s="1"/>
  <c r="C36" i="4" s="1"/>
  <c r="B19" i="2"/>
  <c r="V18" i="2"/>
  <c r="W18" i="2" s="1"/>
  <c r="U18" i="2"/>
  <c r="J18" i="2"/>
  <c r="I18" i="2"/>
  <c r="H18" i="2"/>
  <c r="D18" i="2"/>
  <c r="C18" i="2"/>
  <c r="B35" i="4" s="1"/>
  <c r="C35" i="4" s="1"/>
  <c r="B18" i="2"/>
  <c r="V17" i="2"/>
  <c r="W17" i="2" s="1"/>
  <c r="U17" i="2"/>
  <c r="J17" i="2"/>
  <c r="I17" i="2"/>
  <c r="H17" i="2"/>
  <c r="D17" i="2"/>
  <c r="C17" i="2"/>
  <c r="B17" i="2"/>
  <c r="V16" i="2"/>
  <c r="W16" i="2" s="1"/>
  <c r="U16" i="2"/>
  <c r="J16" i="2"/>
  <c r="I16" i="2"/>
  <c r="H16" i="2"/>
  <c r="D16" i="2"/>
  <c r="C16" i="2"/>
  <c r="B33" i="4" s="1"/>
  <c r="C33" i="4" s="1"/>
  <c r="B16" i="2"/>
  <c r="V15" i="2"/>
  <c r="W15" i="2" s="1"/>
  <c r="U15" i="2"/>
  <c r="J15" i="2"/>
  <c r="I15" i="2"/>
  <c r="H15" i="2"/>
  <c r="D15" i="2"/>
  <c r="C15" i="2"/>
  <c r="B32" i="4" s="1"/>
  <c r="C32" i="4" s="1"/>
  <c r="B15" i="2"/>
  <c r="V14" i="2"/>
  <c r="W14" i="2" s="1"/>
  <c r="U14" i="2"/>
  <c r="I14" i="2"/>
  <c r="D14" i="2"/>
  <c r="H14" i="2" s="1"/>
  <c r="C14" i="2"/>
  <c r="B31" i="4" s="1"/>
  <c r="C31" i="4" s="1"/>
  <c r="B14" i="2"/>
  <c r="V13" i="2"/>
  <c r="W13" i="2" s="1"/>
  <c r="U13" i="2"/>
  <c r="I13" i="2"/>
  <c r="D13" i="2"/>
  <c r="J13" i="2" s="1"/>
  <c r="C13" i="2"/>
  <c r="B30" i="4" s="1"/>
  <c r="C30" i="4" s="1"/>
  <c r="B13" i="2"/>
  <c r="V12" i="2"/>
  <c r="W12" i="2" s="1"/>
  <c r="U12" i="2"/>
  <c r="J12" i="2"/>
  <c r="I12" i="2"/>
  <c r="H12" i="2"/>
  <c r="D12" i="2"/>
  <c r="C12" i="2"/>
  <c r="B29" i="4" s="1"/>
  <c r="C29" i="4" s="1"/>
  <c r="B12" i="2"/>
  <c r="V11" i="2"/>
  <c r="W11" i="2" s="1"/>
  <c r="U11" i="2"/>
  <c r="J11" i="2"/>
  <c r="I11" i="2"/>
  <c r="H11" i="2" s="1"/>
  <c r="D11" i="2"/>
  <c r="C11" i="2"/>
  <c r="B28" i="4" s="1"/>
  <c r="C28" i="4" s="1"/>
  <c r="B11" i="2"/>
  <c r="V10" i="2"/>
  <c r="W10" i="2" s="1"/>
  <c r="U10" i="2"/>
  <c r="J10" i="2"/>
  <c r="I10" i="2"/>
  <c r="H10" i="2" s="1"/>
  <c r="D10" i="2"/>
  <c r="C10" i="2"/>
  <c r="B27" i="4" s="1"/>
  <c r="C27" i="4" s="1"/>
  <c r="B10" i="2"/>
  <c r="V9" i="2"/>
  <c r="W9" i="2" s="1"/>
  <c r="U9" i="2"/>
  <c r="I9" i="2"/>
  <c r="D9" i="2"/>
  <c r="J9" i="2" s="1"/>
  <c r="C9" i="2"/>
  <c r="B26" i="4" s="1"/>
  <c r="C26" i="4" s="1"/>
  <c r="E9" i="2" s="1"/>
  <c r="B9" i="2"/>
  <c r="V8" i="2"/>
  <c r="W8" i="2" s="1"/>
  <c r="U8" i="2"/>
  <c r="J8" i="2"/>
  <c r="I8" i="2"/>
  <c r="H8" i="2" s="1"/>
  <c r="D8" i="2"/>
  <c r="C8" i="2"/>
  <c r="B25" i="4" s="1"/>
  <c r="C25" i="4" s="1"/>
  <c r="B8" i="2"/>
  <c r="V7" i="2"/>
  <c r="W7" i="2" s="1"/>
  <c r="U7" i="2"/>
  <c r="J7" i="2"/>
  <c r="I7" i="2"/>
  <c r="H7" i="2" s="1"/>
  <c r="D7" i="2"/>
  <c r="C7" i="2"/>
  <c r="B24" i="4" s="1"/>
  <c r="C24" i="4" s="1"/>
  <c r="B7" i="2"/>
  <c r="V6" i="2"/>
  <c r="W6" i="2" s="1"/>
  <c r="U6" i="2"/>
  <c r="J6" i="2"/>
  <c r="I6" i="2"/>
  <c r="H6" i="2" s="1"/>
  <c r="D6" i="2"/>
  <c r="C6" i="2"/>
  <c r="B23" i="4" s="1"/>
  <c r="C23" i="4" s="1"/>
  <c r="B6" i="2"/>
  <c r="V5" i="2"/>
  <c r="W5" i="2" s="1"/>
  <c r="U5" i="2"/>
  <c r="I5" i="2"/>
  <c r="H5" i="2" s="1"/>
  <c r="D5" i="2"/>
  <c r="J5" i="2" s="1"/>
  <c r="C5" i="2"/>
  <c r="B22" i="4" s="1"/>
  <c r="C22" i="4" s="1"/>
  <c r="B5" i="2"/>
  <c r="V4" i="2"/>
  <c r="W4" i="2" s="1"/>
  <c r="U4" i="2"/>
  <c r="J4" i="2"/>
  <c r="I4" i="2"/>
  <c r="H4" i="2" s="1"/>
  <c r="D4" i="2"/>
  <c r="C4" i="2"/>
  <c r="B21" i="4" s="1"/>
  <c r="C21" i="4" s="1"/>
  <c r="B4" i="2"/>
  <c r="F2" i="2"/>
  <c r="D2" i="2"/>
  <c r="C2" i="2"/>
  <c r="B2" i="2"/>
  <c r="A2" i="2"/>
  <c r="D1" i="2"/>
  <c r="C1" i="2"/>
  <c r="B1" i="2"/>
  <c r="A1" i="2"/>
  <c r="E76" i="1"/>
  <c r="H58" i="1"/>
  <c r="D58" i="1"/>
  <c r="A58" i="1"/>
  <c r="A28" i="2" s="1"/>
  <c r="H57" i="1"/>
  <c r="D57" i="1"/>
  <c r="A57" i="1"/>
  <c r="A27" i="2" s="1"/>
  <c r="H56" i="1"/>
  <c r="D56" i="1"/>
  <c r="A56" i="1"/>
  <c r="A26" i="2" s="1"/>
  <c r="H55" i="1"/>
  <c r="D55" i="1"/>
  <c r="A55" i="1"/>
  <c r="A25" i="2" s="1"/>
  <c r="H54" i="1"/>
  <c r="D54" i="1"/>
  <c r="A54" i="1"/>
  <c r="A24" i="2" s="1"/>
  <c r="H53" i="1"/>
  <c r="D53" i="1"/>
  <c r="A53" i="1"/>
  <c r="A23" i="2" s="1"/>
  <c r="H52" i="1"/>
  <c r="D52" i="1"/>
  <c r="A52" i="1"/>
  <c r="A22" i="2" s="1"/>
  <c r="H51" i="1"/>
  <c r="F51" i="1"/>
  <c r="D51" i="1"/>
  <c r="A51" i="1"/>
  <c r="A21" i="2" s="1"/>
  <c r="H50" i="1"/>
  <c r="F50" i="1"/>
  <c r="D50" i="1"/>
  <c r="A50" i="1"/>
  <c r="A20" i="2" s="1"/>
  <c r="H49" i="1"/>
  <c r="D49" i="1"/>
  <c r="A49" i="1"/>
  <c r="A19" i="2" s="1"/>
  <c r="H48" i="1"/>
  <c r="F48" i="1"/>
  <c r="D48" i="1"/>
  <c r="A48" i="1"/>
  <c r="A18" i="2" s="1"/>
  <c r="H47" i="1"/>
  <c r="D47" i="1"/>
  <c r="A47" i="1"/>
  <c r="A17" i="2" s="1"/>
  <c r="H46" i="1"/>
  <c r="D46" i="1"/>
  <c r="A46" i="1"/>
  <c r="A16" i="2" s="1"/>
  <c r="H45" i="1"/>
  <c r="D45" i="1"/>
  <c r="A45" i="1"/>
  <c r="A15" i="2" s="1"/>
  <c r="H44" i="1"/>
  <c r="D44" i="1"/>
  <c r="A44" i="1"/>
  <c r="A14" i="2" s="1"/>
  <c r="H43" i="1"/>
  <c r="F43" i="1"/>
  <c r="D43" i="1"/>
  <c r="A43" i="1"/>
  <c r="A13" i="2" s="1"/>
  <c r="H42" i="1"/>
  <c r="D42" i="1"/>
  <c r="A42" i="1"/>
  <c r="A12" i="2" s="1"/>
  <c r="H41" i="1"/>
  <c r="D41" i="1"/>
  <c r="A41" i="1"/>
  <c r="A11" i="2" s="1"/>
  <c r="H40" i="1"/>
  <c r="D40" i="1"/>
  <c r="A40" i="1"/>
  <c r="A10" i="2" s="1"/>
  <c r="H39" i="1"/>
  <c r="D39" i="1"/>
  <c r="A39" i="1"/>
  <c r="A9" i="2" s="1"/>
  <c r="H38" i="1"/>
  <c r="D38" i="1"/>
  <c r="A38" i="1"/>
  <c r="A8" i="2" s="1"/>
  <c r="H37" i="1"/>
  <c r="H11" i="1" s="1"/>
  <c r="F7" i="2" s="1"/>
  <c r="D37" i="1"/>
  <c r="A37" i="1"/>
  <c r="A7" i="2" s="1"/>
  <c r="H36" i="1"/>
  <c r="D36" i="1"/>
  <c r="A36" i="1"/>
  <c r="A6" i="2" s="1"/>
  <c r="H35" i="1"/>
  <c r="D35" i="1"/>
  <c r="A35" i="1"/>
  <c r="A5" i="2" s="1"/>
  <c r="H34" i="1"/>
  <c r="D34" i="1"/>
  <c r="A34" i="1"/>
  <c r="A4" i="2" s="1"/>
  <c r="B32" i="1"/>
  <c r="F58" i="1" s="1"/>
  <c r="B31" i="1"/>
  <c r="C31" i="1" s="1"/>
  <c r="E57" i="1" s="1"/>
  <c r="G57" i="1" s="1"/>
  <c r="C30" i="1"/>
  <c r="E56" i="1" s="1"/>
  <c r="G56" i="1" s="1"/>
  <c r="B30" i="1"/>
  <c r="F56" i="1" s="1"/>
  <c r="F30" i="1" s="1"/>
  <c r="B29" i="1"/>
  <c r="F55" i="1" s="1"/>
  <c r="B28" i="1"/>
  <c r="F54" i="1" s="1"/>
  <c r="C27" i="1"/>
  <c r="E53" i="1" s="1"/>
  <c r="G53" i="1" s="1"/>
  <c r="B27" i="1"/>
  <c r="F53" i="1" s="1"/>
  <c r="F27" i="1" s="1"/>
  <c r="G27" i="1" s="1"/>
  <c r="I53" i="1" s="1"/>
  <c r="B26" i="1"/>
  <c r="F52" i="1" s="1"/>
  <c r="B25" i="1"/>
  <c r="C25" i="1" s="1"/>
  <c r="E51" i="1" s="1"/>
  <c r="G51" i="1" s="1"/>
  <c r="C24" i="1"/>
  <c r="E50" i="1" s="1"/>
  <c r="G50" i="1" s="1"/>
  <c r="F24" i="1" s="1"/>
  <c r="B24" i="1"/>
  <c r="B23" i="1"/>
  <c r="C23" i="1" s="1"/>
  <c r="E49" i="1" s="1"/>
  <c r="G49" i="1" s="1"/>
  <c r="C22" i="1"/>
  <c r="E48" i="1" s="1"/>
  <c r="G48" i="1" s="1"/>
  <c r="F22" i="1" s="1"/>
  <c r="B21" i="1"/>
  <c r="F47" i="1" s="1"/>
  <c r="B20" i="1"/>
  <c r="F46" i="1" s="1"/>
  <c r="C19" i="1"/>
  <c r="E45" i="1" s="1"/>
  <c r="G45" i="1" s="1"/>
  <c r="B19" i="1"/>
  <c r="F45" i="1" s="1"/>
  <c r="F19" i="1" s="1"/>
  <c r="G19" i="1" s="1"/>
  <c r="I45" i="1" s="1"/>
  <c r="B18" i="1"/>
  <c r="F44" i="1" s="1"/>
  <c r="B17" i="1"/>
  <c r="C17" i="1" s="1"/>
  <c r="E43" i="1" s="1"/>
  <c r="G43" i="1" s="1"/>
  <c r="B16" i="1"/>
  <c r="C16" i="1" s="1"/>
  <c r="E42" i="1" s="1"/>
  <c r="G42" i="1" s="1"/>
  <c r="B15" i="1"/>
  <c r="C15" i="1" s="1"/>
  <c r="E41" i="1" s="1"/>
  <c r="G41" i="1" s="1"/>
  <c r="B14" i="1"/>
  <c r="C14" i="1" s="1"/>
  <c r="E40" i="1" s="1"/>
  <c r="G40" i="1" s="1"/>
  <c r="B13" i="1"/>
  <c r="F39" i="1" s="1"/>
  <c r="C12" i="1"/>
  <c r="E38" i="1" s="1"/>
  <c r="G38" i="1" s="1"/>
  <c r="B12" i="1"/>
  <c r="F38" i="1" s="1"/>
  <c r="F12" i="1" s="1"/>
  <c r="C11" i="1"/>
  <c r="E37" i="1" s="1"/>
  <c r="G37" i="1" s="1"/>
  <c r="B11" i="1"/>
  <c r="F37" i="1" s="1"/>
  <c r="F11" i="1" s="1"/>
  <c r="G11" i="1" s="1"/>
  <c r="I37" i="1" s="1"/>
  <c r="C10" i="1"/>
  <c r="E36" i="1" s="1"/>
  <c r="G36" i="1" s="1"/>
  <c r="B10" i="1"/>
  <c r="F36" i="1" s="1"/>
  <c r="B9" i="1"/>
  <c r="F35" i="1" s="1"/>
  <c r="B8" i="1"/>
  <c r="C8" i="1" s="1"/>
  <c r="E34" i="1" s="1"/>
  <c r="G34" i="1" s="1"/>
  <c r="J14" i="2" l="1"/>
  <c r="H9" i="2"/>
  <c r="H13" i="2"/>
  <c r="D40" i="4"/>
  <c r="E23" i="2"/>
  <c r="E40" i="4"/>
  <c r="G40" i="4" s="1"/>
  <c r="E27" i="2"/>
  <c r="E44" i="4"/>
  <c r="G44" i="4" s="1"/>
  <c r="D44" i="4"/>
  <c r="F10" i="1"/>
  <c r="G10" i="1" s="1"/>
  <c r="I36" i="1" s="1"/>
  <c r="G22" i="1"/>
  <c r="I48" i="1" s="1"/>
  <c r="H22" i="1"/>
  <c r="F18" i="2" s="1"/>
  <c r="E4" i="2"/>
  <c r="E21" i="4"/>
  <c r="G21" i="4" s="1"/>
  <c r="D21" i="4"/>
  <c r="E22" i="4"/>
  <c r="G22" i="4" s="1"/>
  <c r="E5" i="2"/>
  <c r="D22" i="4"/>
  <c r="E23" i="4"/>
  <c r="G23" i="4" s="1"/>
  <c r="D23" i="4"/>
  <c r="E6" i="2"/>
  <c r="D24" i="4"/>
  <c r="E7" i="2"/>
  <c r="E24" i="4"/>
  <c r="G24" i="4" s="1"/>
  <c r="E25" i="4"/>
  <c r="G25" i="4" s="1"/>
  <c r="D25" i="4"/>
  <c r="E8" i="2"/>
  <c r="E27" i="4"/>
  <c r="G27" i="4" s="1"/>
  <c r="D27" i="4"/>
  <c r="E10" i="2"/>
  <c r="E11" i="2"/>
  <c r="E28" i="4"/>
  <c r="G28" i="4" s="1"/>
  <c r="D28" i="4"/>
  <c r="E12" i="2"/>
  <c r="E29" i="4"/>
  <c r="G29" i="4" s="1"/>
  <c r="D29" i="4"/>
  <c r="E30" i="4"/>
  <c r="G30" i="4" s="1"/>
  <c r="E13" i="2"/>
  <c r="D30" i="4"/>
  <c r="E31" i="4"/>
  <c r="G31" i="4" s="1"/>
  <c r="D31" i="4"/>
  <c r="E14" i="2"/>
  <c r="D32" i="4"/>
  <c r="E15" i="2"/>
  <c r="E32" i="4"/>
  <c r="G32" i="4" s="1"/>
  <c r="E33" i="4"/>
  <c r="G33" i="4" s="1"/>
  <c r="D33" i="4"/>
  <c r="E16" i="2"/>
  <c r="E35" i="4"/>
  <c r="G35" i="4" s="1"/>
  <c r="D35" i="4"/>
  <c r="E18" i="2"/>
  <c r="E19" i="2"/>
  <c r="E36" i="4"/>
  <c r="G36" i="4" s="1"/>
  <c r="D36" i="4"/>
  <c r="D37" i="4"/>
  <c r="E20" i="2"/>
  <c r="E37" i="4"/>
  <c r="G37" i="4" s="1"/>
  <c r="E38" i="4"/>
  <c r="G38" i="4" s="1"/>
  <c r="E21" i="2"/>
  <c r="D38" i="4"/>
  <c r="E39" i="4"/>
  <c r="G39" i="4" s="1"/>
  <c r="D39" i="4"/>
  <c r="E22" i="2"/>
  <c r="E41" i="4"/>
  <c r="G41" i="4" s="1"/>
  <c r="D41" i="4"/>
  <c r="E24" i="2"/>
  <c r="E43" i="4"/>
  <c r="G43" i="4" s="1"/>
  <c r="D43" i="4"/>
  <c r="E26" i="2"/>
  <c r="E28" i="2"/>
  <c r="E45" i="4"/>
  <c r="G45" i="4" s="1"/>
  <c r="D45" i="4"/>
  <c r="H30" i="1"/>
  <c r="F26" i="2" s="1"/>
  <c r="G30" i="1"/>
  <c r="I56" i="1" s="1"/>
  <c r="H19" i="1"/>
  <c r="F15" i="2" s="1"/>
  <c r="H24" i="1"/>
  <c r="F20" i="2" s="1"/>
  <c r="G24" i="1"/>
  <c r="I50" i="1" s="1"/>
  <c r="F17" i="1"/>
  <c r="G12" i="1"/>
  <c r="I38" i="1" s="1"/>
  <c r="H12" i="1"/>
  <c r="F8" i="2" s="1"/>
  <c r="F32" i="1"/>
  <c r="H27" i="1"/>
  <c r="F23" i="2" s="1"/>
  <c r="H10" i="1"/>
  <c r="F6" i="2" s="1"/>
  <c r="F25" i="1"/>
  <c r="F34" i="1"/>
  <c r="F8" i="1" s="1"/>
  <c r="F42" i="1"/>
  <c r="F16" i="1" s="1"/>
  <c r="C13" i="1"/>
  <c r="E39" i="1" s="1"/>
  <c r="G39" i="1" s="1"/>
  <c r="F13" i="1" s="1"/>
  <c r="C21" i="1"/>
  <c r="E47" i="1" s="1"/>
  <c r="G47" i="1" s="1"/>
  <c r="F21" i="1" s="1"/>
  <c r="C32" i="1"/>
  <c r="E58" i="1" s="1"/>
  <c r="G58" i="1" s="1"/>
  <c r="F41" i="1"/>
  <c r="F15" i="1" s="1"/>
  <c r="F49" i="1"/>
  <c r="F23" i="1" s="1"/>
  <c r="F57" i="1"/>
  <c r="F31" i="1" s="1"/>
  <c r="D26" i="4"/>
  <c r="D34" i="4"/>
  <c r="D42" i="4"/>
  <c r="C18" i="1"/>
  <c r="E44" i="1" s="1"/>
  <c r="G44" i="1" s="1"/>
  <c r="F18" i="1" s="1"/>
  <c r="C26" i="1"/>
  <c r="E52" i="1" s="1"/>
  <c r="G52" i="1" s="1"/>
  <c r="F26" i="1" s="1"/>
  <c r="C29" i="1"/>
  <c r="E55" i="1" s="1"/>
  <c r="G55" i="1" s="1"/>
  <c r="F29" i="1" s="1"/>
  <c r="F40" i="1"/>
  <c r="F14" i="1" s="1"/>
  <c r="E26" i="4"/>
  <c r="G26" i="4" s="1"/>
  <c r="E34" i="4"/>
  <c r="G34" i="4" s="1"/>
  <c r="E42" i="4"/>
  <c r="G42" i="4" s="1"/>
  <c r="D3" i="4"/>
  <c r="D5" i="4"/>
  <c r="D9" i="4"/>
  <c r="D11" i="4"/>
  <c r="D15" i="4"/>
  <c r="D17" i="4"/>
  <c r="C20" i="1"/>
  <c r="E46" i="1" s="1"/>
  <c r="G46" i="1" s="1"/>
  <c r="F20" i="1" s="1"/>
  <c r="C28" i="1"/>
  <c r="E54" i="1" s="1"/>
  <c r="G54" i="1" s="1"/>
  <c r="F28" i="1" s="1"/>
  <c r="C9" i="1"/>
  <c r="E35" i="1" s="1"/>
  <c r="G35" i="1" s="1"/>
  <c r="F9" i="1" s="1"/>
  <c r="H29" i="1" l="1"/>
  <c r="F25" i="2" s="1"/>
  <c r="G29" i="1"/>
  <c r="I55" i="1" s="1"/>
  <c r="H21" i="1"/>
  <c r="F17" i="2" s="1"/>
  <c r="G21" i="1"/>
  <c r="I47" i="1" s="1"/>
  <c r="G9" i="1"/>
  <c r="I35" i="1" s="1"/>
  <c r="H9" i="1"/>
  <c r="F5" i="2" s="1"/>
  <c r="H28" i="1"/>
  <c r="F24" i="2" s="1"/>
  <c r="G28" i="1"/>
  <c r="I54" i="1" s="1"/>
  <c r="G26" i="1"/>
  <c r="I52" i="1" s="1"/>
  <c r="H26" i="1"/>
  <c r="F22" i="2" s="1"/>
  <c r="H13" i="1"/>
  <c r="F9" i="2" s="1"/>
  <c r="G13" i="1"/>
  <c r="I39" i="1" s="1"/>
  <c r="G18" i="1"/>
  <c r="I44" i="1" s="1"/>
  <c r="H18" i="1"/>
  <c r="F14" i="2" s="1"/>
  <c r="H20" i="1"/>
  <c r="F16" i="2" s="1"/>
  <c r="G20" i="1"/>
  <c r="I46" i="1" s="1"/>
  <c r="H16" i="1"/>
  <c r="F12" i="2" s="1"/>
  <c r="G16" i="1"/>
  <c r="I42" i="1" s="1"/>
  <c r="H8" i="1"/>
  <c r="F4" i="2" s="1"/>
  <c r="G8" i="1"/>
  <c r="H31" i="1"/>
  <c r="F27" i="2" s="1"/>
  <c r="G31" i="1"/>
  <c r="I57" i="1" s="1"/>
  <c r="H25" i="1"/>
  <c r="F21" i="2" s="1"/>
  <c r="G25" i="1"/>
  <c r="I51" i="1" s="1"/>
  <c r="H32" i="1"/>
  <c r="F28" i="2" s="1"/>
  <c r="G32" i="1"/>
  <c r="I58" i="1" s="1"/>
  <c r="G14" i="1"/>
  <c r="I40" i="1" s="1"/>
  <c r="H14" i="1"/>
  <c r="F10" i="2" s="1"/>
  <c r="H23" i="1"/>
  <c r="F19" i="2" s="1"/>
  <c r="G23" i="1"/>
  <c r="I49" i="1" s="1"/>
  <c r="H15" i="1"/>
  <c r="F11" i="2" s="1"/>
  <c r="G15" i="1"/>
  <c r="I41" i="1" s="1"/>
  <c r="G17" i="1"/>
  <c r="I43" i="1" s="1"/>
  <c r="H17" i="1"/>
  <c r="F13" i="2" s="1"/>
  <c r="J3" i="1" l="1"/>
  <c r="L25" i="1" s="1"/>
  <c r="L28" i="1" s="1"/>
  <c r="I34" i="1"/>
  <c r="F2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7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ID#AAAALhRbehY
PC    (2021-02-22 15:04:06)
ver bien la medida para que pida lo que es exactamente, cada material tiene su medida</t>
        </r>
      </text>
    </comment>
    <comment ref="E7" authorId="0" shapeId="0" xr:uid="{00000000-0006-0000-0000-000004000000}">
      <text>
        <r>
          <rPr>
            <sz val="10"/>
            <color rgb="FF000000"/>
            <rFont val="Arial"/>
            <scheme val="minor"/>
          </rPr>
          <t>======
ID#AAAALhRbehM
Familia    (2021-02-22 15:04:06)
SE REFIERE A LA CANTIDAD DE UNIDADES O MEDIDA QUE  UTILIZAMOS PARA LA ELABORACION DE UN PRODUCTO</t>
        </r>
      </text>
    </comment>
    <comment ref="H7" authorId="0" shapeId="0" xr:uid="{00000000-0006-0000-0000-000005000000}">
      <text>
        <r>
          <rPr>
            <sz val="10"/>
            <color rgb="FF000000"/>
            <rFont val="Arial"/>
            <scheme val="minor"/>
          </rPr>
          <t>======
ID#AAAALhRbehI
PC    (2021-02-22 15:04:06)
varlor total de cada material</t>
        </r>
      </text>
    </comment>
    <comment ref="E8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ID#AAAALhRbehk
PC    (2021-02-22 15:04:06)
CADA METRO DE SINTETICO POR 140 CM DE ANCHO CONTIENE 14000 CM CUADRADOS, PARA QUE TENGAN UNA REFERENCIA SOBRE EL MATERIAL QUE SE VA A PEDIR</t>
        </r>
      </text>
    </comment>
    <comment ref="A76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ID#AAAALhRbehQ
PC    (2021-02-22 15:04:06)
EN ESTA LISTA DE MATERIALES HAY QUE PONER EL MATERIAL TOTAL QUE SE NESECITA.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hbcff4F0pKJLGqc+gU+IYynqmXj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00000000-0006-0000-0100-000001000000}">
      <text>
        <r>
          <rPr>
            <sz val="10"/>
            <color rgb="FF000000"/>
            <rFont val="Arial"/>
            <scheme val="minor"/>
          </rPr>
          <t>======
ID#AAAALhRbeho
JGUERRERO    (2021-02-22 15:04:06)
SE REFIERE A LA RELACION QUE HAY ENTRE LA UNIDAD DE COMPRA Y LAS UNIDADES DE CONSUMO. 
EJ: UNA GRUEZA DE CORDNES CONTIENE 144 PARES (UNIDAD DE CNSUMO)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MOAoqBMqEBqjOaGavyIrsBQtAXw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300-000003000000}">
      <text>
        <r>
          <rPr>
            <sz val="10"/>
            <color rgb="FF000000"/>
            <rFont val="Arial"/>
            <scheme val="minor"/>
          </rPr>
          <t>======
ID#AAAALhRbehU
PC    (2021-02-22 15:04:06)
PONER LA MEDIDA DEL MATERIAL QUE REQUIERE PARA CADA PRODUCTO</t>
        </r>
      </text>
    </comment>
    <comment ref="F1" authorId="0" shapeId="0" xr:uid="{00000000-0006-0000-0300-000002000000}">
      <text>
        <r>
          <rPr>
            <sz val="10"/>
            <color rgb="FF000000"/>
            <rFont val="Arial"/>
            <scheme val="minor"/>
          </rPr>
          <t>======
ID#AAAALhRbehc
PC    (2021-02-22 15:04:06)
PONER LA CANTIDAD DE PRODUCTOS QUE VA A RELIZAR</t>
        </r>
      </text>
    </comment>
    <comment ref="B20" authorId="0" shapeId="0" xr:uid="{00000000-0006-0000-0300-000004000000}">
      <text>
        <r>
          <rPr>
            <sz val="10"/>
            <color rgb="FF000000"/>
            <rFont val="Arial"/>
            <scheme val="minor"/>
          </rPr>
          <t>======
ID#AAAALhRbehE
PC    (2021-02-22 15:04:06)
PONER LA MEDIDA DEL MATERIAL QUE REQUIERE PARA CADA PRODUCTO</t>
        </r>
      </text>
    </comment>
    <comment ref="F20" authorId="0" shapeId="0" xr:uid="{00000000-0006-0000-0300-000001000000}">
      <text>
        <r>
          <rPr>
            <sz val="10"/>
            <color rgb="FF000000"/>
            <rFont val="Arial"/>
            <scheme val="minor"/>
          </rPr>
          <t>======
ID#AAAALhRbehg
PC    (2021-02-22 15:04:06)
PONER LA CANTIDAD DE PRODUCTOS QUE VA A RELIZAR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hEuUYBWdZ6JgTKCr7O0E5wKEWbfQ=="/>
    </ext>
  </extLst>
</comments>
</file>

<file path=xl/sharedStrings.xml><?xml version="1.0" encoding="utf-8"?>
<sst xmlns="http://schemas.openxmlformats.org/spreadsheetml/2006/main" count="385" uniqueCount="316">
  <si>
    <t>FICHA PARA EL CONSUMO DE MATERIALES  DE CALZADO Y MARROQUINERIA</t>
  </si>
  <si>
    <t>DOCENTE ENCARGADO</t>
  </si>
  <si>
    <t>MAYBELLINE ARISTIZÁBAL</t>
  </si>
  <si>
    <t>CURSO/TECNICO</t>
  </si>
  <si>
    <t>COSTO POR PAR/PRODUCTO</t>
  </si>
  <si>
    <t>NOMBRE DEL PRODUCTO</t>
  </si>
  <si>
    <t>MARROQUINERIA 3</t>
  </si>
  <si>
    <t>DISEÑO</t>
  </si>
  <si>
    <t>FECHA DE ELABORACION DEL PRODUCTO</t>
  </si>
  <si>
    <t>NUMERO DE CEDULA</t>
  </si>
  <si>
    <t>NUMERO DE FICHA</t>
  </si>
  <si>
    <t>CANTIDAD A PRODUCIR</t>
  </si>
  <si>
    <t>FECHA ENTREGA DEL PRODUCTO</t>
  </si>
  <si>
    <t>MATERIALES  E INSUMOS.</t>
  </si>
  <si>
    <t xml:space="preserve">VALOR </t>
  </si>
  <si>
    <t>MEDIDA</t>
  </si>
  <si>
    <t>COLOR     O REFERENCIA.</t>
  </si>
  <si>
    <t>CONSUMO POR PRODUCTO</t>
  </si>
  <si>
    <t>VALOR UNIDAD DE CONSUMO</t>
  </si>
  <si>
    <t>COSTO</t>
  </si>
  <si>
    <t>COSTO TOTAL</t>
  </si>
  <si>
    <t>Cuero Napa Variada  (Dm2)</t>
  </si>
  <si>
    <t>Seda 30-100 Colores  (cm²)</t>
  </si>
  <si>
    <t>Cremallera Nylon #6(cm)</t>
  </si>
  <si>
    <t xml:space="preserve">llaves #6 Nq de lujo </t>
  </si>
  <si>
    <t>Cremallera Nylon #3(cm)</t>
  </si>
  <si>
    <t xml:space="preserve">llaves #3 Nq Sencillas </t>
  </si>
  <si>
    <t>Lambrilla de 3mm  (cm²)</t>
  </si>
  <si>
    <t>Plantitex  (cm²)</t>
  </si>
  <si>
    <t xml:space="preserve">hebilla  1" niquel </t>
  </si>
  <si>
    <t>Lona Sintetica Colores  (cm²)</t>
  </si>
  <si>
    <t>Cinta Falla de 20mm  (Cm)</t>
  </si>
  <si>
    <t>VALOR DEL PRODUCTO FINAL</t>
  </si>
  <si>
    <t>VALOR DE LA PRODUCCION</t>
  </si>
  <si>
    <t>OBSERVACIONES</t>
  </si>
  <si>
    <t>LIJA 400  8 UNIDADES</t>
  </si>
  <si>
    <t>PEGAUCHO DE CONTAC TO AMARILLA</t>
  </si>
  <si>
    <t>CARTULINA 10 UNIDADES</t>
  </si>
  <si>
    <t>TINTA DE COLORES PARA CUERO Café , baigue y matanate acuoso.</t>
  </si>
  <si>
    <t>entrego hebilla 376 14 unidades, no tenemos hebilla de pulgada  niquel</t>
  </si>
  <si>
    <t>INSUMOS SIN COSTO</t>
  </si>
  <si>
    <t>CANTIDA</t>
  </si>
  <si>
    <t>Aguja Corta Cabo Delgada  (unidad)</t>
  </si>
  <si>
    <t>Aguja Corta Cabo Grueso  (unidad)</t>
  </si>
  <si>
    <t>Bolsa Plastica Cargadera ( unidad)</t>
  </si>
  <si>
    <t>Bolsa plastica de 12*14 ( unidad)</t>
  </si>
  <si>
    <t>Bolsa Plastica de 15*22 ( unidad)</t>
  </si>
  <si>
    <t>Cambre de 100gr   (cm²)</t>
  </si>
  <si>
    <t>Carton Corrugado (pliego)</t>
  </si>
  <si>
    <t>Carton duplex  (pliego)</t>
  </si>
  <si>
    <t>Carton Paja (pliego)</t>
  </si>
  <si>
    <t>Cartulina  (pliego)</t>
  </si>
  <si>
    <t>Cinta de Enmascarar de 2"  (unidad)</t>
  </si>
  <si>
    <t>Cinta de trasparente (unidad)</t>
  </si>
  <si>
    <t>Ecohalogenante para suelas</t>
  </si>
  <si>
    <t>Ecolimpiador para suelas</t>
  </si>
  <si>
    <t>Halogenante LH rapido ( galòn 3600 cm 3)</t>
  </si>
  <si>
    <t>Halogenante rapido 0817</t>
  </si>
  <si>
    <t>Hilo Colores surtidos# 20 (cono 250 mt)</t>
  </si>
  <si>
    <t>Hilo Colores surtidos# 40 (cono 1000 mt)</t>
  </si>
  <si>
    <t>Hilo Colores surtidos# 60 (cono 1500 mt)</t>
  </si>
  <si>
    <t>Hilo Encerado cono 100 gr  (metro)</t>
  </si>
  <si>
    <t>Hilo Terlenka 2 cabos (cono 150mt)</t>
  </si>
  <si>
    <t>Interlon  (cm²)</t>
  </si>
  <si>
    <t>Lamina Zinc (unidad)</t>
  </si>
  <si>
    <t>Lija de Agua#120 (unidad)</t>
  </si>
  <si>
    <t>Lija de Agua#180 (unidad)</t>
  </si>
  <si>
    <t>Lija de Agua#240 (unidad)</t>
  </si>
  <si>
    <t>Lija de Agua#400 (unidad)</t>
  </si>
  <si>
    <t>Lija de Agua#600 (unidad)</t>
  </si>
  <si>
    <t>Limpiador AT 20  ( galón 3600 cm 3)</t>
  </si>
  <si>
    <t>Limpiador para acabados</t>
  </si>
  <si>
    <t>Limpiador VZ 40 ( galón 3600 cm 3)</t>
  </si>
  <si>
    <t>Papel periodico  (pliego)</t>
  </si>
  <si>
    <t>Pegante advance o pega amarilla</t>
  </si>
  <si>
    <t>Pu  419 pegante poliuretano</t>
  </si>
  <si>
    <t>Pintura Acrilica X150 gr (unidad)</t>
  </si>
  <si>
    <t>Primer eva plus</t>
  </si>
  <si>
    <t>Primer PU 419</t>
  </si>
  <si>
    <t>Primer pu 85</t>
  </si>
  <si>
    <t>PU 689 adhesivo</t>
  </si>
  <si>
    <t>Sacol Solucion de caucho natural 2440</t>
  </si>
  <si>
    <t>Thiner Halogenante LH Rapido</t>
  </si>
  <si>
    <t>Thiner limpiador 0329</t>
  </si>
  <si>
    <t>Thiner limpiador AT - 20</t>
  </si>
  <si>
    <t>Thiner  limpiador VZ - 40</t>
  </si>
  <si>
    <t>Tinta Colores para Cuero 120cc (unidad)</t>
  </si>
  <si>
    <t>Vulcanizante PU</t>
  </si>
  <si>
    <t>Vulcanizante PU AQUOSO 212</t>
  </si>
  <si>
    <t>Vulcanizante PU SOLVENTE</t>
  </si>
  <si>
    <t>ENTREGAS PARCIALES</t>
  </si>
  <si>
    <t>MATERIAL</t>
  </si>
  <si>
    <t>REFERENCIA O COLOR</t>
  </si>
  <si>
    <t>POR CADA PRODUCTO</t>
  </si>
  <si>
    <t>REQUISICION DE MATERIALES    DM, UD Y CM</t>
  </si>
  <si>
    <t>CM     LINEAL</t>
  </si>
  <si>
    <t>ENTREGADO</t>
  </si>
  <si>
    <t>PENDIENTE  POR ENTREGAR</t>
  </si>
  <si>
    <t>CANTIDAD</t>
  </si>
  <si>
    <r>
      <rPr>
        <b/>
        <sz val="6"/>
        <color theme="1"/>
        <rFont val="Calibri"/>
        <family val="2"/>
      </rPr>
      <t xml:space="preserve">Elaborado por: JAIRO E GUERRERO B. Docente técnico SENA ITAGUI ANTIOQUIA 16-09-2010                </t>
    </r>
    <r>
      <rPr>
        <b/>
        <sz val="10"/>
        <color rgb="FFFF0000"/>
        <rFont val="Calibri"/>
        <family val="2"/>
      </rPr>
      <t xml:space="preserve">                                      VALOR TOTAL</t>
    </r>
  </si>
  <si>
    <t>MODIFICADO POR: JAIDER ROJAS - ALMACENISTA (26-02-2017)SENA ITAGUI ANTIOQUIA</t>
  </si>
  <si>
    <t>medidas</t>
  </si>
  <si>
    <t>proveedores</t>
  </si>
  <si>
    <t>metro</t>
  </si>
  <si>
    <t>METRO</t>
  </si>
  <si>
    <t>los angeles</t>
  </si>
  <si>
    <t>decimetro</t>
  </si>
  <si>
    <t>dm2</t>
  </si>
  <si>
    <t>la reno</t>
  </si>
  <si>
    <t>centimetro</t>
  </si>
  <si>
    <t>cm²</t>
  </si>
  <si>
    <t>itagui</t>
  </si>
  <si>
    <t>gramo</t>
  </si>
  <si>
    <t>pie</t>
  </si>
  <si>
    <t>par</t>
  </si>
  <si>
    <t>gruesa</t>
  </si>
  <si>
    <t>unidad</t>
  </si>
  <si>
    <t>PAR</t>
  </si>
  <si>
    <t>gr</t>
  </si>
  <si>
    <t>LAMINA</t>
  </si>
  <si>
    <t>k</t>
  </si>
  <si>
    <t>UNIDAD</t>
  </si>
  <si>
    <t>CONO</t>
  </si>
  <si>
    <t>CAJA</t>
  </si>
  <si>
    <t>PLIEGO</t>
  </si>
  <si>
    <t>MILLAR</t>
  </si>
  <si>
    <t>GALON</t>
  </si>
  <si>
    <t>kg</t>
  </si>
  <si>
    <t>la global</t>
  </si>
  <si>
    <t>HOJA</t>
  </si>
  <si>
    <t xml:space="preserve">MEDIDAS DE MATERIALES ANCHO EN CENTIMETROS </t>
  </si>
  <si>
    <t>CANTIDAD CM²</t>
  </si>
  <si>
    <t>CONVERSION DEL ROLLO EN CM</t>
  </si>
  <si>
    <t>CONVERSION DEL ROLLO EN  DM</t>
  </si>
  <si>
    <t>CONVERSION DEL ROLLO EN M</t>
  </si>
  <si>
    <t>CANTIDAD DE PRODUCTOS</t>
  </si>
  <si>
    <t>CANTIDAD TOTAL DE MATERIAL EN      M</t>
  </si>
  <si>
    <t>ESTA TABLA ESTA DISEÑADA PARA CONVERTIR LAS MEDIDAS DE LOS ROLLOS DE MATERIAL QUE HAY EN EL ALMACEN DE CDMC</t>
  </si>
  <si>
    <t>MEDIDAS DE MATERIALES ANCHO EN DECIMETROS</t>
  </si>
  <si>
    <t>CANTIDAD DM²</t>
  </si>
  <si>
    <t>MEDIDAS DE MATERIALES ANCHO EN METROS</t>
  </si>
  <si>
    <t>CANTIDAD M²</t>
  </si>
  <si>
    <t>VALOR</t>
  </si>
  <si>
    <t>MEDIDAS DE ANCHO EN CM</t>
  </si>
  <si>
    <t>Argolla Plastica de 1 1/2"- 40mm ( unidad)</t>
  </si>
  <si>
    <t>argolla para llaveros</t>
  </si>
  <si>
    <t xml:space="preserve">argolla plana 1" ¼ niquel </t>
  </si>
  <si>
    <t xml:space="preserve">argolla plana 2" niquel </t>
  </si>
  <si>
    <t xml:space="preserve">argolla  1" niquel </t>
  </si>
  <si>
    <t xml:space="preserve">argolla 1" ¼ niquel </t>
  </si>
  <si>
    <t xml:space="preserve">argolla  1"  ½ niquel </t>
  </si>
  <si>
    <t>argolla  1" pb</t>
  </si>
  <si>
    <t>argolla 1"  ½ pb</t>
  </si>
  <si>
    <t>Broche Billetera (unidad)</t>
  </si>
  <si>
    <t>Broche Cazuela  Grande (unidad)</t>
  </si>
  <si>
    <t>Broche Cazuela Pequeño (unidad)</t>
  </si>
  <si>
    <t>Broche Iman Grande ( unidad)</t>
  </si>
  <si>
    <t>Broche Iman Mediano ( unidad)</t>
  </si>
  <si>
    <t>Broche Iman Pequeño ( unidad)</t>
  </si>
  <si>
    <t>Broche Torniquete (unidad)</t>
  </si>
  <si>
    <t>Cambrion Acerado (par)</t>
  </si>
  <si>
    <t>Cambrion de  lata  (par)</t>
  </si>
  <si>
    <t>Capellada en cuero o sintetico (ejercicios)</t>
  </si>
  <si>
    <t>Cesgo para ribetear 25 mm (cm)</t>
  </si>
  <si>
    <t>Cierres separables en pasta ( unidad)</t>
  </si>
  <si>
    <t>Cierres separables pavonados ( unidad)</t>
  </si>
  <si>
    <t>Cinta Falla de 25mm  (Cm)</t>
  </si>
  <si>
    <t>Cinta Protectora para Puntera de Seguridad (cm)</t>
  </si>
  <si>
    <t>Cola de Rata#3 (cm)</t>
  </si>
  <si>
    <t>Cola de Rata#4 (cm)</t>
  </si>
  <si>
    <t>Cola de Rata#8 (cm)</t>
  </si>
  <si>
    <t xml:space="preserve">Cordon Algodón Poliester 110 cm  (par) </t>
  </si>
  <si>
    <t xml:space="preserve">Cordon Algodón Poliester 60 cm  (par) </t>
  </si>
  <si>
    <t xml:space="preserve">Cordon Algodón Poliester 90 cm  (par) </t>
  </si>
  <si>
    <t>Cremallera Nylon #4(cm)</t>
  </si>
  <si>
    <t>Crepe #3   (cm²)</t>
  </si>
  <si>
    <r>
      <rPr>
        <sz val="10"/>
        <color theme="1"/>
        <rFont val="Arial"/>
        <family val="2"/>
      </rPr>
      <t xml:space="preserve">cuadrante </t>
    </r>
    <r>
      <rPr>
        <sz val="11"/>
        <color rgb="FF000000"/>
        <rFont val="Calibri"/>
        <family val="2"/>
      </rPr>
      <t>½</t>
    </r>
    <r>
      <rPr>
        <sz val="10"/>
        <color rgb="FF000000"/>
        <rFont val="Arial"/>
        <family val="2"/>
      </rPr>
      <t xml:space="preserve"> niquel </t>
    </r>
  </si>
  <si>
    <r>
      <rPr>
        <sz val="10"/>
        <color theme="1"/>
        <rFont val="Arial"/>
        <family val="2"/>
      </rPr>
      <t xml:space="preserve">cuadrante </t>
    </r>
    <r>
      <rPr>
        <sz val="11"/>
        <color rgb="FF000000"/>
        <rFont val="Calibri"/>
        <family val="2"/>
      </rPr>
      <t xml:space="preserve">¾ </t>
    </r>
    <r>
      <rPr>
        <sz val="10"/>
        <color rgb="FF000000"/>
        <rFont val="Arial"/>
        <family val="2"/>
      </rPr>
      <t xml:space="preserve">niquel </t>
    </r>
  </si>
  <si>
    <t xml:space="preserve">cuadrante 1" ¼ niquel </t>
  </si>
  <si>
    <t xml:space="preserve">cuadrante 1"  ½ niquel </t>
  </si>
  <si>
    <t xml:space="preserve">cuadrante 2" niquel </t>
  </si>
  <si>
    <r>
      <rPr>
        <sz val="10"/>
        <color theme="1"/>
        <rFont val="Arial"/>
        <family val="2"/>
      </rPr>
      <t xml:space="preserve">cuadrante </t>
    </r>
    <r>
      <rPr>
        <sz val="11"/>
        <color rgb="FF000000"/>
        <rFont val="Calibri"/>
        <family val="2"/>
      </rPr>
      <t>½</t>
    </r>
    <r>
      <rPr>
        <sz val="10"/>
        <color rgb="FF000000"/>
        <rFont val="Arial"/>
        <family val="2"/>
      </rPr>
      <t xml:space="preserve"> pb</t>
    </r>
  </si>
  <si>
    <r>
      <rPr>
        <sz val="10"/>
        <color theme="1"/>
        <rFont val="Arial"/>
        <family val="2"/>
      </rPr>
      <t xml:space="preserve">cuadrante </t>
    </r>
    <r>
      <rPr>
        <sz val="11"/>
        <color rgb="FF000000"/>
        <rFont val="Calibri"/>
        <family val="2"/>
      </rPr>
      <t>¾ pb</t>
    </r>
  </si>
  <si>
    <t>cuadrante 1" pb</t>
  </si>
  <si>
    <t xml:space="preserve">cuadrante 1"¼ pb </t>
  </si>
  <si>
    <t>cuadrante 1"  ½ pb</t>
  </si>
  <si>
    <t>Cuero DIAN (dm2)</t>
  </si>
  <si>
    <t>Cuero  Badana Natural  (Dm2)</t>
  </si>
  <si>
    <t>Cuero carnaza  (Dm2)</t>
  </si>
  <si>
    <t>Cuero Dotacion (Dm2)</t>
  </si>
  <si>
    <t>Cuero Napa confeccion (Dm2)</t>
  </si>
  <si>
    <t>Cuero Nubuk  (Dm2)</t>
  </si>
  <si>
    <t>Cuero Pelo  (Dm2)</t>
  </si>
  <si>
    <t>Cuero Tala  (Dm2)</t>
  </si>
  <si>
    <t>Cuero tala para talla del valle (Dm2)</t>
  </si>
  <si>
    <t>Cuero Vaqueta Amarilla (Dm2)</t>
  </si>
  <si>
    <t>Cuero vaqueta Tanino (Dm2)</t>
  </si>
  <si>
    <t>Elastico 25mm (cm)</t>
  </si>
  <si>
    <t>Embono Plastico#3  (cm)</t>
  </si>
  <si>
    <t>Emulsion Acabados en Cuero 200ml</t>
  </si>
  <si>
    <t>Entretela fusionable para cuero  (cm²)</t>
  </si>
  <si>
    <t>Espuma Multifor de 0.3 mm  (cm²)</t>
  </si>
  <si>
    <t>Espuma multifor densidad 40 de  (cm²)</t>
  </si>
  <si>
    <t>EVA espuma para suelas (cm²)</t>
  </si>
  <si>
    <t>Forro Badana Sintetica  (cm²)</t>
  </si>
  <si>
    <t>Forro Cerdo  (Dm2)</t>
  </si>
  <si>
    <t>Forro cuero Marquilla  (Dm2)</t>
  </si>
  <si>
    <t>Forro Malla  (cm²)</t>
  </si>
  <si>
    <t>Forro para calzado piquet (terry)   (cm²)</t>
  </si>
  <si>
    <t xml:space="preserve">hebilla grande 1" ¼ niquel </t>
  </si>
  <si>
    <t xml:space="preserve">hebilla 1" ¼ niquel </t>
  </si>
  <si>
    <t xml:space="preserve">hebilla grande  1"  ½ niquel </t>
  </si>
  <si>
    <t>hebilla  1" pb</t>
  </si>
  <si>
    <t xml:space="preserve">hebilla  1"¼ pb </t>
  </si>
  <si>
    <t xml:space="preserve">hebilla de cinturon </t>
  </si>
  <si>
    <t>hebilla pequaña niquel</t>
  </si>
  <si>
    <r>
      <rPr>
        <sz val="10"/>
        <color theme="1"/>
        <rFont val="Arial"/>
        <family val="2"/>
      </rPr>
      <t xml:space="preserve">hebilla  </t>
    </r>
    <r>
      <rPr>
        <sz val="11"/>
        <color rgb="FF000000"/>
        <rFont val="Calibri"/>
        <family val="2"/>
      </rPr>
      <t>¾ negra</t>
    </r>
  </si>
  <si>
    <t>Hiladilla (cm)</t>
  </si>
  <si>
    <t>Lambrilla de 4mm  (cm²)</t>
  </si>
  <si>
    <t xml:space="preserve">llaves #4 Nq sencillas </t>
  </si>
  <si>
    <t xml:space="preserve">llaves #4 Pb </t>
  </si>
  <si>
    <t xml:space="preserve">llaves #3 Nq de lujo </t>
  </si>
  <si>
    <t xml:space="preserve">llaves #3 Pb </t>
  </si>
  <si>
    <t>Lona sintetica Polar  (cm²)</t>
  </si>
  <si>
    <t xml:space="preserve">media argolla  1" niquel </t>
  </si>
  <si>
    <t xml:space="preserve">media argolla 1" ¼ niquel </t>
  </si>
  <si>
    <t xml:space="preserve">media argolla  1"  ½ niquel </t>
  </si>
  <si>
    <t>media argolla  1" pb</t>
  </si>
  <si>
    <t>media argolla 1"  ½ pb</t>
  </si>
  <si>
    <t>Mosqueton 1 1/4"-33mm (unidad)</t>
  </si>
  <si>
    <t>Mosqueton 1"-25mm ( unidad)</t>
  </si>
  <si>
    <t>Mosqueton 10mm ( unidad)</t>
  </si>
  <si>
    <t>Neolite#3   (cm²)</t>
  </si>
  <si>
    <t>Odena #1  (cm²)</t>
  </si>
  <si>
    <t>Odena vulcan# 1.5  (cm²)</t>
  </si>
  <si>
    <t>Odena#0,8  (cm²)</t>
  </si>
  <si>
    <t>Ojalete 1/8 (unidad)</t>
  </si>
  <si>
    <t xml:space="preserve">Ojalete 3/16 (unidad) </t>
  </si>
  <si>
    <t>Ojalete 3/4" ( unidad)</t>
  </si>
  <si>
    <t>Ojalete Bota Industrial 5/32" ( unidad)</t>
  </si>
  <si>
    <t>Pirigallo (unidad)</t>
  </si>
  <si>
    <t>Puntera Protectora (par)</t>
  </si>
  <si>
    <t>Reata Algodón 1 1/2"- 40mm (cm)</t>
  </si>
  <si>
    <t>Reata sintetica 1 1/4"-33mm (cm)</t>
  </si>
  <si>
    <t>Reata sintetica 1"-25mm (cm)</t>
  </si>
  <si>
    <r>
      <rPr>
        <sz val="10"/>
        <color theme="1"/>
        <rFont val="Arial"/>
        <family val="2"/>
      </rPr>
      <t xml:space="preserve">Remache  doble cabeza </t>
    </r>
    <r>
      <rPr>
        <i/>
        <sz val="10"/>
        <color rgb="FF000000"/>
        <rFont val="Arial"/>
        <family val="2"/>
      </rPr>
      <t># 8 (unidad)</t>
    </r>
  </si>
  <si>
    <r>
      <rPr>
        <sz val="10"/>
        <color theme="1"/>
        <rFont val="Arial"/>
        <family val="2"/>
      </rPr>
      <t xml:space="preserve">Remache doble cabeza </t>
    </r>
    <r>
      <rPr>
        <i/>
        <sz val="10"/>
        <color rgb="FF000000"/>
        <rFont val="Arial"/>
        <family val="2"/>
      </rPr>
      <t># 4 (unidad)</t>
    </r>
  </si>
  <si>
    <r>
      <rPr>
        <sz val="10"/>
        <color theme="1"/>
        <rFont val="Arial"/>
        <family val="2"/>
      </rPr>
      <t xml:space="preserve">Remache doble cabeza </t>
    </r>
    <r>
      <rPr>
        <i/>
        <sz val="10"/>
        <color rgb="FF000000"/>
        <rFont val="Arial"/>
        <family val="2"/>
      </rPr>
      <t># 6 (unidad)</t>
    </r>
  </si>
  <si>
    <r>
      <rPr>
        <sz val="10"/>
        <color theme="1"/>
        <rFont val="Arial"/>
        <family val="2"/>
      </rPr>
      <t xml:space="preserve">Remache tubular doble cabeza </t>
    </r>
    <r>
      <rPr>
        <i/>
        <sz val="10"/>
        <color rgb="FF000000"/>
        <rFont val="Arial"/>
        <family val="2"/>
      </rPr>
      <t># 12 (unidad)</t>
    </r>
  </si>
  <si>
    <r>
      <rPr>
        <sz val="10"/>
        <color theme="1"/>
        <rFont val="Arial"/>
        <family val="2"/>
      </rPr>
      <t xml:space="preserve">Remache tubular sencillo </t>
    </r>
    <r>
      <rPr>
        <i/>
        <sz val="10"/>
        <color rgb="FF000000"/>
        <rFont val="Arial"/>
        <family val="2"/>
      </rPr>
      <t># 12 (unidad)</t>
    </r>
  </si>
  <si>
    <r>
      <rPr>
        <sz val="10"/>
        <color theme="1"/>
        <rFont val="Arial"/>
        <family val="2"/>
      </rPr>
      <t xml:space="preserve">Remache tubular sencillo </t>
    </r>
    <r>
      <rPr>
        <i/>
        <sz val="10"/>
        <color rgb="FF000000"/>
        <rFont val="Arial"/>
        <family val="2"/>
      </rPr>
      <t># 4 (unidad)</t>
    </r>
  </si>
  <si>
    <r>
      <rPr>
        <sz val="10"/>
        <color theme="1"/>
        <rFont val="Arial"/>
        <family val="2"/>
      </rPr>
      <t xml:space="preserve">Remache tubular sencillo </t>
    </r>
    <r>
      <rPr>
        <i/>
        <sz val="10"/>
        <color rgb="FF000000"/>
        <rFont val="Arial"/>
        <family val="2"/>
      </rPr>
      <t># 6 (unidad)</t>
    </r>
  </si>
  <si>
    <r>
      <rPr>
        <sz val="10"/>
        <color theme="1"/>
        <rFont val="Arial"/>
        <family val="2"/>
      </rPr>
      <t xml:space="preserve">Remache tubular sencillo </t>
    </r>
    <r>
      <rPr>
        <i/>
        <sz val="10"/>
        <color rgb="FF000000"/>
        <rFont val="Arial"/>
        <family val="2"/>
      </rPr>
      <t># 8 (unidad)</t>
    </r>
  </si>
  <si>
    <t>Salpa 0.5mm   (cm²)</t>
  </si>
  <si>
    <t>Sedas   (cm²)</t>
  </si>
  <si>
    <t>Sintetico  (cm²)</t>
  </si>
  <si>
    <t>Sintetico Delgado  (cm²)</t>
  </si>
  <si>
    <t>Solven 617  (cm²)</t>
  </si>
  <si>
    <t>Solven 619  (cm²)</t>
  </si>
  <si>
    <t>Suela Baleta TR dama  (par)</t>
  </si>
  <si>
    <t>Suela Colegial (par)</t>
  </si>
  <si>
    <t>Suela Dotaion (par)</t>
  </si>
  <si>
    <t>Suela en PVC para sandalia de dama 2 1/2   (par)</t>
  </si>
  <si>
    <t>Suela TR Hombre  (par)</t>
  </si>
  <si>
    <t>Suelas varias ejercicios (par)</t>
  </si>
  <si>
    <t>Tachuela Mosca  2 1/2 (caja)</t>
  </si>
  <si>
    <t>Tacon dama 5 1/2   7 1/2 (par)</t>
  </si>
  <si>
    <t>Tornillo Cinturon (unidad)</t>
  </si>
  <si>
    <t xml:space="preserve">trabilla 1"  ½ niquel </t>
  </si>
  <si>
    <t xml:space="preserve">trabilla 2" niquel </t>
  </si>
  <si>
    <t>trabilla 1" pb</t>
  </si>
  <si>
    <t xml:space="preserve">trabilla 1"¼ pb </t>
  </si>
  <si>
    <t>velcro</t>
  </si>
  <si>
    <t>Yumbolon 3mm  (cm²)</t>
  </si>
  <si>
    <t>Yumbolon 4mm  (cm²)</t>
  </si>
  <si>
    <t>trabilla 1"  ½ pb</t>
  </si>
  <si>
    <t>PEDIDO MATERIALES</t>
  </si>
  <si>
    <t>UNIDAD DE COMPRA</t>
  </si>
  <si>
    <t>VALOR UNIDAD DE COMPRA</t>
  </si>
  <si>
    <t>CANTIDAD A PEDIR</t>
  </si>
  <si>
    <t>VALOR TOTAL</t>
  </si>
  <si>
    <t>interlon   (metro)</t>
  </si>
  <si>
    <t>cambre de 100gr   (metro)</t>
  </si>
  <si>
    <t>odena #1   ( hoja)</t>
  </si>
  <si>
    <t>lámina</t>
  </si>
  <si>
    <t>odena vulcan 1.5   ( hoja)</t>
  </si>
  <si>
    <t>odena vulcan 0.5   ( hoja)</t>
  </si>
  <si>
    <t>espuma eva de 15mm colores  (hoja)</t>
  </si>
  <si>
    <t>Cartulina bristol 70*100   (pliego)</t>
  </si>
  <si>
    <t>pliego</t>
  </si>
  <si>
    <t>bolsa plastica de 12*14 ( unidad)</t>
  </si>
  <si>
    <t>unnidad</t>
  </si>
  <si>
    <t>Cinta de enmascarar de 1"  (royo)</t>
  </si>
  <si>
    <t>royo</t>
  </si>
  <si>
    <t>limpiador AT 20    ( galón)</t>
  </si>
  <si>
    <t>galón</t>
  </si>
  <si>
    <t>pegante - pega 396    ( galón)</t>
  </si>
  <si>
    <t>pegante - solucion de caucho    ( galón)</t>
  </si>
  <si>
    <t>seda 30-100 colores   (metro)</t>
  </si>
  <si>
    <t>suela en PVC para sandalia de dama 2 1/2   (par)</t>
  </si>
  <si>
    <t>tiras sintetico para sandalias  (metro)</t>
  </si>
  <si>
    <t>sintetico delgado  (metro)</t>
  </si>
  <si>
    <t>remache tubular # 4 niquel sencillo</t>
  </si>
  <si>
    <t>millar</t>
  </si>
  <si>
    <t>remache tubular # 6 niquel sencillo</t>
  </si>
  <si>
    <t>remache tubular # 8 niquel sencillo</t>
  </si>
  <si>
    <t>remache tubular # 4 pavonado sencillo</t>
  </si>
  <si>
    <t>remache tubular # 6 pavonado sencillo</t>
  </si>
  <si>
    <t>remache tubular # 8 pavonado sencillo</t>
  </si>
  <si>
    <t xml:space="preserve">remache tubular # 4 niquel doble cabeza </t>
  </si>
  <si>
    <t>remache tubular # 8 pavonado doble cabeza</t>
  </si>
  <si>
    <t>remache tubular # 6 niquel doble cabeza</t>
  </si>
  <si>
    <t>remache tubular # 4 pavonado doble cabeza</t>
  </si>
  <si>
    <t>remache tubular # 6 pavonado doble cabeza</t>
  </si>
  <si>
    <t>NOTA: Estos valores son tomados del ultimo pedido del 2011</t>
  </si>
  <si>
    <t xml:space="preserve">hilo # 40 1|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</si>
</sst>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\ #,##0"/>
    <numFmt numFmtId="165" formatCode="0.0"/>
    <numFmt numFmtId="166" formatCode="&quot;$&quot;\ #,##0.0"/>
    <numFmt numFmtId="167" formatCode="&quot;$&quot;#,##0.0"/>
    <numFmt numFmtId="168" formatCode="#,##0.0"/>
    <numFmt numFmtId="169" formatCode="_-* #,##0.0\ _€_-;\-* #,##0.0\ _€_-;_-* &quot;-&quot;??\ _€_-;_-@"/>
    <numFmt numFmtId="170" formatCode="_(&quot;$&quot;\ * #,##0.00_);_(&quot;$&quot;\ * \(#,##0.00\);_(&quot;$&quot;\ * &quot;-&quot;??_);_(@_)"/>
  </numFmts>
  <fonts count="45" x14ac:knownFonts="1">
    <font>
      <sz val="10"/>
      <color rgb="FF000000"/>
      <name val="Arial"/>
      <scheme val="minor"/>
    </font>
    <font>
      <b/>
      <sz val="14"/>
      <color rgb="FFFF0000"/>
      <name val="Calibri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8"/>
      <color rgb="FFFF0000"/>
      <name val="Calibri"/>
      <family val="2"/>
    </font>
    <font>
      <b/>
      <sz val="12"/>
      <color theme="1"/>
      <name val="Calibri"/>
      <family val="2"/>
    </font>
    <font>
      <sz val="22"/>
      <color rgb="FFFF0000"/>
      <name val="Calibri"/>
      <family val="2"/>
    </font>
    <font>
      <b/>
      <sz val="20"/>
      <color rgb="FFFF0000"/>
      <name val="Calibri"/>
      <family val="2"/>
    </font>
    <font>
      <sz val="6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rgb="FFFF0000"/>
      <name val="Calibri"/>
      <family val="2"/>
    </font>
    <font>
      <b/>
      <sz val="8"/>
      <color theme="1"/>
      <name val="Calibri"/>
      <family val="2"/>
    </font>
    <font>
      <sz val="10"/>
      <color rgb="FF000000"/>
      <name val="Calibri"/>
      <family val="2"/>
    </font>
    <font>
      <b/>
      <sz val="16"/>
      <color theme="1"/>
      <name val="Calibri"/>
      <family val="2"/>
    </font>
    <font>
      <b/>
      <sz val="22"/>
      <color rgb="FF4F6128"/>
      <name val="Calibri"/>
      <family val="2"/>
    </font>
    <font>
      <b/>
      <sz val="10"/>
      <color rgb="FFFF0000"/>
      <name val="Calibri"/>
      <family val="2"/>
    </font>
    <font>
      <b/>
      <sz val="8"/>
      <color rgb="FFFF0000"/>
      <name val="Calibri"/>
      <family val="2"/>
    </font>
    <font>
      <b/>
      <sz val="8"/>
      <color rgb="FF000000"/>
      <name val="Calibri"/>
      <family val="2"/>
    </font>
    <font>
      <b/>
      <sz val="6"/>
      <color rgb="FF000000"/>
      <name val="Calibri"/>
      <family val="2"/>
    </font>
    <font>
      <sz val="20"/>
      <color rgb="FF1D1B10"/>
      <name val="Calibri"/>
      <family val="2"/>
    </font>
    <font>
      <sz val="9"/>
      <color theme="1"/>
      <name val="Calibri"/>
      <family val="2"/>
    </font>
    <font>
      <b/>
      <sz val="5"/>
      <color theme="1"/>
      <name val="Calibri"/>
      <family val="2"/>
    </font>
    <font>
      <b/>
      <sz val="7"/>
      <color rgb="FF000000"/>
      <name val="Calibri"/>
      <family val="2"/>
    </font>
    <font>
      <b/>
      <sz val="8"/>
      <color theme="1"/>
      <name val="Arial"/>
      <family val="2"/>
    </font>
    <font>
      <sz val="12"/>
      <color theme="1"/>
      <name val="Calibri"/>
      <family val="2"/>
    </font>
    <font>
      <sz val="12"/>
      <color rgb="FFFF0000"/>
      <name val="Calibri"/>
      <family val="2"/>
    </font>
    <font>
      <b/>
      <sz val="8"/>
      <color rgb="FF000000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6"/>
      <color theme="1"/>
      <name val="Calibri"/>
      <family val="2"/>
    </font>
    <font>
      <b/>
      <sz val="11"/>
      <color rgb="FFFF000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1"/>
      <name val="Calibri"/>
      <family val="2"/>
    </font>
    <font>
      <b/>
      <sz val="9"/>
      <color rgb="FFFF0000"/>
      <name val="Calibri"/>
      <family val="2"/>
    </font>
    <font>
      <sz val="11"/>
      <color rgb="FFFF0000"/>
      <name val="Calibri"/>
      <family val="2"/>
    </font>
    <font>
      <b/>
      <sz val="7"/>
      <color rgb="FF000000"/>
      <name val="Arial"/>
      <family val="2"/>
    </font>
    <font>
      <b/>
      <sz val="16"/>
      <color theme="1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C2D69B"/>
        <bgColor rgb="FFC2D69B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EEECE1"/>
        <bgColor rgb="FFEEECE1"/>
      </patternFill>
    </fill>
    <fill>
      <patternFill patternType="solid">
        <fgColor rgb="FFDAEEF3"/>
        <bgColor rgb="FFDAEEF3"/>
      </patternFill>
    </fill>
    <fill>
      <patternFill patternType="solid">
        <fgColor rgb="FFEAF1DD"/>
        <bgColor rgb="FFEAF1DD"/>
      </patternFill>
    </fill>
    <fill>
      <patternFill patternType="solid">
        <fgColor rgb="FF76923C"/>
        <bgColor rgb="FF76923C"/>
      </patternFill>
    </fill>
    <fill>
      <patternFill patternType="solid">
        <fgColor rgb="FFD6E3BC"/>
        <bgColor rgb="FFD6E3BC"/>
      </patternFill>
    </fill>
    <fill>
      <patternFill patternType="solid">
        <fgColor rgb="FFFDE9D9"/>
        <bgColor rgb="FFFDE9D9"/>
      </patternFill>
    </fill>
    <fill>
      <patternFill patternType="solid">
        <fgColor rgb="FFFFFF00"/>
        <bgColor rgb="FFFFFF00"/>
      </patternFill>
    </fill>
    <fill>
      <patternFill patternType="solid">
        <fgColor rgb="FFFABF8F"/>
        <bgColor rgb="FFFABF8F"/>
      </patternFill>
    </fill>
    <fill>
      <patternFill patternType="solid">
        <fgColor rgb="FFFBD4B4"/>
        <bgColor rgb="FFFBD4B4"/>
      </patternFill>
    </fill>
    <fill>
      <patternFill patternType="solid">
        <fgColor rgb="FF00B050"/>
        <bgColor rgb="FF00B050"/>
      </patternFill>
    </fill>
    <fill>
      <patternFill patternType="solid">
        <fgColor theme="1"/>
        <bgColor theme="1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7">
    <xf numFmtId="0" fontId="0" fillId="0" borderId="0" xfId="0"/>
    <xf numFmtId="0" fontId="3" fillId="0" borderId="0" xfId="0" applyFont="1"/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14" fontId="5" fillId="2" borderId="2" xfId="0" applyNumberFormat="1" applyFont="1" applyFill="1" applyBorder="1" applyAlignment="1">
      <alignment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vertical="center"/>
    </xf>
    <xf numFmtId="14" fontId="4" fillId="2" borderId="2" xfId="0" applyNumberFormat="1" applyFont="1" applyFill="1" applyBorder="1" applyAlignment="1">
      <alignment wrapText="1"/>
    </xf>
    <xf numFmtId="1" fontId="5" fillId="2" borderId="4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1" fontId="5" fillId="3" borderId="1" xfId="0" applyNumberFormat="1" applyFont="1" applyFill="1" applyBorder="1"/>
    <xf numFmtId="1" fontId="15" fillId="3" borderId="1" xfId="0" applyNumberFormat="1" applyFont="1" applyFill="1" applyBorder="1"/>
    <xf numFmtId="165" fontId="14" fillId="3" borderId="1" xfId="0" applyNumberFormat="1" applyFont="1" applyFill="1" applyBorder="1" applyAlignment="1">
      <alignment horizontal="right"/>
    </xf>
    <xf numFmtId="166" fontId="14" fillId="3" borderId="1" xfId="0" applyNumberFormat="1" applyFont="1" applyFill="1" applyBorder="1" applyAlignment="1">
      <alignment horizontal="right"/>
    </xf>
    <xf numFmtId="167" fontId="14" fillId="3" borderId="1" xfId="0" applyNumberFormat="1" applyFont="1" applyFill="1" applyBorder="1" applyAlignment="1">
      <alignment horizontal="center"/>
    </xf>
    <xf numFmtId="167" fontId="5" fillId="3" borderId="1" xfId="0" applyNumberFormat="1" applyFont="1" applyFill="1" applyBorder="1" applyAlignment="1">
      <alignment horizontal="center" vertical="center"/>
    </xf>
    <xf numFmtId="2" fontId="19" fillId="5" borderId="1" xfId="0" applyNumberFormat="1" applyFont="1" applyFill="1" applyBorder="1" applyAlignment="1">
      <alignment horizontal="left" vertical="center" wrapText="1"/>
    </xf>
    <xf numFmtId="0" fontId="19" fillId="0" borderId="1" xfId="0" applyFont="1" applyBorder="1" applyAlignment="1">
      <alignment wrapText="1"/>
    </xf>
    <xf numFmtId="0" fontId="4" fillId="3" borderId="1" xfId="0" applyFont="1" applyFill="1" applyBorder="1" applyAlignment="1">
      <alignment vertical="center"/>
    </xf>
    <xf numFmtId="0" fontId="20" fillId="0" borderId="1" xfId="0" applyFont="1" applyBorder="1" applyAlignment="1">
      <alignment horizontal="center" vertical="center"/>
    </xf>
    <xf numFmtId="1" fontId="14" fillId="6" borderId="1" xfId="0" applyNumberFormat="1" applyFont="1" applyFill="1" applyBorder="1" applyAlignment="1">
      <alignment horizontal="center" vertical="center"/>
    </xf>
    <xf numFmtId="168" fontId="14" fillId="6" borderId="1" xfId="0" applyNumberFormat="1" applyFont="1" applyFill="1" applyBorder="1" applyAlignment="1">
      <alignment vertical="center"/>
    </xf>
    <xf numFmtId="165" fontId="18" fillId="2" borderId="1" xfId="0" applyNumberFormat="1" applyFont="1" applyFill="1" applyBorder="1" applyAlignment="1">
      <alignment vertical="center"/>
    </xf>
    <xf numFmtId="0" fontId="5" fillId="3" borderId="14" xfId="0" applyFont="1" applyFill="1" applyBorder="1" applyAlignment="1">
      <alignment horizontal="left"/>
    </xf>
    <xf numFmtId="0" fontId="7" fillId="8" borderId="1" xfId="0" applyFont="1" applyFill="1" applyBorder="1" applyAlignment="1">
      <alignment horizontal="center" vertical="center"/>
    </xf>
    <xf numFmtId="0" fontId="5" fillId="9" borderId="1" xfId="0" applyFont="1" applyFill="1" applyBorder="1"/>
    <xf numFmtId="49" fontId="25" fillId="9" borderId="1" xfId="0" applyNumberFormat="1" applyFont="1" applyFill="1" applyBorder="1" applyAlignment="1">
      <alignment horizontal="center" vertical="center"/>
    </xf>
    <xf numFmtId="165" fontId="5" fillId="9" borderId="1" xfId="0" applyNumberFormat="1" applyFont="1" applyFill="1" applyBorder="1" applyAlignment="1">
      <alignment vertical="center"/>
    </xf>
    <xf numFmtId="0" fontId="5" fillId="9" borderId="1" xfId="0" applyFont="1" applyFill="1" applyBorder="1" applyAlignment="1">
      <alignment horizontal="left"/>
    </xf>
    <xf numFmtId="0" fontId="5" fillId="0" borderId="0" xfId="0" applyFont="1"/>
    <xf numFmtId="2" fontId="3" fillId="9" borderId="15" xfId="0" applyNumberFormat="1" applyFont="1" applyFill="1" applyBorder="1" applyAlignment="1">
      <alignment horizontal="center" vertical="center" wrapText="1"/>
    </xf>
    <xf numFmtId="0" fontId="5" fillId="9" borderId="16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 vertical="center" wrapText="1"/>
    </xf>
    <xf numFmtId="14" fontId="7" fillId="2" borderId="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1" fontId="7" fillId="2" borderId="15" xfId="0" applyNumberFormat="1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2" borderId="18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29" fillId="9" borderId="1" xfId="0" applyFont="1" applyFill="1" applyBorder="1" applyAlignment="1">
      <alignment horizontal="left" vertical="center"/>
    </xf>
    <xf numFmtId="1" fontId="29" fillId="9" borderId="1" xfId="0" applyNumberFormat="1" applyFont="1" applyFill="1" applyBorder="1" applyAlignment="1">
      <alignment horizontal="center" vertical="center"/>
    </xf>
    <xf numFmtId="165" fontId="26" fillId="9" borderId="1" xfId="0" applyNumberFormat="1" applyFont="1" applyFill="1" applyBorder="1" applyAlignment="1">
      <alignment horizontal="center" vertical="center"/>
    </xf>
    <xf numFmtId="1" fontId="30" fillId="9" borderId="1" xfId="0" applyNumberFormat="1" applyFont="1" applyFill="1" applyBorder="1" applyAlignment="1">
      <alignment horizontal="center" vertical="center"/>
    </xf>
    <xf numFmtId="168" fontId="3" fillId="9" borderId="1" xfId="0" applyNumberFormat="1" applyFont="1" applyFill="1" applyBorder="1" applyAlignment="1">
      <alignment horizontal="right"/>
    </xf>
    <xf numFmtId="165" fontId="31" fillId="9" borderId="1" xfId="0" applyNumberFormat="1" applyFont="1" applyFill="1" applyBorder="1" applyAlignment="1">
      <alignment horizontal="center" vertical="top"/>
    </xf>
    <xf numFmtId="165" fontId="31" fillId="9" borderId="1" xfId="0" applyNumberFormat="1" applyFont="1" applyFill="1" applyBorder="1" applyAlignment="1">
      <alignment horizontal="center" vertical="center"/>
    </xf>
    <xf numFmtId="165" fontId="3" fillId="9" borderId="1" xfId="0" applyNumberFormat="1" applyFont="1" applyFill="1" applyBorder="1" applyAlignment="1">
      <alignment horizontal="center" vertical="top"/>
    </xf>
    <xf numFmtId="165" fontId="3" fillId="9" borderId="1" xfId="0" applyNumberFormat="1" applyFont="1" applyFill="1" applyBorder="1" applyAlignment="1">
      <alignment horizontal="center"/>
    </xf>
    <xf numFmtId="0" fontId="32" fillId="9" borderId="1" xfId="0" applyFont="1" applyFill="1" applyBorder="1"/>
    <xf numFmtId="165" fontId="26" fillId="9" borderId="1" xfId="0" applyNumberFormat="1" applyFont="1" applyFill="1" applyBorder="1" applyAlignment="1">
      <alignment vertical="center"/>
    </xf>
    <xf numFmtId="1" fontId="26" fillId="9" borderId="1" xfId="0" applyNumberFormat="1" applyFont="1" applyFill="1" applyBorder="1" applyAlignment="1">
      <alignment horizontal="right"/>
    </xf>
    <xf numFmtId="1" fontId="26" fillId="9" borderId="1" xfId="0" applyNumberFormat="1" applyFont="1" applyFill="1" applyBorder="1" applyAlignment="1">
      <alignment vertical="center"/>
    </xf>
    <xf numFmtId="165" fontId="31" fillId="9" borderId="16" xfId="0" applyNumberFormat="1" applyFont="1" applyFill="1" applyBorder="1" applyAlignment="1">
      <alignment horizontal="center" vertical="center"/>
    </xf>
    <xf numFmtId="165" fontId="3" fillId="9" borderId="16" xfId="0" applyNumberFormat="1" applyFont="1" applyFill="1" applyBorder="1" applyAlignment="1">
      <alignment horizontal="center" vertical="top"/>
    </xf>
    <xf numFmtId="165" fontId="3" fillId="9" borderId="16" xfId="0" applyNumberFormat="1" applyFont="1" applyFill="1" applyBorder="1" applyAlignment="1">
      <alignment horizontal="center"/>
    </xf>
    <xf numFmtId="0" fontId="33" fillId="3" borderId="21" xfId="0" applyFont="1" applyFill="1" applyBorder="1" applyAlignment="1">
      <alignment horizontal="left"/>
    </xf>
    <xf numFmtId="164" fontId="34" fillId="3" borderId="15" xfId="0" applyNumberFormat="1" applyFont="1" applyFill="1" applyBorder="1"/>
    <xf numFmtId="0" fontId="3" fillId="3" borderId="1" xfId="0" applyFont="1" applyFill="1" applyBorder="1"/>
    <xf numFmtId="165" fontId="31" fillId="3" borderId="1" xfId="0" applyNumberFormat="1" applyFont="1" applyFill="1" applyBorder="1" applyAlignment="1">
      <alignment horizontal="center" vertical="top"/>
    </xf>
    <xf numFmtId="0" fontId="31" fillId="3" borderId="1" xfId="0" applyFont="1" applyFill="1" applyBorder="1" applyAlignment="1">
      <alignment horizontal="center" vertical="center"/>
    </xf>
    <xf numFmtId="165" fontId="3" fillId="3" borderId="2" xfId="0" applyNumberFormat="1" applyFont="1" applyFill="1" applyBorder="1" applyAlignment="1">
      <alignment horizontal="center" vertical="top"/>
    </xf>
    <xf numFmtId="0" fontId="35" fillId="0" borderId="0" xfId="0" applyFont="1"/>
    <xf numFmtId="0" fontId="3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6" fillId="11" borderId="1" xfId="0" applyFont="1" applyFill="1" applyBorder="1" applyAlignment="1">
      <alignment horizontal="center" vertical="center"/>
    </xf>
    <xf numFmtId="0" fontId="26" fillId="11" borderId="1" xfId="0" applyFont="1" applyFill="1" applyBorder="1" applyAlignment="1">
      <alignment horizontal="center" vertical="center"/>
    </xf>
    <xf numFmtId="0" fontId="37" fillId="12" borderId="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38" fillId="4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/>
    </xf>
    <xf numFmtId="0" fontId="39" fillId="13" borderId="1" xfId="0" applyFont="1" applyFill="1" applyBorder="1" applyAlignment="1">
      <alignment horizontal="center" vertical="center"/>
    </xf>
    <xf numFmtId="2" fontId="3" fillId="12" borderId="1" xfId="0" applyNumberFormat="1" applyFont="1" applyFill="1" applyBorder="1"/>
    <xf numFmtId="2" fontId="3" fillId="4" borderId="1" xfId="0" applyNumberFormat="1" applyFont="1" applyFill="1" applyBorder="1"/>
    <xf numFmtId="0" fontId="37" fillId="13" borderId="1" xfId="0" applyFont="1" applyFill="1" applyBorder="1" applyAlignment="1">
      <alignment horizontal="center" vertical="center" wrapText="1"/>
    </xf>
    <xf numFmtId="165" fontId="3" fillId="4" borderId="1" xfId="0" applyNumberFormat="1" applyFont="1" applyFill="1" applyBorder="1"/>
    <xf numFmtId="165" fontId="39" fillId="13" borderId="1" xfId="0" applyNumberFormat="1" applyFont="1" applyFill="1" applyBorder="1" applyAlignment="1">
      <alignment horizontal="center" vertical="center"/>
    </xf>
    <xf numFmtId="0" fontId="31" fillId="4" borderId="1" xfId="0" applyFont="1" applyFill="1" applyBorder="1" applyAlignment="1">
      <alignment horizontal="center" vertical="center"/>
    </xf>
    <xf numFmtId="2" fontId="31" fillId="4" borderId="1" xfId="0" applyNumberFormat="1" applyFont="1" applyFill="1" applyBorder="1" applyAlignment="1">
      <alignment horizontal="center" vertical="center" wrapText="1"/>
    </xf>
    <xf numFmtId="2" fontId="31" fillId="4" borderId="2" xfId="0" applyNumberFormat="1" applyFont="1" applyFill="1" applyBorder="1" applyAlignment="1">
      <alignment horizontal="center" vertical="center"/>
    </xf>
    <xf numFmtId="0" fontId="3" fillId="4" borderId="1" xfId="0" applyFont="1" applyFill="1" applyBorder="1"/>
    <xf numFmtId="2" fontId="3" fillId="4" borderId="15" xfId="0" applyNumberFormat="1" applyFont="1" applyFill="1" applyBorder="1" applyAlignment="1">
      <alignment horizontal="center" vertical="center" wrapText="1"/>
    </xf>
    <xf numFmtId="2" fontId="3" fillId="4" borderId="2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2" fontId="3" fillId="4" borderId="1" xfId="0" applyNumberFormat="1" applyFont="1" applyFill="1" applyBorder="1" applyAlignment="1">
      <alignment horizontal="right"/>
    </xf>
    <xf numFmtId="2" fontId="3" fillId="4" borderId="1" xfId="0" applyNumberFormat="1" applyFont="1" applyFill="1" applyBorder="1" applyAlignment="1">
      <alignment horizontal="center" vertical="center" wrapText="1"/>
    </xf>
    <xf numFmtId="2" fontId="3" fillId="4" borderId="24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/>
    <xf numFmtId="0" fontId="3" fillId="3" borderId="1" xfId="0" applyFont="1" applyFill="1" applyBorder="1" applyAlignment="1">
      <alignment wrapText="1"/>
    </xf>
    <xf numFmtId="0" fontId="32" fillId="3" borderId="1" xfId="0" applyFont="1" applyFill="1" applyBorder="1" applyAlignment="1">
      <alignment wrapText="1"/>
    </xf>
    <xf numFmtId="0" fontId="26" fillId="3" borderId="1" xfId="0" applyFont="1" applyFill="1" applyBorder="1" applyAlignment="1">
      <alignment horizontal="left" vertical="center"/>
    </xf>
    <xf numFmtId="0" fontId="40" fillId="3" borderId="1" xfId="0" applyFont="1" applyFill="1" applyBorder="1" applyAlignment="1">
      <alignment horizontal="center" vertical="center"/>
    </xf>
    <xf numFmtId="0" fontId="40" fillId="3" borderId="1" xfId="0" applyFont="1" applyFill="1" applyBorder="1" applyAlignment="1">
      <alignment horizontal="center" vertical="top"/>
    </xf>
    <xf numFmtId="12" fontId="40" fillId="3" borderId="1" xfId="0" applyNumberFormat="1" applyFont="1" applyFill="1" applyBorder="1" applyAlignment="1">
      <alignment horizontal="center" vertical="top"/>
    </xf>
    <xf numFmtId="49" fontId="40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right"/>
    </xf>
    <xf numFmtId="170" fontId="41" fillId="3" borderId="1" xfId="0" applyNumberFormat="1" applyFont="1" applyFill="1" applyBorder="1"/>
    <xf numFmtId="0" fontId="3" fillId="3" borderId="26" xfId="0" applyFont="1" applyFill="1" applyBorder="1"/>
    <xf numFmtId="0" fontId="4" fillId="2" borderId="25" xfId="0" applyFont="1" applyFill="1" applyBorder="1" applyAlignment="1">
      <alignment vertical="center" wrapText="1"/>
    </xf>
    <xf numFmtId="0" fontId="10" fillId="2" borderId="17" xfId="0" applyFont="1" applyFill="1" applyBorder="1" applyAlignment="1">
      <alignment vertical="center" wrapText="1"/>
    </xf>
    <xf numFmtId="0" fontId="5" fillId="3" borderId="26" xfId="0" applyFont="1" applyFill="1" applyBorder="1"/>
    <xf numFmtId="0" fontId="18" fillId="0" borderId="2" xfId="0" applyFont="1" applyBorder="1" applyAlignment="1">
      <alignment horizontal="left" vertical="center"/>
    </xf>
    <xf numFmtId="165" fontId="18" fillId="3" borderId="26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left" vertical="center"/>
    </xf>
    <xf numFmtId="0" fontId="21" fillId="0" borderId="2" xfId="0" applyFont="1" applyBorder="1" applyAlignment="1">
      <alignment horizontal="left" vertical="center"/>
    </xf>
    <xf numFmtId="1" fontId="14" fillId="3" borderId="17" xfId="0" applyNumberFormat="1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/>
    </xf>
    <xf numFmtId="0" fontId="5" fillId="3" borderId="26" xfId="0" applyFont="1" applyFill="1" applyBorder="1" applyAlignment="1">
      <alignment horizontal="left"/>
    </xf>
    <xf numFmtId="0" fontId="7" fillId="3" borderId="26" xfId="0" applyFont="1" applyFill="1" applyBorder="1"/>
    <xf numFmtId="0" fontId="26" fillId="3" borderId="26" xfId="0" applyFont="1" applyFill="1" applyBorder="1" applyAlignment="1">
      <alignment horizontal="center" vertical="center"/>
    </xf>
    <xf numFmtId="169" fontId="26" fillId="3" borderId="26" xfId="0" applyNumberFormat="1" applyFont="1" applyFill="1" applyBorder="1" applyAlignment="1">
      <alignment horizontal="center"/>
    </xf>
    <xf numFmtId="169" fontId="26" fillId="3" borderId="26" xfId="0" applyNumberFormat="1" applyFont="1" applyFill="1" applyBorder="1" applyAlignment="1">
      <alignment vertical="center"/>
    </xf>
    <xf numFmtId="0" fontId="27" fillId="2" borderId="26" xfId="0" applyFont="1" applyFill="1" applyBorder="1" applyAlignment="1">
      <alignment horizontal="center" vertical="center" wrapText="1"/>
    </xf>
    <xf numFmtId="0" fontId="3" fillId="9" borderId="26" xfId="0" applyFont="1" applyFill="1" applyBorder="1"/>
    <xf numFmtId="0" fontId="33" fillId="3" borderId="26" xfId="0" applyFont="1" applyFill="1" applyBorder="1" applyAlignment="1">
      <alignment horizontal="left"/>
    </xf>
    <xf numFmtId="165" fontId="31" fillId="3" borderId="26" xfId="0" applyNumberFormat="1" applyFont="1" applyFill="1" applyBorder="1" applyAlignment="1">
      <alignment horizontal="center" vertical="top"/>
    </xf>
    <xf numFmtId="0" fontId="31" fillId="3" borderId="26" xfId="0" applyFont="1" applyFill="1" applyBorder="1" applyAlignment="1">
      <alignment horizontal="center" vertical="center"/>
    </xf>
    <xf numFmtId="165" fontId="3" fillId="3" borderId="26" xfId="0" applyNumberFormat="1" applyFont="1" applyFill="1" applyBorder="1" applyAlignment="1">
      <alignment horizontal="center" vertical="top"/>
    </xf>
    <xf numFmtId="0" fontId="3" fillId="15" borderId="26" xfId="0" applyFont="1" applyFill="1" applyBorder="1" applyAlignment="1">
      <alignment horizontal="center" vertical="center"/>
    </xf>
    <xf numFmtId="0" fontId="3" fillId="15" borderId="26" xfId="0" applyFont="1" applyFill="1" applyBorder="1"/>
    <xf numFmtId="2" fontId="3" fillId="4" borderId="26" xfId="0" applyNumberFormat="1" applyFont="1" applyFill="1" applyBorder="1"/>
    <xf numFmtId="2" fontId="3" fillId="3" borderId="26" xfId="0" applyNumberFormat="1" applyFont="1" applyFill="1" applyBorder="1" applyAlignment="1">
      <alignment horizontal="right"/>
    </xf>
    <xf numFmtId="2" fontId="3" fillId="3" borderId="26" xfId="0" applyNumberFormat="1" applyFont="1" applyFill="1" applyBorder="1"/>
    <xf numFmtId="1" fontId="23" fillId="7" borderId="2" xfId="0" applyNumberFormat="1" applyFont="1" applyFill="1" applyBorder="1" applyAlignment="1">
      <alignment horizontal="center" vertical="center"/>
    </xf>
    <xf numFmtId="0" fontId="2" fillId="0" borderId="3" xfId="0" applyFont="1" applyBorder="1"/>
    <xf numFmtId="0" fontId="2" fillId="0" borderId="15" xfId="0" applyFont="1" applyBorder="1"/>
    <xf numFmtId="0" fontId="24" fillId="3" borderId="2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 wrapText="1"/>
    </xf>
    <xf numFmtId="0" fontId="5" fillId="3" borderId="26" xfId="0" applyFont="1" applyFill="1" applyBorder="1" applyAlignment="1">
      <alignment horizontal="left"/>
    </xf>
    <xf numFmtId="0" fontId="2" fillId="0" borderId="26" xfId="0" applyFont="1" applyBorder="1"/>
    <xf numFmtId="0" fontId="22" fillId="2" borderId="2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0" fillId="0" borderId="0" xfId="0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164" fontId="17" fillId="2" borderId="23" xfId="0" applyNumberFormat="1" applyFont="1" applyFill="1" applyBorder="1" applyAlignment="1">
      <alignment horizontal="center" vertical="center"/>
    </xf>
    <xf numFmtId="0" fontId="2" fillId="0" borderId="21" xfId="0" applyFont="1" applyBorder="1"/>
    <xf numFmtId="0" fontId="2" fillId="0" borderId="23" xfId="0" applyFont="1" applyBorder="1"/>
    <xf numFmtId="0" fontId="2" fillId="0" borderId="18" xfId="0" applyFont="1" applyBorder="1"/>
    <xf numFmtId="0" fontId="2" fillId="0" borderId="24" xfId="0" applyFont="1" applyBorder="1"/>
    <xf numFmtId="0" fontId="16" fillId="2" borderId="23" xfId="0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center" vertical="center" wrapText="1"/>
    </xf>
    <xf numFmtId="0" fontId="2" fillId="0" borderId="13" xfId="0" applyFont="1" applyBorder="1"/>
    <xf numFmtId="164" fontId="17" fillId="2" borderId="14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vertical="center" wrapText="1"/>
    </xf>
    <xf numFmtId="0" fontId="7" fillId="2" borderId="17" xfId="0" applyFont="1" applyFill="1" applyBorder="1" applyAlignment="1">
      <alignment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/>
    </xf>
    <xf numFmtId="0" fontId="2" fillId="0" borderId="4" xfId="0" applyFont="1" applyBorder="1"/>
    <xf numFmtId="1" fontId="5" fillId="2" borderId="1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164" fontId="8" fillId="2" borderId="18" xfId="0" applyNumberFormat="1" applyFont="1" applyFill="1" applyBorder="1" applyAlignment="1">
      <alignment horizontal="center" vertical="center"/>
    </xf>
    <xf numFmtId="0" fontId="2" fillId="0" borderId="17" xfId="0" applyFont="1" applyBorder="1"/>
    <xf numFmtId="0" fontId="7" fillId="2" borderId="23" xfId="0" applyFont="1" applyFill="1" applyBorder="1" applyAlignment="1">
      <alignment horizontal="center" vertical="center"/>
    </xf>
    <xf numFmtId="1" fontId="9" fillId="2" borderId="2" xfId="0" applyNumberFormat="1" applyFont="1" applyFill="1" applyBorder="1" applyAlignment="1">
      <alignment horizontal="center" vertical="center" wrapText="1"/>
    </xf>
    <xf numFmtId="1" fontId="3" fillId="10" borderId="2" xfId="0" applyNumberFormat="1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 vertical="center" wrapText="1"/>
    </xf>
    <xf numFmtId="0" fontId="2" fillId="0" borderId="25" xfId="0" applyFont="1" applyBorder="1"/>
    <xf numFmtId="0" fontId="33" fillId="3" borderId="19" xfId="0" applyFont="1" applyFill="1" applyBorder="1" applyAlignment="1">
      <alignment horizontal="left"/>
    </xf>
    <xf numFmtId="0" fontId="2" fillId="0" borderId="22" xfId="0" applyFont="1" applyBorder="1"/>
    <xf numFmtId="0" fontId="2" fillId="0" borderId="20" xfId="0" applyFont="1" applyBorder="1"/>
    <xf numFmtId="0" fontId="30" fillId="9" borderId="14" xfId="0" applyFont="1" applyFill="1" applyBorder="1" applyAlignment="1">
      <alignment horizontal="center" vertical="center" wrapText="1"/>
    </xf>
    <xf numFmtId="0" fontId="26" fillId="14" borderId="2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/>
    </xf>
    <xf numFmtId="0" fontId="3" fillId="3" borderId="25" xfId="0" applyFont="1" applyFill="1" applyBorder="1" applyAlignment="1">
      <alignment horizontal="center"/>
    </xf>
    <xf numFmtId="0" fontId="3" fillId="3" borderId="26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257175</xdr:colOff>
      <xdr:row>8</xdr:row>
      <xdr:rowOff>28574</xdr:rowOff>
    </xdr:from>
    <xdr:ext cx="2981325" cy="31527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29350" y="2324099"/>
          <a:ext cx="2981325" cy="31527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7" workbookViewId="0">
      <selection activeCell="T15" sqref="T15"/>
    </sheetView>
  </sheetViews>
  <sheetFormatPr baseColWidth="10" defaultColWidth="12.5703125" defaultRowHeight="15" customHeight="1" x14ac:dyDescent="0.2"/>
  <cols>
    <col min="1" max="1" width="36.7109375" customWidth="1"/>
    <col min="2" max="2" width="13" hidden="1" customWidth="1"/>
    <col min="3" max="3" width="14.28515625" hidden="1" customWidth="1"/>
    <col min="4" max="4" width="15.85546875" customWidth="1"/>
    <col min="5" max="5" width="18.42578125" customWidth="1"/>
    <col min="6" max="6" width="18.5703125" customWidth="1"/>
    <col min="7" max="7" width="18" hidden="1" customWidth="1"/>
    <col min="8" max="8" width="17.28515625" hidden="1" customWidth="1"/>
    <col min="9" max="9" width="11.42578125" hidden="1" customWidth="1"/>
    <col min="10" max="10" width="15.5703125" customWidth="1"/>
    <col min="11" max="11" width="14.42578125" customWidth="1"/>
    <col min="12" max="12" width="10.7109375" customWidth="1"/>
    <col min="13" max="13" width="10.140625" customWidth="1"/>
    <col min="14" max="22" width="11.42578125" customWidth="1"/>
    <col min="23" max="26" width="10.7109375" customWidth="1"/>
  </cols>
  <sheetData>
    <row r="1" spans="1:26" ht="29.25" customHeight="1" x14ac:dyDescent="0.2">
      <c r="A1" s="164" t="s">
        <v>0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6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" customHeight="1" x14ac:dyDescent="0.2">
      <c r="A2" s="160" t="s">
        <v>1</v>
      </c>
      <c r="B2" s="136"/>
      <c r="C2" s="2"/>
      <c r="D2" s="165" t="s">
        <v>2</v>
      </c>
      <c r="E2" s="136"/>
      <c r="F2" s="166" t="s">
        <v>3</v>
      </c>
      <c r="G2" s="135"/>
      <c r="H2" s="136"/>
      <c r="I2" s="167">
        <v>1</v>
      </c>
      <c r="J2" s="171" t="s">
        <v>4</v>
      </c>
      <c r="K2" s="135"/>
      <c r="L2" s="135"/>
      <c r="M2" s="136"/>
      <c r="N2" s="107"/>
      <c r="O2" s="107"/>
      <c r="P2" s="107"/>
      <c r="Q2" s="107"/>
      <c r="R2" s="107"/>
      <c r="S2" s="107"/>
      <c r="T2" s="107"/>
      <c r="U2" s="107"/>
      <c r="V2" s="107"/>
      <c r="W2" s="1"/>
      <c r="X2" s="1"/>
      <c r="Y2" s="1"/>
      <c r="Z2" s="1"/>
    </row>
    <row r="3" spans="1:26" ht="20.25" customHeight="1" x14ac:dyDescent="0.2">
      <c r="A3" s="108" t="s">
        <v>5</v>
      </c>
      <c r="B3" s="3"/>
      <c r="C3" s="2"/>
      <c r="D3" s="169" t="s">
        <v>6</v>
      </c>
      <c r="E3" s="158"/>
      <c r="F3" s="165" t="s">
        <v>7</v>
      </c>
      <c r="G3" s="135"/>
      <c r="H3" s="136"/>
      <c r="I3" s="168"/>
      <c r="J3" s="172">
        <f>SUM(G8:G32)</f>
        <v>25650</v>
      </c>
      <c r="K3" s="173"/>
      <c r="L3" s="173"/>
      <c r="M3" s="155"/>
      <c r="N3" s="107"/>
      <c r="O3" s="107"/>
      <c r="P3" s="107"/>
      <c r="Q3" s="107"/>
      <c r="R3" s="107"/>
      <c r="S3" s="107"/>
      <c r="T3" s="107"/>
      <c r="U3" s="107"/>
      <c r="V3" s="107"/>
      <c r="W3" s="1"/>
      <c r="X3" s="1"/>
      <c r="Y3" s="1"/>
      <c r="Z3" s="1"/>
    </row>
    <row r="4" spans="1:26" ht="20.25" customHeight="1" x14ac:dyDescent="0.2">
      <c r="A4" s="4" t="s">
        <v>8</v>
      </c>
      <c r="B4" s="3"/>
      <c r="C4" s="3"/>
      <c r="D4" s="5"/>
      <c r="E4" s="6" t="s">
        <v>9</v>
      </c>
      <c r="F4" s="6" t="s">
        <v>10</v>
      </c>
      <c r="G4" s="170" t="s">
        <v>10</v>
      </c>
      <c r="H4" s="136"/>
      <c r="I4" s="167">
        <v>1</v>
      </c>
      <c r="J4" s="174" t="s">
        <v>11</v>
      </c>
      <c r="K4" s="140"/>
      <c r="L4" s="140"/>
      <c r="M4" s="152"/>
      <c r="N4" s="107"/>
      <c r="O4" s="107"/>
      <c r="P4" s="107"/>
      <c r="Q4" s="107"/>
      <c r="R4" s="107"/>
      <c r="S4" s="107"/>
      <c r="T4" s="107"/>
      <c r="U4" s="107"/>
      <c r="V4" s="107"/>
      <c r="W4" s="1"/>
      <c r="X4" s="1"/>
      <c r="Y4" s="1"/>
      <c r="Z4" s="1"/>
    </row>
    <row r="5" spans="1:26" ht="20.25" customHeight="1" x14ac:dyDescent="0.2">
      <c r="A5" s="7" t="s">
        <v>12</v>
      </c>
      <c r="B5" s="108"/>
      <c r="C5" s="8"/>
      <c r="D5" s="5">
        <v>44640</v>
      </c>
      <c r="E5" s="9">
        <v>1128404319</v>
      </c>
      <c r="F5" s="9">
        <v>2472805</v>
      </c>
      <c r="G5" s="3"/>
      <c r="H5" s="3"/>
      <c r="I5" s="168"/>
      <c r="J5" s="175">
        <v>12</v>
      </c>
      <c r="K5" s="135"/>
      <c r="L5" s="135"/>
      <c r="M5" s="136"/>
      <c r="N5" s="107"/>
      <c r="O5" s="107"/>
      <c r="P5" s="107"/>
      <c r="Q5" s="107"/>
      <c r="R5" s="107"/>
      <c r="S5" s="107"/>
      <c r="T5" s="107"/>
      <c r="U5" s="107"/>
      <c r="V5" s="107"/>
      <c r="W5" s="1"/>
      <c r="X5" s="1"/>
      <c r="Y5" s="1"/>
      <c r="Z5" s="1"/>
    </row>
    <row r="6" spans="1:26" ht="10.5" hidden="1" customHeight="1" x14ac:dyDescent="0.2">
      <c r="A6" s="161"/>
      <c r="B6" s="155"/>
      <c r="C6" s="109"/>
      <c r="D6" s="162"/>
      <c r="E6" s="136"/>
      <c r="F6" s="10"/>
      <c r="G6" s="163"/>
      <c r="H6" s="136"/>
      <c r="I6" s="110"/>
      <c r="N6" s="107"/>
      <c r="O6" s="107"/>
      <c r="P6" s="107"/>
      <c r="Q6" s="107"/>
      <c r="R6" s="107"/>
      <c r="S6" s="107"/>
      <c r="T6" s="107"/>
      <c r="U6" s="107"/>
      <c r="V6" s="107"/>
      <c r="W6" s="1"/>
      <c r="X6" s="1"/>
      <c r="Y6" s="1"/>
      <c r="Z6" s="1"/>
    </row>
    <row r="7" spans="1:26" ht="48.75" customHeight="1" x14ac:dyDescent="0.2">
      <c r="A7" s="11" t="s">
        <v>13</v>
      </c>
      <c r="B7" s="11" t="s">
        <v>14</v>
      </c>
      <c r="C7" s="11" t="s">
        <v>15</v>
      </c>
      <c r="D7" s="11" t="s">
        <v>16</v>
      </c>
      <c r="E7" s="11" t="s">
        <v>17</v>
      </c>
      <c r="F7" s="11" t="s">
        <v>18</v>
      </c>
      <c r="G7" s="12" t="s">
        <v>19</v>
      </c>
      <c r="H7" s="12" t="s">
        <v>20</v>
      </c>
      <c r="J7" s="142"/>
      <c r="K7" s="143"/>
      <c r="L7" s="143"/>
      <c r="M7" s="144"/>
      <c r="O7" s="107"/>
      <c r="P7" s="107"/>
      <c r="Q7" s="107"/>
      <c r="R7" s="107"/>
      <c r="S7" s="107"/>
      <c r="T7" s="107"/>
      <c r="U7" s="107"/>
      <c r="V7" s="1"/>
      <c r="W7" s="1"/>
      <c r="X7" s="1"/>
      <c r="Y7" s="1"/>
      <c r="Z7" s="1"/>
    </row>
    <row r="8" spans="1:26" ht="18" customHeight="1" x14ac:dyDescent="0.2">
      <c r="A8" s="13" t="s">
        <v>21</v>
      </c>
      <c r="B8" s="14">
        <f t="shared" ref="B8:B21" si="0">VLOOKUP(A8,INVENTARIO,2,FALSE)</f>
        <v>488</v>
      </c>
      <c r="C8" s="14">
        <f t="shared" ref="C8:C32" si="1">VLOOKUP(B8,broche,2,FALSE)</f>
        <v>1</v>
      </c>
      <c r="D8" s="15">
        <v>0</v>
      </c>
      <c r="E8" s="16">
        <v>24</v>
      </c>
      <c r="F8" s="17">
        <f t="shared" ref="F8:F32" si="2">F34/G34</f>
        <v>488</v>
      </c>
      <c r="G8" s="18">
        <f t="shared" ref="G8:G32" si="3">E8*F8*$I$2</f>
        <v>11712</v>
      </c>
      <c r="H8" s="19">
        <f t="shared" ref="H8:H32" si="4">H34*F8*E8</f>
        <v>140544</v>
      </c>
      <c r="I8" s="107"/>
      <c r="J8" s="145"/>
      <c r="K8" s="146"/>
      <c r="L8" s="146"/>
      <c r="M8" s="147"/>
      <c r="N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</row>
    <row r="9" spans="1:26" ht="18" customHeight="1" x14ac:dyDescent="0.2">
      <c r="A9" s="13" t="s">
        <v>22</v>
      </c>
      <c r="B9" s="14">
        <f t="shared" si="0"/>
        <v>0.5</v>
      </c>
      <c r="C9" s="14">
        <f t="shared" si="1"/>
        <v>1</v>
      </c>
      <c r="D9" s="15">
        <v>0</v>
      </c>
      <c r="E9" s="16">
        <v>7000</v>
      </c>
      <c r="F9" s="17">
        <f t="shared" si="2"/>
        <v>0.5</v>
      </c>
      <c r="G9" s="18">
        <f t="shared" si="3"/>
        <v>3500</v>
      </c>
      <c r="H9" s="19">
        <f t="shared" si="4"/>
        <v>42000</v>
      </c>
      <c r="I9" s="107"/>
      <c r="J9" s="145"/>
      <c r="K9" s="146"/>
      <c r="L9" s="146"/>
      <c r="M9" s="14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</row>
    <row r="10" spans="1:26" ht="18" customHeight="1" x14ac:dyDescent="0.2">
      <c r="A10" s="13" t="s">
        <v>23</v>
      </c>
      <c r="B10" s="14">
        <f t="shared" si="0"/>
        <v>6</v>
      </c>
      <c r="C10" s="14">
        <f t="shared" si="1"/>
        <v>1</v>
      </c>
      <c r="D10" s="15">
        <v>0</v>
      </c>
      <c r="E10" s="16">
        <v>100</v>
      </c>
      <c r="F10" s="17">
        <f t="shared" si="2"/>
        <v>6</v>
      </c>
      <c r="G10" s="18">
        <f t="shared" si="3"/>
        <v>600</v>
      </c>
      <c r="H10" s="19">
        <f t="shared" si="4"/>
        <v>7200</v>
      </c>
      <c r="I10" s="107"/>
      <c r="J10" s="145"/>
      <c r="K10" s="146"/>
      <c r="L10" s="146"/>
      <c r="M10" s="14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</row>
    <row r="11" spans="1:26" ht="18" customHeight="1" x14ac:dyDescent="0.2">
      <c r="A11" s="13" t="s">
        <v>24</v>
      </c>
      <c r="B11" s="14">
        <f t="shared" si="0"/>
        <v>300</v>
      </c>
      <c r="C11" s="14">
        <f t="shared" si="1"/>
        <v>1</v>
      </c>
      <c r="D11" s="15">
        <v>0</v>
      </c>
      <c r="E11" s="16">
        <v>3</v>
      </c>
      <c r="F11" s="17">
        <f t="shared" si="2"/>
        <v>300</v>
      </c>
      <c r="G11" s="18">
        <f t="shared" si="3"/>
        <v>900</v>
      </c>
      <c r="H11" s="19">
        <f t="shared" si="4"/>
        <v>10800</v>
      </c>
      <c r="I11" s="107"/>
      <c r="J11" s="145"/>
      <c r="K11" s="146"/>
      <c r="L11" s="146"/>
      <c r="M11" s="14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</row>
    <row r="12" spans="1:26" ht="18" customHeight="1" x14ac:dyDescent="0.2">
      <c r="A12" s="13" t="s">
        <v>25</v>
      </c>
      <c r="B12" s="14">
        <f t="shared" si="0"/>
        <v>3.4</v>
      </c>
      <c r="C12" s="14">
        <f t="shared" si="1"/>
        <v>1</v>
      </c>
      <c r="D12" s="15">
        <v>0</v>
      </c>
      <c r="E12" s="16">
        <v>20</v>
      </c>
      <c r="F12" s="17">
        <f t="shared" si="2"/>
        <v>3.4</v>
      </c>
      <c r="G12" s="18">
        <f t="shared" si="3"/>
        <v>68</v>
      </c>
      <c r="H12" s="19">
        <f t="shared" si="4"/>
        <v>816</v>
      </c>
      <c r="I12" s="107"/>
      <c r="J12" s="145"/>
      <c r="K12" s="146"/>
      <c r="L12" s="146"/>
      <c r="M12" s="14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</row>
    <row r="13" spans="1:26" ht="18" customHeight="1" x14ac:dyDescent="0.2">
      <c r="A13" s="13" t="s">
        <v>26</v>
      </c>
      <c r="B13" s="14">
        <f t="shared" si="0"/>
        <v>100</v>
      </c>
      <c r="C13" s="14">
        <f t="shared" si="1"/>
        <v>1</v>
      </c>
      <c r="D13" s="15">
        <v>0</v>
      </c>
      <c r="E13" s="16">
        <v>1</v>
      </c>
      <c r="F13" s="17">
        <f t="shared" si="2"/>
        <v>100</v>
      </c>
      <c r="G13" s="18">
        <f t="shared" si="3"/>
        <v>100</v>
      </c>
      <c r="H13" s="19">
        <f t="shared" si="4"/>
        <v>1200</v>
      </c>
      <c r="I13" s="107"/>
      <c r="J13" s="145"/>
      <c r="K13" s="146"/>
      <c r="L13" s="146"/>
      <c r="M13" s="14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</row>
    <row r="14" spans="1:26" ht="18" customHeight="1" x14ac:dyDescent="0.2">
      <c r="A14" s="13" t="s">
        <v>27</v>
      </c>
      <c r="B14" s="14">
        <f t="shared" si="0"/>
        <v>0.25</v>
      </c>
      <c r="C14" s="14">
        <f t="shared" si="1"/>
        <v>1</v>
      </c>
      <c r="D14" s="15"/>
      <c r="E14" s="16">
        <v>7000</v>
      </c>
      <c r="F14" s="17">
        <f t="shared" si="2"/>
        <v>0.25</v>
      </c>
      <c r="G14" s="18">
        <f t="shared" si="3"/>
        <v>1750</v>
      </c>
      <c r="H14" s="19">
        <f t="shared" si="4"/>
        <v>21000</v>
      </c>
      <c r="I14" s="107"/>
      <c r="J14" s="145"/>
      <c r="K14" s="146"/>
      <c r="L14" s="146"/>
      <c r="M14" s="14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</row>
    <row r="15" spans="1:26" ht="18" customHeight="1" x14ac:dyDescent="0.2">
      <c r="A15" s="13" t="s">
        <v>28</v>
      </c>
      <c r="B15" s="14">
        <f t="shared" si="0"/>
        <v>0.42</v>
      </c>
      <c r="C15" s="14">
        <f t="shared" si="1"/>
        <v>1</v>
      </c>
      <c r="D15" s="15">
        <v>0</v>
      </c>
      <c r="E15" s="16">
        <v>1200</v>
      </c>
      <c r="F15" s="17">
        <f t="shared" si="2"/>
        <v>0.42</v>
      </c>
      <c r="G15" s="18">
        <f t="shared" si="3"/>
        <v>504</v>
      </c>
      <c r="H15" s="19">
        <f t="shared" si="4"/>
        <v>6048</v>
      </c>
      <c r="I15" s="107"/>
      <c r="J15" s="145"/>
      <c r="K15" s="146"/>
      <c r="L15" s="146"/>
      <c r="M15" s="14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</row>
    <row r="16" spans="1:26" ht="18" customHeight="1" x14ac:dyDescent="0.2">
      <c r="A16" s="13" t="s">
        <v>29</v>
      </c>
      <c r="B16" s="14">
        <f t="shared" si="0"/>
        <v>928</v>
      </c>
      <c r="C16" s="14">
        <f t="shared" si="1"/>
        <v>1</v>
      </c>
      <c r="D16" s="15">
        <v>0</v>
      </c>
      <c r="E16" s="16">
        <v>2</v>
      </c>
      <c r="F16" s="17">
        <f t="shared" si="2"/>
        <v>928</v>
      </c>
      <c r="G16" s="18">
        <f t="shared" si="3"/>
        <v>1856</v>
      </c>
      <c r="H16" s="19">
        <f t="shared" si="4"/>
        <v>22272</v>
      </c>
      <c r="I16" s="107"/>
      <c r="J16" s="145"/>
      <c r="K16" s="146"/>
      <c r="L16" s="146"/>
      <c r="M16" s="14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</row>
    <row r="17" spans="1:26" ht="18" customHeight="1" x14ac:dyDescent="0.2">
      <c r="A17" s="13" t="s">
        <v>30</v>
      </c>
      <c r="B17" s="14">
        <f t="shared" si="0"/>
        <v>0.66</v>
      </c>
      <c r="C17" s="14">
        <f t="shared" si="1"/>
        <v>1</v>
      </c>
      <c r="D17" s="15">
        <v>0</v>
      </c>
      <c r="E17" s="16">
        <v>7000</v>
      </c>
      <c r="F17" s="17">
        <f t="shared" si="2"/>
        <v>0.66</v>
      </c>
      <c r="G17" s="18">
        <f t="shared" si="3"/>
        <v>4620</v>
      </c>
      <c r="H17" s="19">
        <f t="shared" si="4"/>
        <v>55440</v>
      </c>
      <c r="I17" s="107"/>
      <c r="J17" s="145"/>
      <c r="K17" s="146"/>
      <c r="L17" s="146"/>
      <c r="M17" s="14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</row>
    <row r="18" spans="1:26" ht="18" customHeight="1" x14ac:dyDescent="0.2">
      <c r="A18" s="13" t="s">
        <v>31</v>
      </c>
      <c r="B18" s="14">
        <f t="shared" si="0"/>
        <v>0.2</v>
      </c>
      <c r="C18" s="14">
        <f t="shared" si="1"/>
        <v>1</v>
      </c>
      <c r="D18" s="15">
        <v>0</v>
      </c>
      <c r="E18" s="16">
        <v>200</v>
      </c>
      <c r="F18" s="17">
        <f t="shared" si="2"/>
        <v>0.2</v>
      </c>
      <c r="G18" s="18">
        <f t="shared" si="3"/>
        <v>40</v>
      </c>
      <c r="H18" s="19">
        <f t="shared" si="4"/>
        <v>480.00000000000006</v>
      </c>
      <c r="I18" s="107"/>
      <c r="J18" s="145"/>
      <c r="K18" s="146"/>
      <c r="L18" s="146"/>
      <c r="M18" s="14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</row>
    <row r="19" spans="1:26" ht="18" customHeight="1" x14ac:dyDescent="0.2">
      <c r="A19" s="13"/>
      <c r="B19" s="14">
        <f t="shared" si="0"/>
        <v>0</v>
      </c>
      <c r="C19" s="14">
        <f t="shared" si="1"/>
        <v>0</v>
      </c>
      <c r="D19" s="15">
        <v>0</v>
      </c>
      <c r="E19" s="16">
        <v>0</v>
      </c>
      <c r="F19" s="17">
        <f t="shared" si="2"/>
        <v>0</v>
      </c>
      <c r="G19" s="18">
        <f t="shared" si="3"/>
        <v>0</v>
      </c>
      <c r="H19" s="19">
        <f t="shared" si="4"/>
        <v>0</v>
      </c>
      <c r="I19" s="107"/>
      <c r="J19" s="145"/>
      <c r="K19" s="146"/>
      <c r="L19" s="146"/>
      <c r="M19" s="14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</row>
    <row r="20" spans="1:26" ht="18" customHeight="1" x14ac:dyDescent="0.2">
      <c r="A20" s="13">
        <v>0</v>
      </c>
      <c r="B20" s="14">
        <f t="shared" si="0"/>
        <v>0</v>
      </c>
      <c r="C20" s="14">
        <f t="shared" si="1"/>
        <v>0</v>
      </c>
      <c r="D20" s="15">
        <v>0</v>
      </c>
      <c r="E20" s="16">
        <v>0</v>
      </c>
      <c r="F20" s="17">
        <f t="shared" si="2"/>
        <v>0</v>
      </c>
      <c r="G20" s="18">
        <f t="shared" si="3"/>
        <v>0</v>
      </c>
      <c r="H20" s="19">
        <f t="shared" si="4"/>
        <v>0</v>
      </c>
      <c r="I20" s="107"/>
      <c r="J20" s="145"/>
      <c r="K20" s="146"/>
      <c r="L20" s="146"/>
      <c r="M20" s="14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</row>
    <row r="21" spans="1:26" ht="18" customHeight="1" x14ac:dyDescent="0.2">
      <c r="A21" s="13">
        <v>0</v>
      </c>
      <c r="B21" s="14">
        <f t="shared" si="0"/>
        <v>0</v>
      </c>
      <c r="C21" s="14">
        <f t="shared" si="1"/>
        <v>0</v>
      </c>
      <c r="D21" s="15">
        <v>0</v>
      </c>
      <c r="E21" s="16">
        <v>0</v>
      </c>
      <c r="F21" s="17">
        <f t="shared" si="2"/>
        <v>0</v>
      </c>
      <c r="G21" s="18">
        <f t="shared" si="3"/>
        <v>0</v>
      </c>
      <c r="H21" s="19">
        <f t="shared" si="4"/>
        <v>0</v>
      </c>
      <c r="I21" s="107"/>
      <c r="J21" s="145"/>
      <c r="K21" s="146"/>
      <c r="L21" s="146"/>
      <c r="M21" s="14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</row>
    <row r="22" spans="1:26" ht="18" customHeight="1" x14ac:dyDescent="0.2">
      <c r="A22" s="13">
        <v>0</v>
      </c>
      <c r="B22" s="14">
        <v>0.5</v>
      </c>
      <c r="C22" s="14">
        <f t="shared" si="1"/>
        <v>1</v>
      </c>
      <c r="D22" s="15">
        <v>0</v>
      </c>
      <c r="E22" s="16">
        <v>0</v>
      </c>
      <c r="F22" s="17">
        <f t="shared" si="2"/>
        <v>0.5</v>
      </c>
      <c r="G22" s="18">
        <f t="shared" si="3"/>
        <v>0</v>
      </c>
      <c r="H22" s="19">
        <f t="shared" si="4"/>
        <v>0</v>
      </c>
      <c r="I22" s="107"/>
      <c r="J22" s="145"/>
      <c r="K22" s="146"/>
      <c r="L22" s="146"/>
      <c r="M22" s="14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</row>
    <row r="23" spans="1:26" ht="18" customHeight="1" x14ac:dyDescent="0.2">
      <c r="A23" s="13">
        <v>0</v>
      </c>
      <c r="B23" s="14">
        <f t="shared" ref="B23:B32" si="5">VLOOKUP(A23,INVENTARIO,2,FALSE)</f>
        <v>0</v>
      </c>
      <c r="C23" s="14">
        <f t="shared" si="1"/>
        <v>0</v>
      </c>
      <c r="D23" s="15">
        <v>0</v>
      </c>
      <c r="E23" s="16">
        <v>0</v>
      </c>
      <c r="F23" s="17">
        <f t="shared" si="2"/>
        <v>0</v>
      </c>
      <c r="G23" s="18">
        <f t="shared" si="3"/>
        <v>0</v>
      </c>
      <c r="H23" s="19">
        <f t="shared" si="4"/>
        <v>0</v>
      </c>
      <c r="I23" s="107"/>
      <c r="J23" s="145"/>
      <c r="K23" s="146"/>
      <c r="L23" s="146"/>
      <c r="M23" s="14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</row>
    <row r="24" spans="1:26" ht="18" customHeight="1" x14ac:dyDescent="0.2">
      <c r="A24" s="13">
        <v>0</v>
      </c>
      <c r="B24" s="14">
        <f t="shared" si="5"/>
        <v>0</v>
      </c>
      <c r="C24" s="14">
        <f t="shared" si="1"/>
        <v>0</v>
      </c>
      <c r="D24" s="15">
        <v>0</v>
      </c>
      <c r="E24" s="16">
        <v>0</v>
      </c>
      <c r="F24" s="17">
        <f t="shared" si="2"/>
        <v>0</v>
      </c>
      <c r="G24" s="18">
        <f t="shared" si="3"/>
        <v>0</v>
      </c>
      <c r="H24" s="19">
        <f t="shared" si="4"/>
        <v>0</v>
      </c>
      <c r="I24" s="107"/>
      <c r="J24" s="148"/>
      <c r="K24" s="149"/>
      <c r="L24" s="149"/>
      <c r="M24" s="150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</row>
    <row r="25" spans="1:26" ht="18" customHeight="1" x14ac:dyDescent="0.2">
      <c r="A25" s="13">
        <v>0</v>
      </c>
      <c r="B25" s="14">
        <f t="shared" si="5"/>
        <v>0</v>
      </c>
      <c r="C25" s="14">
        <f t="shared" si="1"/>
        <v>0</v>
      </c>
      <c r="D25" s="15">
        <v>0</v>
      </c>
      <c r="E25" s="16">
        <v>0</v>
      </c>
      <c r="F25" s="17">
        <f t="shared" si="2"/>
        <v>0</v>
      </c>
      <c r="G25" s="18">
        <f t="shared" si="3"/>
        <v>0</v>
      </c>
      <c r="H25" s="19">
        <f t="shared" si="4"/>
        <v>0</v>
      </c>
      <c r="I25" s="107"/>
      <c r="J25" s="156" t="s">
        <v>32</v>
      </c>
      <c r="K25" s="152"/>
      <c r="L25" s="151">
        <f>J3*110%</f>
        <v>28215.000000000004</v>
      </c>
      <c r="M25" s="152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</row>
    <row r="26" spans="1:26" ht="18" customHeight="1" x14ac:dyDescent="0.2">
      <c r="A26" s="13">
        <v>0</v>
      </c>
      <c r="B26" s="14">
        <f t="shared" si="5"/>
        <v>0</v>
      </c>
      <c r="C26" s="14">
        <f t="shared" si="1"/>
        <v>0</v>
      </c>
      <c r="D26" s="15">
        <v>0</v>
      </c>
      <c r="E26" s="16">
        <v>0</v>
      </c>
      <c r="F26" s="17">
        <f t="shared" si="2"/>
        <v>0</v>
      </c>
      <c r="G26" s="18">
        <f t="shared" si="3"/>
        <v>0</v>
      </c>
      <c r="H26" s="19">
        <f t="shared" si="4"/>
        <v>0</v>
      </c>
      <c r="I26" s="107"/>
      <c r="J26" s="153"/>
      <c r="K26" s="152"/>
      <c r="L26" s="153"/>
      <c r="M26" s="152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</row>
    <row r="27" spans="1:26" ht="18" customHeight="1" x14ac:dyDescent="0.2">
      <c r="A27" s="13">
        <v>0</v>
      </c>
      <c r="B27" s="14">
        <f t="shared" si="5"/>
        <v>0</v>
      </c>
      <c r="C27" s="14">
        <f t="shared" si="1"/>
        <v>0</v>
      </c>
      <c r="D27" s="15">
        <v>0</v>
      </c>
      <c r="E27" s="16">
        <v>0</v>
      </c>
      <c r="F27" s="17">
        <f t="shared" si="2"/>
        <v>0</v>
      </c>
      <c r="G27" s="18">
        <f t="shared" si="3"/>
        <v>0</v>
      </c>
      <c r="H27" s="19">
        <f t="shared" si="4"/>
        <v>0</v>
      </c>
      <c r="I27" s="107"/>
      <c r="J27" s="154"/>
      <c r="K27" s="155"/>
      <c r="L27" s="154"/>
      <c r="M27" s="155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</row>
    <row r="28" spans="1:26" ht="18" customHeight="1" x14ac:dyDescent="0.2">
      <c r="A28" s="13">
        <v>0</v>
      </c>
      <c r="B28" s="14">
        <f t="shared" si="5"/>
        <v>0</v>
      </c>
      <c r="C28" s="14">
        <f t="shared" si="1"/>
        <v>0</v>
      </c>
      <c r="D28" s="15">
        <v>0</v>
      </c>
      <c r="E28" s="16">
        <v>0</v>
      </c>
      <c r="F28" s="17">
        <f t="shared" si="2"/>
        <v>0</v>
      </c>
      <c r="G28" s="18">
        <f t="shared" si="3"/>
        <v>0</v>
      </c>
      <c r="H28" s="19">
        <f t="shared" si="4"/>
        <v>0</v>
      </c>
      <c r="I28" s="107"/>
      <c r="J28" s="157" t="s">
        <v>33</v>
      </c>
      <c r="K28" s="158"/>
      <c r="L28" s="159">
        <f>L25*J5</f>
        <v>338580.00000000006</v>
      </c>
      <c r="M28" s="158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</row>
    <row r="29" spans="1:26" ht="18" customHeight="1" x14ac:dyDescent="0.2">
      <c r="A29" s="13">
        <v>0</v>
      </c>
      <c r="B29" s="14">
        <f t="shared" si="5"/>
        <v>0</v>
      </c>
      <c r="C29" s="14">
        <f t="shared" si="1"/>
        <v>0</v>
      </c>
      <c r="D29" s="15">
        <v>0</v>
      </c>
      <c r="E29" s="16">
        <v>0</v>
      </c>
      <c r="F29" s="17">
        <f t="shared" si="2"/>
        <v>0</v>
      </c>
      <c r="G29" s="18">
        <f t="shared" si="3"/>
        <v>0</v>
      </c>
      <c r="H29" s="19">
        <f t="shared" si="4"/>
        <v>0</v>
      </c>
      <c r="I29" s="107"/>
      <c r="J29" s="153"/>
      <c r="K29" s="152"/>
      <c r="L29" s="153"/>
      <c r="M29" s="152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</row>
    <row r="30" spans="1:26" ht="18" customHeight="1" x14ac:dyDescent="0.2">
      <c r="A30" s="13">
        <v>0</v>
      </c>
      <c r="B30" s="14">
        <f t="shared" si="5"/>
        <v>0</v>
      </c>
      <c r="C30" s="14">
        <f t="shared" si="1"/>
        <v>0</v>
      </c>
      <c r="D30" s="15">
        <v>0</v>
      </c>
      <c r="E30" s="16">
        <v>0</v>
      </c>
      <c r="F30" s="17">
        <f t="shared" si="2"/>
        <v>0</v>
      </c>
      <c r="G30" s="18">
        <f t="shared" si="3"/>
        <v>0</v>
      </c>
      <c r="H30" s="19">
        <f t="shared" si="4"/>
        <v>0</v>
      </c>
      <c r="I30" s="107"/>
      <c r="J30" s="154"/>
      <c r="K30" s="155"/>
      <c r="L30" s="154"/>
      <c r="M30" s="155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</row>
    <row r="31" spans="1:26" ht="18" customHeight="1" x14ac:dyDescent="0.2">
      <c r="A31" s="13">
        <v>0</v>
      </c>
      <c r="B31" s="14">
        <f t="shared" si="5"/>
        <v>0</v>
      </c>
      <c r="C31" s="14">
        <f t="shared" si="1"/>
        <v>0</v>
      </c>
      <c r="D31" s="15">
        <v>0</v>
      </c>
      <c r="E31" s="16">
        <v>0</v>
      </c>
      <c r="F31" s="17">
        <f t="shared" si="2"/>
        <v>0</v>
      </c>
      <c r="G31" s="18">
        <f t="shared" si="3"/>
        <v>0</v>
      </c>
      <c r="H31" s="19">
        <f t="shared" si="4"/>
        <v>0</v>
      </c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</row>
    <row r="32" spans="1:26" ht="17.25" customHeight="1" x14ac:dyDescent="0.2">
      <c r="A32" s="13">
        <v>0</v>
      </c>
      <c r="B32" s="14">
        <f t="shared" si="5"/>
        <v>0</v>
      </c>
      <c r="C32" s="14">
        <f t="shared" si="1"/>
        <v>0</v>
      </c>
      <c r="D32" s="15">
        <v>0</v>
      </c>
      <c r="E32" s="16">
        <v>0</v>
      </c>
      <c r="F32" s="17">
        <f t="shared" si="2"/>
        <v>0</v>
      </c>
      <c r="G32" s="18">
        <f t="shared" si="3"/>
        <v>0</v>
      </c>
      <c r="H32" s="19">
        <f t="shared" si="4"/>
        <v>0</v>
      </c>
      <c r="I32" s="1"/>
      <c r="J32" s="107"/>
      <c r="K32" s="107"/>
      <c r="L32" s="107"/>
      <c r="M32" s="107"/>
      <c r="N32" s="107"/>
      <c r="O32" s="107"/>
      <c r="P32" s="107"/>
      <c r="Q32" s="107"/>
      <c r="R32" s="107"/>
      <c r="S32" s="1"/>
      <c r="T32" s="1"/>
      <c r="U32" s="1"/>
      <c r="V32" s="1"/>
      <c r="W32" s="1"/>
      <c r="X32" s="1"/>
      <c r="Y32" s="1"/>
      <c r="Z32" s="1"/>
    </row>
    <row r="33" spans="1:26" ht="18" hidden="1" customHeight="1" x14ac:dyDescent="0.2">
      <c r="A33" s="111"/>
      <c r="B33" s="111"/>
      <c r="C33" s="14"/>
      <c r="D33" s="20"/>
      <c r="E33" s="16"/>
      <c r="F33" s="21"/>
      <c r="G33" s="138"/>
      <c r="H33" s="136"/>
      <c r="I33" s="22"/>
      <c r="J33" s="112"/>
      <c r="K33" s="110"/>
      <c r="L33" s="110"/>
      <c r="M33" s="110"/>
      <c r="N33" s="107"/>
      <c r="O33" s="107"/>
      <c r="P33" s="107"/>
      <c r="Q33" s="107"/>
      <c r="R33" s="107"/>
      <c r="S33" s="107"/>
      <c r="T33" s="107"/>
      <c r="U33" s="107"/>
      <c r="V33" s="107"/>
      <c r="W33" s="1"/>
      <c r="X33" s="1"/>
      <c r="Y33" s="1"/>
      <c r="Z33" s="1"/>
    </row>
    <row r="34" spans="1:26" ht="12.75" hidden="1" customHeight="1" x14ac:dyDescent="0.2">
      <c r="A34" s="113" t="str">
        <f t="shared" ref="A34:A58" si="6">A8</f>
        <v>Cuero Napa Variada  (Dm2)</v>
      </c>
      <c r="B34" s="114"/>
      <c r="C34" s="114"/>
      <c r="D34" s="23">
        <f t="shared" ref="D34:D58" si="7">IF(D8&lt;1,0,D8)</f>
        <v>0</v>
      </c>
      <c r="E34" s="24">
        <f t="shared" ref="E34:E58" si="8">IF(C8*B8&lt;1,0,C8)</f>
        <v>1</v>
      </c>
      <c r="F34" s="25">
        <f t="shared" ref="F34:F58" si="9">B8</f>
        <v>488</v>
      </c>
      <c r="G34" s="115">
        <f t="shared" ref="G34:G58" si="10">IF(E34&lt;1,(1),E34)</f>
        <v>1</v>
      </c>
      <c r="H34" s="14">
        <f>J5</f>
        <v>12</v>
      </c>
      <c r="I34" s="26">
        <f t="shared" ref="I34:I58" si="11">G8/G34</f>
        <v>11712</v>
      </c>
      <c r="J34" s="112"/>
      <c r="K34" s="110"/>
      <c r="L34" s="110"/>
      <c r="M34" s="110"/>
      <c r="N34" s="107"/>
      <c r="O34" s="107"/>
      <c r="P34" s="107"/>
      <c r="Q34" s="107"/>
      <c r="R34" s="107"/>
      <c r="S34" s="107"/>
      <c r="T34" s="107"/>
      <c r="U34" s="107"/>
      <c r="V34" s="107"/>
      <c r="W34" s="1"/>
      <c r="X34" s="1"/>
      <c r="Y34" s="1"/>
      <c r="Z34" s="1"/>
    </row>
    <row r="35" spans="1:26" ht="12.75" hidden="1" customHeight="1" x14ac:dyDescent="0.2">
      <c r="A35" s="113" t="str">
        <f t="shared" si="6"/>
        <v>Seda 30-100 Colores  (cm²)</v>
      </c>
      <c r="B35" s="114"/>
      <c r="C35" s="114"/>
      <c r="D35" s="23">
        <f t="shared" si="7"/>
        <v>0</v>
      </c>
      <c r="E35" s="24">
        <f t="shared" si="8"/>
        <v>0</v>
      </c>
      <c r="F35" s="25">
        <f t="shared" si="9"/>
        <v>0.5</v>
      </c>
      <c r="G35" s="115">
        <f t="shared" si="10"/>
        <v>1</v>
      </c>
      <c r="H35" s="14">
        <f>J5</f>
        <v>12</v>
      </c>
      <c r="I35" s="26">
        <f t="shared" si="11"/>
        <v>3500</v>
      </c>
      <c r="J35" s="112"/>
      <c r="K35" s="110"/>
      <c r="L35" s="110"/>
      <c r="M35" s="110"/>
      <c r="N35" s="107"/>
      <c r="O35" s="107"/>
      <c r="P35" s="107"/>
      <c r="Q35" s="107"/>
      <c r="R35" s="107"/>
      <c r="S35" s="107"/>
      <c r="T35" s="107"/>
      <c r="U35" s="107"/>
      <c r="V35" s="107"/>
      <c r="W35" s="1"/>
      <c r="X35" s="1"/>
      <c r="Y35" s="1"/>
      <c r="Z35" s="1"/>
    </row>
    <row r="36" spans="1:26" ht="12.75" hidden="1" customHeight="1" x14ac:dyDescent="0.2">
      <c r="A36" s="113" t="str">
        <f t="shared" si="6"/>
        <v>Cremallera Nylon #6(cm)</v>
      </c>
      <c r="B36" s="114"/>
      <c r="C36" s="114"/>
      <c r="D36" s="23">
        <f t="shared" si="7"/>
        <v>0</v>
      </c>
      <c r="E36" s="24">
        <f t="shared" si="8"/>
        <v>1</v>
      </c>
      <c r="F36" s="25">
        <f t="shared" si="9"/>
        <v>6</v>
      </c>
      <c r="G36" s="115">
        <f t="shared" si="10"/>
        <v>1</v>
      </c>
      <c r="H36" s="14">
        <f>J5</f>
        <v>12</v>
      </c>
      <c r="I36" s="26">
        <f t="shared" si="11"/>
        <v>600</v>
      </c>
      <c r="J36" s="112"/>
      <c r="K36" s="110"/>
      <c r="L36" s="110"/>
      <c r="M36" s="110"/>
      <c r="N36" s="107"/>
      <c r="O36" s="107"/>
      <c r="P36" s="107"/>
      <c r="Q36" s="107"/>
      <c r="R36" s="107"/>
      <c r="S36" s="107"/>
      <c r="T36" s="107"/>
      <c r="U36" s="107"/>
      <c r="V36" s="107"/>
      <c r="W36" s="1"/>
      <c r="X36" s="1"/>
      <c r="Y36" s="1"/>
      <c r="Z36" s="1"/>
    </row>
    <row r="37" spans="1:26" ht="12.75" hidden="1" customHeight="1" x14ac:dyDescent="0.2">
      <c r="A37" s="113" t="str">
        <f t="shared" si="6"/>
        <v xml:space="preserve">llaves #6 Nq de lujo </v>
      </c>
      <c r="B37" s="114"/>
      <c r="C37" s="114"/>
      <c r="D37" s="23">
        <f t="shared" si="7"/>
        <v>0</v>
      </c>
      <c r="E37" s="24">
        <f t="shared" si="8"/>
        <v>1</v>
      </c>
      <c r="F37" s="25">
        <f t="shared" si="9"/>
        <v>300</v>
      </c>
      <c r="G37" s="115">
        <f t="shared" si="10"/>
        <v>1</v>
      </c>
      <c r="H37" s="14">
        <f>J5</f>
        <v>12</v>
      </c>
      <c r="I37" s="26">
        <f t="shared" si="11"/>
        <v>900</v>
      </c>
      <c r="J37" s="112"/>
      <c r="K37" s="110"/>
      <c r="L37" s="110"/>
      <c r="M37" s="110"/>
      <c r="N37" s="107"/>
      <c r="O37" s="107"/>
      <c r="P37" s="107"/>
      <c r="Q37" s="107"/>
      <c r="R37" s="107"/>
      <c r="S37" s="107"/>
      <c r="T37" s="107"/>
      <c r="U37" s="107"/>
      <c r="V37" s="107"/>
      <c r="W37" s="1"/>
      <c r="X37" s="1"/>
      <c r="Y37" s="1"/>
      <c r="Z37" s="1"/>
    </row>
    <row r="38" spans="1:26" ht="12.75" hidden="1" customHeight="1" x14ac:dyDescent="0.2">
      <c r="A38" s="113" t="str">
        <f t="shared" si="6"/>
        <v>Cremallera Nylon #3(cm)</v>
      </c>
      <c r="B38" s="114"/>
      <c r="C38" s="114"/>
      <c r="D38" s="23">
        <f t="shared" si="7"/>
        <v>0</v>
      </c>
      <c r="E38" s="24">
        <f t="shared" si="8"/>
        <v>1</v>
      </c>
      <c r="F38" s="25">
        <f t="shared" si="9"/>
        <v>3.4</v>
      </c>
      <c r="G38" s="115">
        <f t="shared" si="10"/>
        <v>1</v>
      </c>
      <c r="H38" s="14">
        <f>J5</f>
        <v>12</v>
      </c>
      <c r="I38" s="26">
        <f t="shared" si="11"/>
        <v>68</v>
      </c>
      <c r="J38" s="112"/>
      <c r="K38" s="110"/>
      <c r="L38" s="110"/>
      <c r="M38" s="110"/>
      <c r="N38" s="107"/>
      <c r="O38" s="107"/>
      <c r="P38" s="107"/>
      <c r="Q38" s="107"/>
      <c r="R38" s="107"/>
      <c r="S38" s="107"/>
      <c r="T38" s="107"/>
      <c r="U38" s="107"/>
      <c r="V38" s="107"/>
      <c r="W38" s="1"/>
      <c r="X38" s="1"/>
      <c r="Y38" s="1"/>
      <c r="Z38" s="1"/>
    </row>
    <row r="39" spans="1:26" ht="12.75" hidden="1" customHeight="1" x14ac:dyDescent="0.2">
      <c r="A39" s="113" t="str">
        <f t="shared" si="6"/>
        <v xml:space="preserve">llaves #3 Nq Sencillas </v>
      </c>
      <c r="B39" s="114"/>
      <c r="C39" s="114"/>
      <c r="D39" s="23">
        <f t="shared" si="7"/>
        <v>0</v>
      </c>
      <c r="E39" s="24">
        <f t="shared" si="8"/>
        <v>1</v>
      </c>
      <c r="F39" s="25">
        <f t="shared" si="9"/>
        <v>100</v>
      </c>
      <c r="G39" s="115">
        <f t="shared" si="10"/>
        <v>1</v>
      </c>
      <c r="H39" s="14">
        <f>J5</f>
        <v>12</v>
      </c>
      <c r="I39" s="26">
        <f t="shared" si="11"/>
        <v>100</v>
      </c>
      <c r="J39" s="112"/>
      <c r="K39" s="110"/>
      <c r="L39" s="110"/>
      <c r="M39" s="110"/>
      <c r="N39" s="107"/>
      <c r="O39" s="107"/>
      <c r="P39" s="107"/>
      <c r="Q39" s="107"/>
      <c r="R39" s="107"/>
      <c r="S39" s="107"/>
      <c r="T39" s="107"/>
      <c r="U39" s="107"/>
      <c r="V39" s="107"/>
      <c r="W39" s="1"/>
      <c r="X39" s="1"/>
      <c r="Y39" s="1"/>
      <c r="Z39" s="1"/>
    </row>
    <row r="40" spans="1:26" ht="12.75" hidden="1" customHeight="1" x14ac:dyDescent="0.2">
      <c r="A40" s="113" t="str">
        <f t="shared" si="6"/>
        <v>Lambrilla de 3mm  (cm²)</v>
      </c>
      <c r="B40" s="114"/>
      <c r="C40" s="114"/>
      <c r="D40" s="23">
        <f t="shared" si="7"/>
        <v>0</v>
      </c>
      <c r="E40" s="24">
        <f t="shared" si="8"/>
        <v>0</v>
      </c>
      <c r="F40" s="25">
        <f t="shared" si="9"/>
        <v>0.25</v>
      </c>
      <c r="G40" s="116">
        <f t="shared" si="10"/>
        <v>1</v>
      </c>
      <c r="H40" s="14">
        <f>J5</f>
        <v>12</v>
      </c>
      <c r="I40" s="26">
        <f t="shared" si="11"/>
        <v>1750</v>
      </c>
      <c r="J40" s="112"/>
      <c r="K40" s="110"/>
      <c r="L40" s="110"/>
      <c r="M40" s="110"/>
      <c r="N40" s="107"/>
      <c r="O40" s="107"/>
      <c r="P40" s="107"/>
      <c r="Q40" s="107"/>
      <c r="R40" s="107"/>
      <c r="S40" s="107"/>
      <c r="T40" s="107"/>
      <c r="U40" s="107"/>
      <c r="V40" s="107"/>
      <c r="W40" s="1"/>
      <c r="X40" s="1"/>
      <c r="Y40" s="1"/>
      <c r="Z40" s="1"/>
    </row>
    <row r="41" spans="1:26" ht="12.75" hidden="1" customHeight="1" x14ac:dyDescent="0.2">
      <c r="A41" s="113" t="str">
        <f t="shared" si="6"/>
        <v>Plantitex  (cm²)</v>
      </c>
      <c r="B41" s="114"/>
      <c r="C41" s="114"/>
      <c r="D41" s="23">
        <f t="shared" si="7"/>
        <v>0</v>
      </c>
      <c r="E41" s="24">
        <f t="shared" si="8"/>
        <v>0</v>
      </c>
      <c r="F41" s="25">
        <f t="shared" si="9"/>
        <v>0.42</v>
      </c>
      <c r="G41" s="115">
        <f t="shared" si="10"/>
        <v>1</v>
      </c>
      <c r="H41" s="14">
        <f>J5</f>
        <v>12</v>
      </c>
      <c r="I41" s="26">
        <f t="shared" si="11"/>
        <v>504</v>
      </c>
      <c r="J41" s="112"/>
      <c r="K41" s="110"/>
      <c r="L41" s="110"/>
      <c r="M41" s="110"/>
      <c r="N41" s="107"/>
      <c r="O41" s="107"/>
      <c r="P41" s="107"/>
      <c r="Q41" s="107"/>
      <c r="R41" s="107"/>
      <c r="S41" s="107"/>
      <c r="T41" s="107"/>
      <c r="U41" s="107"/>
      <c r="V41" s="107"/>
      <c r="W41" s="1"/>
      <c r="X41" s="1"/>
      <c r="Y41" s="1"/>
      <c r="Z41" s="1"/>
    </row>
    <row r="42" spans="1:26" ht="12.75" hidden="1" customHeight="1" x14ac:dyDescent="0.2">
      <c r="A42" s="113" t="str">
        <f t="shared" si="6"/>
        <v xml:space="preserve">hebilla  1" niquel </v>
      </c>
      <c r="B42" s="114"/>
      <c r="C42" s="114"/>
      <c r="D42" s="23">
        <f t="shared" si="7"/>
        <v>0</v>
      </c>
      <c r="E42" s="24">
        <f t="shared" si="8"/>
        <v>1</v>
      </c>
      <c r="F42" s="25">
        <f t="shared" si="9"/>
        <v>928</v>
      </c>
      <c r="G42" s="115">
        <f t="shared" si="10"/>
        <v>1</v>
      </c>
      <c r="H42" s="14">
        <f>J5</f>
        <v>12</v>
      </c>
      <c r="I42" s="26">
        <f t="shared" si="11"/>
        <v>1856</v>
      </c>
      <c r="J42" s="112"/>
      <c r="K42" s="110"/>
      <c r="L42" s="110"/>
      <c r="M42" s="110"/>
      <c r="N42" s="107"/>
      <c r="O42" s="107"/>
      <c r="P42" s="107"/>
      <c r="Q42" s="107"/>
      <c r="R42" s="107"/>
      <c r="S42" s="107"/>
      <c r="T42" s="107"/>
      <c r="U42" s="107"/>
      <c r="V42" s="107"/>
      <c r="W42" s="1"/>
      <c r="X42" s="1"/>
      <c r="Y42" s="1"/>
      <c r="Z42" s="1"/>
    </row>
    <row r="43" spans="1:26" ht="12.75" hidden="1" customHeight="1" x14ac:dyDescent="0.2">
      <c r="A43" s="113" t="str">
        <f t="shared" si="6"/>
        <v>Lona Sintetica Colores  (cm²)</v>
      </c>
      <c r="B43" s="114"/>
      <c r="C43" s="114"/>
      <c r="D43" s="23">
        <f t="shared" si="7"/>
        <v>0</v>
      </c>
      <c r="E43" s="24">
        <f t="shared" si="8"/>
        <v>0</v>
      </c>
      <c r="F43" s="25">
        <f t="shared" si="9"/>
        <v>0.66</v>
      </c>
      <c r="G43" s="116">
        <f t="shared" si="10"/>
        <v>1</v>
      </c>
      <c r="H43" s="14">
        <f>J5</f>
        <v>12</v>
      </c>
      <c r="I43" s="26">
        <f t="shared" si="11"/>
        <v>4620</v>
      </c>
      <c r="J43" s="112"/>
      <c r="K43" s="110"/>
      <c r="L43" s="110"/>
      <c r="M43" s="110"/>
      <c r="N43" s="107"/>
      <c r="O43" s="107"/>
      <c r="P43" s="107"/>
      <c r="Q43" s="107"/>
      <c r="R43" s="107"/>
      <c r="S43" s="107"/>
      <c r="T43" s="107"/>
      <c r="U43" s="107"/>
      <c r="V43" s="107"/>
      <c r="W43" s="1"/>
      <c r="X43" s="1"/>
      <c r="Y43" s="1"/>
      <c r="Z43" s="1"/>
    </row>
    <row r="44" spans="1:26" ht="12.75" hidden="1" customHeight="1" x14ac:dyDescent="0.2">
      <c r="A44" s="113" t="str">
        <f t="shared" si="6"/>
        <v>Cinta Falla de 20mm  (Cm)</v>
      </c>
      <c r="B44" s="114"/>
      <c r="C44" s="114"/>
      <c r="D44" s="23">
        <f t="shared" si="7"/>
        <v>0</v>
      </c>
      <c r="E44" s="24">
        <f t="shared" si="8"/>
        <v>0</v>
      </c>
      <c r="F44" s="25">
        <f t="shared" si="9"/>
        <v>0.2</v>
      </c>
      <c r="G44" s="115">
        <f t="shared" si="10"/>
        <v>1</v>
      </c>
      <c r="H44" s="14">
        <f>J5</f>
        <v>12</v>
      </c>
      <c r="I44" s="26">
        <f t="shared" si="11"/>
        <v>40</v>
      </c>
      <c r="J44" s="112"/>
      <c r="K44" s="110"/>
      <c r="L44" s="110"/>
      <c r="M44" s="110"/>
      <c r="N44" s="107"/>
      <c r="O44" s="107"/>
      <c r="P44" s="107"/>
      <c r="Q44" s="107"/>
      <c r="R44" s="107"/>
      <c r="S44" s="107"/>
      <c r="T44" s="107"/>
      <c r="U44" s="107"/>
      <c r="V44" s="107"/>
      <c r="W44" s="1"/>
      <c r="X44" s="1"/>
      <c r="Y44" s="1"/>
      <c r="Z44" s="1"/>
    </row>
    <row r="45" spans="1:26" ht="12.75" hidden="1" customHeight="1" x14ac:dyDescent="0.2">
      <c r="A45" s="113">
        <f t="shared" si="6"/>
        <v>0</v>
      </c>
      <c r="B45" s="114"/>
      <c r="C45" s="114"/>
      <c r="D45" s="23">
        <f t="shared" si="7"/>
        <v>0</v>
      </c>
      <c r="E45" s="24">
        <f t="shared" si="8"/>
        <v>0</v>
      </c>
      <c r="F45" s="25">
        <f t="shared" si="9"/>
        <v>0</v>
      </c>
      <c r="G45" s="116">
        <f t="shared" si="10"/>
        <v>1</v>
      </c>
      <c r="H45" s="14">
        <f>J5</f>
        <v>12</v>
      </c>
      <c r="I45" s="26">
        <f t="shared" si="11"/>
        <v>0</v>
      </c>
      <c r="J45" s="112"/>
      <c r="K45" s="110"/>
      <c r="L45" s="110"/>
      <c r="M45" s="110"/>
      <c r="N45" s="107"/>
      <c r="O45" s="107"/>
      <c r="P45" s="107"/>
      <c r="Q45" s="107"/>
      <c r="R45" s="107"/>
      <c r="S45" s="107"/>
      <c r="T45" s="107"/>
      <c r="U45" s="107"/>
      <c r="V45" s="107"/>
      <c r="W45" s="1"/>
      <c r="X45" s="1"/>
      <c r="Y45" s="1"/>
      <c r="Z45" s="1"/>
    </row>
    <row r="46" spans="1:26" ht="12.75" hidden="1" customHeight="1" x14ac:dyDescent="0.2">
      <c r="A46" s="113">
        <f t="shared" si="6"/>
        <v>0</v>
      </c>
      <c r="B46" s="114"/>
      <c r="C46" s="114"/>
      <c r="D46" s="23">
        <f t="shared" si="7"/>
        <v>0</v>
      </c>
      <c r="E46" s="24">
        <f t="shared" si="8"/>
        <v>0</v>
      </c>
      <c r="F46" s="25">
        <f t="shared" si="9"/>
        <v>0</v>
      </c>
      <c r="G46" s="116">
        <f t="shared" si="10"/>
        <v>1</v>
      </c>
      <c r="H46" s="14">
        <f>J5</f>
        <v>12</v>
      </c>
      <c r="I46" s="26">
        <f t="shared" si="11"/>
        <v>0</v>
      </c>
      <c r="J46" s="112"/>
      <c r="K46" s="110"/>
      <c r="L46" s="110"/>
      <c r="M46" s="110"/>
      <c r="N46" s="107"/>
      <c r="O46" s="107"/>
      <c r="P46" s="107"/>
      <c r="Q46" s="107"/>
      <c r="R46" s="107"/>
      <c r="S46" s="107"/>
      <c r="T46" s="107"/>
      <c r="U46" s="107"/>
      <c r="V46" s="107"/>
      <c r="W46" s="1"/>
      <c r="X46" s="1"/>
      <c r="Y46" s="1"/>
      <c r="Z46" s="1"/>
    </row>
    <row r="47" spans="1:26" ht="12.75" hidden="1" customHeight="1" x14ac:dyDescent="0.2">
      <c r="A47" s="113">
        <f t="shared" si="6"/>
        <v>0</v>
      </c>
      <c r="B47" s="114"/>
      <c r="C47" s="114"/>
      <c r="D47" s="23">
        <f t="shared" si="7"/>
        <v>0</v>
      </c>
      <c r="E47" s="24">
        <f t="shared" si="8"/>
        <v>0</v>
      </c>
      <c r="F47" s="25">
        <f t="shared" si="9"/>
        <v>0</v>
      </c>
      <c r="G47" s="116">
        <f t="shared" si="10"/>
        <v>1</v>
      </c>
      <c r="H47" s="14">
        <f>J5</f>
        <v>12</v>
      </c>
      <c r="I47" s="26">
        <f t="shared" si="11"/>
        <v>0</v>
      </c>
      <c r="J47" s="112"/>
      <c r="K47" s="110"/>
      <c r="L47" s="110"/>
      <c r="M47" s="110"/>
      <c r="N47" s="107"/>
      <c r="O47" s="107"/>
      <c r="P47" s="107"/>
      <c r="Q47" s="107"/>
      <c r="R47" s="107"/>
      <c r="S47" s="107"/>
      <c r="T47" s="107"/>
      <c r="U47" s="107"/>
      <c r="V47" s="107"/>
      <c r="W47" s="1"/>
      <c r="X47" s="1"/>
      <c r="Y47" s="1"/>
      <c r="Z47" s="1"/>
    </row>
    <row r="48" spans="1:26" ht="12.75" hidden="1" customHeight="1" x14ac:dyDescent="0.2">
      <c r="A48" s="113">
        <f t="shared" si="6"/>
        <v>0</v>
      </c>
      <c r="B48" s="114"/>
      <c r="C48" s="114"/>
      <c r="D48" s="23">
        <f t="shared" si="7"/>
        <v>0</v>
      </c>
      <c r="E48" s="24">
        <f t="shared" si="8"/>
        <v>0</v>
      </c>
      <c r="F48" s="25">
        <f t="shared" si="9"/>
        <v>0.5</v>
      </c>
      <c r="G48" s="116">
        <f t="shared" si="10"/>
        <v>1</v>
      </c>
      <c r="H48" s="14">
        <f>J5</f>
        <v>12</v>
      </c>
      <c r="I48" s="26">
        <f t="shared" si="11"/>
        <v>0</v>
      </c>
      <c r="J48" s="112"/>
      <c r="K48" s="110"/>
      <c r="L48" s="110"/>
      <c r="M48" s="110"/>
      <c r="N48" s="107"/>
      <c r="O48" s="107"/>
      <c r="P48" s="107"/>
      <c r="Q48" s="107"/>
      <c r="R48" s="107"/>
      <c r="S48" s="107"/>
      <c r="T48" s="107"/>
      <c r="U48" s="107"/>
      <c r="V48" s="107"/>
      <c r="W48" s="1"/>
      <c r="X48" s="1"/>
      <c r="Y48" s="1"/>
      <c r="Z48" s="1"/>
    </row>
    <row r="49" spans="1:26" ht="12.75" hidden="1" customHeight="1" x14ac:dyDescent="0.2">
      <c r="A49" s="113">
        <f t="shared" si="6"/>
        <v>0</v>
      </c>
      <c r="B49" s="114"/>
      <c r="C49" s="114"/>
      <c r="D49" s="23">
        <f t="shared" si="7"/>
        <v>0</v>
      </c>
      <c r="E49" s="24">
        <f t="shared" si="8"/>
        <v>0</v>
      </c>
      <c r="F49" s="25">
        <f t="shared" si="9"/>
        <v>0</v>
      </c>
      <c r="G49" s="116">
        <f t="shared" si="10"/>
        <v>1</v>
      </c>
      <c r="H49" s="14">
        <f>J5</f>
        <v>12</v>
      </c>
      <c r="I49" s="26">
        <f t="shared" si="11"/>
        <v>0</v>
      </c>
      <c r="J49" s="112"/>
      <c r="K49" s="110"/>
      <c r="L49" s="110"/>
      <c r="M49" s="110"/>
      <c r="N49" s="107"/>
      <c r="O49" s="107"/>
      <c r="P49" s="107"/>
      <c r="Q49" s="107"/>
      <c r="R49" s="107"/>
      <c r="S49" s="107"/>
      <c r="T49" s="107"/>
      <c r="U49" s="107"/>
      <c r="V49" s="107"/>
      <c r="W49" s="1"/>
      <c r="X49" s="1"/>
      <c r="Y49" s="1"/>
      <c r="Z49" s="1"/>
    </row>
    <row r="50" spans="1:26" ht="12.75" hidden="1" customHeight="1" x14ac:dyDescent="0.2">
      <c r="A50" s="113">
        <f t="shared" si="6"/>
        <v>0</v>
      </c>
      <c r="B50" s="114"/>
      <c r="C50" s="114"/>
      <c r="D50" s="23">
        <f t="shared" si="7"/>
        <v>0</v>
      </c>
      <c r="E50" s="24">
        <f t="shared" si="8"/>
        <v>0</v>
      </c>
      <c r="F50" s="25">
        <f t="shared" si="9"/>
        <v>0</v>
      </c>
      <c r="G50" s="116">
        <f t="shared" si="10"/>
        <v>1</v>
      </c>
      <c r="H50" s="14">
        <f>J5</f>
        <v>12</v>
      </c>
      <c r="I50" s="26">
        <f t="shared" si="11"/>
        <v>0</v>
      </c>
      <c r="J50" s="112"/>
      <c r="K50" s="110"/>
      <c r="L50" s="110"/>
      <c r="M50" s="110"/>
      <c r="N50" s="107"/>
      <c r="O50" s="107"/>
      <c r="P50" s="107"/>
      <c r="Q50" s="107"/>
      <c r="R50" s="107"/>
      <c r="S50" s="107"/>
      <c r="T50" s="107"/>
      <c r="U50" s="107"/>
      <c r="V50" s="107"/>
      <c r="W50" s="1"/>
      <c r="X50" s="1"/>
      <c r="Y50" s="1"/>
      <c r="Z50" s="1"/>
    </row>
    <row r="51" spans="1:26" ht="12.75" hidden="1" customHeight="1" x14ac:dyDescent="0.2">
      <c r="A51" s="113">
        <f t="shared" si="6"/>
        <v>0</v>
      </c>
      <c r="B51" s="114"/>
      <c r="C51" s="114"/>
      <c r="D51" s="23">
        <f t="shared" si="7"/>
        <v>0</v>
      </c>
      <c r="E51" s="24">
        <f t="shared" si="8"/>
        <v>0</v>
      </c>
      <c r="F51" s="25">
        <f t="shared" si="9"/>
        <v>0</v>
      </c>
      <c r="G51" s="116">
        <f t="shared" si="10"/>
        <v>1</v>
      </c>
      <c r="H51" s="14">
        <f>J5</f>
        <v>12</v>
      </c>
      <c r="I51" s="26">
        <f t="shared" si="11"/>
        <v>0</v>
      </c>
      <c r="J51" s="112"/>
      <c r="K51" s="110"/>
      <c r="L51" s="110"/>
      <c r="M51" s="110"/>
      <c r="N51" s="107"/>
      <c r="O51" s="107"/>
      <c r="P51" s="107"/>
      <c r="Q51" s="107"/>
      <c r="R51" s="107"/>
      <c r="S51" s="107"/>
      <c r="T51" s="107"/>
      <c r="U51" s="107"/>
      <c r="V51" s="107"/>
      <c r="W51" s="1"/>
      <c r="X51" s="1"/>
      <c r="Y51" s="1"/>
      <c r="Z51" s="1"/>
    </row>
    <row r="52" spans="1:26" ht="12.75" hidden="1" customHeight="1" x14ac:dyDescent="0.2">
      <c r="A52" s="113">
        <f t="shared" si="6"/>
        <v>0</v>
      </c>
      <c r="B52" s="114"/>
      <c r="C52" s="114"/>
      <c r="D52" s="23">
        <f t="shared" si="7"/>
        <v>0</v>
      </c>
      <c r="E52" s="24">
        <f t="shared" si="8"/>
        <v>0</v>
      </c>
      <c r="F52" s="25">
        <f t="shared" si="9"/>
        <v>0</v>
      </c>
      <c r="G52" s="116">
        <f t="shared" si="10"/>
        <v>1</v>
      </c>
      <c r="H52" s="14">
        <f>J5</f>
        <v>12</v>
      </c>
      <c r="I52" s="26">
        <f t="shared" si="11"/>
        <v>0</v>
      </c>
      <c r="J52" s="112"/>
      <c r="K52" s="110"/>
      <c r="L52" s="110"/>
      <c r="M52" s="110"/>
      <c r="N52" s="107"/>
      <c r="O52" s="107"/>
      <c r="P52" s="107"/>
      <c r="Q52" s="107"/>
      <c r="R52" s="107"/>
      <c r="S52" s="107"/>
      <c r="T52" s="107"/>
      <c r="U52" s="107"/>
      <c r="V52" s="107"/>
      <c r="W52" s="1"/>
      <c r="X52" s="1"/>
      <c r="Y52" s="1"/>
      <c r="Z52" s="1"/>
    </row>
    <row r="53" spans="1:26" ht="12.75" hidden="1" customHeight="1" x14ac:dyDescent="0.2">
      <c r="A53" s="113">
        <f t="shared" si="6"/>
        <v>0</v>
      </c>
      <c r="B53" s="114"/>
      <c r="C53" s="114"/>
      <c r="D53" s="23">
        <f t="shared" si="7"/>
        <v>0</v>
      </c>
      <c r="E53" s="24">
        <f t="shared" si="8"/>
        <v>0</v>
      </c>
      <c r="F53" s="25">
        <f t="shared" si="9"/>
        <v>0</v>
      </c>
      <c r="G53" s="116">
        <f t="shared" si="10"/>
        <v>1</v>
      </c>
      <c r="H53" s="14">
        <f>J5</f>
        <v>12</v>
      </c>
      <c r="I53" s="26">
        <f t="shared" si="11"/>
        <v>0</v>
      </c>
      <c r="J53" s="112"/>
      <c r="K53" s="110"/>
      <c r="L53" s="110"/>
      <c r="M53" s="110"/>
      <c r="N53" s="107"/>
      <c r="O53" s="107"/>
      <c r="P53" s="107"/>
      <c r="Q53" s="107"/>
      <c r="R53" s="107"/>
      <c r="S53" s="107"/>
      <c r="T53" s="107"/>
      <c r="U53" s="107"/>
      <c r="V53" s="107"/>
      <c r="W53" s="1"/>
      <c r="X53" s="1"/>
      <c r="Y53" s="1"/>
      <c r="Z53" s="1"/>
    </row>
    <row r="54" spans="1:26" ht="12.75" hidden="1" customHeight="1" x14ac:dyDescent="0.2">
      <c r="A54" s="113">
        <f t="shared" si="6"/>
        <v>0</v>
      </c>
      <c r="B54" s="114"/>
      <c r="C54" s="114"/>
      <c r="D54" s="23">
        <f t="shared" si="7"/>
        <v>0</v>
      </c>
      <c r="E54" s="24">
        <f t="shared" si="8"/>
        <v>0</v>
      </c>
      <c r="F54" s="25">
        <f t="shared" si="9"/>
        <v>0</v>
      </c>
      <c r="G54" s="116">
        <f t="shared" si="10"/>
        <v>1</v>
      </c>
      <c r="H54" s="14">
        <f>J5</f>
        <v>12</v>
      </c>
      <c r="I54" s="26">
        <f t="shared" si="11"/>
        <v>0</v>
      </c>
      <c r="J54" s="112"/>
      <c r="K54" s="110"/>
      <c r="L54" s="110"/>
      <c r="M54" s="110"/>
      <c r="N54" s="107"/>
      <c r="O54" s="107"/>
      <c r="P54" s="107"/>
      <c r="Q54" s="107"/>
      <c r="R54" s="107"/>
      <c r="S54" s="107"/>
      <c r="T54" s="107"/>
      <c r="U54" s="107"/>
      <c r="V54" s="107"/>
      <c r="W54" s="1"/>
      <c r="X54" s="1"/>
      <c r="Y54" s="1"/>
      <c r="Z54" s="1"/>
    </row>
    <row r="55" spans="1:26" ht="12.75" hidden="1" customHeight="1" x14ac:dyDescent="0.2">
      <c r="A55" s="113">
        <f t="shared" si="6"/>
        <v>0</v>
      </c>
      <c r="B55" s="114"/>
      <c r="C55" s="114"/>
      <c r="D55" s="23">
        <f t="shared" si="7"/>
        <v>0</v>
      </c>
      <c r="E55" s="24">
        <f t="shared" si="8"/>
        <v>0</v>
      </c>
      <c r="F55" s="25">
        <f t="shared" si="9"/>
        <v>0</v>
      </c>
      <c r="G55" s="116">
        <f t="shared" si="10"/>
        <v>1</v>
      </c>
      <c r="H55" s="14">
        <f>J5</f>
        <v>12</v>
      </c>
      <c r="I55" s="26">
        <f t="shared" si="11"/>
        <v>0</v>
      </c>
      <c r="J55" s="112"/>
      <c r="K55" s="110"/>
      <c r="L55" s="110"/>
      <c r="M55" s="110"/>
      <c r="N55" s="107"/>
      <c r="O55" s="107"/>
      <c r="P55" s="107"/>
      <c r="Q55" s="107"/>
      <c r="R55" s="107"/>
      <c r="S55" s="107"/>
      <c r="T55" s="107"/>
      <c r="U55" s="107"/>
      <c r="V55" s="107"/>
      <c r="W55" s="1"/>
      <c r="X55" s="1"/>
      <c r="Y55" s="1"/>
      <c r="Z55" s="1"/>
    </row>
    <row r="56" spans="1:26" ht="12.75" hidden="1" customHeight="1" x14ac:dyDescent="0.2">
      <c r="A56" s="113">
        <f t="shared" si="6"/>
        <v>0</v>
      </c>
      <c r="B56" s="114"/>
      <c r="C56" s="114"/>
      <c r="D56" s="23">
        <f t="shared" si="7"/>
        <v>0</v>
      </c>
      <c r="E56" s="24">
        <f t="shared" si="8"/>
        <v>0</v>
      </c>
      <c r="F56" s="25">
        <f t="shared" si="9"/>
        <v>0</v>
      </c>
      <c r="G56" s="116">
        <f t="shared" si="10"/>
        <v>1</v>
      </c>
      <c r="H56" s="14">
        <f>J5</f>
        <v>12</v>
      </c>
      <c r="I56" s="26">
        <f t="shared" si="11"/>
        <v>0</v>
      </c>
      <c r="J56" s="112"/>
      <c r="K56" s="110"/>
      <c r="L56" s="110"/>
      <c r="M56" s="110"/>
      <c r="N56" s="107"/>
      <c r="O56" s="107"/>
      <c r="P56" s="107"/>
      <c r="Q56" s="107"/>
      <c r="R56" s="107"/>
      <c r="S56" s="107"/>
      <c r="T56" s="107"/>
      <c r="U56" s="107"/>
      <c r="V56" s="107"/>
      <c r="W56" s="1"/>
      <c r="X56" s="1"/>
      <c r="Y56" s="1"/>
      <c r="Z56" s="1"/>
    </row>
    <row r="57" spans="1:26" ht="12.75" hidden="1" customHeight="1" x14ac:dyDescent="0.2">
      <c r="A57" s="113">
        <f t="shared" si="6"/>
        <v>0</v>
      </c>
      <c r="B57" s="114"/>
      <c r="C57" s="114"/>
      <c r="D57" s="23">
        <f t="shared" si="7"/>
        <v>0</v>
      </c>
      <c r="E57" s="24">
        <f t="shared" si="8"/>
        <v>0</v>
      </c>
      <c r="F57" s="25">
        <f t="shared" si="9"/>
        <v>0</v>
      </c>
      <c r="G57" s="116">
        <f t="shared" si="10"/>
        <v>1</v>
      </c>
      <c r="H57" s="14">
        <f>J5</f>
        <v>12</v>
      </c>
      <c r="I57" s="26">
        <f t="shared" si="11"/>
        <v>0</v>
      </c>
      <c r="J57" s="112"/>
      <c r="K57" s="110"/>
      <c r="L57" s="110"/>
      <c r="M57" s="110"/>
      <c r="N57" s="107"/>
      <c r="O57" s="107"/>
      <c r="P57" s="107"/>
      <c r="Q57" s="107"/>
      <c r="R57" s="107"/>
      <c r="S57" s="107"/>
      <c r="T57" s="107"/>
      <c r="U57" s="107"/>
      <c r="V57" s="107"/>
      <c r="W57" s="1"/>
      <c r="X57" s="1"/>
      <c r="Y57" s="1"/>
      <c r="Z57" s="1"/>
    </row>
    <row r="58" spans="1:26" ht="12.75" hidden="1" customHeight="1" x14ac:dyDescent="0.2">
      <c r="A58" s="113">
        <f t="shared" si="6"/>
        <v>0</v>
      </c>
      <c r="B58" s="114"/>
      <c r="C58" s="114"/>
      <c r="D58" s="23">
        <f t="shared" si="7"/>
        <v>0</v>
      </c>
      <c r="E58" s="24">
        <f t="shared" si="8"/>
        <v>0</v>
      </c>
      <c r="F58" s="25">
        <f t="shared" si="9"/>
        <v>0</v>
      </c>
      <c r="G58" s="116">
        <f t="shared" si="10"/>
        <v>1</v>
      </c>
      <c r="H58" s="14">
        <f>J5</f>
        <v>12</v>
      </c>
      <c r="I58" s="26">
        <f t="shared" si="11"/>
        <v>0</v>
      </c>
      <c r="J58" s="112"/>
      <c r="K58" s="110"/>
      <c r="L58" s="110"/>
      <c r="M58" s="110"/>
      <c r="N58" s="107"/>
      <c r="O58" s="107"/>
      <c r="P58" s="107"/>
      <c r="Q58" s="107"/>
      <c r="R58" s="107"/>
      <c r="S58" s="107"/>
      <c r="T58" s="107"/>
      <c r="U58" s="107"/>
      <c r="V58" s="107"/>
      <c r="W58" s="1"/>
      <c r="X58" s="1"/>
      <c r="Y58" s="1"/>
      <c r="Z58" s="1"/>
    </row>
    <row r="59" spans="1:26" ht="12.75" hidden="1" customHeight="1" x14ac:dyDescent="0.2">
      <c r="A59" s="117"/>
      <c r="B59" s="117"/>
      <c r="C59" s="117"/>
      <c r="D59" s="27"/>
      <c r="E59" s="117"/>
      <c r="F59" s="117"/>
      <c r="G59" s="110"/>
      <c r="H59" s="110"/>
      <c r="I59" s="110"/>
      <c r="J59" s="110"/>
      <c r="K59" s="110"/>
      <c r="L59" s="110"/>
      <c r="M59" s="110"/>
      <c r="N59" s="107"/>
      <c r="O59" s="107"/>
      <c r="P59" s="107"/>
      <c r="Q59" s="107"/>
      <c r="R59" s="107"/>
      <c r="S59" s="107"/>
      <c r="T59" s="107"/>
      <c r="U59" s="107"/>
      <c r="V59" s="107"/>
      <c r="W59" s="1"/>
      <c r="X59" s="1"/>
      <c r="Y59" s="1"/>
      <c r="Z59" s="1"/>
    </row>
    <row r="60" spans="1:26" ht="12.75" hidden="1" customHeight="1" x14ac:dyDescent="0.2">
      <c r="A60" s="118"/>
      <c r="B60" s="118"/>
      <c r="C60" s="118"/>
      <c r="D60" s="118"/>
      <c r="E60" s="118"/>
      <c r="F60" s="118"/>
      <c r="G60" s="110"/>
      <c r="H60" s="110"/>
      <c r="I60" s="110"/>
      <c r="J60" s="110"/>
      <c r="K60" s="110"/>
      <c r="L60" s="110"/>
      <c r="M60" s="110"/>
      <c r="N60" s="107"/>
      <c r="O60" s="107"/>
      <c r="P60" s="107"/>
      <c r="Q60" s="107"/>
      <c r="R60" s="107"/>
      <c r="S60" s="107"/>
      <c r="T60" s="107"/>
      <c r="U60" s="107"/>
      <c r="V60" s="107"/>
      <c r="W60" s="1"/>
      <c r="X60" s="1"/>
      <c r="Y60" s="1"/>
      <c r="Z60" s="1"/>
    </row>
    <row r="61" spans="1:26" ht="12.75" hidden="1" customHeight="1" x14ac:dyDescent="0.2">
      <c r="A61" s="139"/>
      <c r="B61" s="140"/>
      <c r="C61" s="140"/>
      <c r="D61" s="140"/>
      <c r="E61" s="140"/>
      <c r="F61" s="140"/>
      <c r="G61" s="110"/>
      <c r="H61" s="110"/>
      <c r="I61" s="110"/>
      <c r="J61" s="110"/>
      <c r="K61" s="110"/>
      <c r="L61" s="110"/>
      <c r="M61" s="110"/>
      <c r="N61" s="107"/>
      <c r="O61" s="107"/>
      <c r="P61" s="107"/>
      <c r="Q61" s="107"/>
      <c r="R61" s="107"/>
      <c r="S61" s="107"/>
      <c r="T61" s="107"/>
      <c r="U61" s="107"/>
      <c r="V61" s="107"/>
      <c r="W61" s="1"/>
      <c r="X61" s="1"/>
      <c r="Y61" s="1"/>
      <c r="Z61" s="1"/>
    </row>
    <row r="62" spans="1:26" ht="36" customHeight="1" x14ac:dyDescent="0.2">
      <c r="A62" s="141" t="s">
        <v>34</v>
      </c>
      <c r="B62" s="135"/>
      <c r="C62" s="135"/>
      <c r="D62" s="135"/>
      <c r="E62" s="135"/>
      <c r="F62" s="135"/>
      <c r="G62" s="135"/>
      <c r="H62" s="135"/>
      <c r="I62" s="135"/>
      <c r="J62" s="135"/>
      <c r="K62" s="135"/>
      <c r="L62" s="135"/>
      <c r="M62" s="136"/>
      <c r="N62" s="107"/>
      <c r="O62" s="107"/>
      <c r="P62" s="107"/>
      <c r="Q62" s="107"/>
      <c r="R62" s="107"/>
      <c r="S62" s="107"/>
      <c r="T62" s="107"/>
      <c r="U62" s="107"/>
      <c r="V62" s="107"/>
      <c r="W62" s="1"/>
      <c r="X62" s="1"/>
      <c r="Y62" s="1"/>
      <c r="Z62" s="1"/>
    </row>
    <row r="63" spans="1:26" ht="12.75" customHeight="1" x14ac:dyDescent="0.2">
      <c r="A63" s="134" t="s">
        <v>35</v>
      </c>
      <c r="B63" s="135"/>
      <c r="C63" s="135"/>
      <c r="D63" s="135"/>
      <c r="E63" s="135"/>
      <c r="F63" s="135"/>
      <c r="G63" s="135"/>
      <c r="H63" s="135"/>
      <c r="I63" s="135"/>
      <c r="J63" s="135"/>
      <c r="K63" s="135"/>
      <c r="L63" s="135"/>
      <c r="M63" s="136"/>
      <c r="N63" s="107"/>
      <c r="O63" s="107"/>
      <c r="P63" s="107"/>
      <c r="Q63" s="107"/>
      <c r="R63" s="107"/>
      <c r="S63" s="107"/>
      <c r="T63" s="107"/>
      <c r="U63" s="107"/>
      <c r="V63" s="107"/>
      <c r="W63" s="1"/>
      <c r="X63" s="1"/>
      <c r="Y63" s="1"/>
      <c r="Z63" s="1"/>
    </row>
    <row r="64" spans="1:26" ht="12.75" customHeight="1" x14ac:dyDescent="0.2">
      <c r="A64" s="134" t="s">
        <v>36</v>
      </c>
      <c r="B64" s="135"/>
      <c r="C64" s="135"/>
      <c r="D64" s="135"/>
      <c r="E64" s="135"/>
      <c r="F64" s="135"/>
      <c r="G64" s="135"/>
      <c r="H64" s="135"/>
      <c r="I64" s="135"/>
      <c r="J64" s="135"/>
      <c r="K64" s="135"/>
      <c r="L64" s="135"/>
      <c r="M64" s="136"/>
      <c r="N64" s="107"/>
      <c r="O64" s="107"/>
      <c r="P64" s="107"/>
      <c r="Q64" s="107"/>
      <c r="R64" s="107"/>
      <c r="S64" s="107"/>
      <c r="T64" s="107"/>
      <c r="U64" s="107"/>
      <c r="V64" s="107"/>
      <c r="W64" s="1"/>
      <c r="X64" s="1"/>
      <c r="Y64" s="1"/>
      <c r="Z64" s="1"/>
    </row>
    <row r="65" spans="1:26" ht="12.75" customHeight="1" x14ac:dyDescent="0.2">
      <c r="A65" s="134" t="s">
        <v>37</v>
      </c>
      <c r="B65" s="135"/>
      <c r="C65" s="135"/>
      <c r="D65" s="135"/>
      <c r="E65" s="135"/>
      <c r="F65" s="135"/>
      <c r="G65" s="135"/>
      <c r="H65" s="135"/>
      <c r="I65" s="135"/>
      <c r="J65" s="135"/>
      <c r="K65" s="135"/>
      <c r="L65" s="135"/>
      <c r="M65" s="136"/>
      <c r="N65" s="107"/>
      <c r="O65" s="107"/>
      <c r="P65" s="107"/>
      <c r="Q65" s="107"/>
      <c r="R65" s="107"/>
      <c r="S65" s="107"/>
      <c r="T65" s="107"/>
      <c r="U65" s="107"/>
      <c r="V65" s="107"/>
      <c r="W65" s="1"/>
      <c r="X65" s="1"/>
      <c r="Y65" s="1"/>
      <c r="Z65" s="1"/>
    </row>
    <row r="66" spans="1:26" ht="12.75" customHeight="1" x14ac:dyDescent="0.2">
      <c r="A66" s="134" t="s">
        <v>38</v>
      </c>
      <c r="B66" s="135"/>
      <c r="C66" s="135"/>
      <c r="D66" s="135"/>
      <c r="E66" s="135"/>
      <c r="F66" s="135"/>
      <c r="G66" s="135"/>
      <c r="H66" s="135"/>
      <c r="I66" s="135"/>
      <c r="J66" s="135"/>
      <c r="K66" s="135"/>
      <c r="L66" s="135"/>
      <c r="M66" s="136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</row>
    <row r="67" spans="1:26" ht="12.75" customHeight="1" x14ac:dyDescent="0.2">
      <c r="A67" s="134" t="s">
        <v>39</v>
      </c>
      <c r="B67" s="135"/>
      <c r="C67" s="135"/>
      <c r="D67" s="135"/>
      <c r="E67" s="135"/>
      <c r="F67" s="135"/>
      <c r="G67" s="135"/>
      <c r="H67" s="135"/>
      <c r="I67" s="135"/>
      <c r="J67" s="135"/>
      <c r="K67" s="135"/>
      <c r="L67" s="135"/>
      <c r="M67" s="136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</row>
    <row r="68" spans="1:26" ht="12.75" customHeight="1" x14ac:dyDescent="0.2">
      <c r="A68" s="134" t="s">
        <v>315</v>
      </c>
      <c r="B68" s="135"/>
      <c r="C68" s="135"/>
      <c r="D68" s="135"/>
      <c r="E68" s="135"/>
      <c r="F68" s="135"/>
      <c r="G68" s="135"/>
      <c r="H68" s="135"/>
      <c r="I68" s="135"/>
      <c r="J68" s="135"/>
      <c r="K68" s="135"/>
      <c r="L68" s="135"/>
      <c r="M68" s="136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</row>
    <row r="69" spans="1:26" ht="12.75" customHeight="1" x14ac:dyDescent="0.2">
      <c r="A69" s="134"/>
      <c r="B69" s="135"/>
      <c r="C69" s="135"/>
      <c r="D69" s="135"/>
      <c r="E69" s="135"/>
      <c r="F69" s="135"/>
      <c r="G69" s="135"/>
      <c r="H69" s="135"/>
      <c r="I69" s="135"/>
      <c r="J69" s="135"/>
      <c r="K69" s="135"/>
      <c r="L69" s="135"/>
      <c r="M69" s="136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</row>
    <row r="70" spans="1:26" ht="12.75" customHeight="1" x14ac:dyDescent="0.2">
      <c r="A70" s="134"/>
      <c r="B70" s="135"/>
      <c r="C70" s="135"/>
      <c r="D70" s="135"/>
      <c r="E70" s="135"/>
      <c r="F70" s="135"/>
      <c r="G70" s="135"/>
      <c r="H70" s="135"/>
      <c r="I70" s="135"/>
      <c r="J70" s="135"/>
      <c r="K70" s="135"/>
      <c r="L70" s="135"/>
      <c r="M70" s="136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</row>
    <row r="71" spans="1:26" ht="12.75" customHeight="1" x14ac:dyDescent="0.2">
      <c r="A71" s="134"/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6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</row>
    <row r="72" spans="1:26" ht="12.75" customHeight="1" x14ac:dyDescent="0.2">
      <c r="A72" s="134"/>
      <c r="B72" s="135"/>
      <c r="C72" s="135"/>
      <c r="D72" s="135"/>
      <c r="E72" s="135"/>
      <c r="F72" s="135"/>
      <c r="G72" s="135"/>
      <c r="H72" s="135"/>
      <c r="I72" s="135"/>
      <c r="J72" s="135"/>
      <c r="K72" s="135"/>
      <c r="L72" s="135"/>
      <c r="M72" s="136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</row>
    <row r="73" spans="1:26" ht="12.75" customHeight="1" x14ac:dyDescent="0.2">
      <c r="A73" s="134"/>
      <c r="B73" s="135"/>
      <c r="C73" s="135"/>
      <c r="D73" s="135"/>
      <c r="E73" s="135"/>
      <c r="F73" s="135"/>
      <c r="G73" s="135"/>
      <c r="H73" s="135"/>
      <c r="I73" s="135"/>
      <c r="J73" s="135"/>
      <c r="K73" s="135"/>
      <c r="L73" s="135"/>
      <c r="M73" s="136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</row>
    <row r="74" spans="1:26" ht="12.75" customHeight="1" x14ac:dyDescent="0.2">
      <c r="A74" s="134"/>
      <c r="B74" s="135"/>
      <c r="C74" s="135"/>
      <c r="D74" s="135"/>
      <c r="E74" s="135"/>
      <c r="F74" s="135"/>
      <c r="G74" s="135"/>
      <c r="H74" s="135"/>
      <c r="I74" s="135"/>
      <c r="J74" s="135"/>
      <c r="K74" s="135"/>
      <c r="L74" s="135"/>
      <c r="M74" s="136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/>
    </row>
    <row r="75" spans="1:26" ht="12.75" customHeight="1" x14ac:dyDescent="0.2">
      <c r="A75" s="134"/>
      <c r="B75" s="135"/>
      <c r="C75" s="135"/>
      <c r="D75" s="135"/>
      <c r="E75" s="135"/>
      <c r="F75" s="135"/>
      <c r="G75" s="135"/>
      <c r="H75" s="135"/>
      <c r="I75" s="135"/>
      <c r="J75" s="135"/>
      <c r="K75" s="135"/>
      <c r="L75" s="135"/>
      <c r="M75" s="136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/>
    </row>
    <row r="76" spans="1:26" ht="17.25" customHeight="1" x14ac:dyDescent="0.25">
      <c r="A76" s="28" t="s">
        <v>40</v>
      </c>
      <c r="B76" s="28"/>
      <c r="C76" s="119"/>
      <c r="D76" s="28" t="s">
        <v>41</v>
      </c>
      <c r="E76" s="137" t="str">
        <f>PEDIDO!A30</f>
        <v>MODIFICADO POR: JAIDER ROJAS - ALMACENISTA (26-02-2017)SENA ITAGUI ANTIOQUIA</v>
      </c>
      <c r="F76" s="135"/>
      <c r="G76" s="135"/>
      <c r="H76" s="135"/>
      <c r="I76" s="135"/>
      <c r="J76" s="135"/>
      <c r="K76" s="135"/>
      <c r="L76" s="135"/>
      <c r="M76" s="136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</row>
    <row r="77" spans="1:26" ht="12.75" customHeight="1" x14ac:dyDescent="0.2">
      <c r="A77" s="29" t="s">
        <v>42</v>
      </c>
      <c r="B77" s="30"/>
      <c r="C77" s="110"/>
      <c r="D77" s="31">
        <v>0</v>
      </c>
      <c r="E77" s="110"/>
      <c r="F77" s="110"/>
      <c r="G77" s="110"/>
      <c r="H77" s="110"/>
      <c r="I77" s="110"/>
      <c r="J77" s="110"/>
      <c r="K77" s="110"/>
      <c r="L77" s="110"/>
      <c r="M77" s="110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</row>
    <row r="78" spans="1:26" ht="12.75" customHeight="1" x14ac:dyDescent="0.2">
      <c r="A78" s="29" t="s">
        <v>43</v>
      </c>
      <c r="B78" s="30"/>
      <c r="C78" s="110"/>
      <c r="D78" s="31">
        <v>0</v>
      </c>
      <c r="E78" s="110"/>
      <c r="F78" s="110"/>
      <c r="G78" s="110"/>
      <c r="H78" s="110"/>
      <c r="I78" s="110"/>
      <c r="J78" s="110"/>
      <c r="K78" s="110"/>
      <c r="L78" s="110"/>
      <c r="M78" s="110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</row>
    <row r="79" spans="1:26" ht="12.75" customHeight="1" x14ac:dyDescent="0.2">
      <c r="A79" s="29" t="s">
        <v>44</v>
      </c>
      <c r="B79" s="30"/>
      <c r="C79" s="110"/>
      <c r="D79" s="31">
        <v>0</v>
      </c>
      <c r="E79" s="110"/>
      <c r="F79" s="110"/>
      <c r="G79" s="110"/>
      <c r="H79" s="110"/>
      <c r="I79" s="110"/>
      <c r="J79" s="110"/>
      <c r="K79" s="110"/>
      <c r="L79" s="110"/>
      <c r="M79" s="110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</row>
    <row r="80" spans="1:26" ht="12.75" customHeight="1" x14ac:dyDescent="0.2">
      <c r="A80" s="29" t="s">
        <v>45</v>
      </c>
      <c r="B80" s="30"/>
      <c r="C80" s="110"/>
      <c r="D80" s="31">
        <v>0</v>
      </c>
      <c r="E80" s="110"/>
      <c r="F80" s="110"/>
      <c r="G80" s="110"/>
      <c r="H80" s="110"/>
      <c r="I80" s="110"/>
      <c r="J80" s="110"/>
      <c r="K80" s="110"/>
      <c r="L80" s="110"/>
      <c r="M80" s="110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</row>
    <row r="81" spans="1:26" ht="12.75" customHeight="1" x14ac:dyDescent="0.2">
      <c r="A81" s="29" t="s">
        <v>46</v>
      </c>
      <c r="B81" s="30"/>
      <c r="C81" s="110"/>
      <c r="D81" s="31">
        <v>0</v>
      </c>
      <c r="E81" s="110"/>
      <c r="F81" s="110"/>
      <c r="G81" s="110"/>
      <c r="H81" s="110"/>
      <c r="I81" s="110"/>
      <c r="J81" s="110"/>
      <c r="K81" s="110"/>
      <c r="L81" s="110"/>
      <c r="M81" s="110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7"/>
      <c r="Z81" s="107"/>
    </row>
    <row r="82" spans="1:26" ht="12.75" customHeight="1" x14ac:dyDescent="0.2">
      <c r="A82" s="29" t="s">
        <v>47</v>
      </c>
      <c r="B82" s="30"/>
      <c r="C82" s="110"/>
      <c r="D82" s="31">
        <v>56000</v>
      </c>
      <c r="E82" s="110"/>
      <c r="F82" s="110"/>
      <c r="G82" s="110"/>
      <c r="H82" s="110"/>
      <c r="I82" s="110"/>
      <c r="J82" s="110"/>
      <c r="K82" s="110"/>
      <c r="L82" s="110"/>
      <c r="M82" s="110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</row>
    <row r="83" spans="1:26" ht="12.75" customHeight="1" x14ac:dyDescent="0.2">
      <c r="A83" s="29" t="s">
        <v>48</v>
      </c>
      <c r="B83" s="30"/>
      <c r="C83" s="110"/>
      <c r="D83" s="31">
        <v>0</v>
      </c>
      <c r="E83" s="110"/>
      <c r="F83" s="110"/>
      <c r="G83" s="110"/>
      <c r="H83" s="110"/>
      <c r="I83" s="110"/>
      <c r="J83" s="110"/>
      <c r="K83" s="110"/>
      <c r="L83" s="110"/>
      <c r="M83" s="110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</row>
    <row r="84" spans="1:26" ht="12.75" customHeight="1" x14ac:dyDescent="0.2">
      <c r="A84" s="29" t="s">
        <v>49</v>
      </c>
      <c r="B84" s="30"/>
      <c r="C84" s="110"/>
      <c r="D84" s="31">
        <v>0</v>
      </c>
      <c r="E84" s="110"/>
      <c r="F84" s="110"/>
      <c r="G84" s="110"/>
      <c r="H84" s="110"/>
      <c r="I84" s="110"/>
      <c r="J84" s="110"/>
      <c r="K84" s="110"/>
      <c r="L84" s="110"/>
      <c r="M84" s="110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</row>
    <row r="85" spans="1:26" ht="12.75" customHeight="1" x14ac:dyDescent="0.2">
      <c r="A85" s="29" t="s">
        <v>50</v>
      </c>
      <c r="B85" s="30"/>
      <c r="C85" s="110"/>
      <c r="D85" s="31">
        <v>0</v>
      </c>
      <c r="E85" s="110"/>
      <c r="F85" s="110"/>
      <c r="G85" s="110"/>
      <c r="H85" s="110"/>
      <c r="I85" s="110"/>
      <c r="J85" s="110"/>
      <c r="K85" s="110"/>
      <c r="L85" s="110"/>
      <c r="M85" s="110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</row>
    <row r="86" spans="1:26" ht="12.75" customHeight="1" x14ac:dyDescent="0.2">
      <c r="A86" s="29" t="s">
        <v>51</v>
      </c>
      <c r="B86" s="30"/>
      <c r="C86" s="110"/>
      <c r="D86" s="31">
        <v>10</v>
      </c>
      <c r="E86" s="110"/>
      <c r="F86" s="110"/>
      <c r="G86" s="110"/>
      <c r="H86" s="110"/>
      <c r="I86" s="110"/>
      <c r="J86" s="110"/>
      <c r="K86" s="110"/>
      <c r="L86" s="110"/>
      <c r="M86" s="110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</row>
    <row r="87" spans="1:26" ht="12.75" customHeight="1" x14ac:dyDescent="0.2">
      <c r="A87" s="29" t="s">
        <v>52</v>
      </c>
      <c r="B87" s="30"/>
      <c r="C87" s="110"/>
      <c r="D87" s="31">
        <v>0</v>
      </c>
      <c r="E87" s="110"/>
      <c r="F87" s="110"/>
      <c r="G87" s="110"/>
      <c r="H87" s="110"/>
      <c r="I87" s="110"/>
      <c r="J87" s="110"/>
      <c r="K87" s="110"/>
      <c r="L87" s="110"/>
      <c r="M87" s="110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</row>
    <row r="88" spans="1:26" ht="12.75" customHeight="1" x14ac:dyDescent="0.2">
      <c r="A88" s="29" t="s">
        <v>53</v>
      </c>
      <c r="B88" s="29"/>
      <c r="C88" s="110"/>
      <c r="D88" s="31">
        <v>0</v>
      </c>
      <c r="E88" s="110"/>
      <c r="F88" s="110"/>
      <c r="G88" s="110"/>
      <c r="H88" s="110"/>
      <c r="I88" s="110"/>
      <c r="J88" s="110"/>
      <c r="K88" s="110"/>
      <c r="L88" s="110"/>
      <c r="M88" s="110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</row>
    <row r="89" spans="1:26" ht="12.75" customHeight="1" x14ac:dyDescent="0.2">
      <c r="A89" s="32" t="s">
        <v>54</v>
      </c>
      <c r="B89" s="30"/>
      <c r="C89" s="110"/>
      <c r="D89" s="31">
        <v>0</v>
      </c>
      <c r="E89" s="110"/>
      <c r="F89" s="110"/>
      <c r="G89" s="110"/>
      <c r="H89" s="110"/>
      <c r="I89" s="110"/>
      <c r="J89" s="110"/>
      <c r="K89" s="110"/>
      <c r="L89" s="110"/>
      <c r="M89" s="110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</row>
    <row r="90" spans="1:26" ht="12.75" customHeight="1" x14ac:dyDescent="0.2">
      <c r="A90" s="32" t="s">
        <v>55</v>
      </c>
      <c r="B90" s="30"/>
      <c r="C90" s="110"/>
      <c r="D90" s="31">
        <v>0</v>
      </c>
      <c r="E90" s="110"/>
      <c r="F90" s="110"/>
      <c r="G90" s="110"/>
      <c r="H90" s="110"/>
      <c r="I90" s="110"/>
      <c r="J90" s="110"/>
      <c r="K90" s="110"/>
      <c r="L90" s="110"/>
      <c r="M90" s="110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107"/>
    </row>
    <row r="91" spans="1:26" ht="12.75" customHeight="1" x14ac:dyDescent="0.2">
      <c r="A91" s="29" t="s">
        <v>56</v>
      </c>
      <c r="B91" s="29"/>
      <c r="C91" s="110"/>
      <c r="D91" s="31">
        <v>0</v>
      </c>
      <c r="E91" s="110"/>
      <c r="F91" s="110"/>
      <c r="G91" s="110"/>
      <c r="H91" s="110"/>
      <c r="I91" s="110"/>
      <c r="J91" s="110"/>
      <c r="K91" s="110"/>
      <c r="L91" s="110"/>
      <c r="M91" s="110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</row>
    <row r="92" spans="1:26" ht="12.75" customHeight="1" x14ac:dyDescent="0.2">
      <c r="A92" s="32" t="s">
        <v>57</v>
      </c>
      <c r="B92" s="29"/>
      <c r="C92" s="110"/>
      <c r="D92" s="31">
        <v>0</v>
      </c>
      <c r="E92" s="110"/>
      <c r="F92" s="110"/>
      <c r="G92" s="110"/>
      <c r="H92" s="110"/>
      <c r="I92" s="110"/>
      <c r="J92" s="110"/>
      <c r="K92" s="110"/>
      <c r="L92" s="110"/>
      <c r="M92" s="110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107"/>
    </row>
    <row r="93" spans="1:26" ht="12.75" customHeight="1" x14ac:dyDescent="0.2">
      <c r="A93" s="29" t="s">
        <v>58</v>
      </c>
      <c r="B93" s="30"/>
      <c r="C93" s="110"/>
      <c r="D93" s="31">
        <v>0</v>
      </c>
      <c r="E93" s="110"/>
      <c r="F93" s="110"/>
      <c r="G93" s="110"/>
      <c r="H93" s="110"/>
      <c r="I93" s="110"/>
      <c r="J93" s="110"/>
      <c r="K93" s="110"/>
      <c r="L93" s="110"/>
      <c r="M93" s="110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</row>
    <row r="94" spans="1:26" ht="12.75" customHeight="1" x14ac:dyDescent="0.2">
      <c r="A94" s="29" t="s">
        <v>59</v>
      </c>
      <c r="B94" s="29"/>
      <c r="C94" s="110"/>
      <c r="D94" s="31">
        <v>0</v>
      </c>
      <c r="E94" s="110"/>
      <c r="F94" s="110"/>
      <c r="G94" s="110"/>
      <c r="H94" s="110"/>
      <c r="I94" s="110"/>
      <c r="J94" s="110"/>
      <c r="K94" s="110"/>
      <c r="L94" s="110"/>
      <c r="M94" s="110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</row>
    <row r="95" spans="1:26" ht="12.75" customHeight="1" x14ac:dyDescent="0.2">
      <c r="A95" s="29" t="s">
        <v>60</v>
      </c>
      <c r="B95" s="29"/>
      <c r="C95" s="110"/>
      <c r="D95" s="31">
        <v>0</v>
      </c>
      <c r="E95" s="110"/>
      <c r="F95" s="110"/>
      <c r="G95" s="110"/>
      <c r="H95" s="110"/>
      <c r="I95" s="110"/>
      <c r="J95" s="110"/>
      <c r="K95" s="110"/>
      <c r="L95" s="110"/>
      <c r="M95" s="110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7"/>
    </row>
    <row r="96" spans="1:26" ht="12.75" customHeight="1" x14ac:dyDescent="0.2">
      <c r="A96" s="29" t="s">
        <v>61</v>
      </c>
      <c r="B96" s="29"/>
      <c r="C96" s="110"/>
      <c r="D96" s="31">
        <v>0</v>
      </c>
      <c r="E96" s="110"/>
      <c r="F96" s="110"/>
      <c r="G96" s="110"/>
      <c r="H96" s="110"/>
      <c r="I96" s="110"/>
      <c r="J96" s="110"/>
      <c r="K96" s="110"/>
      <c r="L96" s="110"/>
      <c r="M96" s="110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107"/>
    </row>
    <row r="97" spans="1:26" ht="12.75" customHeight="1" x14ac:dyDescent="0.2">
      <c r="A97" s="29" t="s">
        <v>62</v>
      </c>
      <c r="B97" s="29"/>
      <c r="C97" s="33"/>
      <c r="D97" s="31">
        <v>0</v>
      </c>
      <c r="E97" s="110"/>
      <c r="F97" s="110"/>
      <c r="G97" s="110"/>
      <c r="H97" s="110"/>
      <c r="I97" s="110"/>
      <c r="J97" s="110"/>
      <c r="K97" s="110"/>
      <c r="L97" s="110"/>
      <c r="M97" s="110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</row>
    <row r="98" spans="1:26" ht="12.75" customHeight="1" x14ac:dyDescent="0.2">
      <c r="A98" s="29" t="s">
        <v>63</v>
      </c>
      <c r="B98" s="29"/>
      <c r="C98" s="33"/>
      <c r="D98" s="31">
        <v>70000</v>
      </c>
      <c r="E98" s="110"/>
      <c r="F98" s="110"/>
      <c r="G98" s="110"/>
      <c r="H98" s="110"/>
      <c r="I98" s="110"/>
      <c r="J98" s="110"/>
      <c r="K98" s="110"/>
      <c r="L98" s="110"/>
      <c r="M98" s="110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</row>
    <row r="99" spans="1:26" ht="12.75" customHeight="1" x14ac:dyDescent="0.2">
      <c r="A99" s="29" t="s">
        <v>64</v>
      </c>
      <c r="B99" s="29"/>
      <c r="C99" s="33"/>
      <c r="D99" s="31">
        <v>0</v>
      </c>
      <c r="E99" s="110"/>
      <c r="F99" s="110"/>
      <c r="G99" s="110"/>
      <c r="H99" s="110"/>
      <c r="I99" s="110"/>
      <c r="J99" s="110"/>
      <c r="K99" s="110"/>
      <c r="L99" s="110"/>
      <c r="M99" s="110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</row>
    <row r="100" spans="1:26" ht="12.75" customHeight="1" x14ac:dyDescent="0.2">
      <c r="A100" s="29" t="s">
        <v>65</v>
      </c>
      <c r="B100" s="29"/>
      <c r="C100" s="33"/>
      <c r="D100" s="31">
        <v>0</v>
      </c>
      <c r="E100" s="110"/>
      <c r="F100" s="110"/>
      <c r="G100" s="110"/>
      <c r="H100" s="110"/>
      <c r="I100" s="110"/>
      <c r="J100" s="110"/>
      <c r="K100" s="110"/>
      <c r="L100" s="110"/>
      <c r="M100" s="110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</row>
    <row r="101" spans="1:26" ht="12.75" customHeight="1" x14ac:dyDescent="0.2">
      <c r="A101" s="29" t="s">
        <v>66</v>
      </c>
      <c r="B101" s="29"/>
      <c r="C101" s="110"/>
      <c r="D101" s="31">
        <v>0</v>
      </c>
      <c r="E101" s="110"/>
      <c r="F101" s="110"/>
      <c r="G101" s="110"/>
      <c r="H101" s="110"/>
      <c r="I101" s="110"/>
      <c r="J101" s="110"/>
      <c r="K101" s="110"/>
      <c r="L101" s="110"/>
      <c r="M101" s="110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</row>
    <row r="102" spans="1:26" ht="12.75" customHeight="1" x14ac:dyDescent="0.2">
      <c r="A102" s="29" t="s">
        <v>67</v>
      </c>
      <c r="B102" s="29"/>
      <c r="C102" s="110"/>
      <c r="D102" s="31">
        <v>0</v>
      </c>
      <c r="E102" s="110"/>
      <c r="F102" s="110"/>
      <c r="G102" s="110"/>
      <c r="H102" s="110"/>
      <c r="I102" s="110"/>
      <c r="J102" s="110"/>
      <c r="K102" s="110"/>
      <c r="L102" s="110"/>
      <c r="M102" s="110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</row>
    <row r="103" spans="1:26" ht="12.75" customHeight="1" x14ac:dyDescent="0.2">
      <c r="A103" s="29" t="s">
        <v>68</v>
      </c>
      <c r="B103" s="29"/>
      <c r="C103" s="33"/>
      <c r="D103" s="31">
        <v>0</v>
      </c>
      <c r="E103" s="110"/>
      <c r="F103" s="110"/>
      <c r="G103" s="110"/>
      <c r="H103" s="110"/>
      <c r="I103" s="110"/>
      <c r="J103" s="110"/>
      <c r="K103" s="110"/>
      <c r="L103" s="110"/>
      <c r="M103" s="110"/>
      <c r="N103" s="107"/>
      <c r="O103" s="107"/>
      <c r="P103" s="107"/>
      <c r="Q103" s="107"/>
      <c r="R103" s="107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">
      <c r="A104" s="29" t="s">
        <v>69</v>
      </c>
      <c r="B104" s="29"/>
      <c r="C104" s="33"/>
      <c r="D104" s="31">
        <v>0</v>
      </c>
      <c r="E104" s="110"/>
      <c r="F104" s="110"/>
      <c r="G104" s="110"/>
      <c r="H104" s="110"/>
      <c r="I104" s="110"/>
      <c r="J104" s="110"/>
      <c r="K104" s="110"/>
      <c r="L104" s="110"/>
      <c r="M104" s="110"/>
      <c r="N104" s="107"/>
      <c r="O104" s="107"/>
      <c r="P104" s="107"/>
      <c r="Q104" s="107"/>
      <c r="R104" s="107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">
      <c r="A105" s="29" t="s">
        <v>70</v>
      </c>
      <c r="B105" s="29"/>
      <c r="C105" s="33"/>
      <c r="D105" s="31">
        <v>0</v>
      </c>
      <c r="E105" s="110"/>
      <c r="F105" s="110"/>
      <c r="G105" s="110"/>
      <c r="H105" s="110"/>
      <c r="I105" s="110"/>
      <c r="J105" s="110"/>
      <c r="K105" s="110"/>
      <c r="L105" s="110"/>
      <c r="M105" s="110"/>
      <c r="N105" s="107"/>
      <c r="O105" s="107"/>
      <c r="P105" s="107"/>
      <c r="Q105" s="107"/>
      <c r="R105" s="107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">
      <c r="A106" s="32" t="s">
        <v>71</v>
      </c>
      <c r="B106" s="29"/>
      <c r="C106" s="33"/>
      <c r="D106" s="31">
        <v>0</v>
      </c>
      <c r="E106" s="110"/>
      <c r="F106" s="110"/>
      <c r="G106" s="110"/>
      <c r="H106" s="110"/>
      <c r="I106" s="110"/>
      <c r="J106" s="110"/>
      <c r="K106" s="110"/>
      <c r="L106" s="110"/>
      <c r="M106" s="110"/>
      <c r="N106" s="107"/>
      <c r="O106" s="107"/>
      <c r="P106" s="107"/>
      <c r="Q106" s="107"/>
      <c r="R106" s="107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">
      <c r="A107" s="29" t="s">
        <v>72</v>
      </c>
      <c r="B107" s="29"/>
      <c r="C107" s="33"/>
      <c r="D107" s="31">
        <v>0</v>
      </c>
      <c r="E107" s="110"/>
      <c r="F107" s="110"/>
      <c r="G107" s="110"/>
      <c r="H107" s="110"/>
      <c r="I107" s="110"/>
      <c r="J107" s="110"/>
      <c r="K107" s="110"/>
      <c r="L107" s="110"/>
      <c r="M107" s="110"/>
      <c r="N107" s="107"/>
      <c r="O107" s="107"/>
      <c r="P107" s="107"/>
      <c r="Q107" s="107"/>
      <c r="R107" s="107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">
      <c r="A108" s="29" t="s">
        <v>73</v>
      </c>
      <c r="B108" s="29"/>
      <c r="C108" s="33"/>
      <c r="D108" s="31">
        <v>0</v>
      </c>
      <c r="E108" s="110"/>
      <c r="F108" s="110"/>
      <c r="G108" s="110"/>
      <c r="H108" s="110"/>
      <c r="I108" s="110"/>
      <c r="J108" s="110"/>
      <c r="K108" s="110"/>
      <c r="L108" s="110"/>
      <c r="M108" s="110"/>
      <c r="N108" s="107"/>
      <c r="O108" s="107"/>
      <c r="P108" s="107"/>
      <c r="Q108" s="107"/>
      <c r="R108" s="107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">
      <c r="A109" s="32" t="s">
        <v>74</v>
      </c>
      <c r="B109" s="29"/>
      <c r="C109" s="33"/>
      <c r="D109" s="31">
        <v>1</v>
      </c>
      <c r="E109" s="110"/>
      <c r="F109" s="110"/>
      <c r="G109" s="110"/>
      <c r="H109" s="110"/>
      <c r="I109" s="110"/>
      <c r="J109" s="110"/>
      <c r="K109" s="110"/>
      <c r="L109" s="110"/>
      <c r="M109" s="110"/>
      <c r="N109" s="107"/>
      <c r="O109" s="107"/>
      <c r="P109" s="107"/>
      <c r="Q109" s="107"/>
      <c r="R109" s="107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">
      <c r="A110" s="32" t="s">
        <v>75</v>
      </c>
      <c r="B110" s="34"/>
      <c r="C110" s="33"/>
      <c r="D110" s="31">
        <v>0</v>
      </c>
      <c r="E110" s="110"/>
      <c r="F110" s="110"/>
      <c r="G110" s="110"/>
      <c r="H110" s="110"/>
      <c r="I110" s="110"/>
      <c r="J110" s="110"/>
      <c r="K110" s="110"/>
      <c r="L110" s="110"/>
      <c r="M110" s="110"/>
      <c r="N110" s="107"/>
      <c r="O110" s="107"/>
      <c r="P110" s="107"/>
      <c r="Q110" s="107"/>
      <c r="R110" s="107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">
      <c r="A111" s="29" t="s">
        <v>76</v>
      </c>
      <c r="B111" s="107"/>
      <c r="C111" s="120"/>
      <c r="D111" s="31">
        <v>0</v>
      </c>
      <c r="E111" s="110"/>
      <c r="F111" s="110"/>
      <c r="G111" s="110"/>
      <c r="H111" s="110"/>
      <c r="I111" s="110"/>
      <c r="J111" s="110"/>
      <c r="K111" s="110"/>
      <c r="L111" s="110"/>
      <c r="M111" s="110"/>
      <c r="N111" s="107"/>
      <c r="O111" s="107"/>
      <c r="P111" s="107"/>
      <c r="Q111" s="107"/>
      <c r="R111" s="107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">
      <c r="A112" s="32" t="s">
        <v>77</v>
      </c>
      <c r="B112" s="107"/>
      <c r="C112" s="120"/>
      <c r="D112" s="31">
        <v>0</v>
      </c>
      <c r="E112" s="110"/>
      <c r="F112" s="110"/>
      <c r="G112" s="110"/>
      <c r="H112" s="110"/>
      <c r="I112" s="110"/>
      <c r="J112" s="110"/>
      <c r="K112" s="110"/>
      <c r="L112" s="110"/>
      <c r="M112" s="110"/>
      <c r="N112" s="107"/>
      <c r="O112" s="107"/>
      <c r="P112" s="107"/>
      <c r="Q112" s="107"/>
      <c r="R112" s="107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">
      <c r="A113" s="32" t="s">
        <v>78</v>
      </c>
      <c r="B113" s="107"/>
      <c r="C113" s="120"/>
      <c r="D113" s="31">
        <v>0</v>
      </c>
      <c r="E113" s="110"/>
      <c r="F113" s="110"/>
      <c r="G113" s="110"/>
      <c r="H113" s="110"/>
      <c r="I113" s="110"/>
      <c r="J113" s="110"/>
      <c r="K113" s="110"/>
      <c r="L113" s="110"/>
      <c r="M113" s="110"/>
      <c r="N113" s="107"/>
      <c r="O113" s="107"/>
      <c r="P113" s="107"/>
      <c r="Q113" s="107"/>
      <c r="R113" s="107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">
      <c r="A114" s="32" t="s">
        <v>79</v>
      </c>
      <c r="B114" s="107"/>
      <c r="C114" s="120"/>
      <c r="D114" s="31">
        <v>0</v>
      </c>
      <c r="E114" s="110"/>
      <c r="F114" s="110"/>
      <c r="G114" s="110"/>
      <c r="H114" s="110"/>
      <c r="I114" s="110"/>
      <c r="J114" s="110"/>
      <c r="K114" s="110"/>
      <c r="L114" s="110"/>
      <c r="M114" s="110"/>
      <c r="N114" s="107"/>
      <c r="O114" s="107"/>
      <c r="P114" s="107"/>
      <c r="Q114" s="107"/>
      <c r="R114" s="107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">
      <c r="A115" s="32" t="s">
        <v>80</v>
      </c>
      <c r="B115" s="107"/>
      <c r="C115" s="120"/>
      <c r="D115" s="31">
        <v>0</v>
      </c>
      <c r="E115" s="110"/>
      <c r="F115" s="110"/>
      <c r="G115" s="110"/>
      <c r="H115" s="110"/>
      <c r="I115" s="110"/>
      <c r="J115" s="110"/>
      <c r="K115" s="110"/>
      <c r="L115" s="110"/>
      <c r="M115" s="110"/>
      <c r="N115" s="107"/>
      <c r="O115" s="107"/>
      <c r="P115" s="107"/>
      <c r="Q115" s="107"/>
      <c r="R115" s="107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">
      <c r="A116" s="32" t="s">
        <v>81</v>
      </c>
      <c r="B116" s="107"/>
      <c r="C116" s="120"/>
      <c r="D116" s="31">
        <v>0</v>
      </c>
      <c r="E116" s="110"/>
      <c r="F116" s="110"/>
      <c r="G116" s="110"/>
      <c r="H116" s="110"/>
      <c r="I116" s="110"/>
      <c r="J116" s="110"/>
      <c r="K116" s="110"/>
      <c r="L116" s="110"/>
      <c r="M116" s="110"/>
      <c r="N116" s="107"/>
      <c r="O116" s="107"/>
      <c r="P116" s="107"/>
      <c r="Q116" s="107"/>
      <c r="R116" s="107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">
      <c r="A117" s="32" t="s">
        <v>82</v>
      </c>
      <c r="B117" s="107"/>
      <c r="C117" s="120"/>
      <c r="D117" s="31">
        <v>0</v>
      </c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">
      <c r="A118" s="32" t="s">
        <v>83</v>
      </c>
      <c r="B118" s="107"/>
      <c r="C118" s="120"/>
      <c r="D118" s="31">
        <v>0</v>
      </c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"/>
      <c r="V118" s="1"/>
      <c r="W118" s="1"/>
      <c r="X118" s="1"/>
      <c r="Y118" s="1"/>
      <c r="Z118" s="1"/>
    </row>
    <row r="119" spans="1:26" ht="12.75" customHeight="1" x14ac:dyDescent="0.2">
      <c r="A119" s="35" t="s">
        <v>84</v>
      </c>
      <c r="B119" s="107"/>
      <c r="C119" s="120"/>
      <c r="D119" s="31">
        <v>0</v>
      </c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"/>
      <c r="V119" s="1"/>
      <c r="W119" s="1"/>
      <c r="X119" s="1"/>
      <c r="Y119" s="1"/>
      <c r="Z119" s="1"/>
    </row>
    <row r="120" spans="1:26" ht="12.75" customHeight="1" x14ac:dyDescent="0.2">
      <c r="A120" s="32" t="s">
        <v>85</v>
      </c>
      <c r="B120" s="107"/>
      <c r="C120" s="120"/>
      <c r="D120" s="31">
        <v>0</v>
      </c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"/>
      <c r="V120" s="1"/>
      <c r="W120" s="1"/>
      <c r="X120" s="1"/>
      <c r="Y120" s="1"/>
      <c r="Z120" s="1"/>
    </row>
    <row r="121" spans="1:26" ht="12.75" customHeight="1" x14ac:dyDescent="0.2">
      <c r="A121" s="29" t="s">
        <v>86</v>
      </c>
      <c r="B121" s="107"/>
      <c r="C121" s="120"/>
      <c r="D121" s="31">
        <v>0</v>
      </c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"/>
      <c r="V121" s="1"/>
      <c r="W121" s="1"/>
      <c r="X121" s="1"/>
      <c r="Y121" s="1"/>
      <c r="Z121" s="1"/>
    </row>
    <row r="122" spans="1:26" ht="12.75" customHeight="1" x14ac:dyDescent="0.2">
      <c r="A122" s="32" t="s">
        <v>87</v>
      </c>
      <c r="B122" s="107"/>
      <c r="C122" s="120"/>
      <c r="D122" s="31">
        <v>0</v>
      </c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"/>
      <c r="V122" s="1"/>
      <c r="W122" s="1"/>
      <c r="X122" s="1"/>
      <c r="Y122" s="1"/>
      <c r="Z122" s="1"/>
    </row>
    <row r="123" spans="1:26" ht="12.75" customHeight="1" x14ac:dyDescent="0.2">
      <c r="A123" s="32" t="s">
        <v>88</v>
      </c>
      <c r="B123" s="107"/>
      <c r="C123" s="120"/>
      <c r="D123" s="31">
        <v>0</v>
      </c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"/>
      <c r="V123" s="1"/>
      <c r="W123" s="1"/>
      <c r="X123" s="1"/>
      <c r="Y123" s="1"/>
      <c r="Z123" s="1"/>
    </row>
    <row r="124" spans="1:26" ht="12.75" customHeight="1" x14ac:dyDescent="0.2">
      <c r="A124" s="32" t="s">
        <v>89</v>
      </c>
      <c r="B124" s="107"/>
      <c r="C124" s="120"/>
      <c r="D124" s="31">
        <v>0</v>
      </c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"/>
      <c r="V124" s="1"/>
      <c r="W124" s="1"/>
      <c r="X124" s="1"/>
      <c r="Y124" s="1"/>
      <c r="Z124" s="1"/>
    </row>
    <row r="125" spans="1:26" ht="12.75" customHeight="1" x14ac:dyDescent="0.2">
      <c r="A125" s="107"/>
      <c r="B125" s="107"/>
      <c r="C125" s="120"/>
      <c r="D125" s="121"/>
      <c r="E125" s="107"/>
      <c r="F125" s="107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"/>
      <c r="V125" s="1"/>
      <c r="W125" s="1"/>
      <c r="X125" s="1"/>
      <c r="Y125" s="1"/>
      <c r="Z125" s="1"/>
    </row>
    <row r="126" spans="1:26" ht="12.75" customHeight="1" x14ac:dyDescent="0.2">
      <c r="A126" s="107"/>
      <c r="B126" s="107"/>
      <c r="C126" s="120"/>
      <c r="D126" s="121"/>
      <c r="E126" s="107"/>
      <c r="F126" s="107"/>
      <c r="G126" s="107"/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"/>
      <c r="V126" s="1"/>
      <c r="W126" s="1"/>
      <c r="X126" s="1"/>
      <c r="Y126" s="1"/>
      <c r="Z126" s="1"/>
    </row>
    <row r="127" spans="1:26" ht="12.75" customHeight="1" x14ac:dyDescent="0.2">
      <c r="A127" s="107"/>
      <c r="B127" s="107"/>
      <c r="C127" s="120"/>
      <c r="D127" s="122"/>
      <c r="E127" s="107"/>
      <c r="F127" s="107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"/>
      <c r="V127" s="1"/>
      <c r="W127" s="1"/>
      <c r="X127" s="1"/>
      <c r="Y127" s="1"/>
      <c r="Z127" s="1"/>
    </row>
    <row r="128" spans="1:26" ht="12.75" customHeight="1" x14ac:dyDescent="0.2">
      <c r="A128" s="107"/>
      <c r="B128" s="107"/>
      <c r="C128" s="120"/>
      <c r="D128" s="121"/>
      <c r="E128" s="107"/>
      <c r="F128" s="107"/>
      <c r="G128" s="107"/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"/>
      <c r="V128" s="1"/>
      <c r="W128" s="1"/>
      <c r="X128" s="1"/>
      <c r="Y128" s="1"/>
      <c r="Z128" s="1"/>
    </row>
    <row r="129" spans="1:26" ht="12.75" customHeight="1" x14ac:dyDescent="0.2">
      <c r="A129" s="107"/>
      <c r="B129" s="107"/>
      <c r="C129" s="120"/>
      <c r="D129" s="121"/>
      <c r="E129" s="107"/>
      <c r="F129" s="107"/>
      <c r="G129" s="107"/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"/>
      <c r="V129" s="1"/>
      <c r="W129" s="1"/>
      <c r="X129" s="1"/>
      <c r="Y129" s="1"/>
      <c r="Z129" s="1"/>
    </row>
    <row r="130" spans="1:26" ht="12.75" customHeight="1" x14ac:dyDescent="0.2">
      <c r="A130" s="107"/>
      <c r="B130" s="107"/>
      <c r="C130" s="120"/>
      <c r="D130" s="122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"/>
      <c r="V130" s="1"/>
      <c r="W130" s="1"/>
      <c r="X130" s="1"/>
      <c r="Y130" s="1"/>
      <c r="Z130" s="1"/>
    </row>
    <row r="131" spans="1:26" ht="12.75" customHeight="1" x14ac:dyDescent="0.2">
      <c r="A131" s="107"/>
      <c r="B131" s="107"/>
      <c r="C131" s="120"/>
      <c r="D131" s="121"/>
      <c r="E131" s="107"/>
      <c r="F131" s="107"/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"/>
      <c r="V131" s="1"/>
      <c r="W131" s="1"/>
      <c r="X131" s="1"/>
      <c r="Y131" s="1"/>
      <c r="Z131" s="1"/>
    </row>
    <row r="132" spans="1:26" ht="12.75" customHeight="1" x14ac:dyDescent="0.2">
      <c r="A132" s="107"/>
      <c r="B132" s="107"/>
      <c r="C132" s="120"/>
      <c r="D132" s="121"/>
      <c r="E132" s="107"/>
      <c r="F132" s="107"/>
      <c r="G132" s="107"/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"/>
      <c r="V132" s="1"/>
      <c r="W132" s="1"/>
      <c r="X132" s="1"/>
      <c r="Y132" s="1"/>
      <c r="Z132" s="1"/>
    </row>
    <row r="133" spans="1:26" ht="12.75" customHeight="1" x14ac:dyDescent="0.2">
      <c r="A133" s="107"/>
      <c r="B133" s="107"/>
      <c r="C133" s="120"/>
      <c r="D133" s="122"/>
      <c r="E133" s="107"/>
      <c r="F133" s="107"/>
      <c r="G133" s="107"/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"/>
      <c r="V133" s="1"/>
      <c r="W133" s="1"/>
      <c r="X133" s="1"/>
      <c r="Y133" s="1"/>
      <c r="Z133" s="1"/>
    </row>
    <row r="134" spans="1:26" ht="12.75" customHeight="1" x14ac:dyDescent="0.2">
      <c r="A134" s="107"/>
      <c r="B134" s="107"/>
      <c r="C134" s="120"/>
      <c r="D134" s="121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"/>
      <c r="V134" s="1"/>
      <c r="W134" s="1"/>
      <c r="X134" s="1"/>
      <c r="Y134" s="1"/>
      <c r="Z134" s="1"/>
    </row>
    <row r="135" spans="1:26" ht="12.75" customHeight="1" x14ac:dyDescent="0.2">
      <c r="A135" s="107"/>
      <c r="B135" s="107"/>
      <c r="C135" s="120"/>
      <c r="D135" s="121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"/>
      <c r="V135" s="1"/>
      <c r="W135" s="1"/>
      <c r="X135" s="1"/>
      <c r="Y135" s="1"/>
      <c r="Z135" s="1"/>
    </row>
    <row r="136" spans="1:26" ht="12.75" customHeight="1" x14ac:dyDescent="0.2">
      <c r="A136" s="107"/>
      <c r="B136" s="107"/>
      <c r="C136" s="120"/>
      <c r="D136" s="122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"/>
      <c r="V136" s="1"/>
      <c r="W136" s="1"/>
      <c r="X136" s="1"/>
      <c r="Y136" s="1"/>
      <c r="Z136" s="1"/>
    </row>
    <row r="137" spans="1:26" ht="12.75" customHeight="1" x14ac:dyDescent="0.2">
      <c r="A137" s="107"/>
      <c r="B137" s="107"/>
      <c r="C137" s="120"/>
      <c r="D137" s="121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"/>
      <c r="V137" s="1"/>
      <c r="W137" s="1"/>
      <c r="X137" s="1"/>
      <c r="Y137" s="1"/>
      <c r="Z137" s="1"/>
    </row>
    <row r="138" spans="1:26" ht="12.75" customHeight="1" x14ac:dyDescent="0.2">
      <c r="A138" s="107"/>
      <c r="B138" s="107"/>
      <c r="C138" s="120"/>
      <c r="D138" s="121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"/>
      <c r="V138" s="1"/>
      <c r="W138" s="1"/>
      <c r="X138" s="1"/>
      <c r="Y138" s="1"/>
      <c r="Z138" s="1"/>
    </row>
    <row r="139" spans="1:26" ht="12.75" customHeight="1" x14ac:dyDescent="0.2">
      <c r="A139" s="107"/>
      <c r="B139" s="107"/>
      <c r="C139" s="120"/>
      <c r="D139" s="122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"/>
      <c r="V139" s="1"/>
      <c r="W139" s="1"/>
      <c r="X139" s="1"/>
      <c r="Y139" s="1"/>
      <c r="Z139" s="1"/>
    </row>
    <row r="140" spans="1:26" ht="12.75" customHeight="1" x14ac:dyDescent="0.2">
      <c r="A140" s="107"/>
      <c r="B140" s="107"/>
      <c r="C140" s="120"/>
      <c r="D140" s="121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"/>
      <c r="V140" s="1"/>
      <c r="W140" s="1"/>
      <c r="X140" s="1"/>
      <c r="Y140" s="1"/>
      <c r="Z140" s="1"/>
    </row>
    <row r="141" spans="1:26" ht="12.75" customHeight="1" x14ac:dyDescent="0.2">
      <c r="A141" s="107"/>
      <c r="B141" s="107"/>
      <c r="C141" s="120"/>
      <c r="D141" s="121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"/>
      <c r="V141" s="1"/>
      <c r="W141" s="1"/>
      <c r="X141" s="1"/>
      <c r="Y141" s="1"/>
      <c r="Z141" s="1"/>
    </row>
    <row r="142" spans="1:26" ht="12.75" customHeight="1" x14ac:dyDescent="0.2">
      <c r="A142" s="107"/>
      <c r="B142" s="107"/>
      <c r="C142" s="120"/>
      <c r="D142" s="122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"/>
      <c r="V142" s="1"/>
      <c r="W142" s="1"/>
      <c r="X142" s="1"/>
      <c r="Y142" s="1"/>
      <c r="Z142" s="1"/>
    </row>
    <row r="143" spans="1:26" ht="12.75" customHeight="1" x14ac:dyDescent="0.2">
      <c r="A143" s="107"/>
      <c r="B143" s="107"/>
      <c r="C143" s="120"/>
      <c r="D143" s="121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"/>
      <c r="V143" s="1"/>
      <c r="W143" s="1"/>
      <c r="X143" s="1"/>
      <c r="Y143" s="1"/>
      <c r="Z143" s="1"/>
    </row>
    <row r="144" spans="1:26" ht="12.75" customHeight="1" x14ac:dyDescent="0.2">
      <c r="A144" s="107"/>
      <c r="B144" s="107"/>
      <c r="C144" s="120"/>
      <c r="D144" s="121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"/>
      <c r="V144" s="1"/>
      <c r="W144" s="1"/>
      <c r="X144" s="1"/>
      <c r="Y144" s="1"/>
      <c r="Z144" s="1"/>
    </row>
    <row r="145" spans="1:26" ht="12.75" customHeight="1" x14ac:dyDescent="0.2">
      <c r="A145" s="107"/>
      <c r="B145" s="107"/>
      <c r="C145" s="120"/>
      <c r="D145" s="122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"/>
      <c r="V145" s="1"/>
      <c r="W145" s="1"/>
      <c r="X145" s="1"/>
      <c r="Y145" s="1"/>
      <c r="Z145" s="1"/>
    </row>
    <row r="146" spans="1:26" ht="12.75" customHeight="1" x14ac:dyDescent="0.2">
      <c r="A146" s="107"/>
      <c r="B146" s="107"/>
      <c r="C146" s="120"/>
      <c r="D146" s="121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"/>
      <c r="V146" s="1"/>
      <c r="W146" s="1"/>
      <c r="X146" s="1"/>
      <c r="Y146" s="1"/>
      <c r="Z146" s="1"/>
    </row>
    <row r="147" spans="1:26" ht="12.75" customHeight="1" x14ac:dyDescent="0.2">
      <c r="A147" s="107"/>
      <c r="B147" s="107"/>
      <c r="C147" s="120"/>
      <c r="D147" s="121"/>
      <c r="E147" s="107"/>
      <c r="F147" s="107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"/>
      <c r="V147" s="1"/>
      <c r="W147" s="1"/>
      <c r="X147" s="1"/>
      <c r="Y147" s="1"/>
      <c r="Z147" s="1"/>
    </row>
    <row r="148" spans="1:26" ht="12.75" customHeight="1" x14ac:dyDescent="0.2">
      <c r="A148" s="107"/>
      <c r="B148" s="107"/>
      <c r="C148" s="120"/>
      <c r="D148" s="122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"/>
      <c r="V148" s="1"/>
      <c r="W148" s="1"/>
      <c r="X148" s="1"/>
      <c r="Y148" s="1"/>
      <c r="Z148" s="1"/>
    </row>
    <row r="149" spans="1:26" ht="12.75" customHeight="1" x14ac:dyDescent="0.2">
      <c r="A149" s="107"/>
      <c r="B149" s="107"/>
      <c r="C149" s="120"/>
      <c r="D149" s="121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"/>
      <c r="V149" s="1"/>
      <c r="W149" s="1"/>
      <c r="X149" s="1"/>
      <c r="Y149" s="1"/>
      <c r="Z149" s="1"/>
    </row>
    <row r="150" spans="1:26" ht="12.75" customHeight="1" x14ac:dyDescent="0.2">
      <c r="A150" s="107"/>
      <c r="B150" s="107"/>
      <c r="C150" s="120"/>
      <c r="D150" s="121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"/>
      <c r="V150" s="1"/>
      <c r="W150" s="1"/>
      <c r="X150" s="1"/>
      <c r="Y150" s="1"/>
      <c r="Z150" s="1"/>
    </row>
    <row r="151" spans="1:26" ht="12.75" customHeight="1" x14ac:dyDescent="0.2">
      <c r="A151" s="107"/>
      <c r="B151" s="107"/>
      <c r="C151" s="120"/>
      <c r="D151" s="122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"/>
      <c r="V151" s="1"/>
      <c r="W151" s="1"/>
      <c r="X151" s="1"/>
      <c r="Y151" s="1"/>
      <c r="Z151" s="1"/>
    </row>
    <row r="152" spans="1:26" ht="12.75" customHeight="1" x14ac:dyDescent="0.2">
      <c r="A152" s="107"/>
      <c r="B152" s="107"/>
      <c r="C152" s="120"/>
      <c r="D152" s="121"/>
      <c r="E152" s="107"/>
      <c r="F152" s="107"/>
      <c r="G152" s="107"/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"/>
      <c r="V152" s="1"/>
      <c r="W152" s="1"/>
      <c r="X152" s="1"/>
      <c r="Y152" s="1"/>
      <c r="Z152" s="1"/>
    </row>
    <row r="153" spans="1:26" ht="12.75" customHeight="1" x14ac:dyDescent="0.2">
      <c r="A153" s="107"/>
      <c r="B153" s="107"/>
      <c r="C153" s="120"/>
      <c r="D153" s="121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"/>
      <c r="V153" s="1"/>
      <c r="W153" s="1"/>
      <c r="X153" s="1"/>
      <c r="Y153" s="1"/>
      <c r="Z153" s="1"/>
    </row>
    <row r="154" spans="1:26" ht="12.75" customHeight="1" x14ac:dyDescent="0.2">
      <c r="A154" s="107"/>
      <c r="B154" s="107"/>
      <c r="C154" s="120"/>
      <c r="D154" s="122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"/>
      <c r="V154" s="1"/>
      <c r="W154" s="1"/>
      <c r="X154" s="1"/>
      <c r="Y154" s="1"/>
      <c r="Z154" s="1"/>
    </row>
    <row r="155" spans="1:26" ht="12.75" customHeight="1" x14ac:dyDescent="0.2">
      <c r="A155" s="107"/>
      <c r="B155" s="107"/>
      <c r="C155" s="120"/>
      <c r="D155" s="121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"/>
      <c r="V155" s="1"/>
      <c r="W155" s="1"/>
      <c r="X155" s="1"/>
      <c r="Y155" s="1"/>
      <c r="Z155" s="1"/>
    </row>
    <row r="156" spans="1:26" ht="12.75" customHeight="1" x14ac:dyDescent="0.2">
      <c r="A156" s="107"/>
      <c r="B156" s="107"/>
      <c r="C156" s="120"/>
      <c r="D156" s="121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"/>
      <c r="V156" s="1"/>
      <c r="W156" s="1"/>
      <c r="X156" s="1"/>
      <c r="Y156" s="1"/>
      <c r="Z156" s="1"/>
    </row>
    <row r="157" spans="1:26" ht="12.75" customHeight="1" x14ac:dyDescent="0.2">
      <c r="A157" s="107"/>
      <c r="B157" s="107"/>
      <c r="C157" s="120"/>
      <c r="D157" s="122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"/>
      <c r="V157" s="1"/>
      <c r="W157" s="1"/>
      <c r="X157" s="1"/>
      <c r="Y157" s="1"/>
      <c r="Z157" s="1"/>
    </row>
    <row r="158" spans="1:26" ht="12.75" customHeight="1" x14ac:dyDescent="0.2">
      <c r="A158" s="107"/>
      <c r="B158" s="107"/>
      <c r="C158" s="120"/>
      <c r="D158" s="121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"/>
      <c r="V158" s="1"/>
      <c r="W158" s="1"/>
      <c r="X158" s="1"/>
      <c r="Y158" s="1"/>
      <c r="Z158" s="1"/>
    </row>
    <row r="159" spans="1:26" ht="12.75" customHeight="1" x14ac:dyDescent="0.2">
      <c r="A159" s="107"/>
      <c r="B159" s="107"/>
      <c r="C159" s="120"/>
      <c r="D159" s="121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"/>
      <c r="V159" s="1"/>
      <c r="W159" s="1"/>
      <c r="X159" s="1"/>
      <c r="Y159" s="1"/>
      <c r="Z159" s="1"/>
    </row>
    <row r="160" spans="1:26" ht="12.75" customHeight="1" x14ac:dyDescent="0.2">
      <c r="A160" s="107"/>
      <c r="B160" s="107"/>
      <c r="C160" s="120"/>
      <c r="D160" s="122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"/>
      <c r="V160" s="1"/>
      <c r="W160" s="1"/>
      <c r="X160" s="1"/>
      <c r="Y160" s="1"/>
      <c r="Z160" s="1"/>
    </row>
    <row r="161" spans="1:26" ht="12.75" customHeight="1" x14ac:dyDescent="0.2">
      <c r="A161" s="107"/>
      <c r="B161" s="107"/>
      <c r="C161" s="120"/>
      <c r="D161" s="121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"/>
      <c r="V161" s="1"/>
      <c r="W161" s="1"/>
      <c r="X161" s="1"/>
      <c r="Y161" s="1"/>
      <c r="Z161" s="1"/>
    </row>
    <row r="162" spans="1:26" ht="12.75" customHeight="1" x14ac:dyDescent="0.2">
      <c r="A162" s="107"/>
      <c r="B162" s="107"/>
      <c r="C162" s="120"/>
      <c r="D162" s="121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"/>
      <c r="V162" s="1"/>
      <c r="W162" s="1"/>
      <c r="X162" s="1"/>
      <c r="Y162" s="1"/>
      <c r="Z162" s="1"/>
    </row>
    <row r="163" spans="1:26" ht="12.75" customHeight="1" x14ac:dyDescent="0.2">
      <c r="A163" s="107"/>
      <c r="B163" s="107"/>
      <c r="C163" s="120"/>
      <c r="D163" s="122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"/>
      <c r="V163" s="1"/>
      <c r="W163" s="1"/>
      <c r="X163" s="1"/>
      <c r="Y163" s="1"/>
      <c r="Z163" s="1"/>
    </row>
    <row r="164" spans="1:26" ht="12.75" customHeight="1" x14ac:dyDescent="0.2">
      <c r="A164" s="107"/>
      <c r="B164" s="107"/>
      <c r="C164" s="120"/>
      <c r="D164" s="121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"/>
      <c r="V164" s="1"/>
      <c r="W164" s="1"/>
      <c r="X164" s="1"/>
      <c r="Y164" s="1"/>
      <c r="Z164" s="1"/>
    </row>
    <row r="165" spans="1:26" ht="12.75" customHeight="1" x14ac:dyDescent="0.2">
      <c r="A165" s="107"/>
      <c r="B165" s="107"/>
      <c r="C165" s="120"/>
      <c r="D165" s="121"/>
      <c r="E165" s="107"/>
      <c r="F165" s="107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"/>
      <c r="V165" s="1"/>
      <c r="W165" s="1"/>
      <c r="X165" s="1"/>
      <c r="Y165" s="1"/>
      <c r="Z165" s="1"/>
    </row>
    <row r="166" spans="1:26" ht="12.75" customHeight="1" x14ac:dyDescent="0.2">
      <c r="A166" s="107"/>
      <c r="B166" s="107"/>
      <c r="C166" s="120"/>
      <c r="D166" s="122"/>
      <c r="E166" s="107"/>
      <c r="F166" s="107"/>
      <c r="G166" s="107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"/>
      <c r="V166" s="1"/>
      <c r="W166" s="1"/>
      <c r="X166" s="1"/>
      <c r="Y166" s="1"/>
      <c r="Z166" s="1"/>
    </row>
    <row r="167" spans="1:26" ht="12.75" customHeight="1" x14ac:dyDescent="0.2">
      <c r="A167" s="107"/>
      <c r="B167" s="107"/>
      <c r="C167" s="120"/>
      <c r="D167" s="121"/>
      <c r="E167" s="107"/>
      <c r="F167" s="107"/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"/>
      <c r="V167" s="1"/>
      <c r="W167" s="1"/>
      <c r="X167" s="1"/>
      <c r="Y167" s="1"/>
      <c r="Z167" s="1"/>
    </row>
    <row r="168" spans="1:26" ht="12.75" customHeight="1" x14ac:dyDescent="0.2">
      <c r="A168" s="107"/>
      <c r="B168" s="107"/>
      <c r="C168" s="120"/>
      <c r="D168" s="121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"/>
      <c r="V168" s="1"/>
      <c r="W168" s="1"/>
      <c r="X168" s="1"/>
      <c r="Y168" s="1"/>
      <c r="Z168" s="1"/>
    </row>
    <row r="169" spans="1:26" ht="12.75" customHeight="1" x14ac:dyDescent="0.2">
      <c r="A169" s="107"/>
      <c r="B169" s="107"/>
      <c r="C169" s="120"/>
      <c r="D169" s="122"/>
      <c r="E169" s="107"/>
      <c r="F169" s="107"/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"/>
      <c r="V169" s="1"/>
      <c r="W169" s="1"/>
      <c r="X169" s="1"/>
      <c r="Y169" s="1"/>
      <c r="Z169" s="1"/>
    </row>
    <row r="170" spans="1:26" ht="12.75" customHeight="1" x14ac:dyDescent="0.2">
      <c r="A170" s="107"/>
      <c r="B170" s="107"/>
      <c r="C170" s="120"/>
      <c r="D170" s="121"/>
      <c r="E170" s="107"/>
      <c r="F170" s="107"/>
      <c r="G170" s="107"/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"/>
      <c r="V170" s="1"/>
      <c r="W170" s="1"/>
      <c r="X170" s="1"/>
      <c r="Y170" s="1"/>
      <c r="Z170" s="1"/>
    </row>
    <row r="171" spans="1:26" ht="12.75" customHeight="1" x14ac:dyDescent="0.2">
      <c r="A171" s="107"/>
      <c r="B171" s="107"/>
      <c r="C171" s="120"/>
      <c r="D171" s="121"/>
      <c r="E171" s="107"/>
      <c r="F171" s="107"/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"/>
      <c r="V171" s="1"/>
      <c r="W171" s="1"/>
      <c r="X171" s="1"/>
      <c r="Y171" s="1"/>
      <c r="Z171" s="1"/>
    </row>
    <row r="172" spans="1:26" ht="12.75" customHeight="1" x14ac:dyDescent="0.2">
      <c r="A172" s="107"/>
      <c r="B172" s="107"/>
      <c r="C172" s="120"/>
      <c r="D172" s="122"/>
      <c r="E172" s="107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"/>
      <c r="V172" s="1"/>
      <c r="W172" s="1"/>
      <c r="X172" s="1"/>
      <c r="Y172" s="1"/>
      <c r="Z172" s="1"/>
    </row>
    <row r="173" spans="1:26" ht="12.75" customHeight="1" x14ac:dyDescent="0.2">
      <c r="A173" s="107"/>
      <c r="B173" s="107"/>
      <c r="C173" s="120"/>
      <c r="D173" s="121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"/>
      <c r="V173" s="1"/>
      <c r="W173" s="1"/>
      <c r="X173" s="1"/>
      <c r="Y173" s="1"/>
      <c r="Z173" s="1"/>
    </row>
    <row r="174" spans="1:26" ht="12.75" customHeight="1" x14ac:dyDescent="0.2">
      <c r="A174" s="107"/>
      <c r="B174" s="107"/>
      <c r="C174" s="120"/>
      <c r="D174" s="121"/>
      <c r="E174" s="107"/>
      <c r="F174" s="107"/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"/>
      <c r="V174" s="1"/>
      <c r="W174" s="1"/>
      <c r="X174" s="1"/>
      <c r="Y174" s="1"/>
      <c r="Z174" s="1"/>
    </row>
    <row r="175" spans="1:26" ht="12.75" customHeight="1" x14ac:dyDescent="0.2">
      <c r="A175" s="107"/>
      <c r="B175" s="107"/>
      <c r="C175" s="120"/>
      <c r="D175" s="122"/>
      <c r="E175" s="107"/>
      <c r="F175" s="107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"/>
      <c r="V175" s="1"/>
      <c r="W175" s="1"/>
      <c r="X175" s="1"/>
      <c r="Y175" s="1"/>
      <c r="Z175" s="1"/>
    </row>
    <row r="176" spans="1:26" ht="12.75" customHeight="1" x14ac:dyDescent="0.2">
      <c r="A176" s="107"/>
      <c r="B176" s="107"/>
      <c r="C176" s="120"/>
      <c r="D176" s="121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"/>
      <c r="V176" s="1"/>
      <c r="W176" s="1"/>
      <c r="X176" s="1"/>
      <c r="Y176" s="1"/>
      <c r="Z176" s="1"/>
    </row>
    <row r="177" spans="1:26" ht="12.75" customHeight="1" x14ac:dyDescent="0.2">
      <c r="A177" s="107"/>
      <c r="B177" s="107"/>
      <c r="C177" s="120"/>
      <c r="D177" s="121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"/>
      <c r="V177" s="1"/>
      <c r="W177" s="1"/>
      <c r="X177" s="1"/>
      <c r="Y177" s="1"/>
      <c r="Z177" s="1"/>
    </row>
    <row r="178" spans="1:26" ht="12.75" customHeight="1" x14ac:dyDescent="0.2">
      <c r="A178" s="107"/>
      <c r="B178" s="107"/>
      <c r="C178" s="120"/>
      <c r="D178" s="122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"/>
      <c r="V178" s="1"/>
      <c r="W178" s="1"/>
      <c r="X178" s="1"/>
      <c r="Y178" s="1"/>
      <c r="Z178" s="1"/>
    </row>
    <row r="179" spans="1:26" ht="12.75" customHeight="1" x14ac:dyDescent="0.2">
      <c r="A179" s="107"/>
      <c r="B179" s="107"/>
      <c r="C179" s="120"/>
      <c r="D179" s="121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"/>
      <c r="V179" s="1"/>
      <c r="W179" s="1"/>
      <c r="X179" s="1"/>
      <c r="Y179" s="1"/>
      <c r="Z179" s="1"/>
    </row>
    <row r="180" spans="1:26" ht="12.75" customHeight="1" x14ac:dyDescent="0.2">
      <c r="A180" s="107"/>
      <c r="B180" s="107"/>
      <c r="C180" s="120"/>
      <c r="D180" s="121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"/>
      <c r="V180" s="1"/>
      <c r="W180" s="1"/>
      <c r="X180" s="1"/>
      <c r="Y180" s="1"/>
      <c r="Z180" s="1"/>
    </row>
    <row r="181" spans="1:26" ht="12.75" customHeight="1" x14ac:dyDescent="0.2">
      <c r="A181" s="107"/>
      <c r="B181" s="107"/>
      <c r="C181" s="120"/>
      <c r="D181" s="122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"/>
      <c r="V181" s="1"/>
      <c r="W181" s="1"/>
      <c r="X181" s="1"/>
      <c r="Y181" s="1"/>
      <c r="Z181" s="1"/>
    </row>
    <row r="182" spans="1:26" ht="12.75" customHeight="1" x14ac:dyDescent="0.2">
      <c r="A182" s="107"/>
      <c r="B182" s="107"/>
      <c r="C182" s="120"/>
      <c r="D182" s="121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"/>
      <c r="V182" s="1"/>
      <c r="W182" s="1"/>
      <c r="X182" s="1"/>
      <c r="Y182" s="1"/>
      <c r="Z182" s="1"/>
    </row>
    <row r="183" spans="1:26" ht="12.75" customHeight="1" x14ac:dyDescent="0.2">
      <c r="A183" s="107"/>
      <c r="B183" s="107"/>
      <c r="C183" s="120"/>
      <c r="D183" s="121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"/>
      <c r="V183" s="1"/>
      <c r="W183" s="1"/>
      <c r="X183" s="1"/>
      <c r="Y183" s="1"/>
      <c r="Z183" s="1"/>
    </row>
    <row r="184" spans="1:26" ht="12.75" customHeight="1" x14ac:dyDescent="0.2">
      <c r="A184" s="107"/>
      <c r="B184" s="107"/>
      <c r="C184" s="120"/>
      <c r="D184" s="122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"/>
      <c r="V184" s="1"/>
      <c r="W184" s="1"/>
      <c r="X184" s="1"/>
      <c r="Y184" s="1"/>
      <c r="Z184" s="1"/>
    </row>
    <row r="185" spans="1:26" ht="12.75" customHeight="1" x14ac:dyDescent="0.2">
      <c r="A185" s="107"/>
      <c r="B185" s="107"/>
      <c r="C185" s="120"/>
      <c r="D185" s="121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"/>
      <c r="V185" s="1"/>
      <c r="W185" s="1"/>
      <c r="X185" s="1"/>
      <c r="Y185" s="1"/>
      <c r="Z185" s="1"/>
    </row>
    <row r="186" spans="1:26" ht="12.75" customHeight="1" x14ac:dyDescent="0.2">
      <c r="A186" s="107"/>
      <c r="B186" s="107"/>
      <c r="C186" s="120"/>
      <c r="D186" s="121"/>
      <c r="E186" s="107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"/>
      <c r="V186" s="1"/>
      <c r="W186" s="1"/>
      <c r="X186" s="1"/>
      <c r="Y186" s="1"/>
      <c r="Z186" s="1"/>
    </row>
    <row r="187" spans="1:26" ht="12.75" customHeight="1" x14ac:dyDescent="0.2">
      <c r="A187" s="107"/>
      <c r="B187" s="107"/>
      <c r="C187" s="120"/>
      <c r="D187" s="122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"/>
      <c r="V187" s="1"/>
      <c r="W187" s="1"/>
      <c r="X187" s="1"/>
      <c r="Y187" s="1"/>
      <c r="Z187" s="1"/>
    </row>
    <row r="188" spans="1:26" ht="12.75" customHeight="1" x14ac:dyDescent="0.2">
      <c r="A188" s="107"/>
      <c r="B188" s="107"/>
      <c r="C188" s="120"/>
      <c r="D188" s="121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"/>
      <c r="V188" s="1"/>
      <c r="W188" s="1"/>
      <c r="X188" s="1"/>
      <c r="Y188" s="1"/>
      <c r="Z188" s="1"/>
    </row>
    <row r="189" spans="1:26" ht="12.75" customHeight="1" x14ac:dyDescent="0.2">
      <c r="A189" s="107"/>
      <c r="B189" s="107"/>
      <c r="C189" s="120"/>
      <c r="D189" s="121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"/>
      <c r="V189" s="1"/>
      <c r="W189" s="1"/>
      <c r="X189" s="1"/>
      <c r="Y189" s="1"/>
      <c r="Z189" s="1"/>
    </row>
    <row r="190" spans="1:26" ht="12.75" customHeight="1" x14ac:dyDescent="0.2">
      <c r="A190" s="107"/>
      <c r="B190" s="107"/>
      <c r="C190" s="120"/>
      <c r="D190" s="122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"/>
      <c r="V190" s="1"/>
      <c r="W190" s="1"/>
      <c r="X190" s="1"/>
      <c r="Y190" s="1"/>
      <c r="Z190" s="1"/>
    </row>
    <row r="191" spans="1:26" ht="12.75" customHeight="1" x14ac:dyDescent="0.2">
      <c r="A191" s="107"/>
      <c r="B191" s="107"/>
      <c r="C191" s="120"/>
      <c r="D191" s="121"/>
      <c r="E191" s="107"/>
      <c r="F191" s="107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"/>
      <c r="V191" s="1"/>
      <c r="W191" s="1"/>
      <c r="X191" s="1"/>
      <c r="Y191" s="1"/>
      <c r="Z191" s="1"/>
    </row>
    <row r="192" spans="1:26" ht="12.75" customHeight="1" x14ac:dyDescent="0.2">
      <c r="A192" s="107"/>
      <c r="B192" s="107"/>
      <c r="C192" s="120"/>
      <c r="D192" s="121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"/>
      <c r="V192" s="1"/>
      <c r="W192" s="1"/>
      <c r="X192" s="1"/>
      <c r="Y192" s="1"/>
      <c r="Z192" s="1"/>
    </row>
    <row r="193" spans="1:26" ht="12.75" customHeight="1" x14ac:dyDescent="0.2">
      <c r="A193" s="107"/>
      <c r="B193" s="107"/>
      <c r="C193" s="120"/>
      <c r="D193" s="122"/>
      <c r="E193" s="107"/>
      <c r="F193" s="107"/>
      <c r="G193" s="107"/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"/>
      <c r="V193" s="1"/>
      <c r="W193" s="1"/>
      <c r="X193" s="1"/>
      <c r="Y193" s="1"/>
      <c r="Z193" s="1"/>
    </row>
    <row r="194" spans="1:26" ht="12.75" customHeight="1" x14ac:dyDescent="0.2">
      <c r="A194" s="107"/>
      <c r="B194" s="107"/>
      <c r="C194" s="120"/>
      <c r="D194" s="121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"/>
      <c r="V194" s="1"/>
      <c r="W194" s="1"/>
      <c r="X194" s="1"/>
      <c r="Y194" s="1"/>
      <c r="Z194" s="1"/>
    </row>
    <row r="195" spans="1:26" ht="12.75" customHeight="1" x14ac:dyDescent="0.2">
      <c r="A195" s="107"/>
      <c r="B195" s="107"/>
      <c r="C195" s="120"/>
      <c r="D195" s="121"/>
      <c r="E195" s="107"/>
      <c r="F195" s="107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"/>
      <c r="V195" s="1"/>
      <c r="W195" s="1"/>
      <c r="X195" s="1"/>
      <c r="Y195" s="1"/>
      <c r="Z195" s="1"/>
    </row>
    <row r="196" spans="1:26" ht="12.75" customHeight="1" x14ac:dyDescent="0.2">
      <c r="A196" s="107"/>
      <c r="B196" s="107"/>
      <c r="C196" s="120"/>
      <c r="D196" s="122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"/>
      <c r="V196" s="1"/>
      <c r="W196" s="1"/>
      <c r="X196" s="1"/>
      <c r="Y196" s="1"/>
      <c r="Z196" s="1"/>
    </row>
    <row r="197" spans="1:26" ht="12.75" customHeight="1" x14ac:dyDescent="0.2">
      <c r="A197" s="107"/>
      <c r="B197" s="107"/>
      <c r="C197" s="120"/>
      <c r="D197" s="121"/>
      <c r="E197" s="107"/>
      <c r="F197" s="107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"/>
      <c r="V197" s="1"/>
      <c r="W197" s="1"/>
      <c r="X197" s="1"/>
      <c r="Y197" s="1"/>
      <c r="Z197" s="1"/>
    </row>
    <row r="198" spans="1:26" ht="12.75" customHeight="1" x14ac:dyDescent="0.2">
      <c r="A198" s="107"/>
      <c r="B198" s="107"/>
      <c r="C198" s="120"/>
      <c r="D198" s="121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"/>
      <c r="V198" s="1"/>
      <c r="W198" s="1"/>
      <c r="X198" s="1"/>
      <c r="Y198" s="1"/>
      <c r="Z198" s="1"/>
    </row>
    <row r="199" spans="1:26" ht="12.75" customHeight="1" x14ac:dyDescent="0.2">
      <c r="A199" s="107"/>
      <c r="B199" s="107"/>
      <c r="C199" s="120"/>
      <c r="D199" s="122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"/>
      <c r="V199" s="1"/>
      <c r="W199" s="1"/>
      <c r="X199" s="1"/>
      <c r="Y199" s="1"/>
      <c r="Z199" s="1"/>
    </row>
    <row r="200" spans="1:26" ht="12.75" customHeight="1" x14ac:dyDescent="0.2">
      <c r="A200" s="107"/>
      <c r="B200" s="107"/>
      <c r="C200" s="120"/>
      <c r="D200" s="121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"/>
      <c r="V200" s="1"/>
      <c r="W200" s="1"/>
      <c r="X200" s="1"/>
      <c r="Y200" s="1"/>
      <c r="Z200" s="1"/>
    </row>
    <row r="201" spans="1:26" ht="12.75" customHeight="1" x14ac:dyDescent="0.2">
      <c r="A201" s="107"/>
      <c r="B201" s="107"/>
      <c r="C201" s="120"/>
      <c r="D201" s="121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"/>
      <c r="V201" s="1"/>
      <c r="W201" s="1"/>
      <c r="X201" s="1"/>
      <c r="Y201" s="1"/>
      <c r="Z201" s="1"/>
    </row>
    <row r="202" spans="1:26" ht="12.75" customHeight="1" x14ac:dyDescent="0.2">
      <c r="A202" s="107"/>
      <c r="B202" s="107"/>
      <c r="C202" s="120"/>
      <c r="D202" s="122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"/>
      <c r="V202" s="1"/>
      <c r="W202" s="1"/>
      <c r="X202" s="1"/>
      <c r="Y202" s="1"/>
      <c r="Z202" s="1"/>
    </row>
    <row r="203" spans="1:26" ht="12.75" customHeight="1" x14ac:dyDescent="0.2">
      <c r="A203" s="107"/>
      <c r="B203" s="107"/>
      <c r="C203" s="120"/>
      <c r="D203" s="121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"/>
      <c r="V203" s="1"/>
      <c r="W203" s="1"/>
      <c r="X203" s="1"/>
      <c r="Y203" s="1"/>
      <c r="Z203" s="1"/>
    </row>
    <row r="204" spans="1:26" ht="12.75" customHeight="1" x14ac:dyDescent="0.2">
      <c r="A204" s="107"/>
      <c r="B204" s="107"/>
      <c r="C204" s="120"/>
      <c r="D204" s="121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"/>
      <c r="V204" s="1"/>
      <c r="W204" s="1"/>
      <c r="X204" s="1"/>
      <c r="Y204" s="1"/>
      <c r="Z204" s="1"/>
    </row>
    <row r="205" spans="1:26" ht="12.75" customHeight="1" x14ac:dyDescent="0.2">
      <c r="A205" s="107"/>
      <c r="B205" s="107"/>
      <c r="C205" s="120"/>
      <c r="D205" s="122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"/>
      <c r="V205" s="1"/>
      <c r="W205" s="1"/>
      <c r="X205" s="1"/>
      <c r="Y205" s="1"/>
      <c r="Z205" s="1"/>
    </row>
    <row r="206" spans="1:26" ht="12.75" customHeight="1" x14ac:dyDescent="0.2">
      <c r="A206" s="107"/>
      <c r="B206" s="107"/>
      <c r="C206" s="120"/>
      <c r="D206" s="121"/>
      <c r="E206" s="107"/>
      <c r="F206" s="107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"/>
      <c r="V206" s="1"/>
      <c r="W206" s="1"/>
      <c r="X206" s="1"/>
      <c r="Y206" s="1"/>
      <c r="Z206" s="1"/>
    </row>
    <row r="207" spans="1:26" ht="12.75" customHeight="1" x14ac:dyDescent="0.2">
      <c r="A207" s="107"/>
      <c r="B207" s="107"/>
      <c r="C207" s="120"/>
      <c r="D207" s="121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"/>
      <c r="V207" s="1"/>
      <c r="W207" s="1"/>
      <c r="X207" s="1"/>
      <c r="Y207" s="1"/>
      <c r="Z207" s="1"/>
    </row>
    <row r="208" spans="1:26" ht="12.75" customHeight="1" x14ac:dyDescent="0.2">
      <c r="A208" s="107"/>
      <c r="B208" s="107"/>
      <c r="C208" s="120"/>
      <c r="D208" s="122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"/>
      <c r="V208" s="1"/>
      <c r="W208" s="1"/>
      <c r="X208" s="1"/>
      <c r="Y208" s="1"/>
      <c r="Z208" s="1"/>
    </row>
    <row r="209" spans="1:26" ht="12.75" customHeight="1" x14ac:dyDescent="0.2">
      <c r="A209" s="107"/>
      <c r="B209" s="107"/>
      <c r="C209" s="120"/>
      <c r="D209" s="121"/>
      <c r="E209" s="107"/>
      <c r="F209" s="107"/>
      <c r="G209" s="107"/>
      <c r="H209" s="107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"/>
      <c r="V209" s="1"/>
      <c r="W209" s="1"/>
      <c r="X209" s="1"/>
      <c r="Y209" s="1"/>
      <c r="Z209" s="1"/>
    </row>
    <row r="210" spans="1:26" ht="12.75" customHeight="1" x14ac:dyDescent="0.2">
      <c r="A210" s="107"/>
      <c r="B210" s="107"/>
      <c r="C210" s="120"/>
      <c r="D210" s="121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"/>
      <c r="V210" s="1"/>
      <c r="W210" s="1"/>
      <c r="X210" s="1"/>
      <c r="Y210" s="1"/>
      <c r="Z210" s="1"/>
    </row>
    <row r="211" spans="1:26" ht="12.75" customHeight="1" x14ac:dyDescent="0.2">
      <c r="A211" s="107"/>
      <c r="B211" s="107"/>
      <c r="C211" s="120"/>
      <c r="D211" s="122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"/>
      <c r="V211" s="1"/>
      <c r="W211" s="1"/>
      <c r="X211" s="1"/>
      <c r="Y211" s="1"/>
      <c r="Z211" s="1"/>
    </row>
    <row r="212" spans="1:26" ht="12.75" customHeight="1" x14ac:dyDescent="0.2">
      <c r="A212" s="107"/>
      <c r="B212" s="107"/>
      <c r="C212" s="120"/>
      <c r="D212" s="121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"/>
      <c r="V212" s="1"/>
      <c r="W212" s="1"/>
      <c r="X212" s="1"/>
      <c r="Y212" s="1"/>
      <c r="Z212" s="1"/>
    </row>
    <row r="213" spans="1:26" ht="12.75" customHeight="1" x14ac:dyDescent="0.2">
      <c r="A213" s="107"/>
      <c r="B213" s="107"/>
      <c r="C213" s="120"/>
      <c r="D213" s="121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"/>
      <c r="V213" s="1"/>
      <c r="W213" s="1"/>
      <c r="X213" s="1"/>
      <c r="Y213" s="1"/>
      <c r="Z213" s="1"/>
    </row>
    <row r="214" spans="1:26" ht="12.75" customHeight="1" x14ac:dyDescent="0.2">
      <c r="A214" s="107"/>
      <c r="B214" s="107"/>
      <c r="C214" s="120"/>
      <c r="D214" s="122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"/>
      <c r="V214" s="1"/>
      <c r="W214" s="1"/>
      <c r="X214" s="1"/>
      <c r="Y214" s="1"/>
      <c r="Z214" s="1"/>
    </row>
    <row r="215" spans="1:26" ht="12.75" customHeight="1" x14ac:dyDescent="0.2">
      <c r="A215" s="107"/>
      <c r="B215" s="107"/>
      <c r="C215" s="120"/>
      <c r="D215" s="121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"/>
      <c r="V215" s="1"/>
      <c r="W215" s="1"/>
      <c r="X215" s="1"/>
      <c r="Y215" s="1"/>
      <c r="Z215" s="1"/>
    </row>
    <row r="216" spans="1:26" ht="12.75" customHeight="1" x14ac:dyDescent="0.2">
      <c r="A216" s="107"/>
      <c r="B216" s="107"/>
      <c r="C216" s="120"/>
      <c r="D216" s="121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  <c r="U216" s="1"/>
      <c r="V216" s="1"/>
      <c r="W216" s="1"/>
      <c r="X216" s="1"/>
      <c r="Y216" s="1"/>
      <c r="Z216" s="1"/>
    </row>
    <row r="217" spans="1:26" ht="12.75" customHeight="1" x14ac:dyDescent="0.2">
      <c r="A217" s="107"/>
      <c r="B217" s="107"/>
      <c r="C217" s="120"/>
      <c r="D217" s="122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"/>
      <c r="V217" s="1"/>
      <c r="W217" s="1"/>
      <c r="X217" s="1"/>
      <c r="Y217" s="1"/>
      <c r="Z217" s="1"/>
    </row>
    <row r="218" spans="1:26" ht="12.75" customHeight="1" x14ac:dyDescent="0.2">
      <c r="A218" s="107"/>
      <c r="B218" s="107"/>
      <c r="C218" s="120"/>
      <c r="D218" s="121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"/>
      <c r="V218" s="1"/>
      <c r="W218" s="1"/>
      <c r="X218" s="1"/>
      <c r="Y218" s="1"/>
      <c r="Z218" s="1"/>
    </row>
    <row r="219" spans="1:26" ht="12.75" customHeight="1" x14ac:dyDescent="0.2">
      <c r="A219" s="107"/>
      <c r="B219" s="107"/>
      <c r="C219" s="120"/>
      <c r="D219" s="121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  <c r="U219" s="1"/>
      <c r="V219" s="1"/>
      <c r="W219" s="1"/>
      <c r="X219" s="1"/>
      <c r="Y219" s="1"/>
      <c r="Z219" s="1"/>
    </row>
    <row r="220" spans="1:26" ht="12.75" customHeight="1" x14ac:dyDescent="0.2">
      <c r="A220" s="107"/>
      <c r="B220" s="107"/>
      <c r="C220" s="120"/>
      <c r="D220" s="122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"/>
      <c r="V220" s="1"/>
      <c r="W220" s="1"/>
      <c r="X220" s="1"/>
      <c r="Y220" s="1"/>
      <c r="Z220" s="1"/>
    </row>
    <row r="221" spans="1:26" ht="12.75" customHeight="1" x14ac:dyDescent="0.2">
      <c r="A221" s="107"/>
      <c r="B221" s="107"/>
      <c r="C221" s="120"/>
      <c r="D221" s="121"/>
      <c r="E221" s="107"/>
      <c r="F221" s="107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"/>
      <c r="V221" s="1"/>
      <c r="W221" s="1"/>
      <c r="X221" s="1"/>
      <c r="Y221" s="1"/>
      <c r="Z221" s="1"/>
    </row>
    <row r="222" spans="1:26" ht="12.75" customHeight="1" x14ac:dyDescent="0.2">
      <c r="A222" s="107"/>
      <c r="B222" s="107"/>
      <c r="C222" s="120"/>
      <c r="D222" s="121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  <c r="U222" s="1"/>
      <c r="V222" s="1"/>
      <c r="W222" s="1"/>
      <c r="X222" s="1"/>
      <c r="Y222" s="1"/>
      <c r="Z222" s="1"/>
    </row>
    <row r="223" spans="1:26" ht="12.75" customHeight="1" x14ac:dyDescent="0.2">
      <c r="A223" s="107"/>
      <c r="B223" s="107"/>
      <c r="C223" s="120"/>
      <c r="D223" s="122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"/>
      <c r="V223" s="1"/>
      <c r="W223" s="1"/>
      <c r="X223" s="1"/>
      <c r="Y223" s="1"/>
      <c r="Z223" s="1"/>
    </row>
    <row r="224" spans="1:26" ht="12.75" customHeight="1" x14ac:dyDescent="0.2">
      <c r="A224" s="107"/>
      <c r="B224" s="107"/>
      <c r="C224" s="120"/>
      <c r="D224" s="121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"/>
      <c r="V224" s="1"/>
      <c r="W224" s="1"/>
      <c r="X224" s="1"/>
      <c r="Y224" s="1"/>
      <c r="Z224" s="1"/>
    </row>
    <row r="225" spans="1:26" ht="12.75" customHeight="1" x14ac:dyDescent="0.2">
      <c r="A225" s="107"/>
      <c r="B225" s="107"/>
      <c r="C225" s="120"/>
      <c r="D225" s="121"/>
      <c r="E225" s="107"/>
      <c r="F225" s="107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  <c r="U225" s="1"/>
      <c r="V225" s="1"/>
      <c r="W225" s="1"/>
      <c r="X225" s="1"/>
      <c r="Y225" s="1"/>
      <c r="Z225" s="1"/>
    </row>
    <row r="226" spans="1:26" ht="12.75" customHeight="1" x14ac:dyDescent="0.2">
      <c r="A226" s="107"/>
      <c r="B226" s="107"/>
      <c r="C226" s="120"/>
      <c r="D226" s="122"/>
      <c r="E226" s="107"/>
      <c r="F226" s="107"/>
      <c r="G226" s="107"/>
      <c r="H226" s="107"/>
      <c r="I226" s="107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"/>
      <c r="V226" s="1"/>
      <c r="W226" s="1"/>
      <c r="X226" s="1"/>
      <c r="Y226" s="1"/>
      <c r="Z226" s="1"/>
    </row>
    <row r="227" spans="1:26" ht="12.75" customHeight="1" x14ac:dyDescent="0.2">
      <c r="A227" s="107"/>
      <c r="B227" s="107"/>
      <c r="C227" s="120"/>
      <c r="D227" s="121"/>
      <c r="E227" s="107"/>
      <c r="F227" s="107"/>
      <c r="G227" s="107"/>
      <c r="H227" s="107"/>
      <c r="I227" s="107"/>
      <c r="J227" s="107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  <c r="U227" s="1"/>
      <c r="V227" s="1"/>
      <c r="W227" s="1"/>
      <c r="X227" s="1"/>
      <c r="Y227" s="1"/>
      <c r="Z227" s="1"/>
    </row>
    <row r="228" spans="1:26" ht="12.75" customHeight="1" x14ac:dyDescent="0.2">
      <c r="A228" s="107"/>
      <c r="B228" s="107"/>
      <c r="C228" s="120"/>
      <c r="D228" s="121"/>
      <c r="E228" s="107"/>
      <c r="F228" s="107"/>
      <c r="G228" s="107"/>
      <c r="H228" s="107"/>
      <c r="I228" s="107"/>
      <c r="J228" s="107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  <c r="U228" s="1"/>
      <c r="V228" s="1"/>
      <c r="W228" s="1"/>
      <c r="X228" s="1"/>
      <c r="Y228" s="1"/>
      <c r="Z228" s="1"/>
    </row>
    <row r="229" spans="1:26" ht="12.75" customHeight="1" x14ac:dyDescent="0.2">
      <c r="A229" s="107"/>
      <c r="B229" s="107"/>
      <c r="C229" s="120"/>
      <c r="D229" s="122"/>
      <c r="E229" s="107"/>
      <c r="F229" s="107"/>
      <c r="G229" s="107"/>
      <c r="H229" s="107"/>
      <c r="I229" s="107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  <c r="U229" s="1"/>
      <c r="V229" s="1"/>
      <c r="W229" s="1"/>
      <c r="X229" s="1"/>
      <c r="Y229" s="1"/>
      <c r="Z229" s="1"/>
    </row>
    <row r="230" spans="1:26" ht="12.75" customHeight="1" x14ac:dyDescent="0.2">
      <c r="A230" s="107"/>
      <c r="B230" s="107"/>
      <c r="C230" s="120"/>
      <c r="D230" s="121"/>
      <c r="E230" s="107"/>
      <c r="F230" s="107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"/>
      <c r="V230" s="1"/>
      <c r="W230" s="1"/>
      <c r="X230" s="1"/>
      <c r="Y230" s="1"/>
      <c r="Z230" s="1"/>
    </row>
    <row r="231" spans="1:26" ht="12.75" customHeight="1" x14ac:dyDescent="0.2">
      <c r="A231" s="107"/>
      <c r="B231" s="107"/>
      <c r="C231" s="120"/>
      <c r="D231" s="121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"/>
      <c r="V231" s="1"/>
      <c r="W231" s="1"/>
      <c r="X231" s="1"/>
      <c r="Y231" s="1"/>
      <c r="Z231" s="1"/>
    </row>
    <row r="232" spans="1:26" ht="12.75" customHeight="1" x14ac:dyDescent="0.2">
      <c r="A232" s="107"/>
      <c r="B232" s="107"/>
      <c r="C232" s="120"/>
      <c r="D232" s="122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  <c r="U232" s="1"/>
      <c r="V232" s="1"/>
      <c r="W232" s="1"/>
      <c r="X232" s="1"/>
      <c r="Y232" s="1"/>
      <c r="Z232" s="1"/>
    </row>
    <row r="233" spans="1:26" ht="12.75" customHeight="1" x14ac:dyDescent="0.2">
      <c r="A233" s="107"/>
      <c r="B233" s="107"/>
      <c r="C233" s="120"/>
      <c r="D233" s="121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  <c r="U233" s="1"/>
      <c r="V233" s="1"/>
      <c r="W233" s="1"/>
      <c r="X233" s="1"/>
      <c r="Y233" s="1"/>
      <c r="Z233" s="1"/>
    </row>
    <row r="234" spans="1:26" ht="12.75" customHeight="1" x14ac:dyDescent="0.2">
      <c r="A234" s="107"/>
      <c r="B234" s="107"/>
      <c r="C234" s="120"/>
      <c r="D234" s="121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  <c r="U234" s="1"/>
      <c r="V234" s="1"/>
      <c r="W234" s="1"/>
      <c r="X234" s="1"/>
      <c r="Y234" s="1"/>
      <c r="Z234" s="1"/>
    </row>
    <row r="235" spans="1:26" ht="12.75" customHeight="1" x14ac:dyDescent="0.2">
      <c r="A235" s="107"/>
      <c r="B235" s="107"/>
      <c r="C235" s="120"/>
      <c r="D235" s="122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  <c r="U235" s="1"/>
      <c r="V235" s="1"/>
      <c r="W235" s="1"/>
      <c r="X235" s="1"/>
      <c r="Y235" s="1"/>
      <c r="Z235" s="1"/>
    </row>
    <row r="236" spans="1:26" ht="12.75" customHeight="1" x14ac:dyDescent="0.2">
      <c r="A236" s="1"/>
      <c r="B236" s="107"/>
      <c r="C236" s="120"/>
      <c r="D236" s="121"/>
      <c r="E236" s="107"/>
      <c r="F236" s="107"/>
      <c r="G236" s="107"/>
      <c r="H236" s="107"/>
      <c r="I236" s="107"/>
      <c r="J236" s="107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  <c r="U236" s="1"/>
      <c r="V236" s="1"/>
      <c r="W236" s="1"/>
      <c r="X236" s="1"/>
      <c r="Y236" s="1"/>
      <c r="Z236" s="1"/>
    </row>
    <row r="237" spans="1:26" ht="12.75" customHeight="1" x14ac:dyDescent="0.2">
      <c r="A237" s="1"/>
      <c r="B237" s="107"/>
      <c r="C237" s="120"/>
      <c r="D237" s="121"/>
      <c r="E237" s="107"/>
      <c r="F237" s="107"/>
      <c r="G237" s="107"/>
      <c r="H237" s="107"/>
      <c r="I237" s="107"/>
      <c r="J237" s="107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  <c r="U237" s="1"/>
      <c r="V237" s="1"/>
      <c r="W237" s="1"/>
      <c r="X237" s="1"/>
      <c r="Y237" s="1"/>
      <c r="Z237" s="1"/>
    </row>
    <row r="238" spans="1:26" ht="12.75" customHeight="1" x14ac:dyDescent="0.2">
      <c r="A238" s="1"/>
      <c r="B238" s="107"/>
      <c r="C238" s="120"/>
      <c r="D238" s="122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  <c r="U238" s="1"/>
      <c r="V238" s="1"/>
      <c r="W238" s="1"/>
      <c r="X238" s="1"/>
      <c r="Y238" s="1"/>
      <c r="Z238" s="1"/>
    </row>
    <row r="239" spans="1:26" ht="12.75" customHeight="1" x14ac:dyDescent="0.2">
      <c r="A239" s="1"/>
      <c r="B239" s="107"/>
      <c r="C239" s="120"/>
      <c r="D239" s="121"/>
      <c r="E239" s="107"/>
      <c r="F239" s="107"/>
      <c r="G239" s="107"/>
      <c r="H239" s="107"/>
      <c r="I239" s="107"/>
      <c r="J239" s="107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  <c r="U239" s="1"/>
      <c r="V239" s="1"/>
      <c r="W239" s="1"/>
      <c r="X239" s="1"/>
      <c r="Y239" s="1"/>
      <c r="Z239" s="1"/>
    </row>
    <row r="240" spans="1:26" ht="12.75" customHeight="1" x14ac:dyDescent="0.2">
      <c r="A240" s="1"/>
      <c r="B240" s="107"/>
      <c r="C240" s="120"/>
      <c r="D240" s="121"/>
      <c r="E240" s="107"/>
      <c r="F240" s="107"/>
      <c r="G240" s="107"/>
      <c r="H240" s="107"/>
      <c r="I240" s="107"/>
      <c r="J240" s="107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  <c r="U240" s="1"/>
      <c r="V240" s="1"/>
      <c r="W240" s="1"/>
      <c r="X240" s="1"/>
      <c r="Y240" s="1"/>
      <c r="Z240" s="1"/>
    </row>
    <row r="241" spans="1:26" ht="12.75" customHeight="1" x14ac:dyDescent="0.2">
      <c r="A241" s="1"/>
      <c r="B241" s="1"/>
      <c r="C241" s="1"/>
      <c r="D241" s="1"/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  <c r="U241" s="1"/>
      <c r="V241" s="1"/>
      <c r="W241" s="1"/>
      <c r="X241" s="1"/>
      <c r="Y241" s="1"/>
      <c r="Z241" s="1"/>
    </row>
    <row r="242" spans="1:26" ht="12.75" customHeight="1" x14ac:dyDescent="0.2">
      <c r="A242" s="1"/>
      <c r="B242" s="1"/>
      <c r="C242" s="1"/>
      <c r="D242" s="1"/>
      <c r="E242" s="107"/>
      <c r="F242" s="107"/>
      <c r="G242" s="107"/>
      <c r="H242" s="107"/>
      <c r="I242" s="107"/>
      <c r="J242" s="107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  <c r="U242" s="1"/>
      <c r="V242" s="1"/>
      <c r="W242" s="1"/>
      <c r="X242" s="1"/>
      <c r="Y242" s="1"/>
      <c r="Z242" s="1"/>
    </row>
    <row r="243" spans="1:26" ht="12.75" customHeight="1" x14ac:dyDescent="0.2">
      <c r="A243" s="1"/>
      <c r="B243" s="1"/>
      <c r="C243" s="1"/>
      <c r="D243" s="1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"/>
      <c r="V243" s="1"/>
      <c r="W243" s="1"/>
      <c r="X243" s="1"/>
      <c r="Y243" s="1"/>
      <c r="Z243" s="1"/>
    </row>
    <row r="244" spans="1:26" ht="12.75" customHeight="1" x14ac:dyDescent="0.2">
      <c r="A244" s="1"/>
      <c r="B244" s="1"/>
      <c r="C244" s="1"/>
      <c r="D244" s="1"/>
      <c r="E244" s="107"/>
      <c r="F244" s="107"/>
      <c r="G244" s="107"/>
      <c r="H244" s="107"/>
      <c r="I244" s="107"/>
      <c r="J244" s="107"/>
      <c r="K244" s="107"/>
      <c r="L244" s="107"/>
      <c r="M244" s="107"/>
      <c r="N244" s="107"/>
      <c r="O244" s="107"/>
      <c r="P244" s="107"/>
      <c r="Q244" s="107"/>
      <c r="R244" s="107"/>
      <c r="S244" s="107"/>
      <c r="T244" s="107"/>
      <c r="U244" s="1"/>
      <c r="V244" s="1"/>
      <c r="W244" s="1"/>
      <c r="X244" s="1"/>
      <c r="Y244" s="1"/>
      <c r="Z244" s="1"/>
    </row>
    <row r="245" spans="1:26" ht="12.75" customHeight="1" x14ac:dyDescent="0.2">
      <c r="A245" s="1"/>
      <c r="B245" s="1"/>
      <c r="C245" s="1"/>
      <c r="D245" s="1"/>
      <c r="E245" s="107"/>
      <c r="F245" s="107"/>
      <c r="G245" s="107"/>
      <c r="H245" s="107"/>
      <c r="I245" s="107"/>
      <c r="J245" s="107"/>
      <c r="K245" s="107"/>
      <c r="L245" s="107"/>
      <c r="M245" s="107"/>
      <c r="N245" s="107"/>
      <c r="O245" s="107"/>
      <c r="P245" s="107"/>
      <c r="Q245" s="107"/>
      <c r="R245" s="107"/>
      <c r="S245" s="107"/>
      <c r="T245" s="107"/>
      <c r="U245" s="1"/>
      <c r="V245" s="1"/>
      <c r="W245" s="1"/>
      <c r="X245" s="1"/>
      <c r="Y245" s="1"/>
      <c r="Z245" s="1"/>
    </row>
    <row r="246" spans="1:26" ht="12.75" customHeight="1" x14ac:dyDescent="0.2">
      <c r="A246" s="1"/>
      <c r="B246" s="1"/>
      <c r="C246" s="1"/>
      <c r="D246" s="1"/>
      <c r="E246" s="107"/>
      <c r="F246" s="107"/>
      <c r="G246" s="107"/>
      <c r="H246" s="107"/>
      <c r="I246" s="107"/>
      <c r="J246" s="107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  <c r="U246" s="1"/>
      <c r="V246" s="1"/>
      <c r="W246" s="1"/>
      <c r="X246" s="1"/>
      <c r="Y246" s="1"/>
      <c r="Z246" s="1"/>
    </row>
    <row r="247" spans="1:26" ht="12.75" customHeight="1" x14ac:dyDescent="0.2">
      <c r="A247" s="1"/>
      <c r="B247" s="1"/>
      <c r="C247" s="1"/>
      <c r="D247" s="1"/>
      <c r="E247" s="107"/>
      <c r="F247" s="107"/>
      <c r="G247" s="107"/>
      <c r="H247" s="107"/>
      <c r="I247" s="107"/>
      <c r="J247" s="107"/>
      <c r="K247" s="107"/>
      <c r="L247" s="107"/>
      <c r="M247" s="107"/>
      <c r="N247" s="107"/>
      <c r="O247" s="107"/>
      <c r="P247" s="107"/>
      <c r="Q247" s="107"/>
      <c r="R247" s="107"/>
      <c r="S247" s="107"/>
      <c r="T247" s="107"/>
      <c r="U247" s="1"/>
      <c r="V247" s="1"/>
      <c r="W247" s="1"/>
      <c r="X247" s="1"/>
      <c r="Y247" s="1"/>
      <c r="Z247" s="1"/>
    </row>
    <row r="248" spans="1:26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07"/>
      <c r="O248" s="107"/>
      <c r="P248" s="107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"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"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"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"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"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"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"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"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"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"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"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"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4:26" ht="12.75" customHeight="1" x14ac:dyDescent="0.2"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4:26" ht="12.75" customHeight="1" x14ac:dyDescent="0.2"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4:26" ht="12.75" customHeight="1" x14ac:dyDescent="0.2"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4:26" ht="12.75" customHeight="1" x14ac:dyDescent="0.2"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4:26" ht="12.75" customHeight="1" x14ac:dyDescent="0.2"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4:26" ht="12.75" customHeight="1" x14ac:dyDescent="0.2"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4:26" ht="12.75" customHeight="1" x14ac:dyDescent="0.2"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4:26" ht="12.75" customHeight="1" x14ac:dyDescent="0.2"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4:26" ht="12.75" customHeight="1" x14ac:dyDescent="0.2"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4:26" ht="12.75" customHeight="1" x14ac:dyDescent="0.2"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4:26" ht="12.75" customHeight="1" x14ac:dyDescent="0.2"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4:26" ht="12.75" customHeight="1" x14ac:dyDescent="0.2"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4:26" ht="12.75" customHeight="1" x14ac:dyDescent="0.2"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4:26" ht="12.75" customHeight="1" x14ac:dyDescent="0.2"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4:26" ht="12.75" customHeight="1" x14ac:dyDescent="0.2"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4:26" ht="12.75" customHeight="1" x14ac:dyDescent="0.2"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4:26" ht="12.75" customHeight="1" x14ac:dyDescent="0.2"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4:26" ht="12.75" customHeight="1" x14ac:dyDescent="0.2"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4:26" ht="12.75" customHeight="1" x14ac:dyDescent="0.2"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4:26" ht="12.75" customHeight="1" x14ac:dyDescent="0.2"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4:26" ht="12.75" customHeight="1" x14ac:dyDescent="0.2"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4:26" ht="12.75" customHeight="1" x14ac:dyDescent="0.2"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4:26" ht="12.75" customHeight="1" x14ac:dyDescent="0.2"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4:26" ht="12.75" customHeight="1" x14ac:dyDescent="0.2"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4:26" ht="12.75" customHeight="1" x14ac:dyDescent="0.2"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4:26" ht="12.75" customHeight="1" x14ac:dyDescent="0.2"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4:26" ht="12.75" customHeight="1" x14ac:dyDescent="0.2"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4:26" ht="12.75" customHeight="1" x14ac:dyDescent="0.2"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4:26" ht="12.75" customHeight="1" x14ac:dyDescent="0.2"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4:26" ht="12.75" customHeight="1" x14ac:dyDescent="0.2"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4:26" ht="12.75" customHeight="1" x14ac:dyDescent="0.2"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4:26" ht="12.75" customHeight="1" x14ac:dyDescent="0.2"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4:26" ht="12.75" customHeight="1" x14ac:dyDescent="0.2"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4:26" ht="12.75" customHeight="1" x14ac:dyDescent="0.2"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4:26" ht="12.75" customHeight="1" x14ac:dyDescent="0.2"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4:26" ht="12.75" customHeight="1" x14ac:dyDescent="0.2"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4:26" ht="12.75" customHeight="1" x14ac:dyDescent="0.2"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4:26" ht="12.75" customHeight="1" x14ac:dyDescent="0.2"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4:26" ht="12.75" customHeight="1" x14ac:dyDescent="0.2"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4:26" ht="12.75" customHeight="1" x14ac:dyDescent="0.2"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4:26" ht="12.75" customHeight="1" x14ac:dyDescent="0.2"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4:26" ht="12.75" customHeight="1" x14ac:dyDescent="0.2"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4:26" ht="12.75" customHeight="1" x14ac:dyDescent="0.2"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4:26" ht="12.75" customHeight="1" x14ac:dyDescent="0.2"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4:26" ht="12.75" customHeight="1" x14ac:dyDescent="0.2"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4:26" ht="12.75" customHeight="1" x14ac:dyDescent="0.2"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4:26" ht="12.75" customHeight="1" x14ac:dyDescent="0.2"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4:26" ht="12.75" customHeight="1" x14ac:dyDescent="0.2"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4:26" ht="12.75" customHeight="1" x14ac:dyDescent="0.2"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4:26" ht="12.75" customHeight="1" x14ac:dyDescent="0.2"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4:26" ht="12.75" customHeight="1" x14ac:dyDescent="0.2"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4:26" ht="12.75" customHeight="1" x14ac:dyDescent="0.2"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4:26" ht="12.75" customHeight="1" x14ac:dyDescent="0.2"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4:26" ht="12.75" customHeight="1" x14ac:dyDescent="0.2"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4:26" ht="12.75" customHeight="1" x14ac:dyDescent="0.2"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4:26" ht="12.75" customHeight="1" x14ac:dyDescent="0.2"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4:26" ht="12.75" customHeight="1" x14ac:dyDescent="0.2"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4:26" ht="12.75" customHeight="1" x14ac:dyDescent="0.2"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4:26" ht="12.75" customHeight="1" x14ac:dyDescent="0.2"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4:26" ht="12.75" customHeight="1" x14ac:dyDescent="0.2"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4:26" ht="12.75" customHeight="1" x14ac:dyDescent="0.2"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4:26" ht="12.75" customHeight="1" x14ac:dyDescent="0.2"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4:26" ht="12.75" customHeight="1" x14ac:dyDescent="0.2"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4:26" ht="12.75" customHeight="1" x14ac:dyDescent="0.2"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4:26" ht="12.75" customHeight="1" x14ac:dyDescent="0.2"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4:26" ht="12.75" customHeight="1" x14ac:dyDescent="0.2"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4:26" ht="12.75" customHeight="1" x14ac:dyDescent="0.2"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4:26" ht="12.75" customHeight="1" x14ac:dyDescent="0.2"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4:26" ht="12.75" customHeight="1" x14ac:dyDescent="0.2"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4:26" ht="12.75" customHeight="1" x14ac:dyDescent="0.2"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4:26" ht="12.75" customHeight="1" x14ac:dyDescent="0.2"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4:26" ht="12.75" customHeight="1" x14ac:dyDescent="0.2"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4:26" ht="12.75" customHeight="1" x14ac:dyDescent="0.2"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4:26" ht="12.75" customHeight="1" x14ac:dyDescent="0.2"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4:26" ht="12.75" customHeight="1" x14ac:dyDescent="0.2"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4:26" ht="12.75" customHeight="1" x14ac:dyDescent="0.2"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4:26" ht="12.75" customHeight="1" x14ac:dyDescent="0.2"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4:26" ht="12.75" customHeight="1" x14ac:dyDescent="0.2"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4:26" ht="12.75" customHeight="1" x14ac:dyDescent="0.2"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4:26" ht="12.75" customHeight="1" x14ac:dyDescent="0.2"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4:26" ht="12.75" customHeight="1" x14ac:dyDescent="0.2"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4:26" ht="12.75" customHeight="1" x14ac:dyDescent="0.2"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4:26" ht="12.75" customHeight="1" x14ac:dyDescent="0.2"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4:26" ht="12.75" customHeight="1" x14ac:dyDescent="0.2"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4:26" ht="12.75" customHeight="1" x14ac:dyDescent="0.2"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4:26" ht="12.75" customHeight="1" x14ac:dyDescent="0.2"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4:26" ht="12.75" customHeight="1" x14ac:dyDescent="0.2"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4:26" ht="12.75" customHeight="1" x14ac:dyDescent="0.2"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4:26" ht="12.75" customHeight="1" x14ac:dyDescent="0.2"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4:26" ht="12.75" customHeight="1" x14ac:dyDescent="0.2"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4:26" ht="12.75" customHeight="1" x14ac:dyDescent="0.2"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4:26" ht="12.75" customHeight="1" x14ac:dyDescent="0.2"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4:26" ht="12.75" customHeight="1" x14ac:dyDescent="0.2"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4:26" ht="12.75" customHeight="1" x14ac:dyDescent="0.2"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4:26" ht="12.75" customHeight="1" x14ac:dyDescent="0.2"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4:26" ht="12.75" customHeight="1" x14ac:dyDescent="0.2"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4:26" ht="12.75" customHeight="1" x14ac:dyDescent="0.2"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4:26" ht="12.75" customHeight="1" x14ac:dyDescent="0.2"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4:26" ht="12.75" customHeight="1" x14ac:dyDescent="0.2"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4:26" ht="12.75" customHeight="1" x14ac:dyDescent="0.2"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4:26" ht="12.75" customHeight="1" x14ac:dyDescent="0.2"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4:26" ht="12.75" customHeight="1" x14ac:dyDescent="0.2"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4:26" ht="12.75" customHeight="1" x14ac:dyDescent="0.2"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4:26" ht="12.75" customHeight="1" x14ac:dyDescent="0.2"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4:26" ht="12.75" customHeight="1" x14ac:dyDescent="0.2"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4:26" ht="12.75" customHeight="1" x14ac:dyDescent="0.2"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4:26" ht="12.75" customHeight="1" x14ac:dyDescent="0.2"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4:26" ht="12.75" customHeight="1" x14ac:dyDescent="0.2"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4:26" ht="12.75" customHeight="1" x14ac:dyDescent="0.2"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4:26" ht="12.75" customHeight="1" x14ac:dyDescent="0.2"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4:26" ht="12.75" customHeight="1" x14ac:dyDescent="0.2"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4:26" ht="12.75" customHeight="1" x14ac:dyDescent="0.2"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4:26" ht="12.75" customHeight="1" x14ac:dyDescent="0.2"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4:26" ht="12.75" customHeight="1" x14ac:dyDescent="0.2"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4:26" ht="12.75" customHeight="1" x14ac:dyDescent="0.2"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4:26" ht="12.75" customHeight="1" x14ac:dyDescent="0.2"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4:26" ht="12.75" customHeight="1" x14ac:dyDescent="0.2"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4:26" ht="12.75" customHeight="1" x14ac:dyDescent="0.2"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4:26" ht="12.75" customHeight="1" x14ac:dyDescent="0.2"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4:26" ht="12.75" customHeight="1" x14ac:dyDescent="0.2"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4:26" ht="12.75" customHeight="1" x14ac:dyDescent="0.2"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4:26" ht="12.75" customHeight="1" x14ac:dyDescent="0.2"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4:26" ht="12.75" customHeight="1" x14ac:dyDescent="0.2"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4:26" ht="12.75" customHeight="1" x14ac:dyDescent="0.2"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4:26" ht="12.75" customHeight="1" x14ac:dyDescent="0.2"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4:26" ht="12.75" customHeight="1" x14ac:dyDescent="0.2"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4:26" ht="12.75" customHeight="1" x14ac:dyDescent="0.2"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4:26" ht="12.75" customHeight="1" x14ac:dyDescent="0.2"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4:26" ht="12.75" customHeight="1" x14ac:dyDescent="0.2"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4:26" ht="12.75" customHeight="1" x14ac:dyDescent="0.2"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4:26" ht="12.75" customHeight="1" x14ac:dyDescent="0.2"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4:26" ht="12.75" customHeight="1" x14ac:dyDescent="0.2"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4:26" ht="12.75" customHeight="1" x14ac:dyDescent="0.2"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4:26" ht="12.75" customHeight="1" x14ac:dyDescent="0.2"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4:26" ht="12.75" customHeight="1" x14ac:dyDescent="0.2"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4:26" ht="12.75" customHeight="1" x14ac:dyDescent="0.2"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4:26" ht="12.75" customHeight="1" x14ac:dyDescent="0.2"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4:26" ht="12.75" customHeight="1" x14ac:dyDescent="0.2"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4:26" ht="12.75" customHeight="1" x14ac:dyDescent="0.2"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4:26" ht="12.75" customHeight="1" x14ac:dyDescent="0.2"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4:26" ht="12.75" customHeight="1" x14ac:dyDescent="0.2"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4:26" ht="12.75" customHeight="1" x14ac:dyDescent="0.2"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4:26" ht="12.75" customHeight="1" x14ac:dyDescent="0.2"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4:26" ht="12.75" customHeight="1" x14ac:dyDescent="0.2"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4:26" ht="12.75" customHeight="1" x14ac:dyDescent="0.2"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4:26" ht="12.75" customHeight="1" x14ac:dyDescent="0.2"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4:26" ht="12.75" customHeight="1" x14ac:dyDescent="0.2"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4:26" ht="12.75" customHeight="1" x14ac:dyDescent="0.2"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4:26" ht="12.75" customHeight="1" x14ac:dyDescent="0.2"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4:26" ht="12.75" customHeight="1" x14ac:dyDescent="0.2"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4:26" ht="12.75" customHeight="1" x14ac:dyDescent="0.2"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4:26" ht="12.75" customHeight="1" x14ac:dyDescent="0.2"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4:26" ht="12.75" customHeight="1" x14ac:dyDescent="0.2"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4:26" ht="12.75" customHeight="1" x14ac:dyDescent="0.2"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4:26" ht="12.75" customHeight="1" x14ac:dyDescent="0.2"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4:26" ht="12.75" customHeight="1" x14ac:dyDescent="0.2"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4:26" ht="12.75" customHeight="1" x14ac:dyDescent="0.2"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4:26" ht="12.75" customHeight="1" x14ac:dyDescent="0.2"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4:26" ht="12.75" customHeight="1" x14ac:dyDescent="0.2"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4:26" ht="12.75" customHeight="1" x14ac:dyDescent="0.2"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4:26" ht="12.75" customHeight="1" x14ac:dyDescent="0.2"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4:26" ht="12.75" customHeight="1" x14ac:dyDescent="0.2"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4:26" ht="12.75" customHeight="1" x14ac:dyDescent="0.2"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4:26" ht="12.75" customHeight="1" x14ac:dyDescent="0.2"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4:26" ht="12.75" customHeight="1" x14ac:dyDescent="0.2"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4:26" ht="12.75" customHeight="1" x14ac:dyDescent="0.2"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4:26" ht="12.75" customHeight="1" x14ac:dyDescent="0.2"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4:26" ht="12.75" customHeight="1" x14ac:dyDescent="0.2"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4:26" ht="12.75" customHeight="1" x14ac:dyDescent="0.2"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4:26" ht="12.75" customHeight="1" x14ac:dyDescent="0.2"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4:26" ht="12.75" customHeight="1" x14ac:dyDescent="0.2"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4:26" ht="12.75" customHeight="1" x14ac:dyDescent="0.2"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4:26" ht="12.75" customHeight="1" x14ac:dyDescent="0.2"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4:26" ht="12.75" customHeight="1" x14ac:dyDescent="0.2"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4:26" ht="12.75" customHeight="1" x14ac:dyDescent="0.2"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4:26" ht="12.75" customHeight="1" x14ac:dyDescent="0.2"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4:26" ht="12.75" customHeight="1" x14ac:dyDescent="0.2"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4:26" ht="12.75" customHeight="1" x14ac:dyDescent="0.2"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4:26" ht="12.75" customHeight="1" x14ac:dyDescent="0.2"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4:26" ht="12.75" customHeight="1" x14ac:dyDescent="0.2"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4:26" ht="12.75" customHeight="1" x14ac:dyDescent="0.2"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4:26" ht="12.75" customHeight="1" x14ac:dyDescent="0.2"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4:26" ht="12.75" customHeight="1" x14ac:dyDescent="0.2"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4:26" ht="12.75" customHeight="1" x14ac:dyDescent="0.2"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4:26" ht="12.75" customHeight="1" x14ac:dyDescent="0.2"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4:26" ht="12.75" customHeight="1" x14ac:dyDescent="0.2"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4:26" ht="12.75" customHeight="1" x14ac:dyDescent="0.2"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4:26" ht="12.75" customHeight="1" x14ac:dyDescent="0.2"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4:26" ht="12.75" customHeight="1" x14ac:dyDescent="0.2"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4:26" ht="12.75" customHeight="1" x14ac:dyDescent="0.2"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4:26" ht="12.75" customHeight="1" x14ac:dyDescent="0.2"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4:26" ht="12.75" customHeight="1" x14ac:dyDescent="0.2"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4:26" ht="12.75" customHeight="1" x14ac:dyDescent="0.2"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4:26" ht="12.75" customHeight="1" x14ac:dyDescent="0.2"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4:26" ht="12.75" customHeight="1" x14ac:dyDescent="0.2"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4:26" ht="12.75" customHeight="1" x14ac:dyDescent="0.2"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4:26" ht="12.75" customHeight="1" x14ac:dyDescent="0.2"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4:26" ht="12.75" customHeight="1" x14ac:dyDescent="0.2"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4:26" ht="12.75" customHeight="1" x14ac:dyDescent="0.2"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4:26" ht="12.75" customHeight="1" x14ac:dyDescent="0.2"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4:26" ht="12.75" customHeight="1" x14ac:dyDescent="0.2"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4:26" ht="12.75" customHeight="1" x14ac:dyDescent="0.2"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4:26" ht="12.75" customHeight="1" x14ac:dyDescent="0.2"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4:26" ht="12.75" customHeight="1" x14ac:dyDescent="0.2"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4:26" ht="12.75" customHeight="1" x14ac:dyDescent="0.2"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4:26" ht="12.75" customHeight="1" x14ac:dyDescent="0.2"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4:26" ht="12.75" customHeight="1" x14ac:dyDescent="0.2"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4:26" ht="12.75" customHeight="1" x14ac:dyDescent="0.2"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4:26" ht="12.75" customHeight="1" x14ac:dyDescent="0.2"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4:26" ht="12.75" customHeight="1" x14ac:dyDescent="0.2"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4:26" ht="12.75" customHeight="1" x14ac:dyDescent="0.2"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4:26" ht="12.75" customHeight="1" x14ac:dyDescent="0.2"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4:26" ht="12.75" customHeight="1" x14ac:dyDescent="0.2"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4:26" ht="12.75" customHeight="1" x14ac:dyDescent="0.2"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4:26" ht="12.75" customHeight="1" x14ac:dyDescent="0.2"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4:26" ht="12.75" customHeight="1" x14ac:dyDescent="0.2"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4:26" ht="12.75" customHeight="1" x14ac:dyDescent="0.2"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4:26" ht="12.75" customHeight="1" x14ac:dyDescent="0.2"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4:26" ht="12.75" customHeight="1" x14ac:dyDescent="0.2"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4:26" ht="12.75" customHeight="1" x14ac:dyDescent="0.2"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4:26" ht="12.75" customHeight="1" x14ac:dyDescent="0.2"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4:26" ht="12.75" customHeight="1" x14ac:dyDescent="0.2"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4:26" ht="12.75" customHeight="1" x14ac:dyDescent="0.2"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4:26" ht="12.75" customHeight="1" x14ac:dyDescent="0.2"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4:26" ht="12.75" customHeight="1" x14ac:dyDescent="0.2"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4:26" ht="12.75" customHeight="1" x14ac:dyDescent="0.2"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4:26" ht="12.75" customHeight="1" x14ac:dyDescent="0.2"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4:26" ht="12.75" customHeight="1" x14ac:dyDescent="0.2"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4:26" ht="12.75" customHeight="1" x14ac:dyDescent="0.2"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4:26" ht="12.75" customHeight="1" x14ac:dyDescent="0.2"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4:26" ht="12.75" customHeight="1" x14ac:dyDescent="0.2"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4:26" ht="12.75" customHeight="1" x14ac:dyDescent="0.2"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4:26" ht="12.75" customHeight="1" x14ac:dyDescent="0.2"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4:26" ht="12.75" customHeight="1" x14ac:dyDescent="0.2"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4:26" ht="12.75" customHeight="1" x14ac:dyDescent="0.2"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4:26" ht="12.75" customHeight="1" x14ac:dyDescent="0.2"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4:26" ht="12.75" customHeight="1" x14ac:dyDescent="0.2"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4:26" ht="12.75" customHeight="1" x14ac:dyDescent="0.2"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4:26" ht="12.75" customHeight="1" x14ac:dyDescent="0.2"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4:26" ht="12.75" customHeight="1" x14ac:dyDescent="0.2"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4:26" ht="12.75" customHeight="1" x14ac:dyDescent="0.2"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4:26" ht="12.75" customHeight="1" x14ac:dyDescent="0.2"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4:26" ht="12.75" customHeight="1" x14ac:dyDescent="0.2"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4:26" ht="12.75" customHeight="1" x14ac:dyDescent="0.2"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4:26" ht="12.75" customHeight="1" x14ac:dyDescent="0.2"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4:26" ht="12.75" customHeight="1" x14ac:dyDescent="0.2"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4:26" ht="12.75" customHeight="1" x14ac:dyDescent="0.2"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4:26" ht="12.75" customHeight="1" x14ac:dyDescent="0.2"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4:26" ht="12.75" customHeight="1" x14ac:dyDescent="0.2"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4:26" ht="12.75" customHeight="1" x14ac:dyDescent="0.2"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4:26" ht="12.75" customHeight="1" x14ac:dyDescent="0.2"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4:26" ht="12.75" customHeight="1" x14ac:dyDescent="0.2"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4:26" ht="12.75" customHeight="1" x14ac:dyDescent="0.2"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4:26" ht="12.75" customHeight="1" x14ac:dyDescent="0.2"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4:26" ht="12.75" customHeight="1" x14ac:dyDescent="0.2"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4:26" ht="12.75" customHeight="1" x14ac:dyDescent="0.2"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4:26" ht="12.75" customHeight="1" x14ac:dyDescent="0.2"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4:26" ht="12.75" customHeight="1" x14ac:dyDescent="0.2"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4:26" ht="12.75" customHeight="1" x14ac:dyDescent="0.2"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4:26" ht="12.75" customHeight="1" x14ac:dyDescent="0.2"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4:26" ht="12.75" customHeight="1" x14ac:dyDescent="0.2"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4:26" ht="12.75" customHeight="1" x14ac:dyDescent="0.2"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4:26" ht="12.75" customHeight="1" x14ac:dyDescent="0.2"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4:26" ht="12.75" customHeight="1" x14ac:dyDescent="0.2"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4:26" ht="12.75" customHeight="1" x14ac:dyDescent="0.2"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4:26" ht="12.75" customHeight="1" x14ac:dyDescent="0.2"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4:26" ht="12.75" customHeight="1" x14ac:dyDescent="0.2"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4:26" ht="12.75" customHeight="1" x14ac:dyDescent="0.2"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4:26" ht="12.75" customHeight="1" x14ac:dyDescent="0.2"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4:26" ht="12.75" customHeight="1" x14ac:dyDescent="0.2"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4:26" ht="12.75" customHeight="1" x14ac:dyDescent="0.2"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4:26" ht="12.75" customHeight="1" x14ac:dyDescent="0.2"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4:26" ht="12.75" customHeight="1" x14ac:dyDescent="0.2"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4:26" ht="12.75" customHeight="1" x14ac:dyDescent="0.2"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4:26" ht="12.75" customHeight="1" x14ac:dyDescent="0.2"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4:26" ht="12.75" customHeight="1" x14ac:dyDescent="0.2"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4:26" ht="12.75" customHeight="1" x14ac:dyDescent="0.2"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4:26" ht="12.75" customHeight="1" x14ac:dyDescent="0.2"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4:26" ht="12.75" customHeight="1" x14ac:dyDescent="0.2"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4:26" ht="12.75" customHeight="1" x14ac:dyDescent="0.2"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4:26" ht="12.75" customHeight="1" x14ac:dyDescent="0.2"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4:26" ht="12.75" customHeight="1" x14ac:dyDescent="0.2"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4:26" ht="12.75" customHeight="1" x14ac:dyDescent="0.2"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4:26" ht="12.75" customHeight="1" x14ac:dyDescent="0.2"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4:26" ht="12.75" customHeight="1" x14ac:dyDescent="0.2"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4:26" ht="12.75" customHeight="1" x14ac:dyDescent="0.2"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4:26" ht="12.75" customHeight="1" x14ac:dyDescent="0.2"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4:26" ht="12.75" customHeight="1" x14ac:dyDescent="0.2"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4:26" ht="12.75" customHeight="1" x14ac:dyDescent="0.2"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4:26" ht="12.75" customHeight="1" x14ac:dyDescent="0.2"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4:26" ht="12.75" customHeight="1" x14ac:dyDescent="0.2"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4:26" ht="12.75" customHeight="1" x14ac:dyDescent="0.2"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4:26" ht="12.75" customHeight="1" x14ac:dyDescent="0.2"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4:26" ht="12.75" customHeight="1" x14ac:dyDescent="0.2"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4:26" ht="12.75" customHeight="1" x14ac:dyDescent="0.2"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4:26" ht="12.75" customHeight="1" x14ac:dyDescent="0.2"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4:26" ht="12.75" customHeight="1" x14ac:dyDescent="0.2"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4:26" ht="12.75" customHeight="1" x14ac:dyDescent="0.2"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4:26" ht="12.75" customHeight="1" x14ac:dyDescent="0.2"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4:26" ht="12.75" customHeight="1" x14ac:dyDescent="0.2"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4:26" ht="12.75" customHeight="1" x14ac:dyDescent="0.2"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4:26" ht="12.75" customHeight="1" x14ac:dyDescent="0.2"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4:26" ht="12.75" customHeight="1" x14ac:dyDescent="0.2"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4:26" ht="12.75" customHeight="1" x14ac:dyDescent="0.2"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4:26" ht="12.75" customHeight="1" x14ac:dyDescent="0.2"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4:26" ht="12.75" customHeight="1" x14ac:dyDescent="0.2"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4:26" ht="12.75" customHeight="1" x14ac:dyDescent="0.2"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4:26" ht="12.75" customHeight="1" x14ac:dyDescent="0.2"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4:26" ht="12.75" customHeight="1" x14ac:dyDescent="0.2"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4:26" ht="12.75" customHeight="1" x14ac:dyDescent="0.2"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4:26" ht="12.75" customHeight="1" x14ac:dyDescent="0.2"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4:26" ht="12.75" customHeight="1" x14ac:dyDescent="0.2"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4:26" ht="12.75" customHeight="1" x14ac:dyDescent="0.2"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4:26" ht="12.75" customHeight="1" x14ac:dyDescent="0.2"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4:26" ht="12.75" customHeight="1" x14ac:dyDescent="0.2"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4:26" ht="12.75" customHeight="1" x14ac:dyDescent="0.2"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4:26" ht="12.75" customHeight="1" x14ac:dyDescent="0.2"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4:26" ht="12.75" customHeight="1" x14ac:dyDescent="0.2"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4:26" ht="12.75" customHeight="1" x14ac:dyDescent="0.2"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4:26" ht="12.75" customHeight="1" x14ac:dyDescent="0.2"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4:26" ht="12.75" customHeight="1" x14ac:dyDescent="0.2"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4:26" ht="12.75" customHeight="1" x14ac:dyDescent="0.2"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4:26" ht="12.75" customHeight="1" x14ac:dyDescent="0.2"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4:26" ht="12.75" customHeight="1" x14ac:dyDescent="0.2"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4:26" ht="12.75" customHeight="1" x14ac:dyDescent="0.2"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4:26" ht="12.75" customHeight="1" x14ac:dyDescent="0.2"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4:26" ht="12.75" customHeight="1" x14ac:dyDescent="0.2"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4:26" ht="12.75" customHeight="1" x14ac:dyDescent="0.2"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4:26" ht="12.75" customHeight="1" x14ac:dyDescent="0.2"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4:26" ht="12.75" customHeight="1" x14ac:dyDescent="0.2"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4:26" ht="12.75" customHeight="1" x14ac:dyDescent="0.2"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4:26" ht="12.75" customHeight="1" x14ac:dyDescent="0.2"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4:26" ht="12.75" customHeight="1" x14ac:dyDescent="0.2"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4:26" ht="12.75" customHeight="1" x14ac:dyDescent="0.2"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4:26" ht="12.75" customHeight="1" x14ac:dyDescent="0.2"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4:26" ht="12.75" customHeight="1" x14ac:dyDescent="0.2"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4:26" ht="12.75" customHeight="1" x14ac:dyDescent="0.2"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4:26" ht="12.75" customHeight="1" x14ac:dyDescent="0.2"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4:26" ht="12.75" customHeight="1" x14ac:dyDescent="0.2"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4:26" ht="12.75" customHeight="1" x14ac:dyDescent="0.2"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4:26" ht="12.75" customHeight="1" x14ac:dyDescent="0.2"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4:26" ht="12.75" customHeight="1" x14ac:dyDescent="0.2"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4:26" ht="12.75" customHeight="1" x14ac:dyDescent="0.2"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4:26" ht="12.75" customHeight="1" x14ac:dyDescent="0.2"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4:26" ht="12.75" customHeight="1" x14ac:dyDescent="0.2"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4:26" ht="12.75" customHeight="1" x14ac:dyDescent="0.2"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4:26" ht="12.75" customHeight="1" x14ac:dyDescent="0.2"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4:26" ht="12.75" customHeight="1" x14ac:dyDescent="0.2"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4:26" ht="12.75" customHeight="1" x14ac:dyDescent="0.2"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4:26" ht="12.75" customHeight="1" x14ac:dyDescent="0.2"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4:26" ht="12.75" customHeight="1" x14ac:dyDescent="0.2"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4:26" ht="12.75" customHeight="1" x14ac:dyDescent="0.2"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4:26" ht="12.75" customHeight="1" x14ac:dyDescent="0.2"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4:26" ht="12.75" customHeight="1" x14ac:dyDescent="0.2"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4:26" ht="12.75" customHeight="1" x14ac:dyDescent="0.2"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4:26" ht="12.75" customHeight="1" x14ac:dyDescent="0.2"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4:26" ht="12.75" customHeight="1" x14ac:dyDescent="0.2"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4:26" ht="12.75" customHeight="1" x14ac:dyDescent="0.2"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4:26" ht="12.75" customHeight="1" x14ac:dyDescent="0.2"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4:26" ht="12.75" customHeight="1" x14ac:dyDescent="0.2"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4:26" ht="12.75" customHeight="1" x14ac:dyDescent="0.2"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4:26" ht="12.75" customHeight="1" x14ac:dyDescent="0.2"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4:26" ht="12.75" customHeight="1" x14ac:dyDescent="0.2"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4:26" ht="12.75" customHeight="1" x14ac:dyDescent="0.2"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4:26" ht="12.75" customHeight="1" x14ac:dyDescent="0.2"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4:26" ht="12.75" customHeight="1" x14ac:dyDescent="0.2"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4:26" ht="12.75" customHeight="1" x14ac:dyDescent="0.2"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4:26" ht="12.75" customHeight="1" x14ac:dyDescent="0.2"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4:26" ht="12.75" customHeight="1" x14ac:dyDescent="0.2"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4:26" ht="12.75" customHeight="1" x14ac:dyDescent="0.2"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4:26" ht="12.75" customHeight="1" x14ac:dyDescent="0.2"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4:26" ht="12.75" customHeight="1" x14ac:dyDescent="0.2"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4:26" ht="12.75" customHeight="1" x14ac:dyDescent="0.2"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4:26" ht="12.75" customHeight="1" x14ac:dyDescent="0.2"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4:26" ht="12.75" customHeight="1" x14ac:dyDescent="0.2"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4:26" ht="12.75" customHeight="1" x14ac:dyDescent="0.2"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4:26" ht="12.75" customHeight="1" x14ac:dyDescent="0.2"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4:26" ht="12.75" customHeight="1" x14ac:dyDescent="0.2"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4:26" ht="12.75" customHeight="1" x14ac:dyDescent="0.2"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4:26" ht="12.75" customHeight="1" x14ac:dyDescent="0.2"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4:26" ht="12.75" customHeight="1" x14ac:dyDescent="0.2"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4:26" ht="12.75" customHeight="1" x14ac:dyDescent="0.2"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4:26" ht="12.75" customHeight="1" x14ac:dyDescent="0.2"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4:26" ht="12.75" customHeight="1" x14ac:dyDescent="0.2"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4:26" ht="12.75" customHeight="1" x14ac:dyDescent="0.2"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4:26" ht="12.75" customHeight="1" x14ac:dyDescent="0.2"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4:26" ht="12.75" customHeight="1" x14ac:dyDescent="0.2"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4:26" ht="12.75" customHeight="1" x14ac:dyDescent="0.2"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4:26" ht="12.75" customHeight="1" x14ac:dyDescent="0.2"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4:26" ht="12.75" customHeight="1" x14ac:dyDescent="0.2"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4:26" ht="12.75" customHeight="1" x14ac:dyDescent="0.2"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4:26" ht="12.75" customHeight="1" x14ac:dyDescent="0.2"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4:26" ht="12.75" customHeight="1" x14ac:dyDescent="0.2"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4:26" ht="12.75" customHeight="1" x14ac:dyDescent="0.2"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4:26" ht="12.75" customHeight="1" x14ac:dyDescent="0.2"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4:26" ht="12.75" customHeight="1" x14ac:dyDescent="0.2"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4:26" ht="12.75" customHeight="1" x14ac:dyDescent="0.2"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4:26" ht="12.75" customHeight="1" x14ac:dyDescent="0.2"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4:26" ht="12.75" customHeight="1" x14ac:dyDescent="0.2"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4:26" ht="12.75" customHeight="1" x14ac:dyDescent="0.2"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4:26" ht="12.75" customHeight="1" x14ac:dyDescent="0.2"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4:26" ht="12.75" customHeight="1" x14ac:dyDescent="0.2"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4:26" ht="12.75" customHeight="1" x14ac:dyDescent="0.2"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4:26" ht="12.75" customHeight="1" x14ac:dyDescent="0.2"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4:26" ht="12.75" customHeight="1" x14ac:dyDescent="0.2"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4:26" ht="12.75" customHeight="1" x14ac:dyDescent="0.2"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4:26" ht="12.75" customHeight="1" x14ac:dyDescent="0.2"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4:26" ht="12.75" customHeight="1" x14ac:dyDescent="0.2"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4:26" ht="12.75" customHeight="1" x14ac:dyDescent="0.2"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4:26" ht="12.75" customHeight="1" x14ac:dyDescent="0.2"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4:26" ht="12.75" customHeight="1" x14ac:dyDescent="0.2"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4:26" ht="12.75" customHeight="1" x14ac:dyDescent="0.2"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4:26" ht="12.75" customHeight="1" x14ac:dyDescent="0.2"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4:26" ht="12.75" customHeight="1" x14ac:dyDescent="0.2"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4:26" ht="12.75" customHeight="1" x14ac:dyDescent="0.2"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4:26" ht="12.75" customHeight="1" x14ac:dyDescent="0.2"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4:26" ht="12.75" customHeight="1" x14ac:dyDescent="0.2"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4:26" ht="12.75" customHeight="1" x14ac:dyDescent="0.2"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4:26" ht="12.75" customHeight="1" x14ac:dyDescent="0.2"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4:26" ht="12.75" customHeight="1" x14ac:dyDescent="0.2"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4:26" ht="12.75" customHeight="1" x14ac:dyDescent="0.2"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4:26" ht="12.75" customHeight="1" x14ac:dyDescent="0.2"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4:26" ht="12.75" customHeight="1" x14ac:dyDescent="0.2"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4:26" ht="12.75" customHeight="1" x14ac:dyDescent="0.2"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4:26" ht="12.75" customHeight="1" x14ac:dyDescent="0.2"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4:26" ht="12.75" customHeight="1" x14ac:dyDescent="0.2"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4:26" ht="12.75" customHeight="1" x14ac:dyDescent="0.2"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4:26" ht="12.75" customHeight="1" x14ac:dyDescent="0.2"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4:26" ht="12.75" customHeight="1" x14ac:dyDescent="0.2"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4:26" ht="12.75" customHeight="1" x14ac:dyDescent="0.2"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4:26" ht="12.75" customHeight="1" x14ac:dyDescent="0.2"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4:26" ht="12.75" customHeight="1" x14ac:dyDescent="0.2"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4:26" ht="12.75" customHeight="1" x14ac:dyDescent="0.2"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4:26" ht="12.75" customHeight="1" x14ac:dyDescent="0.2"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4:26" ht="12.75" customHeight="1" x14ac:dyDescent="0.2"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4:26" ht="12.75" customHeight="1" x14ac:dyDescent="0.2"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4:26" ht="12.75" customHeight="1" x14ac:dyDescent="0.2"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4:26" ht="12.75" customHeight="1" x14ac:dyDescent="0.2"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4:26" ht="12.75" customHeight="1" x14ac:dyDescent="0.2"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4:26" ht="12.75" customHeight="1" x14ac:dyDescent="0.2"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4:26" ht="12.75" customHeight="1" x14ac:dyDescent="0.2"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4:26" ht="12.75" customHeight="1" x14ac:dyDescent="0.2"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4:26" ht="12.75" customHeight="1" x14ac:dyDescent="0.2"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4:26" ht="12.75" customHeight="1" x14ac:dyDescent="0.2"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4:26" ht="12.75" customHeight="1" x14ac:dyDescent="0.2"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4:26" ht="12.75" customHeight="1" x14ac:dyDescent="0.2"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4:26" ht="12.75" customHeight="1" x14ac:dyDescent="0.2"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4:26" ht="12.75" customHeight="1" x14ac:dyDescent="0.2"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4:26" ht="12.75" customHeight="1" x14ac:dyDescent="0.2"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4:26" ht="12.75" customHeight="1" x14ac:dyDescent="0.2"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4:26" ht="12.75" customHeight="1" x14ac:dyDescent="0.2"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4:26" ht="12.75" customHeight="1" x14ac:dyDescent="0.2"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4:26" ht="12.75" customHeight="1" x14ac:dyDescent="0.2"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4:26" ht="12.75" customHeight="1" x14ac:dyDescent="0.2"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4:26" ht="12.75" customHeight="1" x14ac:dyDescent="0.2"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4:26" ht="12.75" customHeight="1" x14ac:dyDescent="0.2"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4:26" ht="12.75" customHeight="1" x14ac:dyDescent="0.2"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4:26" ht="12.75" customHeight="1" x14ac:dyDescent="0.2"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4:26" ht="12.75" customHeight="1" x14ac:dyDescent="0.2"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4:26" ht="12.75" customHeight="1" x14ac:dyDescent="0.2"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4:26" ht="12.75" customHeight="1" x14ac:dyDescent="0.2"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4:26" ht="12.75" customHeight="1" x14ac:dyDescent="0.2"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4:26" ht="12.75" customHeight="1" x14ac:dyDescent="0.2"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4:26" ht="12.75" customHeight="1" x14ac:dyDescent="0.2"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4:26" ht="12.75" customHeight="1" x14ac:dyDescent="0.2"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4:26" ht="12.75" customHeight="1" x14ac:dyDescent="0.2"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4:26" ht="12.75" customHeight="1" x14ac:dyDescent="0.2"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4:26" ht="12.75" customHeight="1" x14ac:dyDescent="0.2"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4:26" ht="12.75" customHeight="1" x14ac:dyDescent="0.2"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4:26" ht="12.75" customHeight="1" x14ac:dyDescent="0.2"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4:26" ht="12.75" customHeight="1" x14ac:dyDescent="0.2"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4:26" ht="12.75" customHeight="1" x14ac:dyDescent="0.2"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4:26" ht="12.75" customHeight="1" x14ac:dyDescent="0.2"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4:26" ht="12.75" customHeight="1" x14ac:dyDescent="0.2"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4:26" ht="12.75" customHeight="1" x14ac:dyDescent="0.2"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4:26" ht="12.75" customHeight="1" x14ac:dyDescent="0.2"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4:26" ht="12.75" customHeight="1" x14ac:dyDescent="0.2"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4:26" ht="12.75" customHeight="1" x14ac:dyDescent="0.2"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4:26" ht="12.75" customHeight="1" x14ac:dyDescent="0.2"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4:26" ht="12.75" customHeight="1" x14ac:dyDescent="0.2"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4:26" ht="12.75" customHeight="1" x14ac:dyDescent="0.2"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4:26" ht="12.75" customHeight="1" x14ac:dyDescent="0.2"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4:26" ht="12.75" customHeight="1" x14ac:dyDescent="0.2"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4:26" ht="12.75" customHeight="1" x14ac:dyDescent="0.2"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4:26" ht="12.75" customHeight="1" x14ac:dyDescent="0.2"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4:26" ht="12.75" customHeight="1" x14ac:dyDescent="0.2"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4:26" ht="12.75" customHeight="1" x14ac:dyDescent="0.2"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4:26" ht="12.75" customHeight="1" x14ac:dyDescent="0.2"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4:26" ht="12.75" customHeight="1" x14ac:dyDescent="0.2"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4:26" ht="12.75" customHeight="1" x14ac:dyDescent="0.2"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4:26" ht="12.75" customHeight="1" x14ac:dyDescent="0.2"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4:26" ht="12.75" customHeight="1" x14ac:dyDescent="0.2"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4:26" ht="12.75" customHeight="1" x14ac:dyDescent="0.2"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4:26" ht="12.75" customHeight="1" x14ac:dyDescent="0.2"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4:26" ht="12.75" customHeight="1" x14ac:dyDescent="0.2"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4:26" ht="12.75" customHeight="1" x14ac:dyDescent="0.2"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4:26" ht="12.75" customHeight="1" x14ac:dyDescent="0.2"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4:26" ht="12.75" customHeight="1" x14ac:dyDescent="0.2"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4:26" ht="12.75" customHeight="1" x14ac:dyDescent="0.2"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4:26" ht="12.75" customHeight="1" x14ac:dyDescent="0.2"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4:26" ht="12.75" customHeight="1" x14ac:dyDescent="0.2"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4:26" ht="12.75" customHeight="1" x14ac:dyDescent="0.2"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4:26" ht="12.75" customHeight="1" x14ac:dyDescent="0.2"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4:26" ht="12.75" customHeight="1" x14ac:dyDescent="0.2"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4:26" ht="12.75" customHeight="1" x14ac:dyDescent="0.2"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4:26" ht="12.75" customHeight="1" x14ac:dyDescent="0.2"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4:26" ht="12.75" customHeight="1" x14ac:dyDescent="0.2"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4:26" ht="12.75" customHeight="1" x14ac:dyDescent="0.2"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4:26" ht="12.75" customHeight="1" x14ac:dyDescent="0.2"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4:26" ht="12.75" customHeight="1" x14ac:dyDescent="0.2"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4:26" ht="12.75" customHeight="1" x14ac:dyDescent="0.2"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4:26" ht="12.75" customHeight="1" x14ac:dyDescent="0.2"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4:26" ht="12.75" customHeight="1" x14ac:dyDescent="0.2"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4:26" ht="12.75" customHeight="1" x14ac:dyDescent="0.2"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4:26" ht="12.75" customHeight="1" x14ac:dyDescent="0.2"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4:26" ht="12.75" customHeight="1" x14ac:dyDescent="0.2"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4:26" ht="12.75" customHeight="1" x14ac:dyDescent="0.2"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4:26" ht="12.75" customHeight="1" x14ac:dyDescent="0.2"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4:26" ht="12.75" customHeight="1" x14ac:dyDescent="0.2"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4:26" ht="12.75" customHeight="1" x14ac:dyDescent="0.2"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4:26" ht="12.75" customHeight="1" x14ac:dyDescent="0.2"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4:26" ht="12.75" customHeight="1" x14ac:dyDescent="0.2"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4:26" ht="12.75" customHeight="1" x14ac:dyDescent="0.2"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4:26" ht="12.75" customHeight="1" x14ac:dyDescent="0.2"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4:26" ht="12.75" customHeight="1" x14ac:dyDescent="0.2"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4:26" ht="12.75" customHeight="1" x14ac:dyDescent="0.2"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4:26" ht="12.75" customHeight="1" x14ac:dyDescent="0.2"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4:26" ht="12.75" customHeight="1" x14ac:dyDescent="0.2"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4:26" ht="12.75" customHeight="1" x14ac:dyDescent="0.2"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4:26" ht="12.75" customHeight="1" x14ac:dyDescent="0.2"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4:26" ht="12.75" customHeight="1" x14ac:dyDescent="0.2"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4:26" ht="12.75" customHeight="1" x14ac:dyDescent="0.2"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4:26" ht="12.75" customHeight="1" x14ac:dyDescent="0.2"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4:26" ht="12.75" customHeight="1" x14ac:dyDescent="0.2"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4:26" ht="12.75" customHeight="1" x14ac:dyDescent="0.2"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4:26" ht="12.75" customHeight="1" x14ac:dyDescent="0.2"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4:26" ht="12.75" customHeight="1" x14ac:dyDescent="0.2"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4:26" ht="12.75" customHeight="1" x14ac:dyDescent="0.2"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4:26" ht="12.75" customHeight="1" x14ac:dyDescent="0.2"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4:26" ht="12.75" customHeight="1" x14ac:dyDescent="0.2"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4:26" ht="12.75" customHeight="1" x14ac:dyDescent="0.2"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4:26" ht="12.75" customHeight="1" x14ac:dyDescent="0.2"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4:26" ht="12.75" customHeight="1" x14ac:dyDescent="0.2"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4:26" ht="12.75" customHeight="1" x14ac:dyDescent="0.2"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4:26" ht="12.75" customHeight="1" x14ac:dyDescent="0.2"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4:26" ht="12.75" customHeight="1" x14ac:dyDescent="0.2"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4:26" ht="12.75" customHeight="1" x14ac:dyDescent="0.2"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4:26" ht="12.75" customHeight="1" x14ac:dyDescent="0.2"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4:26" ht="12.75" customHeight="1" x14ac:dyDescent="0.2"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4:26" ht="12.75" customHeight="1" x14ac:dyDescent="0.2"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4:26" ht="12.75" customHeight="1" x14ac:dyDescent="0.2"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4:26" ht="12.75" customHeight="1" x14ac:dyDescent="0.2"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4:26" ht="12.75" customHeight="1" x14ac:dyDescent="0.2"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4:26" ht="12.75" customHeight="1" x14ac:dyDescent="0.2"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4:26" ht="12.75" customHeight="1" x14ac:dyDescent="0.2"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4:26" ht="12.75" customHeight="1" x14ac:dyDescent="0.2"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4:26" ht="12.75" customHeight="1" x14ac:dyDescent="0.2"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4:26" ht="12.75" customHeight="1" x14ac:dyDescent="0.2"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4:26" ht="12.75" customHeight="1" x14ac:dyDescent="0.2"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4:26" ht="12.75" customHeight="1" x14ac:dyDescent="0.2"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4:26" ht="12.75" customHeight="1" x14ac:dyDescent="0.2"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4:26" ht="12.75" customHeight="1" x14ac:dyDescent="0.2"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4:26" ht="12.75" customHeight="1" x14ac:dyDescent="0.2"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4:26" ht="12.75" customHeight="1" x14ac:dyDescent="0.2"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4:26" ht="12.75" customHeight="1" x14ac:dyDescent="0.2"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4:26" ht="12.75" customHeight="1" x14ac:dyDescent="0.2"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4:26" ht="12.75" customHeight="1" x14ac:dyDescent="0.2"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4:26" ht="12.75" customHeight="1" x14ac:dyDescent="0.2"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4:26" ht="12.75" customHeight="1" x14ac:dyDescent="0.2"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4:26" ht="12.75" customHeight="1" x14ac:dyDescent="0.2"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4:26" ht="12.75" customHeight="1" x14ac:dyDescent="0.2"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4:26" ht="12.75" customHeight="1" x14ac:dyDescent="0.2"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4:26" ht="12.75" customHeight="1" x14ac:dyDescent="0.2"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4:26" ht="12.75" customHeight="1" x14ac:dyDescent="0.2"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4:26" ht="12.75" customHeight="1" x14ac:dyDescent="0.2"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4:26" ht="12.75" customHeight="1" x14ac:dyDescent="0.2"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4:26" ht="12.75" customHeight="1" x14ac:dyDescent="0.2"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4:26" ht="12.75" customHeight="1" x14ac:dyDescent="0.2"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4:26" ht="12.75" customHeight="1" x14ac:dyDescent="0.2"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4:26" ht="12.75" customHeight="1" x14ac:dyDescent="0.2"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4:26" ht="12.75" customHeight="1" x14ac:dyDescent="0.2"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4:26" ht="12.75" customHeight="1" x14ac:dyDescent="0.2"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4:26" ht="12.75" customHeight="1" x14ac:dyDescent="0.2"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4:26" ht="12.75" customHeight="1" x14ac:dyDescent="0.2"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4:26" ht="12.75" customHeight="1" x14ac:dyDescent="0.2"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4:26" ht="12.75" customHeight="1" x14ac:dyDescent="0.2"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4:26" ht="12.75" customHeight="1" x14ac:dyDescent="0.2"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4:26" ht="12.75" customHeight="1" x14ac:dyDescent="0.2"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4:26" ht="12.75" customHeight="1" x14ac:dyDescent="0.2"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4:26" ht="12.75" customHeight="1" x14ac:dyDescent="0.2"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4:26" ht="12.75" customHeight="1" x14ac:dyDescent="0.2"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4:26" ht="12.75" customHeight="1" x14ac:dyDescent="0.2"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4:26" ht="12.75" customHeight="1" x14ac:dyDescent="0.2"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4:26" ht="12.75" customHeight="1" x14ac:dyDescent="0.2"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4:26" ht="12.75" customHeight="1" x14ac:dyDescent="0.2"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4:26" ht="12.75" customHeight="1" x14ac:dyDescent="0.2"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4:26" ht="12.75" customHeight="1" x14ac:dyDescent="0.2"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4:26" ht="12.75" customHeight="1" x14ac:dyDescent="0.2"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4:26" ht="12.75" customHeight="1" x14ac:dyDescent="0.2"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4:26" ht="12.75" customHeight="1" x14ac:dyDescent="0.2"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4:26" ht="12.75" customHeight="1" x14ac:dyDescent="0.2"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4:26" ht="12.75" customHeight="1" x14ac:dyDescent="0.2"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4:26" ht="12.75" customHeight="1" x14ac:dyDescent="0.2"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4:26" ht="12.75" customHeight="1" x14ac:dyDescent="0.2"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4:26" ht="12.75" customHeight="1" x14ac:dyDescent="0.2"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4:26" ht="12.75" customHeight="1" x14ac:dyDescent="0.2"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4:26" ht="12.75" customHeight="1" x14ac:dyDescent="0.2"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4:26" ht="12.75" customHeight="1" x14ac:dyDescent="0.2"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4:26" ht="12.75" customHeight="1" x14ac:dyDescent="0.2"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4:26" ht="12.75" customHeight="1" x14ac:dyDescent="0.2"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4:26" ht="12.75" customHeight="1" x14ac:dyDescent="0.2"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4:26" ht="12.75" customHeight="1" x14ac:dyDescent="0.2"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4:26" ht="12.75" customHeight="1" x14ac:dyDescent="0.2"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4:26" ht="12.75" customHeight="1" x14ac:dyDescent="0.2"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4:26" ht="12.75" customHeight="1" x14ac:dyDescent="0.2"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4:26" ht="12.75" customHeight="1" x14ac:dyDescent="0.2"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4:26" ht="12.75" customHeight="1" x14ac:dyDescent="0.2"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4:26" ht="12.75" customHeight="1" x14ac:dyDescent="0.2"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4:26" ht="12.75" customHeight="1" x14ac:dyDescent="0.2"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4:26" ht="12.75" customHeight="1" x14ac:dyDescent="0.2"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4:26" ht="12.75" customHeight="1" x14ac:dyDescent="0.2"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4:26" ht="12.75" customHeight="1" x14ac:dyDescent="0.2"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4:26" ht="12.75" customHeight="1" x14ac:dyDescent="0.2"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4:26" ht="12.75" customHeight="1" x14ac:dyDescent="0.2"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4:26" ht="12.75" customHeight="1" x14ac:dyDescent="0.2"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4:26" ht="12.75" customHeight="1" x14ac:dyDescent="0.2"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4:26" ht="12.75" customHeight="1" x14ac:dyDescent="0.2"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4:26" ht="12.75" customHeight="1" x14ac:dyDescent="0.2"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4:26" ht="12.75" customHeight="1" x14ac:dyDescent="0.2"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4:26" ht="12.75" customHeight="1" x14ac:dyDescent="0.2"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4:26" ht="12.75" customHeight="1" x14ac:dyDescent="0.2"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4:26" ht="12.75" customHeight="1" x14ac:dyDescent="0.2"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4:26" ht="12.75" customHeight="1" x14ac:dyDescent="0.2"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4:26" ht="12.75" customHeight="1" x14ac:dyDescent="0.2"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4:26" ht="12.75" customHeight="1" x14ac:dyDescent="0.2"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4:26" ht="12.75" customHeight="1" x14ac:dyDescent="0.2"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4:26" ht="12.75" customHeight="1" x14ac:dyDescent="0.2"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4:26" ht="12.75" customHeight="1" x14ac:dyDescent="0.2"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4:26" ht="12.75" customHeight="1" x14ac:dyDescent="0.2"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4:26" ht="12.75" customHeight="1" x14ac:dyDescent="0.2"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4:26" ht="12.75" customHeight="1" x14ac:dyDescent="0.2"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4:26" ht="12.75" customHeight="1" x14ac:dyDescent="0.2"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4:26" ht="12.75" customHeight="1" x14ac:dyDescent="0.2"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4:26" ht="12.75" customHeight="1" x14ac:dyDescent="0.2"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4:26" ht="12.75" customHeight="1" x14ac:dyDescent="0.2"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4:26" ht="12.75" customHeight="1" x14ac:dyDescent="0.2"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4:26" ht="12.75" customHeight="1" x14ac:dyDescent="0.2"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4:26" ht="12.75" customHeight="1" x14ac:dyDescent="0.2"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4:26" ht="12.75" customHeight="1" x14ac:dyDescent="0.2"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4:26" ht="12.75" customHeight="1" x14ac:dyDescent="0.2"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4:26" ht="12.75" customHeight="1" x14ac:dyDescent="0.2"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4:26" ht="12.75" customHeight="1" x14ac:dyDescent="0.2"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4:26" ht="12.75" customHeight="1" x14ac:dyDescent="0.2"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4:26" ht="12.75" customHeight="1" x14ac:dyDescent="0.2"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4:26" ht="12.75" customHeight="1" x14ac:dyDescent="0.2"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4:26" ht="12.75" customHeight="1" x14ac:dyDescent="0.2"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4:26" ht="12.75" customHeight="1" x14ac:dyDescent="0.2"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4:26" ht="12.75" customHeight="1" x14ac:dyDescent="0.2"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4:26" ht="12.75" customHeight="1" x14ac:dyDescent="0.2"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4:26" ht="12.75" customHeight="1" x14ac:dyDescent="0.2"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4:26" ht="12.75" customHeight="1" x14ac:dyDescent="0.2"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4:26" ht="12.75" customHeight="1" x14ac:dyDescent="0.2"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4:26" ht="12.75" customHeight="1" x14ac:dyDescent="0.2"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4:26" ht="12.75" customHeight="1" x14ac:dyDescent="0.2"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8">
    <mergeCell ref="A2:B2"/>
    <mergeCell ref="A6:B6"/>
    <mergeCell ref="D6:E6"/>
    <mergeCell ref="G6:H6"/>
    <mergeCell ref="A1:M1"/>
    <mergeCell ref="D2:E2"/>
    <mergeCell ref="F2:H2"/>
    <mergeCell ref="I2:I3"/>
    <mergeCell ref="D3:E3"/>
    <mergeCell ref="F3:H3"/>
    <mergeCell ref="G4:H4"/>
    <mergeCell ref="J2:M2"/>
    <mergeCell ref="J3:M3"/>
    <mergeCell ref="I4:I5"/>
    <mergeCell ref="J4:M4"/>
    <mergeCell ref="J5:M5"/>
    <mergeCell ref="J7:M24"/>
    <mergeCell ref="L25:M27"/>
    <mergeCell ref="J25:K27"/>
    <mergeCell ref="J28:K30"/>
    <mergeCell ref="L28:M30"/>
    <mergeCell ref="G33:H33"/>
    <mergeCell ref="A61:F61"/>
    <mergeCell ref="A62:M62"/>
    <mergeCell ref="A63:M63"/>
    <mergeCell ref="A71:M71"/>
    <mergeCell ref="A64:M64"/>
    <mergeCell ref="A65:M65"/>
    <mergeCell ref="A66:M66"/>
    <mergeCell ref="A67:M67"/>
    <mergeCell ref="A68:M68"/>
    <mergeCell ref="A69:M69"/>
    <mergeCell ref="A70:M70"/>
    <mergeCell ref="A72:M72"/>
    <mergeCell ref="A73:M73"/>
    <mergeCell ref="A74:M74"/>
    <mergeCell ref="A75:M75"/>
    <mergeCell ref="E76:M76"/>
  </mergeCells>
  <dataValidations count="2">
    <dataValidation type="list" allowBlank="1" showErrorMessage="1" sqref="A8:A32" xr:uid="{00000000-0002-0000-0000-000000000000}">
      <formula1>listo</formula1>
    </dataValidation>
    <dataValidation type="list" allowBlank="1" showErrorMessage="1" sqref="C111:C240" xr:uid="{00000000-0002-0000-0000-000001000000}">
      <formula1>metro</formula1>
    </dataValidation>
  </dataValidations>
  <printOptions horizontalCentered="1"/>
  <pageMargins left="0.19685039370078741" right="0.19685039370078741" top="0.98425196850393704" bottom="0.98425196850393704" header="0" footer="0"/>
  <pageSetup paperSize="5"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1000"/>
  <sheetViews>
    <sheetView workbookViewId="0">
      <selection activeCell="A13" sqref="A13"/>
    </sheetView>
  </sheetViews>
  <sheetFormatPr baseColWidth="10" defaultColWidth="12.5703125" defaultRowHeight="15" customHeight="1" x14ac:dyDescent="0.2"/>
  <cols>
    <col min="1" max="1" width="26.28515625" customWidth="1"/>
    <col min="2" max="2" width="16.5703125" customWidth="1"/>
    <col min="3" max="3" width="13.140625" customWidth="1"/>
    <col min="4" max="4" width="14.140625" customWidth="1"/>
    <col min="5" max="5" width="9.7109375" customWidth="1"/>
    <col min="6" max="6" width="11.5703125" hidden="1" customWidth="1"/>
    <col min="7" max="7" width="1.140625" customWidth="1"/>
    <col min="8" max="8" width="11" customWidth="1"/>
    <col min="9" max="9" width="10.7109375" hidden="1" customWidth="1"/>
    <col min="10" max="10" width="9.85546875" customWidth="1"/>
    <col min="11" max="13" width="7.85546875" customWidth="1"/>
    <col min="14" max="20" width="5.7109375" customWidth="1"/>
    <col min="21" max="21" width="30.28515625" customWidth="1"/>
    <col min="22" max="22" width="11.28515625" customWidth="1"/>
    <col min="23" max="23" width="8.7109375" customWidth="1"/>
    <col min="24" max="24" width="12.42578125" customWidth="1"/>
    <col min="25" max="44" width="10.7109375" customWidth="1"/>
  </cols>
  <sheetData>
    <row r="1" spans="1:24" ht="35.25" customHeight="1" x14ac:dyDescent="0.2">
      <c r="A1" s="36" t="str">
        <f>consumos!A2</f>
        <v>DOCENTE ENCARGADO</v>
      </c>
      <c r="B1" s="36" t="str">
        <f>consumos!A3</f>
        <v>NOMBRE DEL PRODUCTO</v>
      </c>
      <c r="C1" s="37" t="str">
        <f>consumos!G4</f>
        <v>NUMERO DE FICHA</v>
      </c>
      <c r="D1" s="36" t="str">
        <f>consumos!F2</f>
        <v>CURSO/TECNICO</v>
      </c>
      <c r="E1" s="38"/>
      <c r="F1" s="38"/>
      <c r="G1" s="123"/>
      <c r="H1" s="177" t="s">
        <v>90</v>
      </c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58"/>
    </row>
    <row r="2" spans="1:24" ht="35.25" customHeight="1" x14ac:dyDescent="0.2">
      <c r="A2" s="39" t="str">
        <f>consumos!D2</f>
        <v>MAYBELLINE ARISTIZÁBAL</v>
      </c>
      <c r="B2" s="39" t="str">
        <f>consumos!D3</f>
        <v>MARROQUINERIA 3</v>
      </c>
      <c r="C2" s="39">
        <f>consumos!F5</f>
        <v>2472805</v>
      </c>
      <c r="D2" s="39" t="str">
        <f>consumos!F3</f>
        <v>DISEÑO</v>
      </c>
      <c r="E2" s="40"/>
      <c r="F2" s="40">
        <f>consumos!E5</f>
        <v>1128404319</v>
      </c>
      <c r="G2" s="123"/>
      <c r="H2" s="154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  <c r="X2" s="155"/>
    </row>
    <row r="3" spans="1:24" ht="43.5" customHeight="1" x14ac:dyDescent="0.2">
      <c r="A3" s="41" t="s">
        <v>91</v>
      </c>
      <c r="B3" s="42" t="s">
        <v>92</v>
      </c>
      <c r="C3" s="41" t="s">
        <v>93</v>
      </c>
      <c r="D3" s="43" t="s">
        <v>94</v>
      </c>
      <c r="E3" s="43" t="s">
        <v>95</v>
      </c>
      <c r="F3" s="44" t="s">
        <v>14</v>
      </c>
      <c r="G3" s="123"/>
      <c r="H3" s="45" t="s">
        <v>96</v>
      </c>
      <c r="I3" s="46"/>
      <c r="J3" s="46" t="s">
        <v>97</v>
      </c>
      <c r="K3" s="36">
        <v>1</v>
      </c>
      <c r="L3" s="36">
        <v>2</v>
      </c>
      <c r="M3" s="36">
        <v>3</v>
      </c>
      <c r="N3" s="36">
        <v>4</v>
      </c>
      <c r="O3" s="36">
        <v>5</v>
      </c>
      <c r="P3" s="36">
        <v>6</v>
      </c>
      <c r="Q3" s="36">
        <v>7</v>
      </c>
      <c r="R3" s="36">
        <v>8</v>
      </c>
      <c r="S3" s="36">
        <v>9</v>
      </c>
      <c r="T3" s="36">
        <v>10</v>
      </c>
      <c r="U3" s="47" t="s">
        <v>40</v>
      </c>
      <c r="V3" s="47" t="s">
        <v>98</v>
      </c>
      <c r="W3" s="47" t="s">
        <v>97</v>
      </c>
      <c r="X3" s="47" t="s">
        <v>96</v>
      </c>
    </row>
    <row r="4" spans="1:24" ht="12.75" customHeight="1" x14ac:dyDescent="0.2">
      <c r="A4" s="48" t="str">
        <f>consumos!A34</f>
        <v>Cuero Napa Variada  (Dm2)</v>
      </c>
      <c r="B4" s="49">
        <f>consumos!D8</f>
        <v>0</v>
      </c>
      <c r="C4" s="50">
        <f>consumos!E8</f>
        <v>24</v>
      </c>
      <c r="D4" s="51">
        <f>consumos!E8*consumos!J5</f>
        <v>288</v>
      </c>
      <c r="E4" s="51">
        <f>MEDIDAS!C21</f>
        <v>0.16551724137931034</v>
      </c>
      <c r="F4" s="52">
        <f>consumos!H8</f>
        <v>140544</v>
      </c>
      <c r="G4" s="124"/>
      <c r="H4" s="53" t="b">
        <f t="shared" ref="H4:H28" si="0">IF(I4&gt;D4,(FALSE),I4)</f>
        <v>0</v>
      </c>
      <c r="I4" s="54">
        <f t="shared" ref="I4:I28" si="1">(K4+L4+M4+N4+O4+P4+Q4+R4+S4+T4)</f>
        <v>314</v>
      </c>
      <c r="J4" s="55">
        <f t="shared" ref="J4:J28" si="2">D4-(K4+L4+M4+N4+O4+P4+Q4+R4+S4+T4)</f>
        <v>-26</v>
      </c>
      <c r="K4" s="56">
        <v>201</v>
      </c>
      <c r="L4" s="56">
        <v>113</v>
      </c>
      <c r="M4" s="56">
        <v>0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>
        <v>0</v>
      </c>
      <c r="T4" s="56">
        <v>0</v>
      </c>
      <c r="U4" s="57" t="str">
        <f>consumos!A77</f>
        <v>Aguja Corta Cabo Delgada  (unidad)</v>
      </c>
      <c r="V4" s="58">
        <f>IF(consumos!D77&lt;0,(1),consumos!D77)</f>
        <v>0</v>
      </c>
      <c r="W4" s="59">
        <f t="shared" ref="W4:W51" si="3">V4-X4</f>
        <v>0</v>
      </c>
      <c r="X4" s="60">
        <v>0</v>
      </c>
    </row>
    <row r="5" spans="1:24" ht="12.75" customHeight="1" x14ac:dyDescent="0.2">
      <c r="A5" s="48" t="str">
        <f>consumos!A35</f>
        <v>Seda 30-100 Colores  (cm²)</v>
      </c>
      <c r="B5" s="49">
        <f>consumos!D9</f>
        <v>0</v>
      </c>
      <c r="C5" s="50">
        <f>consumos!E9</f>
        <v>7000</v>
      </c>
      <c r="D5" s="51">
        <f>consumos!E9*consumos!J5</f>
        <v>84000</v>
      </c>
      <c r="E5" s="51">
        <f>MEDIDAS!C22</f>
        <v>48.275862068965516</v>
      </c>
      <c r="F5" s="52">
        <f>consumos!H9</f>
        <v>42000</v>
      </c>
      <c r="G5" s="124"/>
      <c r="H5" s="53">
        <f t="shared" si="0"/>
        <v>84000</v>
      </c>
      <c r="I5" s="54">
        <f t="shared" si="1"/>
        <v>84000</v>
      </c>
      <c r="J5" s="55">
        <f t="shared" si="2"/>
        <v>0</v>
      </c>
      <c r="K5" s="56">
        <v>84000</v>
      </c>
      <c r="L5" s="56">
        <v>0</v>
      </c>
      <c r="M5" s="56">
        <v>0</v>
      </c>
      <c r="N5" s="56">
        <v>0</v>
      </c>
      <c r="O5" s="56">
        <v>0</v>
      </c>
      <c r="P5" s="56">
        <v>0</v>
      </c>
      <c r="Q5" s="56">
        <v>0</v>
      </c>
      <c r="R5" s="56">
        <v>0</v>
      </c>
      <c r="S5" s="56">
        <v>0</v>
      </c>
      <c r="T5" s="56">
        <v>0</v>
      </c>
      <c r="U5" s="57" t="str">
        <f>consumos!A78</f>
        <v>Aguja Corta Cabo Grueso  (unidad)</v>
      </c>
      <c r="V5" s="58">
        <f>IF(consumos!D78&lt;0,(1),consumos!D78)</f>
        <v>0</v>
      </c>
      <c r="W5" s="59">
        <f t="shared" si="3"/>
        <v>0</v>
      </c>
      <c r="X5" s="60">
        <v>0</v>
      </c>
    </row>
    <row r="6" spans="1:24" ht="12.75" customHeight="1" x14ac:dyDescent="0.2">
      <c r="A6" s="48" t="str">
        <f>consumos!A36</f>
        <v>Cremallera Nylon #6(cm)</v>
      </c>
      <c r="B6" s="49">
        <f>consumos!D10</f>
        <v>0</v>
      </c>
      <c r="C6" s="50">
        <f>consumos!E10</f>
        <v>100</v>
      </c>
      <c r="D6" s="51">
        <f>consumos!E10*consumos!J5</f>
        <v>1200</v>
      </c>
      <c r="E6" s="51">
        <f>MEDIDAS!C23</f>
        <v>0.68965517241379315</v>
      </c>
      <c r="F6" s="52">
        <f>consumos!H10</f>
        <v>7200</v>
      </c>
      <c r="G6" s="124"/>
      <c r="H6" s="53">
        <f t="shared" si="0"/>
        <v>1200</v>
      </c>
      <c r="I6" s="54">
        <f t="shared" si="1"/>
        <v>1200</v>
      </c>
      <c r="J6" s="55">
        <f t="shared" si="2"/>
        <v>0</v>
      </c>
      <c r="K6" s="56">
        <v>1200</v>
      </c>
      <c r="L6" s="56">
        <v>0</v>
      </c>
      <c r="M6" s="56">
        <v>0</v>
      </c>
      <c r="N6" s="56">
        <v>0</v>
      </c>
      <c r="O6" s="56">
        <v>0</v>
      </c>
      <c r="P6" s="56">
        <v>0</v>
      </c>
      <c r="Q6" s="56">
        <v>0</v>
      </c>
      <c r="R6" s="56">
        <v>0</v>
      </c>
      <c r="S6" s="56">
        <v>0</v>
      </c>
      <c r="T6" s="56">
        <v>0</v>
      </c>
      <c r="U6" s="57" t="str">
        <f>consumos!A79</f>
        <v>Bolsa Plastica Cargadera ( unidad)</v>
      </c>
      <c r="V6" s="58">
        <f>IF(consumos!D79&lt;0,(1),consumos!D79)</f>
        <v>0</v>
      </c>
      <c r="W6" s="59">
        <f t="shared" si="3"/>
        <v>0</v>
      </c>
      <c r="X6" s="60">
        <v>0</v>
      </c>
    </row>
    <row r="7" spans="1:24" ht="12.75" customHeight="1" x14ac:dyDescent="0.2">
      <c r="A7" s="48" t="str">
        <f>consumos!A37</f>
        <v xml:space="preserve">llaves #6 Nq de lujo </v>
      </c>
      <c r="B7" s="49">
        <f>consumos!D11</f>
        <v>0</v>
      </c>
      <c r="C7" s="50">
        <f>consumos!E11</f>
        <v>3</v>
      </c>
      <c r="D7" s="51">
        <f>consumos!E11*consumos!J5</f>
        <v>36</v>
      </c>
      <c r="E7" s="51">
        <f>MEDIDAS!C24</f>
        <v>2.0689655172413793E-2</v>
      </c>
      <c r="F7" s="52">
        <f>consumos!H11</f>
        <v>10800</v>
      </c>
      <c r="G7" s="124"/>
      <c r="H7" s="53">
        <f t="shared" si="0"/>
        <v>24</v>
      </c>
      <c r="I7" s="54">
        <f t="shared" si="1"/>
        <v>24</v>
      </c>
      <c r="J7" s="55">
        <f t="shared" si="2"/>
        <v>12</v>
      </c>
      <c r="K7" s="56">
        <v>24</v>
      </c>
      <c r="L7" s="56">
        <v>0</v>
      </c>
      <c r="M7" s="56">
        <v>0</v>
      </c>
      <c r="N7" s="56">
        <v>0</v>
      </c>
      <c r="O7" s="56">
        <v>0</v>
      </c>
      <c r="P7" s="56">
        <v>0</v>
      </c>
      <c r="Q7" s="56">
        <v>0</v>
      </c>
      <c r="R7" s="56">
        <v>0</v>
      </c>
      <c r="S7" s="56">
        <v>0</v>
      </c>
      <c r="T7" s="56">
        <v>0</v>
      </c>
      <c r="U7" s="57" t="str">
        <f>consumos!A80</f>
        <v>Bolsa plastica de 12*14 ( unidad)</v>
      </c>
      <c r="V7" s="58">
        <f>IF(consumos!D80&lt;0,(1),consumos!D80)</f>
        <v>0</v>
      </c>
      <c r="W7" s="59">
        <f t="shared" si="3"/>
        <v>0</v>
      </c>
      <c r="X7" s="60">
        <v>0</v>
      </c>
    </row>
    <row r="8" spans="1:24" ht="12.75" customHeight="1" x14ac:dyDescent="0.2">
      <c r="A8" s="48" t="str">
        <f>consumos!A38</f>
        <v>Cremallera Nylon #3(cm)</v>
      </c>
      <c r="B8" s="49">
        <f>consumos!D12</f>
        <v>0</v>
      </c>
      <c r="C8" s="50">
        <f>consumos!E12</f>
        <v>20</v>
      </c>
      <c r="D8" s="51">
        <f>consumos!E12*consumos!J5</f>
        <v>240</v>
      </c>
      <c r="E8" s="51">
        <f>MEDIDAS!C25</f>
        <v>0.13793103448275862</v>
      </c>
      <c r="F8" s="52">
        <f>consumos!H12</f>
        <v>816</v>
      </c>
      <c r="G8" s="124"/>
      <c r="H8" s="53">
        <f t="shared" si="0"/>
        <v>240</v>
      </c>
      <c r="I8" s="54">
        <f t="shared" si="1"/>
        <v>240</v>
      </c>
      <c r="J8" s="55">
        <f t="shared" si="2"/>
        <v>0</v>
      </c>
      <c r="K8" s="56">
        <v>240</v>
      </c>
      <c r="L8" s="56">
        <v>0</v>
      </c>
      <c r="M8" s="56">
        <v>0</v>
      </c>
      <c r="N8" s="56">
        <v>0</v>
      </c>
      <c r="O8" s="56">
        <v>0</v>
      </c>
      <c r="P8" s="56">
        <v>0</v>
      </c>
      <c r="Q8" s="56">
        <v>0</v>
      </c>
      <c r="R8" s="56">
        <v>0</v>
      </c>
      <c r="S8" s="56">
        <v>0</v>
      </c>
      <c r="T8" s="56">
        <v>0</v>
      </c>
      <c r="U8" s="57" t="str">
        <f>consumos!A81</f>
        <v>Bolsa Plastica de 15*22 ( unidad)</v>
      </c>
      <c r="V8" s="58">
        <f>IF(consumos!D81&lt;0,(1),consumos!D81)</f>
        <v>0</v>
      </c>
      <c r="W8" s="59">
        <f t="shared" si="3"/>
        <v>0</v>
      </c>
      <c r="X8" s="60">
        <v>0</v>
      </c>
    </row>
    <row r="9" spans="1:24" ht="12.75" customHeight="1" x14ac:dyDescent="0.2">
      <c r="A9" s="48" t="str">
        <f>consumos!A39</f>
        <v xml:space="preserve">llaves #3 Nq Sencillas </v>
      </c>
      <c r="B9" s="49">
        <f>consumos!D13</f>
        <v>0</v>
      </c>
      <c r="C9" s="50">
        <f>consumos!E13</f>
        <v>1</v>
      </c>
      <c r="D9" s="51">
        <f>consumos!E13*consumos!J5</f>
        <v>12</v>
      </c>
      <c r="E9" s="51">
        <f>MEDIDAS!C26</f>
        <v>6.8965517241379309E-3</v>
      </c>
      <c r="F9" s="52">
        <f>consumos!H13</f>
        <v>1200</v>
      </c>
      <c r="G9" s="124"/>
      <c r="H9" s="53">
        <f t="shared" si="0"/>
        <v>12</v>
      </c>
      <c r="I9" s="54">
        <f t="shared" si="1"/>
        <v>12</v>
      </c>
      <c r="J9" s="55">
        <f t="shared" si="2"/>
        <v>0</v>
      </c>
      <c r="K9" s="56">
        <v>12</v>
      </c>
      <c r="L9" s="56">
        <v>0</v>
      </c>
      <c r="M9" s="56">
        <v>0</v>
      </c>
      <c r="N9" s="56">
        <v>0</v>
      </c>
      <c r="O9" s="56">
        <v>0</v>
      </c>
      <c r="P9" s="56">
        <v>0</v>
      </c>
      <c r="Q9" s="56">
        <v>0</v>
      </c>
      <c r="R9" s="56">
        <v>0</v>
      </c>
      <c r="S9" s="56">
        <v>0</v>
      </c>
      <c r="T9" s="56">
        <v>0</v>
      </c>
      <c r="U9" s="57" t="str">
        <f>consumos!A82</f>
        <v>Cambre de 100gr   (cm²)</v>
      </c>
      <c r="V9" s="58">
        <f>IF(consumos!D82&lt;0,(1),consumos!D82)</f>
        <v>56000</v>
      </c>
      <c r="W9" s="59">
        <f t="shared" si="3"/>
        <v>56000</v>
      </c>
      <c r="X9" s="60"/>
    </row>
    <row r="10" spans="1:24" ht="12.75" customHeight="1" x14ac:dyDescent="0.2">
      <c r="A10" s="48" t="str">
        <f>consumos!A40</f>
        <v>Lambrilla de 3mm  (cm²)</v>
      </c>
      <c r="B10" s="49">
        <f>consumos!D14</f>
        <v>0</v>
      </c>
      <c r="C10" s="50">
        <f>consumos!E14</f>
        <v>7000</v>
      </c>
      <c r="D10" s="51">
        <f>consumos!E14*consumos!J5</f>
        <v>84000</v>
      </c>
      <c r="E10" s="51">
        <f>MEDIDAS!C27</f>
        <v>48.275862068965516</v>
      </c>
      <c r="F10" s="52">
        <f>consumos!H14</f>
        <v>21000</v>
      </c>
      <c r="G10" s="124"/>
      <c r="H10" s="53">
        <f t="shared" si="0"/>
        <v>28000</v>
      </c>
      <c r="I10" s="54">
        <f t="shared" si="1"/>
        <v>28000</v>
      </c>
      <c r="J10" s="55">
        <f t="shared" si="2"/>
        <v>56000</v>
      </c>
      <c r="K10" s="56">
        <v>28000</v>
      </c>
      <c r="L10" s="56">
        <v>0</v>
      </c>
      <c r="M10" s="56">
        <v>0</v>
      </c>
      <c r="N10" s="56">
        <v>0</v>
      </c>
      <c r="O10" s="56">
        <v>0</v>
      </c>
      <c r="P10" s="56">
        <v>0</v>
      </c>
      <c r="Q10" s="56">
        <v>0</v>
      </c>
      <c r="R10" s="56">
        <v>0</v>
      </c>
      <c r="S10" s="56">
        <v>0</v>
      </c>
      <c r="T10" s="56">
        <v>0</v>
      </c>
      <c r="U10" s="57" t="str">
        <f>consumos!A83</f>
        <v>Carton Corrugado (pliego)</v>
      </c>
      <c r="V10" s="58">
        <f>IF(consumos!D83&lt;0,(1),consumos!D83)</f>
        <v>0</v>
      </c>
      <c r="W10" s="59">
        <f t="shared" si="3"/>
        <v>0</v>
      </c>
      <c r="X10" s="60">
        <v>0</v>
      </c>
    </row>
    <row r="11" spans="1:24" ht="12.75" customHeight="1" x14ac:dyDescent="0.2">
      <c r="A11" s="48" t="str">
        <f>consumos!A41</f>
        <v>Plantitex  (cm²)</v>
      </c>
      <c r="B11" s="49">
        <f>consumos!D15</f>
        <v>0</v>
      </c>
      <c r="C11" s="50">
        <f>consumos!E15</f>
        <v>1200</v>
      </c>
      <c r="D11" s="51">
        <f>consumos!E15*consumos!J5</f>
        <v>14400</v>
      </c>
      <c r="E11" s="51">
        <f>MEDIDAS!C28</f>
        <v>8.2758620689655178</v>
      </c>
      <c r="F11" s="52">
        <f>consumos!H15</f>
        <v>6048</v>
      </c>
      <c r="G11" s="124"/>
      <c r="H11" s="53">
        <f t="shared" si="0"/>
        <v>0</v>
      </c>
      <c r="I11" s="54">
        <f t="shared" si="1"/>
        <v>0</v>
      </c>
      <c r="J11" s="55">
        <f t="shared" si="2"/>
        <v>14400</v>
      </c>
      <c r="K11" s="56">
        <v>0</v>
      </c>
      <c r="L11" s="56">
        <v>0</v>
      </c>
      <c r="M11" s="56">
        <v>0</v>
      </c>
      <c r="N11" s="56">
        <v>0</v>
      </c>
      <c r="O11" s="56">
        <v>0</v>
      </c>
      <c r="P11" s="56">
        <v>0</v>
      </c>
      <c r="Q11" s="56">
        <v>0</v>
      </c>
      <c r="R11" s="56">
        <v>0</v>
      </c>
      <c r="S11" s="56">
        <v>0</v>
      </c>
      <c r="T11" s="56">
        <v>0</v>
      </c>
      <c r="U11" s="57" t="str">
        <f>consumos!A84</f>
        <v>Carton duplex  (pliego)</v>
      </c>
      <c r="V11" s="58">
        <f>IF(consumos!D84&lt;0,(1),consumos!D84)</f>
        <v>0</v>
      </c>
      <c r="W11" s="59">
        <f t="shared" si="3"/>
        <v>0</v>
      </c>
      <c r="X11" s="60">
        <v>0</v>
      </c>
    </row>
    <row r="12" spans="1:24" ht="12.75" customHeight="1" x14ac:dyDescent="0.2">
      <c r="A12" s="48" t="str">
        <f>consumos!A42</f>
        <v xml:space="preserve">hebilla  1" niquel </v>
      </c>
      <c r="B12" s="49">
        <f>consumos!D16</f>
        <v>0</v>
      </c>
      <c r="C12" s="50">
        <f>consumos!E16</f>
        <v>2</v>
      </c>
      <c r="D12" s="51">
        <f>consumos!E16*consumos!J5</f>
        <v>24</v>
      </c>
      <c r="E12" s="51">
        <f>MEDIDAS!C29</f>
        <v>1.3793103448275862E-2</v>
      </c>
      <c r="F12" s="52">
        <f>consumos!H16</f>
        <v>22272</v>
      </c>
      <c r="G12" s="124"/>
      <c r="H12" s="53">
        <f t="shared" si="0"/>
        <v>14</v>
      </c>
      <c r="I12" s="54">
        <f t="shared" si="1"/>
        <v>14</v>
      </c>
      <c r="J12" s="55">
        <f t="shared" si="2"/>
        <v>10</v>
      </c>
      <c r="K12" s="56">
        <v>14</v>
      </c>
      <c r="L12" s="56">
        <v>0</v>
      </c>
      <c r="M12" s="56">
        <v>0</v>
      </c>
      <c r="N12" s="56">
        <v>0</v>
      </c>
      <c r="O12" s="56">
        <v>0</v>
      </c>
      <c r="P12" s="56">
        <v>0</v>
      </c>
      <c r="Q12" s="56">
        <v>0</v>
      </c>
      <c r="R12" s="56">
        <v>0</v>
      </c>
      <c r="S12" s="56">
        <v>0</v>
      </c>
      <c r="T12" s="56">
        <v>0</v>
      </c>
      <c r="U12" s="57" t="str">
        <f>consumos!A85</f>
        <v>Carton Paja (pliego)</v>
      </c>
      <c r="V12" s="58">
        <f>IF(consumos!D85&lt;0,(1),consumos!D85)</f>
        <v>0</v>
      </c>
      <c r="W12" s="59">
        <f t="shared" si="3"/>
        <v>0</v>
      </c>
      <c r="X12" s="60">
        <v>0</v>
      </c>
    </row>
    <row r="13" spans="1:24" ht="12.75" customHeight="1" x14ac:dyDescent="0.2">
      <c r="A13" s="48" t="str">
        <f>consumos!A43</f>
        <v>Lona Sintetica Colores  (cm²)</v>
      </c>
      <c r="B13" s="49">
        <f>consumos!D17</f>
        <v>0</v>
      </c>
      <c r="C13" s="50">
        <f>consumos!E17</f>
        <v>7000</v>
      </c>
      <c r="D13" s="51">
        <f>consumos!E17*consumos!J5</f>
        <v>84000</v>
      </c>
      <c r="E13" s="51">
        <f>MEDIDAS!C30</f>
        <v>48.275862068965516</v>
      </c>
      <c r="F13" s="52">
        <f>consumos!H17</f>
        <v>55440</v>
      </c>
      <c r="G13" s="124"/>
      <c r="H13" s="53">
        <f t="shared" si="0"/>
        <v>84000</v>
      </c>
      <c r="I13" s="54">
        <f t="shared" si="1"/>
        <v>84000</v>
      </c>
      <c r="J13" s="55">
        <f t="shared" si="2"/>
        <v>0</v>
      </c>
      <c r="K13" s="56">
        <v>84000</v>
      </c>
      <c r="L13" s="56">
        <v>0</v>
      </c>
      <c r="M13" s="56">
        <v>0</v>
      </c>
      <c r="N13" s="56">
        <v>0</v>
      </c>
      <c r="O13" s="56">
        <v>0</v>
      </c>
      <c r="P13" s="56">
        <v>0</v>
      </c>
      <c r="Q13" s="56">
        <v>0</v>
      </c>
      <c r="R13" s="56">
        <v>0</v>
      </c>
      <c r="S13" s="56">
        <v>0</v>
      </c>
      <c r="T13" s="56">
        <v>0</v>
      </c>
      <c r="U13" s="57" t="str">
        <f>consumos!A86</f>
        <v>Cartulina  (pliego)</v>
      </c>
      <c r="V13" s="58">
        <f>IF(consumos!D86&lt;0,(1),consumos!D86)</f>
        <v>10</v>
      </c>
      <c r="W13" s="59">
        <f t="shared" si="3"/>
        <v>10</v>
      </c>
      <c r="X13" s="60">
        <v>0</v>
      </c>
    </row>
    <row r="14" spans="1:24" ht="12.75" customHeight="1" x14ac:dyDescent="0.2">
      <c r="A14" s="48" t="str">
        <f>consumos!A44</f>
        <v>Cinta Falla de 20mm  (Cm)</v>
      </c>
      <c r="B14" s="49">
        <f>consumos!D18</f>
        <v>0</v>
      </c>
      <c r="C14" s="50">
        <f>consumos!E18</f>
        <v>200</v>
      </c>
      <c r="D14" s="51">
        <f>consumos!E18*consumos!J5</f>
        <v>2400</v>
      </c>
      <c r="E14" s="51">
        <f>MEDIDAS!C31</f>
        <v>1.3793103448275863</v>
      </c>
      <c r="F14" s="52">
        <f>consumos!H18</f>
        <v>480.00000000000006</v>
      </c>
      <c r="G14" s="124"/>
      <c r="H14" s="53">
        <f t="shared" si="0"/>
        <v>0</v>
      </c>
      <c r="I14" s="54">
        <f t="shared" si="1"/>
        <v>0</v>
      </c>
      <c r="J14" s="55">
        <f t="shared" si="2"/>
        <v>2400</v>
      </c>
      <c r="K14" s="56"/>
      <c r="L14" s="56">
        <v>0</v>
      </c>
      <c r="M14" s="56">
        <v>0</v>
      </c>
      <c r="N14" s="56">
        <v>0</v>
      </c>
      <c r="O14" s="56">
        <v>0</v>
      </c>
      <c r="P14" s="56">
        <v>0</v>
      </c>
      <c r="Q14" s="56">
        <v>0</v>
      </c>
      <c r="R14" s="56">
        <v>0</v>
      </c>
      <c r="S14" s="56">
        <v>0</v>
      </c>
      <c r="T14" s="56">
        <v>0</v>
      </c>
      <c r="U14" s="57" t="str">
        <f>consumos!A87</f>
        <v>Cinta de Enmascarar de 2"  (unidad)</v>
      </c>
      <c r="V14" s="58">
        <f>IF(consumos!D87&lt;0,(1),consumos!D87)</f>
        <v>0</v>
      </c>
      <c r="W14" s="59">
        <f t="shared" si="3"/>
        <v>0</v>
      </c>
      <c r="X14" s="60"/>
    </row>
    <row r="15" spans="1:24" ht="12.75" customHeight="1" x14ac:dyDescent="0.2">
      <c r="A15" s="48">
        <f>consumos!A45</f>
        <v>0</v>
      </c>
      <c r="B15" s="49">
        <f>consumos!D19</f>
        <v>0</v>
      </c>
      <c r="C15" s="50">
        <f>consumos!E19</f>
        <v>0</v>
      </c>
      <c r="D15" s="51">
        <f>consumos!E19*consumos!J5</f>
        <v>0</v>
      </c>
      <c r="E15" s="51">
        <f>MEDIDAS!C32</f>
        <v>0</v>
      </c>
      <c r="F15" s="52">
        <f>consumos!H19</f>
        <v>0</v>
      </c>
      <c r="G15" s="124"/>
      <c r="H15" s="53">
        <f t="shared" si="0"/>
        <v>0</v>
      </c>
      <c r="I15" s="54">
        <f t="shared" si="1"/>
        <v>0</v>
      </c>
      <c r="J15" s="55">
        <f t="shared" si="2"/>
        <v>0</v>
      </c>
      <c r="K15" s="56"/>
      <c r="L15" s="56">
        <v>0</v>
      </c>
      <c r="M15" s="56">
        <v>0</v>
      </c>
      <c r="N15" s="56">
        <v>0</v>
      </c>
      <c r="O15" s="56">
        <v>0</v>
      </c>
      <c r="P15" s="56">
        <v>0</v>
      </c>
      <c r="Q15" s="56">
        <v>0</v>
      </c>
      <c r="R15" s="56">
        <v>0</v>
      </c>
      <c r="S15" s="56">
        <v>0</v>
      </c>
      <c r="T15" s="56">
        <v>0</v>
      </c>
      <c r="U15" s="57" t="str">
        <f>consumos!A88</f>
        <v>Cinta de trasparente (unidad)</v>
      </c>
      <c r="V15" s="58">
        <f>IF(consumos!D88&lt;0,(1),consumos!D88)</f>
        <v>0</v>
      </c>
      <c r="W15" s="59">
        <f t="shared" si="3"/>
        <v>0</v>
      </c>
      <c r="X15" s="60">
        <v>0</v>
      </c>
    </row>
    <row r="16" spans="1:24" ht="12.75" customHeight="1" x14ac:dyDescent="0.2">
      <c r="A16" s="48">
        <f>consumos!A46</f>
        <v>0</v>
      </c>
      <c r="B16" s="49">
        <f>consumos!D20</f>
        <v>0</v>
      </c>
      <c r="C16" s="50">
        <f>consumos!E20</f>
        <v>0</v>
      </c>
      <c r="D16" s="51">
        <f>consumos!E20*consumos!J5</f>
        <v>0</v>
      </c>
      <c r="E16" s="51">
        <f>MEDIDAS!C33</f>
        <v>0</v>
      </c>
      <c r="F16" s="52">
        <f>consumos!H20</f>
        <v>0</v>
      </c>
      <c r="G16" s="124"/>
      <c r="H16" s="53">
        <f t="shared" si="0"/>
        <v>0</v>
      </c>
      <c r="I16" s="54">
        <f t="shared" si="1"/>
        <v>0</v>
      </c>
      <c r="J16" s="55">
        <f t="shared" si="2"/>
        <v>0</v>
      </c>
      <c r="K16" s="56">
        <v>0</v>
      </c>
      <c r="L16" s="56">
        <v>0</v>
      </c>
      <c r="M16" s="56">
        <v>0</v>
      </c>
      <c r="N16" s="56">
        <v>0</v>
      </c>
      <c r="O16" s="56">
        <v>0</v>
      </c>
      <c r="P16" s="56">
        <v>0</v>
      </c>
      <c r="Q16" s="56">
        <v>0</v>
      </c>
      <c r="R16" s="56">
        <v>0</v>
      </c>
      <c r="S16" s="56">
        <v>0</v>
      </c>
      <c r="T16" s="56">
        <v>0</v>
      </c>
      <c r="U16" s="57" t="str">
        <f>consumos!A89</f>
        <v>Ecohalogenante para suelas</v>
      </c>
      <c r="V16" s="58">
        <f>IF(consumos!D89&lt;0,(1),consumos!D89)</f>
        <v>0</v>
      </c>
      <c r="W16" s="59">
        <f t="shared" si="3"/>
        <v>0</v>
      </c>
      <c r="X16" s="60">
        <v>0</v>
      </c>
    </row>
    <row r="17" spans="1:44" ht="12.75" customHeight="1" x14ac:dyDescent="0.2">
      <c r="A17" s="48">
        <f>consumos!A47</f>
        <v>0</v>
      </c>
      <c r="B17" s="49">
        <f>consumos!D21</f>
        <v>0</v>
      </c>
      <c r="C17" s="50">
        <f>consumos!E21</f>
        <v>0</v>
      </c>
      <c r="D17" s="51">
        <f>consumos!E21*consumos!J5</f>
        <v>0</v>
      </c>
      <c r="E17" s="51">
        <f>MEDIDAS!C34</f>
        <v>0</v>
      </c>
      <c r="F17" s="52">
        <f>consumos!H21</f>
        <v>0</v>
      </c>
      <c r="G17" s="124"/>
      <c r="H17" s="53">
        <f t="shared" si="0"/>
        <v>0</v>
      </c>
      <c r="I17" s="54">
        <f t="shared" si="1"/>
        <v>0</v>
      </c>
      <c r="J17" s="55">
        <f t="shared" si="2"/>
        <v>0</v>
      </c>
      <c r="K17" s="56">
        <v>0</v>
      </c>
      <c r="L17" s="56">
        <v>0</v>
      </c>
      <c r="M17" s="56">
        <v>0</v>
      </c>
      <c r="N17" s="56">
        <v>0</v>
      </c>
      <c r="O17" s="56">
        <v>0</v>
      </c>
      <c r="P17" s="56">
        <v>0</v>
      </c>
      <c r="Q17" s="56">
        <v>0</v>
      </c>
      <c r="R17" s="56">
        <v>0</v>
      </c>
      <c r="S17" s="56">
        <v>0</v>
      </c>
      <c r="T17" s="56">
        <v>0</v>
      </c>
      <c r="U17" s="57" t="str">
        <f>consumos!A90</f>
        <v>Ecolimpiador para suelas</v>
      </c>
      <c r="V17" s="58">
        <f>IF(consumos!D90&lt;0,(1),consumos!D90)</f>
        <v>0</v>
      </c>
      <c r="W17" s="59">
        <f t="shared" si="3"/>
        <v>0</v>
      </c>
      <c r="X17" s="60">
        <v>0</v>
      </c>
    </row>
    <row r="18" spans="1:44" ht="12.75" customHeight="1" x14ac:dyDescent="0.2">
      <c r="A18" s="48">
        <f>consumos!A48</f>
        <v>0</v>
      </c>
      <c r="B18" s="49">
        <f>consumos!D22</f>
        <v>0</v>
      </c>
      <c r="C18" s="50">
        <f>consumos!E22</f>
        <v>0</v>
      </c>
      <c r="D18" s="51">
        <f>consumos!E22*consumos!J5</f>
        <v>0</v>
      </c>
      <c r="E18" s="51">
        <f>MEDIDAS!C35</f>
        <v>0</v>
      </c>
      <c r="F18" s="52">
        <f>consumos!H22</f>
        <v>0</v>
      </c>
      <c r="G18" s="124"/>
      <c r="H18" s="53">
        <f t="shared" si="0"/>
        <v>0</v>
      </c>
      <c r="I18" s="54">
        <f t="shared" si="1"/>
        <v>0</v>
      </c>
      <c r="J18" s="55">
        <f t="shared" si="2"/>
        <v>0</v>
      </c>
      <c r="K18" s="56">
        <v>0</v>
      </c>
      <c r="L18" s="56">
        <v>0</v>
      </c>
      <c r="M18" s="56">
        <v>0</v>
      </c>
      <c r="N18" s="56">
        <v>0</v>
      </c>
      <c r="O18" s="56">
        <v>0</v>
      </c>
      <c r="P18" s="56">
        <v>0</v>
      </c>
      <c r="Q18" s="56">
        <v>0</v>
      </c>
      <c r="R18" s="56">
        <v>0</v>
      </c>
      <c r="S18" s="56">
        <v>0</v>
      </c>
      <c r="T18" s="56">
        <v>0</v>
      </c>
      <c r="U18" s="57" t="str">
        <f>consumos!A91</f>
        <v>Halogenante LH rapido ( galòn 3600 cm 3)</v>
      </c>
      <c r="V18" s="58">
        <f>IF(consumos!D91&lt;0,(1),consumos!D91)</f>
        <v>0</v>
      </c>
      <c r="W18" s="59">
        <f t="shared" si="3"/>
        <v>0</v>
      </c>
      <c r="X18" s="60">
        <v>0</v>
      </c>
    </row>
    <row r="19" spans="1:44" ht="12.75" customHeight="1" x14ac:dyDescent="0.2">
      <c r="A19" s="48">
        <f>consumos!A49</f>
        <v>0</v>
      </c>
      <c r="B19" s="49">
        <f>consumos!D23</f>
        <v>0</v>
      </c>
      <c r="C19" s="50">
        <f>consumos!E23</f>
        <v>0</v>
      </c>
      <c r="D19" s="51">
        <f>consumos!E23*consumos!J5</f>
        <v>0</v>
      </c>
      <c r="E19" s="51">
        <f>MEDIDAS!C36</f>
        <v>0</v>
      </c>
      <c r="F19" s="52">
        <f>consumos!H23</f>
        <v>0</v>
      </c>
      <c r="G19" s="124"/>
      <c r="H19" s="53">
        <f t="shared" si="0"/>
        <v>0</v>
      </c>
      <c r="I19" s="54">
        <f t="shared" si="1"/>
        <v>0</v>
      </c>
      <c r="J19" s="55">
        <f t="shared" si="2"/>
        <v>0</v>
      </c>
      <c r="K19" s="56">
        <v>0</v>
      </c>
      <c r="L19" s="56">
        <v>0</v>
      </c>
      <c r="M19" s="56">
        <v>0</v>
      </c>
      <c r="N19" s="56">
        <v>0</v>
      </c>
      <c r="O19" s="56">
        <v>0</v>
      </c>
      <c r="P19" s="56">
        <v>0</v>
      </c>
      <c r="Q19" s="56">
        <v>0</v>
      </c>
      <c r="R19" s="56">
        <v>0</v>
      </c>
      <c r="S19" s="56">
        <v>0</v>
      </c>
      <c r="T19" s="56">
        <v>0</v>
      </c>
      <c r="U19" s="57" t="str">
        <f>consumos!A92</f>
        <v>Halogenante rapido 0817</v>
      </c>
      <c r="V19" s="58">
        <f>IF(consumos!D92&lt;0,(1),consumos!D92)</f>
        <v>0</v>
      </c>
      <c r="W19" s="59">
        <f t="shared" si="3"/>
        <v>0</v>
      </c>
      <c r="X19" s="60">
        <v>0</v>
      </c>
    </row>
    <row r="20" spans="1:44" ht="12.75" customHeight="1" x14ac:dyDescent="0.2">
      <c r="A20" s="48">
        <f>consumos!A50</f>
        <v>0</v>
      </c>
      <c r="B20" s="49">
        <f>consumos!D24</f>
        <v>0</v>
      </c>
      <c r="C20" s="50">
        <f>consumos!E24</f>
        <v>0</v>
      </c>
      <c r="D20" s="51">
        <f>consumos!E24*consumos!J5</f>
        <v>0</v>
      </c>
      <c r="E20" s="51">
        <f>MEDIDAS!C37</f>
        <v>0</v>
      </c>
      <c r="F20" s="52">
        <f>consumos!H24</f>
        <v>0</v>
      </c>
      <c r="G20" s="124"/>
      <c r="H20" s="53">
        <f t="shared" si="0"/>
        <v>0</v>
      </c>
      <c r="I20" s="54">
        <f t="shared" si="1"/>
        <v>0</v>
      </c>
      <c r="J20" s="55">
        <f t="shared" si="2"/>
        <v>0</v>
      </c>
      <c r="K20" s="56">
        <v>0</v>
      </c>
      <c r="L20" s="56">
        <v>0</v>
      </c>
      <c r="M20" s="56">
        <v>0</v>
      </c>
      <c r="N20" s="56">
        <v>0</v>
      </c>
      <c r="O20" s="56">
        <v>0</v>
      </c>
      <c r="P20" s="56">
        <v>0</v>
      </c>
      <c r="Q20" s="56">
        <v>0</v>
      </c>
      <c r="R20" s="56">
        <v>0</v>
      </c>
      <c r="S20" s="56">
        <v>0</v>
      </c>
      <c r="T20" s="56">
        <v>0</v>
      </c>
      <c r="U20" s="57" t="str">
        <f>consumos!A93</f>
        <v>Hilo Colores surtidos# 20 (cono 250 mt)</v>
      </c>
      <c r="V20" s="58">
        <f>IF(consumos!D93&lt;0,(1),consumos!D93)</f>
        <v>0</v>
      </c>
      <c r="W20" s="59">
        <f t="shared" si="3"/>
        <v>0</v>
      </c>
      <c r="X20" s="60">
        <v>0</v>
      </c>
    </row>
    <row r="21" spans="1:44" ht="12.75" customHeight="1" x14ac:dyDescent="0.2">
      <c r="A21" s="48">
        <f>consumos!A51</f>
        <v>0</v>
      </c>
      <c r="B21" s="49">
        <f>consumos!D25</f>
        <v>0</v>
      </c>
      <c r="C21" s="50">
        <f>consumos!E25</f>
        <v>0</v>
      </c>
      <c r="D21" s="51">
        <f>consumos!E25*consumos!J5</f>
        <v>0</v>
      </c>
      <c r="E21" s="51">
        <f>MEDIDAS!C38</f>
        <v>0</v>
      </c>
      <c r="F21" s="52">
        <f>consumos!H25</f>
        <v>0</v>
      </c>
      <c r="G21" s="124"/>
      <c r="H21" s="53">
        <f t="shared" si="0"/>
        <v>0</v>
      </c>
      <c r="I21" s="54">
        <f t="shared" si="1"/>
        <v>0</v>
      </c>
      <c r="J21" s="55">
        <f t="shared" si="2"/>
        <v>0</v>
      </c>
      <c r="K21" s="56">
        <v>0</v>
      </c>
      <c r="L21" s="56">
        <v>0</v>
      </c>
      <c r="M21" s="56">
        <v>0</v>
      </c>
      <c r="N21" s="56">
        <v>0</v>
      </c>
      <c r="O21" s="56">
        <v>0</v>
      </c>
      <c r="P21" s="56">
        <v>0</v>
      </c>
      <c r="Q21" s="56">
        <v>0</v>
      </c>
      <c r="R21" s="56">
        <v>0</v>
      </c>
      <c r="S21" s="56">
        <v>0</v>
      </c>
      <c r="T21" s="56">
        <v>0</v>
      </c>
      <c r="U21" s="57" t="str">
        <f>consumos!A94</f>
        <v>Hilo Colores surtidos# 40 (cono 1000 mt)</v>
      </c>
      <c r="V21" s="58">
        <f>IF(consumos!D94&lt;0,(1),consumos!D94)</f>
        <v>0</v>
      </c>
      <c r="W21" s="59">
        <f t="shared" si="3"/>
        <v>0</v>
      </c>
      <c r="X21" s="60">
        <v>0</v>
      </c>
    </row>
    <row r="22" spans="1:44" ht="12.75" customHeight="1" x14ac:dyDescent="0.2">
      <c r="A22" s="48">
        <f>consumos!A52</f>
        <v>0</v>
      </c>
      <c r="B22" s="49">
        <f>consumos!D26</f>
        <v>0</v>
      </c>
      <c r="C22" s="50">
        <f>consumos!E26</f>
        <v>0</v>
      </c>
      <c r="D22" s="51">
        <f>consumos!E26*consumos!J5</f>
        <v>0</v>
      </c>
      <c r="E22" s="51">
        <f>MEDIDAS!C39</f>
        <v>0</v>
      </c>
      <c r="F22" s="52">
        <f>consumos!H26</f>
        <v>0</v>
      </c>
      <c r="G22" s="124"/>
      <c r="H22" s="53">
        <f t="shared" si="0"/>
        <v>0</v>
      </c>
      <c r="I22" s="54">
        <f t="shared" si="1"/>
        <v>0</v>
      </c>
      <c r="J22" s="55">
        <f t="shared" si="2"/>
        <v>0</v>
      </c>
      <c r="K22" s="56">
        <v>0</v>
      </c>
      <c r="L22" s="56">
        <v>0</v>
      </c>
      <c r="M22" s="56">
        <v>0</v>
      </c>
      <c r="N22" s="56">
        <v>0</v>
      </c>
      <c r="O22" s="56">
        <v>0</v>
      </c>
      <c r="P22" s="56">
        <v>0</v>
      </c>
      <c r="Q22" s="56">
        <v>0</v>
      </c>
      <c r="R22" s="56">
        <v>0</v>
      </c>
      <c r="S22" s="56">
        <v>0</v>
      </c>
      <c r="T22" s="56">
        <v>0</v>
      </c>
      <c r="U22" s="57" t="str">
        <f>consumos!A95</f>
        <v>Hilo Colores surtidos# 60 (cono 1500 mt)</v>
      </c>
      <c r="V22" s="58">
        <f>IF(consumos!D95&lt;0,(1),consumos!D95)</f>
        <v>0</v>
      </c>
      <c r="W22" s="59">
        <f t="shared" si="3"/>
        <v>0</v>
      </c>
      <c r="X22" s="60"/>
    </row>
    <row r="23" spans="1:44" ht="12.75" customHeight="1" x14ac:dyDescent="0.2">
      <c r="A23" s="48">
        <f>consumos!A53</f>
        <v>0</v>
      </c>
      <c r="B23" s="49">
        <f>consumos!D27</f>
        <v>0</v>
      </c>
      <c r="C23" s="50">
        <f>consumos!E27</f>
        <v>0</v>
      </c>
      <c r="D23" s="51">
        <f>consumos!E27*consumos!J5</f>
        <v>0</v>
      </c>
      <c r="E23" s="51">
        <f>MEDIDAS!C40</f>
        <v>0</v>
      </c>
      <c r="F23" s="52">
        <f>consumos!H27</f>
        <v>0</v>
      </c>
      <c r="G23" s="124"/>
      <c r="H23" s="53">
        <f t="shared" si="0"/>
        <v>0</v>
      </c>
      <c r="I23" s="54">
        <f t="shared" si="1"/>
        <v>0</v>
      </c>
      <c r="J23" s="55">
        <f t="shared" si="2"/>
        <v>0</v>
      </c>
      <c r="K23" s="56">
        <v>0</v>
      </c>
      <c r="L23" s="56">
        <v>0</v>
      </c>
      <c r="M23" s="56">
        <v>0</v>
      </c>
      <c r="N23" s="56">
        <v>0</v>
      </c>
      <c r="O23" s="56">
        <v>0</v>
      </c>
      <c r="P23" s="56">
        <v>0</v>
      </c>
      <c r="Q23" s="56">
        <v>0</v>
      </c>
      <c r="R23" s="56">
        <v>0</v>
      </c>
      <c r="S23" s="56">
        <v>0</v>
      </c>
      <c r="T23" s="56">
        <v>0</v>
      </c>
      <c r="U23" s="57" t="str">
        <f>consumos!A96</f>
        <v>Hilo Encerado cono 100 gr  (metro)</v>
      </c>
      <c r="V23" s="58">
        <f>IF(consumos!D96&lt;0,(1),consumos!D96)</f>
        <v>0</v>
      </c>
      <c r="W23" s="59">
        <f t="shared" si="3"/>
        <v>0</v>
      </c>
      <c r="X23" s="60">
        <v>0</v>
      </c>
    </row>
    <row r="24" spans="1:44" ht="12.75" customHeight="1" x14ac:dyDescent="0.2">
      <c r="A24" s="48">
        <f>consumos!A54</f>
        <v>0</v>
      </c>
      <c r="B24" s="49">
        <f>consumos!D28</f>
        <v>0</v>
      </c>
      <c r="C24" s="50">
        <f>consumos!E28</f>
        <v>0</v>
      </c>
      <c r="D24" s="51">
        <f>consumos!E28*consumos!J5</f>
        <v>0</v>
      </c>
      <c r="E24" s="51">
        <f>MEDIDAS!C41</f>
        <v>0</v>
      </c>
      <c r="F24" s="52">
        <f>consumos!H28</f>
        <v>0</v>
      </c>
      <c r="G24" s="124"/>
      <c r="H24" s="53">
        <f t="shared" si="0"/>
        <v>0</v>
      </c>
      <c r="I24" s="54">
        <f t="shared" si="1"/>
        <v>0</v>
      </c>
      <c r="J24" s="55">
        <f t="shared" si="2"/>
        <v>0</v>
      </c>
      <c r="K24" s="56">
        <v>0</v>
      </c>
      <c r="L24" s="56">
        <v>0</v>
      </c>
      <c r="M24" s="56">
        <v>0</v>
      </c>
      <c r="N24" s="56">
        <v>0</v>
      </c>
      <c r="O24" s="56">
        <v>0</v>
      </c>
      <c r="P24" s="56">
        <v>0</v>
      </c>
      <c r="Q24" s="56">
        <v>0</v>
      </c>
      <c r="R24" s="56">
        <v>0</v>
      </c>
      <c r="S24" s="56">
        <v>0</v>
      </c>
      <c r="T24" s="56">
        <v>0</v>
      </c>
      <c r="U24" s="57" t="str">
        <f>consumos!A97</f>
        <v>Hilo Terlenka 2 cabos (cono 150mt)</v>
      </c>
      <c r="V24" s="58">
        <f>IF(consumos!D97&lt;0,(1),consumos!D97)</f>
        <v>0</v>
      </c>
      <c r="W24" s="59">
        <f t="shared" si="3"/>
        <v>0</v>
      </c>
      <c r="X24" s="60">
        <v>0</v>
      </c>
    </row>
    <row r="25" spans="1:44" ht="12.75" customHeight="1" x14ac:dyDescent="0.2">
      <c r="A25" s="48">
        <f>consumos!A55</f>
        <v>0</v>
      </c>
      <c r="B25" s="49">
        <f>consumos!D29</f>
        <v>0</v>
      </c>
      <c r="C25" s="50">
        <f>consumos!E29</f>
        <v>0</v>
      </c>
      <c r="D25" s="51">
        <f>consumos!E29*consumos!J5</f>
        <v>0</v>
      </c>
      <c r="E25" s="51">
        <f>MEDIDAS!C42</f>
        <v>0</v>
      </c>
      <c r="F25" s="52">
        <f>consumos!H29</f>
        <v>0</v>
      </c>
      <c r="G25" s="124"/>
      <c r="H25" s="53">
        <f t="shared" si="0"/>
        <v>0</v>
      </c>
      <c r="I25" s="54">
        <f t="shared" si="1"/>
        <v>0</v>
      </c>
      <c r="J25" s="55">
        <f t="shared" si="2"/>
        <v>0</v>
      </c>
      <c r="K25" s="56">
        <v>0</v>
      </c>
      <c r="L25" s="56">
        <v>0</v>
      </c>
      <c r="M25" s="56">
        <v>0</v>
      </c>
      <c r="N25" s="56">
        <v>0</v>
      </c>
      <c r="O25" s="56">
        <v>0</v>
      </c>
      <c r="P25" s="56">
        <v>0</v>
      </c>
      <c r="Q25" s="56">
        <v>0</v>
      </c>
      <c r="R25" s="56">
        <v>0</v>
      </c>
      <c r="S25" s="56">
        <v>0</v>
      </c>
      <c r="T25" s="56">
        <v>0</v>
      </c>
      <c r="U25" s="57" t="str">
        <f>consumos!A98</f>
        <v>Interlon  (cm²)</v>
      </c>
      <c r="V25" s="58">
        <f>IF(consumos!D98&lt;0,(1),consumos!D98)</f>
        <v>70000</v>
      </c>
      <c r="W25" s="59">
        <f t="shared" si="3"/>
        <v>-70000</v>
      </c>
      <c r="X25" s="60">
        <v>140000</v>
      </c>
    </row>
    <row r="26" spans="1:44" ht="12.75" customHeight="1" x14ac:dyDescent="0.2">
      <c r="A26" s="48">
        <f>consumos!A56</f>
        <v>0</v>
      </c>
      <c r="B26" s="49">
        <f>consumos!D30</f>
        <v>0</v>
      </c>
      <c r="C26" s="50">
        <f>consumos!E30</f>
        <v>0</v>
      </c>
      <c r="D26" s="51">
        <f>consumos!E30*consumos!J5</f>
        <v>0</v>
      </c>
      <c r="E26" s="51">
        <f>MEDIDAS!C43</f>
        <v>0</v>
      </c>
      <c r="F26" s="52">
        <f>consumos!H30</f>
        <v>0</v>
      </c>
      <c r="G26" s="124"/>
      <c r="H26" s="53">
        <f t="shared" si="0"/>
        <v>0</v>
      </c>
      <c r="I26" s="54">
        <f t="shared" si="1"/>
        <v>0</v>
      </c>
      <c r="J26" s="55">
        <f t="shared" si="2"/>
        <v>0</v>
      </c>
      <c r="K26" s="56">
        <v>0</v>
      </c>
      <c r="L26" s="56">
        <v>0</v>
      </c>
      <c r="M26" s="56">
        <v>0</v>
      </c>
      <c r="N26" s="56">
        <v>0</v>
      </c>
      <c r="O26" s="56">
        <v>0</v>
      </c>
      <c r="P26" s="56">
        <v>0</v>
      </c>
      <c r="Q26" s="56">
        <v>0</v>
      </c>
      <c r="R26" s="56">
        <v>0</v>
      </c>
      <c r="S26" s="56">
        <v>0</v>
      </c>
      <c r="T26" s="56">
        <v>0</v>
      </c>
      <c r="U26" s="57" t="str">
        <f>consumos!A99</f>
        <v>Lamina Zinc (unidad)</v>
      </c>
      <c r="V26" s="58">
        <f>IF(consumos!D99&lt;0,(1),consumos!D99)</f>
        <v>0</v>
      </c>
      <c r="W26" s="59">
        <f t="shared" si="3"/>
        <v>0</v>
      </c>
      <c r="X26" s="60">
        <v>0</v>
      </c>
    </row>
    <row r="27" spans="1:44" ht="12.75" customHeight="1" x14ac:dyDescent="0.2">
      <c r="A27" s="48">
        <f>consumos!A57</f>
        <v>0</v>
      </c>
      <c r="B27" s="49">
        <f>consumos!D31</f>
        <v>0</v>
      </c>
      <c r="C27" s="50">
        <f>consumos!E31</f>
        <v>0</v>
      </c>
      <c r="D27" s="51">
        <f>consumos!E31*consumos!J5</f>
        <v>0</v>
      </c>
      <c r="E27" s="51">
        <f>MEDIDAS!C44</f>
        <v>0</v>
      </c>
      <c r="F27" s="52">
        <f>consumos!H31</f>
        <v>0</v>
      </c>
      <c r="G27" s="124"/>
      <c r="H27" s="53">
        <f t="shared" si="0"/>
        <v>0</v>
      </c>
      <c r="I27" s="54">
        <f t="shared" si="1"/>
        <v>0</v>
      </c>
      <c r="J27" s="55">
        <f t="shared" si="2"/>
        <v>0</v>
      </c>
      <c r="K27" s="56">
        <v>0</v>
      </c>
      <c r="L27" s="56">
        <v>0</v>
      </c>
      <c r="M27" s="56">
        <v>0</v>
      </c>
      <c r="N27" s="56">
        <v>0</v>
      </c>
      <c r="O27" s="56">
        <v>0</v>
      </c>
      <c r="P27" s="56">
        <v>0</v>
      </c>
      <c r="Q27" s="56">
        <v>0</v>
      </c>
      <c r="R27" s="56">
        <v>0</v>
      </c>
      <c r="S27" s="56">
        <v>0</v>
      </c>
      <c r="T27" s="56">
        <v>0</v>
      </c>
      <c r="U27" s="57" t="str">
        <f>consumos!A100</f>
        <v>Lija de Agua#120 (unidad)</v>
      </c>
      <c r="V27" s="58">
        <f>IF(consumos!D100&lt;0,(1),consumos!D100)</f>
        <v>0</v>
      </c>
      <c r="W27" s="59">
        <f t="shared" si="3"/>
        <v>0</v>
      </c>
      <c r="X27" s="60"/>
    </row>
    <row r="28" spans="1:44" ht="12.75" customHeight="1" x14ac:dyDescent="0.2">
      <c r="A28" s="48">
        <f>consumos!A58</f>
        <v>0</v>
      </c>
      <c r="B28" s="49">
        <f>consumos!D32</f>
        <v>0</v>
      </c>
      <c r="C28" s="50">
        <f>consumos!E32</f>
        <v>0</v>
      </c>
      <c r="D28" s="51">
        <f>consumos!E32*consumos!J5</f>
        <v>0</v>
      </c>
      <c r="E28" s="51">
        <f>MEDIDAS!C45</f>
        <v>0</v>
      </c>
      <c r="F28" s="52">
        <f>consumos!H32</f>
        <v>0</v>
      </c>
      <c r="G28" s="124"/>
      <c r="H28" s="53">
        <f t="shared" si="0"/>
        <v>0</v>
      </c>
      <c r="I28" s="61">
        <f t="shared" si="1"/>
        <v>0</v>
      </c>
      <c r="J28" s="62">
        <f t="shared" si="2"/>
        <v>0</v>
      </c>
      <c r="K28" s="63">
        <v>0</v>
      </c>
      <c r="L28" s="63">
        <v>0</v>
      </c>
      <c r="M28" s="63">
        <v>0</v>
      </c>
      <c r="N28" s="63">
        <v>0</v>
      </c>
      <c r="O28" s="63">
        <v>0</v>
      </c>
      <c r="P28" s="63">
        <v>0</v>
      </c>
      <c r="Q28" s="63">
        <v>0</v>
      </c>
      <c r="R28" s="63">
        <v>0</v>
      </c>
      <c r="S28" s="63">
        <v>0</v>
      </c>
      <c r="T28" s="63">
        <v>0</v>
      </c>
      <c r="U28" s="57" t="str">
        <f>consumos!A101</f>
        <v>Lija de Agua#180 (unidad)</v>
      </c>
      <c r="V28" s="58">
        <f>IF(consumos!D101&lt;0,(1),consumos!D101)</f>
        <v>0</v>
      </c>
      <c r="W28" s="59">
        <f t="shared" si="3"/>
        <v>0</v>
      </c>
      <c r="X28" s="60">
        <v>0</v>
      </c>
    </row>
    <row r="29" spans="1:44" ht="17.25" customHeight="1" x14ac:dyDescent="0.25">
      <c r="A29" s="179" t="s">
        <v>99</v>
      </c>
      <c r="B29" s="180"/>
      <c r="C29" s="180"/>
      <c r="D29" s="181"/>
      <c r="E29" s="64"/>
      <c r="F29" s="65">
        <f>SUM(F4:F28)</f>
        <v>307800</v>
      </c>
      <c r="G29" s="66"/>
      <c r="H29" s="67"/>
      <c r="I29" s="68"/>
      <c r="J29" s="69"/>
      <c r="K29" s="182" t="str">
        <f>consumos!A62</f>
        <v>OBSERVACIONES</v>
      </c>
      <c r="L29" s="178"/>
      <c r="M29" s="178"/>
      <c r="N29" s="178"/>
      <c r="O29" s="178"/>
      <c r="P29" s="178"/>
      <c r="Q29" s="178"/>
      <c r="R29" s="178"/>
      <c r="S29" s="178"/>
      <c r="T29" s="158"/>
      <c r="U29" s="57" t="str">
        <f>consumos!A102</f>
        <v>Lija de Agua#240 (unidad)</v>
      </c>
      <c r="V29" s="58">
        <f>IF(consumos!D102&lt;0,(1),consumos!D102)</f>
        <v>0</v>
      </c>
      <c r="W29" s="59">
        <f t="shared" si="3"/>
        <v>0</v>
      </c>
      <c r="X29" s="60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  <c r="AO29" s="107"/>
      <c r="AP29" s="107"/>
      <c r="AQ29" s="107"/>
      <c r="AR29" s="107"/>
    </row>
    <row r="30" spans="1:44" ht="12.75" customHeight="1" x14ac:dyDescent="0.2">
      <c r="A30" s="179" t="s">
        <v>100</v>
      </c>
      <c r="B30" s="180"/>
      <c r="C30" s="180"/>
      <c r="D30" s="180"/>
      <c r="E30" s="125"/>
      <c r="F30" s="107"/>
      <c r="G30" s="107"/>
      <c r="H30" s="126"/>
      <c r="I30" s="127"/>
      <c r="J30" s="128"/>
      <c r="K30" s="154"/>
      <c r="L30" s="173"/>
      <c r="M30" s="173"/>
      <c r="N30" s="173"/>
      <c r="O30" s="173"/>
      <c r="P30" s="173"/>
      <c r="Q30" s="173"/>
      <c r="R30" s="173"/>
      <c r="S30" s="173"/>
      <c r="T30" s="155"/>
      <c r="U30" s="57" t="str">
        <f>consumos!A103</f>
        <v>Lija de Agua#400 (unidad)</v>
      </c>
      <c r="V30" s="58">
        <f>IF(consumos!D103&lt;0,(1),consumos!D103)</f>
        <v>0</v>
      </c>
      <c r="W30" s="59">
        <f t="shared" si="3"/>
        <v>0</v>
      </c>
      <c r="X30" s="60">
        <v>0</v>
      </c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  <c r="AO30" s="107"/>
      <c r="AP30" s="107"/>
      <c r="AQ30" s="107"/>
      <c r="AR30" s="107"/>
    </row>
    <row r="31" spans="1:44" ht="12.75" customHeight="1" x14ac:dyDescent="0.2">
      <c r="A31" s="107"/>
      <c r="B31" s="107"/>
      <c r="C31" s="107"/>
      <c r="D31" s="107"/>
      <c r="E31" s="107"/>
      <c r="F31" s="107"/>
      <c r="G31" s="107"/>
      <c r="H31" s="126"/>
      <c r="I31" s="127"/>
      <c r="J31" s="128"/>
      <c r="K31" s="176" t="str">
        <f>consumos!A63</f>
        <v>LIJA 400  8 UNIDADES</v>
      </c>
      <c r="L31" s="135"/>
      <c r="M31" s="135"/>
      <c r="N31" s="135"/>
      <c r="O31" s="135"/>
      <c r="P31" s="135"/>
      <c r="Q31" s="135"/>
      <c r="R31" s="135"/>
      <c r="S31" s="135"/>
      <c r="T31" s="136"/>
      <c r="U31" s="57" t="str">
        <f>consumos!A104</f>
        <v>Lija de Agua#600 (unidad)</v>
      </c>
      <c r="V31" s="58">
        <f>IF(consumos!D104&lt;0,(1),consumos!D104)</f>
        <v>0</v>
      </c>
      <c r="W31" s="59">
        <f t="shared" si="3"/>
        <v>0</v>
      </c>
      <c r="X31" s="60">
        <v>0</v>
      </c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  <c r="AO31" s="107"/>
      <c r="AP31" s="107"/>
      <c r="AQ31" s="107"/>
      <c r="AR31" s="107"/>
    </row>
    <row r="32" spans="1:44" ht="12.75" customHeight="1" x14ac:dyDescent="0.2">
      <c r="A32" s="107"/>
      <c r="B32" s="107"/>
      <c r="C32" s="107"/>
      <c r="D32" s="107"/>
      <c r="E32" s="107"/>
      <c r="F32" s="107"/>
      <c r="G32" s="107"/>
      <c r="H32" s="126"/>
      <c r="I32" s="127"/>
      <c r="J32" s="128"/>
      <c r="K32" s="176" t="str">
        <f>consumos!A64</f>
        <v>PEGAUCHO DE CONTAC TO AMARILLA</v>
      </c>
      <c r="L32" s="135"/>
      <c r="M32" s="135"/>
      <c r="N32" s="135"/>
      <c r="O32" s="135"/>
      <c r="P32" s="135"/>
      <c r="Q32" s="135"/>
      <c r="R32" s="135"/>
      <c r="S32" s="135"/>
      <c r="T32" s="136"/>
      <c r="U32" s="57" t="str">
        <f>consumos!A105</f>
        <v>Limpiador AT 20  ( galón 3600 cm 3)</v>
      </c>
      <c r="V32" s="58">
        <f>IF(consumos!D105&lt;0,(1),consumos!D105)</f>
        <v>0</v>
      </c>
      <c r="W32" s="59">
        <f t="shared" si="3"/>
        <v>0</v>
      </c>
      <c r="X32" s="60">
        <v>0</v>
      </c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7"/>
      <c r="AQ32" s="107"/>
      <c r="AR32" s="107"/>
    </row>
    <row r="33" spans="1:44" ht="12.75" customHeight="1" x14ac:dyDescent="0.2">
      <c r="A33" s="107"/>
      <c r="B33" s="107"/>
      <c r="C33" s="107"/>
      <c r="D33" s="107"/>
      <c r="E33" s="107"/>
      <c r="F33" s="107"/>
      <c r="G33" s="107"/>
      <c r="H33" s="126"/>
      <c r="I33" s="127"/>
      <c r="J33" s="128"/>
      <c r="K33" s="176" t="str">
        <f>consumos!A65</f>
        <v>CARTULINA 10 UNIDADES</v>
      </c>
      <c r="L33" s="135"/>
      <c r="M33" s="135"/>
      <c r="N33" s="135"/>
      <c r="O33" s="135"/>
      <c r="P33" s="135"/>
      <c r="Q33" s="135"/>
      <c r="R33" s="135"/>
      <c r="S33" s="135"/>
      <c r="T33" s="136"/>
      <c r="U33" s="57" t="str">
        <f>consumos!A106</f>
        <v>Limpiador para acabados</v>
      </c>
      <c r="V33" s="58">
        <f>IF(consumos!D106&lt;0,(1),consumos!D106)</f>
        <v>0</v>
      </c>
      <c r="W33" s="59">
        <f t="shared" si="3"/>
        <v>0</v>
      </c>
      <c r="X33" s="60">
        <v>0</v>
      </c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  <c r="AO33" s="107"/>
      <c r="AP33" s="107"/>
      <c r="AQ33" s="107"/>
      <c r="AR33" s="107"/>
    </row>
    <row r="34" spans="1:44" ht="12.75" customHeight="1" x14ac:dyDescent="0.2">
      <c r="A34" s="107"/>
      <c r="B34" s="107"/>
      <c r="C34" s="107"/>
      <c r="D34" s="107"/>
      <c r="E34" s="107"/>
      <c r="F34" s="107"/>
      <c r="G34" s="107"/>
      <c r="H34" s="126"/>
      <c r="I34" s="127"/>
      <c r="J34" s="128"/>
      <c r="K34" s="176" t="str">
        <f>consumos!A66</f>
        <v>TINTA DE COLORES PARA CUERO Café , baigue y matanate acuoso.</v>
      </c>
      <c r="L34" s="135"/>
      <c r="M34" s="135"/>
      <c r="N34" s="135"/>
      <c r="O34" s="135"/>
      <c r="P34" s="135"/>
      <c r="Q34" s="135"/>
      <c r="R34" s="135"/>
      <c r="S34" s="135"/>
      <c r="T34" s="136"/>
      <c r="U34" s="57" t="str">
        <f>consumos!A107</f>
        <v>Limpiador VZ 40 ( galón 3600 cm 3)</v>
      </c>
      <c r="V34" s="58">
        <f>IF(consumos!D107&lt;0,(1),consumos!D107)</f>
        <v>0</v>
      </c>
      <c r="W34" s="59">
        <f t="shared" si="3"/>
        <v>0</v>
      </c>
      <c r="X34" s="60">
        <v>0</v>
      </c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7"/>
      <c r="AP34" s="107"/>
      <c r="AQ34" s="107"/>
      <c r="AR34" s="107"/>
    </row>
    <row r="35" spans="1:44" ht="12.75" customHeight="1" x14ac:dyDescent="0.2">
      <c r="A35" s="107"/>
      <c r="B35" s="107"/>
      <c r="C35" s="107"/>
      <c r="D35" s="107"/>
      <c r="E35" s="107"/>
      <c r="F35" s="107"/>
      <c r="G35" s="107"/>
      <c r="H35" s="126"/>
      <c r="I35" s="127"/>
      <c r="J35" s="128"/>
      <c r="K35" s="176" t="str">
        <f>consumos!A67</f>
        <v>entrego hebilla 376 14 unidades, no tenemos hebilla de pulgada  niquel</v>
      </c>
      <c r="L35" s="135"/>
      <c r="M35" s="135"/>
      <c r="N35" s="135"/>
      <c r="O35" s="135"/>
      <c r="P35" s="135"/>
      <c r="Q35" s="135"/>
      <c r="R35" s="135"/>
      <c r="S35" s="135"/>
      <c r="T35" s="136"/>
      <c r="U35" s="57" t="str">
        <f>consumos!A108</f>
        <v>Papel periodico  (pliego)</v>
      </c>
      <c r="V35" s="58">
        <f>IF(consumos!D108&lt;0,(1),consumos!D108)</f>
        <v>0</v>
      </c>
      <c r="W35" s="59">
        <f t="shared" si="3"/>
        <v>0</v>
      </c>
      <c r="X35" s="60">
        <v>0</v>
      </c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</row>
    <row r="36" spans="1:44" ht="12.75" customHeight="1" x14ac:dyDescent="0.2">
      <c r="A36" s="107"/>
      <c r="B36" s="107"/>
      <c r="C36" s="107"/>
      <c r="D36" s="107"/>
      <c r="E36" s="107"/>
      <c r="F36" s="107"/>
      <c r="G36" s="107"/>
      <c r="H36" s="107"/>
      <c r="I36" s="107"/>
      <c r="J36" s="107"/>
      <c r="K36" s="176" t="str">
        <f>consumos!A68</f>
        <v xml:space="preserve">hilo # 40 1| </v>
      </c>
      <c r="L36" s="135"/>
      <c r="M36" s="135"/>
      <c r="N36" s="135"/>
      <c r="O36" s="135"/>
      <c r="P36" s="135"/>
      <c r="Q36" s="135"/>
      <c r="R36" s="135"/>
      <c r="S36" s="135"/>
      <c r="T36" s="136"/>
      <c r="U36" s="57" t="str">
        <f>consumos!A109</f>
        <v>Pegante advance o pega amarilla</v>
      </c>
      <c r="V36" s="58">
        <f>IF(consumos!D109&lt;0,(1),consumos!D109)</f>
        <v>1</v>
      </c>
      <c r="W36" s="59">
        <f t="shared" si="3"/>
        <v>0</v>
      </c>
      <c r="X36" s="60">
        <v>1</v>
      </c>
      <c r="Y36" s="107"/>
      <c r="Z36" s="107"/>
      <c r="AA36" s="107"/>
      <c r="AB36" s="107"/>
      <c r="AC36" s="107"/>
      <c r="AD36" s="107"/>
      <c r="AE36" s="107"/>
      <c r="AF36" s="107"/>
      <c r="AG36" s="107"/>
      <c r="AH36" s="107"/>
      <c r="AI36" s="107"/>
      <c r="AJ36" s="107"/>
      <c r="AK36" s="107"/>
      <c r="AL36" s="107"/>
      <c r="AM36" s="107"/>
      <c r="AN36" s="107"/>
      <c r="AO36" s="107"/>
      <c r="AP36" s="107"/>
      <c r="AQ36" s="107"/>
      <c r="AR36" s="107"/>
    </row>
    <row r="37" spans="1:44" ht="12.75" customHeight="1" x14ac:dyDescent="0.2">
      <c r="A37" s="107"/>
      <c r="B37" s="107"/>
      <c r="C37" s="107"/>
      <c r="D37" s="107"/>
      <c r="E37" s="107"/>
      <c r="F37" s="107"/>
      <c r="G37" s="107"/>
      <c r="H37" s="107"/>
      <c r="I37" s="107"/>
      <c r="J37" s="107"/>
      <c r="K37" s="176">
        <f>consumos!A69</f>
        <v>0</v>
      </c>
      <c r="L37" s="135"/>
      <c r="M37" s="135"/>
      <c r="N37" s="135"/>
      <c r="O37" s="135"/>
      <c r="P37" s="135"/>
      <c r="Q37" s="135"/>
      <c r="R37" s="135"/>
      <c r="S37" s="135"/>
      <c r="T37" s="136"/>
      <c r="U37" s="57" t="str">
        <f>consumos!A110</f>
        <v>Pu  419 pegante poliuretano</v>
      </c>
      <c r="V37" s="58">
        <f>IF(consumos!D110&lt;0,(1),consumos!D110)</f>
        <v>0</v>
      </c>
      <c r="W37" s="59">
        <f t="shared" si="3"/>
        <v>0</v>
      </c>
      <c r="X37" s="60">
        <v>0</v>
      </c>
      <c r="Y37" s="107"/>
      <c r="Z37" s="107"/>
      <c r="AA37" s="107"/>
      <c r="AB37" s="107"/>
      <c r="AC37" s="107"/>
      <c r="AD37" s="107"/>
      <c r="AE37" s="107"/>
      <c r="AF37" s="107"/>
      <c r="AG37" s="107"/>
      <c r="AH37" s="107"/>
      <c r="AI37" s="107"/>
      <c r="AJ37" s="107"/>
      <c r="AK37" s="107"/>
      <c r="AL37" s="107"/>
      <c r="AM37" s="107"/>
      <c r="AN37" s="107"/>
      <c r="AO37" s="107"/>
      <c r="AP37" s="107"/>
      <c r="AQ37" s="107"/>
      <c r="AR37" s="107"/>
    </row>
    <row r="38" spans="1:44" ht="12.75" customHeight="1" x14ac:dyDescent="0.2">
      <c r="A38" s="107"/>
      <c r="B38" s="107"/>
      <c r="C38" s="107"/>
      <c r="D38" s="107"/>
      <c r="E38" s="107"/>
      <c r="F38" s="107"/>
      <c r="G38" s="107"/>
      <c r="H38" s="107"/>
      <c r="I38" s="107"/>
      <c r="J38" s="107"/>
      <c r="K38" s="176">
        <f>consumos!A70</f>
        <v>0</v>
      </c>
      <c r="L38" s="135"/>
      <c r="M38" s="135"/>
      <c r="N38" s="135"/>
      <c r="O38" s="135"/>
      <c r="P38" s="135"/>
      <c r="Q38" s="135"/>
      <c r="R38" s="135"/>
      <c r="S38" s="135"/>
      <c r="T38" s="136"/>
      <c r="U38" s="57" t="str">
        <f>consumos!A111</f>
        <v>Pintura Acrilica X150 gr (unidad)</v>
      </c>
      <c r="V38" s="58">
        <f>IF(consumos!D111&lt;0,(1),consumos!D111)</f>
        <v>0</v>
      </c>
      <c r="W38" s="59">
        <f t="shared" si="3"/>
        <v>0</v>
      </c>
      <c r="X38" s="60">
        <v>0</v>
      </c>
      <c r="Y38" s="107"/>
      <c r="Z38" s="107"/>
      <c r="AA38" s="107"/>
      <c r="AB38" s="107"/>
      <c r="AC38" s="107"/>
      <c r="AD38" s="107"/>
      <c r="AE38" s="107"/>
      <c r="AF38" s="107"/>
      <c r="AG38" s="107"/>
      <c r="AH38" s="107"/>
      <c r="AI38" s="107"/>
      <c r="AJ38" s="107"/>
      <c r="AK38" s="107"/>
      <c r="AL38" s="107"/>
      <c r="AM38" s="107"/>
      <c r="AN38" s="107"/>
      <c r="AO38" s="107"/>
      <c r="AP38" s="107"/>
      <c r="AQ38" s="107"/>
      <c r="AR38" s="107"/>
    </row>
    <row r="39" spans="1:44" ht="12.75" customHeight="1" x14ac:dyDescent="0.2">
      <c r="A39" s="107"/>
      <c r="B39" s="107"/>
      <c r="C39" s="107"/>
      <c r="D39" s="107"/>
      <c r="E39" s="107"/>
      <c r="F39" s="107"/>
      <c r="G39" s="107"/>
      <c r="H39" s="107"/>
      <c r="I39" s="107"/>
      <c r="J39" s="107"/>
      <c r="K39" s="176">
        <f>consumos!A71</f>
        <v>0</v>
      </c>
      <c r="L39" s="135"/>
      <c r="M39" s="135"/>
      <c r="N39" s="135"/>
      <c r="O39" s="135"/>
      <c r="P39" s="135"/>
      <c r="Q39" s="135"/>
      <c r="R39" s="135"/>
      <c r="S39" s="135"/>
      <c r="T39" s="136"/>
      <c r="U39" s="57" t="str">
        <f>consumos!A112</f>
        <v>Primer eva plus</v>
      </c>
      <c r="V39" s="58">
        <f>IF(consumos!D112&lt;0,(1),consumos!D112)</f>
        <v>0</v>
      </c>
      <c r="W39" s="59">
        <f t="shared" si="3"/>
        <v>0</v>
      </c>
      <c r="X39" s="60">
        <v>0</v>
      </c>
      <c r="Y39" s="107"/>
      <c r="Z39" s="107"/>
      <c r="AA39" s="107"/>
      <c r="AB39" s="107"/>
      <c r="AC39" s="107"/>
      <c r="AD39" s="107"/>
      <c r="AE39" s="107"/>
      <c r="AF39" s="107"/>
      <c r="AG39" s="107"/>
      <c r="AH39" s="107"/>
      <c r="AI39" s="107"/>
      <c r="AJ39" s="107"/>
      <c r="AK39" s="107"/>
      <c r="AL39" s="107"/>
      <c r="AM39" s="107"/>
      <c r="AN39" s="107"/>
      <c r="AO39" s="107"/>
      <c r="AP39" s="107"/>
      <c r="AQ39" s="107"/>
      <c r="AR39" s="107"/>
    </row>
    <row r="40" spans="1:44" ht="12.75" customHeight="1" x14ac:dyDescent="0.2">
      <c r="A40" s="107"/>
      <c r="B40" s="107"/>
      <c r="C40" s="107"/>
      <c r="D40" s="107"/>
      <c r="E40" s="107"/>
      <c r="F40" s="107"/>
      <c r="G40" s="107"/>
      <c r="H40" s="107"/>
      <c r="I40" s="107"/>
      <c r="J40" s="107"/>
      <c r="K40" s="176">
        <f>consumos!A72</f>
        <v>0</v>
      </c>
      <c r="L40" s="135"/>
      <c r="M40" s="135"/>
      <c r="N40" s="135"/>
      <c r="O40" s="135"/>
      <c r="P40" s="135"/>
      <c r="Q40" s="135"/>
      <c r="R40" s="135"/>
      <c r="S40" s="135"/>
      <c r="T40" s="136"/>
      <c r="U40" s="57" t="str">
        <f>consumos!A113</f>
        <v>Primer PU 419</v>
      </c>
      <c r="V40" s="58">
        <f>IF(consumos!D113&lt;0,(1),consumos!D113)</f>
        <v>0</v>
      </c>
      <c r="W40" s="59">
        <f t="shared" si="3"/>
        <v>0</v>
      </c>
      <c r="X40" s="60">
        <v>0</v>
      </c>
      <c r="Y40" s="107"/>
      <c r="Z40" s="107"/>
      <c r="AA40" s="107"/>
      <c r="AB40" s="107"/>
      <c r="AC40" s="107"/>
      <c r="AD40" s="107"/>
      <c r="AE40" s="107"/>
      <c r="AF40" s="107"/>
      <c r="AG40" s="107"/>
      <c r="AH40" s="107"/>
      <c r="AI40" s="107"/>
      <c r="AJ40" s="107"/>
      <c r="AK40" s="107"/>
      <c r="AL40" s="107"/>
      <c r="AM40" s="107"/>
      <c r="AN40" s="107"/>
      <c r="AO40" s="107"/>
      <c r="AP40" s="107"/>
      <c r="AQ40" s="107"/>
      <c r="AR40" s="107"/>
    </row>
    <row r="41" spans="1:44" ht="12.75" customHeight="1" x14ac:dyDescent="0.2">
      <c r="A41" s="107"/>
      <c r="B41" s="107"/>
      <c r="C41" s="107"/>
      <c r="D41" s="107"/>
      <c r="E41" s="107"/>
      <c r="F41" s="107"/>
      <c r="G41" s="107"/>
      <c r="H41" s="107"/>
      <c r="I41" s="107"/>
      <c r="J41" s="107"/>
      <c r="K41" s="176">
        <f>consumos!A73</f>
        <v>0</v>
      </c>
      <c r="L41" s="135"/>
      <c r="M41" s="135"/>
      <c r="N41" s="135"/>
      <c r="O41" s="135"/>
      <c r="P41" s="135"/>
      <c r="Q41" s="135"/>
      <c r="R41" s="135"/>
      <c r="S41" s="135"/>
      <c r="T41" s="136"/>
      <c r="U41" s="57" t="str">
        <f>consumos!A114</f>
        <v>Primer pu 85</v>
      </c>
      <c r="V41" s="58">
        <f>IF(consumos!D114&lt;0,(1),consumos!D114)</f>
        <v>0</v>
      </c>
      <c r="W41" s="59">
        <f t="shared" si="3"/>
        <v>0</v>
      </c>
      <c r="X41" s="60">
        <v>0</v>
      </c>
      <c r="Y41" s="107"/>
      <c r="Z41" s="107"/>
      <c r="AA41" s="107"/>
      <c r="AB41" s="107"/>
      <c r="AC41" s="107"/>
      <c r="AD41" s="107"/>
      <c r="AE41" s="107"/>
      <c r="AF41" s="107"/>
      <c r="AG41" s="107"/>
      <c r="AH41" s="107"/>
      <c r="AI41" s="107"/>
      <c r="AJ41" s="107"/>
      <c r="AK41" s="107"/>
      <c r="AL41" s="107"/>
      <c r="AM41" s="107"/>
      <c r="AN41" s="107"/>
      <c r="AO41" s="107"/>
      <c r="AP41" s="107"/>
      <c r="AQ41" s="107"/>
      <c r="AR41" s="107"/>
    </row>
    <row r="42" spans="1:44" ht="12.75" customHeight="1" x14ac:dyDescent="0.2">
      <c r="A42" s="107"/>
      <c r="B42" s="107"/>
      <c r="C42" s="107"/>
      <c r="D42" s="107"/>
      <c r="E42" s="107"/>
      <c r="F42" s="107"/>
      <c r="G42" s="107"/>
      <c r="H42" s="107"/>
      <c r="I42" s="107"/>
      <c r="J42" s="107"/>
      <c r="K42" s="176">
        <f>consumos!A74</f>
        <v>0</v>
      </c>
      <c r="L42" s="135"/>
      <c r="M42" s="135"/>
      <c r="N42" s="135"/>
      <c r="O42" s="135"/>
      <c r="P42" s="135"/>
      <c r="Q42" s="135"/>
      <c r="R42" s="135"/>
      <c r="S42" s="135"/>
      <c r="T42" s="136"/>
      <c r="U42" s="57" t="str">
        <f>consumos!A115</f>
        <v>PU 689 adhesivo</v>
      </c>
      <c r="V42" s="58">
        <f>IF(consumos!D115&lt;0,(1),consumos!D115)</f>
        <v>0</v>
      </c>
      <c r="W42" s="59">
        <f t="shared" si="3"/>
        <v>0</v>
      </c>
      <c r="X42" s="60">
        <v>0</v>
      </c>
      <c r="Y42" s="107"/>
      <c r="Z42" s="107"/>
      <c r="AA42" s="107"/>
      <c r="AB42" s="107"/>
      <c r="AC42" s="107"/>
      <c r="AD42" s="107"/>
      <c r="AE42" s="107"/>
      <c r="AF42" s="107"/>
      <c r="AG42" s="107"/>
      <c r="AH42" s="107"/>
      <c r="AI42" s="107"/>
      <c r="AJ42" s="107"/>
      <c r="AK42" s="107"/>
      <c r="AL42" s="107"/>
      <c r="AM42" s="107"/>
      <c r="AN42" s="107"/>
      <c r="AO42" s="107"/>
      <c r="AP42" s="107"/>
      <c r="AQ42" s="107"/>
      <c r="AR42" s="107"/>
    </row>
    <row r="43" spans="1:44" ht="12.75" customHeight="1" x14ac:dyDescent="0.2">
      <c r="A43" s="107"/>
      <c r="B43" s="107"/>
      <c r="C43" s="107"/>
      <c r="D43" s="107"/>
      <c r="E43" s="107"/>
      <c r="F43" s="107"/>
      <c r="G43" s="107"/>
      <c r="H43" s="107"/>
      <c r="I43" s="107"/>
      <c r="J43" s="107"/>
      <c r="K43" s="176">
        <f>consumos!A75</f>
        <v>0</v>
      </c>
      <c r="L43" s="135"/>
      <c r="M43" s="135"/>
      <c r="N43" s="135"/>
      <c r="O43" s="135"/>
      <c r="P43" s="135"/>
      <c r="Q43" s="135"/>
      <c r="R43" s="135"/>
      <c r="S43" s="135"/>
      <c r="T43" s="136"/>
      <c r="U43" s="57" t="str">
        <f>consumos!A116</f>
        <v>Sacol Solucion de caucho natural 2440</v>
      </c>
      <c r="V43" s="58">
        <f>IF(consumos!D116&lt;0,(1),consumos!D116)</f>
        <v>0</v>
      </c>
      <c r="W43" s="59">
        <f t="shared" si="3"/>
        <v>0</v>
      </c>
      <c r="X43" s="60">
        <v>0</v>
      </c>
      <c r="Y43" s="107"/>
      <c r="Z43" s="107"/>
      <c r="AA43" s="107"/>
      <c r="AB43" s="107"/>
      <c r="AC43" s="107"/>
      <c r="AD43" s="107"/>
      <c r="AE43" s="107"/>
      <c r="AF43" s="107"/>
      <c r="AG43" s="107"/>
      <c r="AH43" s="107"/>
      <c r="AI43" s="107"/>
      <c r="AJ43" s="107"/>
      <c r="AK43" s="107"/>
      <c r="AL43" s="107"/>
      <c r="AM43" s="107"/>
      <c r="AN43" s="107"/>
      <c r="AO43" s="107"/>
      <c r="AP43" s="107"/>
      <c r="AQ43" s="107"/>
      <c r="AR43" s="107"/>
    </row>
    <row r="44" spans="1:44" ht="12.75" customHeight="1" x14ac:dyDescent="0.2">
      <c r="A44" s="107"/>
      <c r="B44" s="107"/>
      <c r="C44" s="107"/>
      <c r="D44" s="107"/>
      <c r="E44" s="107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57" t="str">
        <f>consumos!A117</f>
        <v>Thiner Halogenante LH Rapido</v>
      </c>
      <c r="V44" s="58">
        <f>IF(consumos!D117&lt;0,(1),consumos!D117)</f>
        <v>0</v>
      </c>
      <c r="W44" s="59">
        <f t="shared" si="3"/>
        <v>0</v>
      </c>
      <c r="X44" s="60">
        <v>0</v>
      </c>
      <c r="Y44" s="107"/>
      <c r="Z44" s="107"/>
      <c r="AA44" s="107"/>
      <c r="AB44" s="107"/>
      <c r="AC44" s="107"/>
      <c r="AD44" s="107"/>
      <c r="AE44" s="107"/>
      <c r="AF44" s="107"/>
      <c r="AG44" s="107"/>
      <c r="AH44" s="107"/>
      <c r="AI44" s="107"/>
      <c r="AJ44" s="107"/>
      <c r="AK44" s="107"/>
      <c r="AL44" s="107"/>
      <c r="AM44" s="107"/>
      <c r="AN44" s="107"/>
      <c r="AO44" s="107"/>
      <c r="AP44" s="107"/>
      <c r="AQ44" s="107"/>
      <c r="AR44" s="107"/>
    </row>
    <row r="45" spans="1:44" ht="12.75" customHeight="1" x14ac:dyDescent="0.2">
      <c r="A45" s="107"/>
      <c r="B45" s="107"/>
      <c r="C45" s="107"/>
      <c r="D45" s="107"/>
      <c r="E45" s="107"/>
      <c r="F45" s="107"/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57" t="str">
        <f>consumos!A118</f>
        <v>Thiner limpiador 0329</v>
      </c>
      <c r="V45" s="58">
        <f>IF(consumos!D118&lt;0,(1),consumos!D118)</f>
        <v>0</v>
      </c>
      <c r="W45" s="59">
        <f t="shared" si="3"/>
        <v>0</v>
      </c>
      <c r="X45" s="60">
        <v>0</v>
      </c>
      <c r="Y45" s="107"/>
      <c r="Z45" s="107"/>
      <c r="AA45" s="107"/>
      <c r="AB45" s="107"/>
      <c r="AC45" s="107"/>
      <c r="AD45" s="107"/>
      <c r="AE45" s="107"/>
      <c r="AF45" s="107"/>
      <c r="AG45" s="107"/>
      <c r="AH45" s="107"/>
      <c r="AI45" s="107"/>
      <c r="AJ45" s="107"/>
      <c r="AK45" s="107"/>
      <c r="AL45" s="107"/>
      <c r="AM45" s="107"/>
      <c r="AN45" s="107"/>
      <c r="AO45" s="107"/>
      <c r="AP45" s="107"/>
      <c r="AQ45" s="107"/>
      <c r="AR45" s="107"/>
    </row>
    <row r="46" spans="1:44" ht="12.75" customHeight="1" x14ac:dyDescent="0.2">
      <c r="A46" s="107"/>
      <c r="B46" s="107"/>
      <c r="C46" s="107"/>
      <c r="D46" s="107"/>
      <c r="E46" s="107"/>
      <c r="F46" s="107"/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57" t="str">
        <f>consumos!A119</f>
        <v>Thiner limpiador AT - 20</v>
      </c>
      <c r="V46" s="58">
        <f>IF(consumos!D119&lt;0,(1),consumos!D119)</f>
        <v>0</v>
      </c>
      <c r="W46" s="59">
        <f t="shared" si="3"/>
        <v>0</v>
      </c>
      <c r="X46" s="60">
        <v>0</v>
      </c>
      <c r="Y46" s="107"/>
      <c r="Z46" s="107"/>
      <c r="AA46" s="107"/>
      <c r="AB46" s="107"/>
      <c r="AC46" s="107"/>
      <c r="AD46" s="107"/>
      <c r="AE46" s="107"/>
      <c r="AF46" s="107"/>
      <c r="AG46" s="107"/>
      <c r="AH46" s="107"/>
      <c r="AI46" s="107"/>
      <c r="AJ46" s="107"/>
      <c r="AK46" s="107"/>
      <c r="AL46" s="107"/>
      <c r="AM46" s="107"/>
      <c r="AN46" s="107"/>
      <c r="AO46" s="107"/>
      <c r="AP46" s="107"/>
      <c r="AQ46" s="107"/>
      <c r="AR46" s="107"/>
    </row>
    <row r="47" spans="1:44" ht="12.75" customHeight="1" x14ac:dyDescent="0.2">
      <c r="A47" s="107"/>
      <c r="B47" s="107"/>
      <c r="C47" s="107"/>
      <c r="D47" s="107"/>
      <c r="E47" s="107"/>
      <c r="F47" s="107"/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57" t="str">
        <f>consumos!A120</f>
        <v>Thiner  limpiador VZ - 40</v>
      </c>
      <c r="V47" s="58">
        <f>IF(consumos!D120&lt;0,(1),consumos!D120)</f>
        <v>0</v>
      </c>
      <c r="W47" s="59">
        <f t="shared" si="3"/>
        <v>0</v>
      </c>
      <c r="X47" s="60">
        <v>0</v>
      </c>
      <c r="Y47" s="107"/>
      <c r="Z47" s="107"/>
      <c r="AA47" s="107"/>
      <c r="AB47" s="107"/>
      <c r="AC47" s="107"/>
      <c r="AD47" s="107"/>
      <c r="AE47" s="107"/>
      <c r="AF47" s="107"/>
      <c r="AG47" s="107"/>
      <c r="AH47" s="107"/>
      <c r="AI47" s="107"/>
      <c r="AJ47" s="107"/>
      <c r="AK47" s="107"/>
      <c r="AL47" s="107"/>
      <c r="AM47" s="107"/>
      <c r="AN47" s="107"/>
      <c r="AO47" s="107"/>
      <c r="AP47" s="107"/>
      <c r="AQ47" s="107"/>
      <c r="AR47" s="107"/>
    </row>
    <row r="48" spans="1:44" ht="12.75" customHeight="1" x14ac:dyDescent="0.2">
      <c r="A48" s="107"/>
      <c r="B48" s="107"/>
      <c r="C48" s="107"/>
      <c r="D48" s="107"/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57" t="str">
        <f>consumos!A121</f>
        <v>Tinta Colores para Cuero 120cc (unidad)</v>
      </c>
      <c r="V48" s="58">
        <f>IF(consumos!D121&lt;0,(1),consumos!D121)</f>
        <v>0</v>
      </c>
      <c r="W48" s="59">
        <f t="shared" si="3"/>
        <v>0</v>
      </c>
      <c r="X48" s="60">
        <v>0</v>
      </c>
      <c r="Y48" s="107"/>
      <c r="Z48" s="107"/>
      <c r="AA48" s="107"/>
      <c r="AB48" s="107"/>
      <c r="AC48" s="107"/>
      <c r="AD48" s="107"/>
      <c r="AE48" s="107"/>
      <c r="AF48" s="107"/>
      <c r="AG48" s="107"/>
      <c r="AH48" s="107"/>
      <c r="AI48" s="107"/>
      <c r="AJ48" s="107"/>
      <c r="AK48" s="107"/>
      <c r="AL48" s="107"/>
      <c r="AM48" s="107"/>
      <c r="AN48" s="107"/>
      <c r="AO48" s="107"/>
      <c r="AP48" s="107"/>
      <c r="AQ48" s="107"/>
      <c r="AR48" s="107"/>
    </row>
    <row r="49" spans="1:44" ht="12.75" customHeight="1" x14ac:dyDescent="0.2">
      <c r="A49" s="107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57" t="str">
        <f>consumos!A122</f>
        <v>Vulcanizante PU</v>
      </c>
      <c r="V49" s="58">
        <f>IF(consumos!D122&lt;0,(1),consumos!D122)</f>
        <v>0</v>
      </c>
      <c r="W49" s="59">
        <f t="shared" si="3"/>
        <v>0</v>
      </c>
      <c r="X49" s="60">
        <v>0</v>
      </c>
      <c r="Y49" s="107"/>
      <c r="Z49" s="107"/>
      <c r="AA49" s="107"/>
      <c r="AB49" s="107"/>
      <c r="AC49" s="107"/>
      <c r="AD49" s="107"/>
      <c r="AE49" s="107"/>
      <c r="AF49" s="107"/>
      <c r="AG49" s="107"/>
      <c r="AH49" s="107"/>
      <c r="AI49" s="107"/>
      <c r="AJ49" s="107"/>
      <c r="AK49" s="107"/>
      <c r="AL49" s="107"/>
      <c r="AM49" s="107"/>
      <c r="AN49" s="107"/>
      <c r="AO49" s="107"/>
      <c r="AP49" s="107"/>
      <c r="AQ49" s="107"/>
      <c r="AR49" s="107"/>
    </row>
    <row r="50" spans="1:44" ht="12.75" customHeight="1" x14ac:dyDescent="0.2">
      <c r="A50" s="107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57" t="str">
        <f>consumos!A123</f>
        <v>Vulcanizante PU AQUOSO 212</v>
      </c>
      <c r="V50" s="58">
        <f>IF(consumos!D123&lt;0,(1),consumos!D123)</f>
        <v>0</v>
      </c>
      <c r="W50" s="59">
        <f t="shared" si="3"/>
        <v>0</v>
      </c>
      <c r="X50" s="60">
        <v>0</v>
      </c>
      <c r="Y50" s="107"/>
      <c r="Z50" s="107"/>
      <c r="AA50" s="107"/>
      <c r="AB50" s="107"/>
      <c r="AC50" s="107"/>
      <c r="AD50" s="107"/>
      <c r="AE50" s="107"/>
      <c r="AF50" s="107"/>
      <c r="AG50" s="107"/>
      <c r="AH50" s="107"/>
      <c r="AI50" s="107"/>
      <c r="AJ50" s="107"/>
      <c r="AK50" s="107"/>
      <c r="AL50" s="107"/>
      <c r="AM50" s="107"/>
      <c r="AN50" s="107"/>
      <c r="AO50" s="107"/>
      <c r="AP50" s="107"/>
      <c r="AQ50" s="107"/>
      <c r="AR50" s="107"/>
    </row>
    <row r="51" spans="1:44" ht="12.75" customHeight="1" x14ac:dyDescent="0.2">
      <c r="A51" s="107"/>
      <c r="B51" s="107"/>
      <c r="C51" s="107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57" t="str">
        <f>consumos!A124</f>
        <v>Vulcanizante PU SOLVENTE</v>
      </c>
      <c r="V51" s="58">
        <f>IF(consumos!D124&lt;0,(1),consumos!D124)</f>
        <v>0</v>
      </c>
      <c r="W51" s="59">
        <f t="shared" si="3"/>
        <v>0</v>
      </c>
      <c r="X51" s="60">
        <v>0</v>
      </c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  <c r="AI51" s="107"/>
      <c r="AJ51" s="107"/>
      <c r="AK51" s="107"/>
      <c r="AL51" s="107"/>
      <c r="AM51" s="107"/>
      <c r="AN51" s="107"/>
      <c r="AO51" s="107"/>
      <c r="AP51" s="107"/>
      <c r="AQ51" s="107"/>
      <c r="AR51" s="107"/>
    </row>
    <row r="52" spans="1:44" ht="12.75" customHeight="1" x14ac:dyDescent="0.2">
      <c r="A52" s="107"/>
      <c r="B52" s="107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  <c r="AC52" s="107"/>
      <c r="AD52" s="107"/>
      <c r="AE52" s="107"/>
      <c r="AF52" s="107"/>
      <c r="AG52" s="107"/>
      <c r="AH52" s="107"/>
      <c r="AI52" s="107"/>
      <c r="AJ52" s="107"/>
      <c r="AK52" s="107"/>
      <c r="AL52" s="107"/>
      <c r="AM52" s="107"/>
      <c r="AN52" s="107"/>
      <c r="AO52" s="107"/>
      <c r="AP52" s="107"/>
      <c r="AQ52" s="107"/>
      <c r="AR52" s="107"/>
    </row>
    <row r="53" spans="1:44" ht="12.75" customHeight="1" x14ac:dyDescent="0.2">
      <c r="A53" s="107"/>
      <c r="B53" s="107"/>
      <c r="C53" s="107"/>
      <c r="D53" s="107"/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  <c r="AA53" s="107"/>
      <c r="AB53" s="107"/>
      <c r="AC53" s="107"/>
      <c r="AD53" s="107"/>
      <c r="AE53" s="107"/>
      <c r="AF53" s="107"/>
      <c r="AG53" s="107"/>
      <c r="AH53" s="107"/>
      <c r="AI53" s="107"/>
      <c r="AJ53" s="107"/>
      <c r="AK53" s="107"/>
      <c r="AL53" s="107"/>
      <c r="AM53" s="107"/>
      <c r="AN53" s="107"/>
      <c r="AO53" s="107"/>
      <c r="AP53" s="107"/>
      <c r="AQ53" s="107"/>
      <c r="AR53" s="107"/>
    </row>
    <row r="54" spans="1:44" ht="12.75" customHeight="1" x14ac:dyDescent="0.2">
      <c r="A54" s="107"/>
      <c r="B54" s="107"/>
      <c r="C54" s="107"/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  <c r="AA54" s="107"/>
      <c r="AB54" s="107"/>
      <c r="AC54" s="107"/>
      <c r="AD54" s="107"/>
      <c r="AE54" s="107"/>
      <c r="AF54" s="107"/>
      <c r="AG54" s="107"/>
      <c r="AH54" s="107"/>
      <c r="AI54" s="107"/>
      <c r="AJ54" s="107"/>
      <c r="AK54" s="107"/>
      <c r="AL54" s="107"/>
      <c r="AM54" s="107"/>
      <c r="AN54" s="107"/>
      <c r="AO54" s="107"/>
      <c r="AP54" s="107"/>
      <c r="AQ54" s="107"/>
      <c r="AR54" s="107"/>
    </row>
    <row r="55" spans="1:44" ht="12.75" customHeight="1" x14ac:dyDescent="0.2">
      <c r="A55" s="107"/>
      <c r="B55" s="107"/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107"/>
      <c r="AB55" s="107"/>
      <c r="AC55" s="107"/>
      <c r="AD55" s="107"/>
      <c r="AE55" s="107"/>
      <c r="AF55" s="107"/>
      <c r="AG55" s="107"/>
      <c r="AH55" s="107"/>
      <c r="AI55" s="107"/>
      <c r="AJ55" s="107"/>
      <c r="AK55" s="107"/>
      <c r="AL55" s="107"/>
      <c r="AM55" s="107"/>
      <c r="AN55" s="107"/>
      <c r="AO55" s="107"/>
      <c r="AP55" s="107"/>
      <c r="AQ55" s="107"/>
      <c r="AR55" s="107"/>
    </row>
    <row r="56" spans="1:44" ht="12.75" customHeight="1" x14ac:dyDescent="0.2">
      <c r="A56" s="107"/>
      <c r="B56" s="107"/>
      <c r="C56" s="107"/>
      <c r="D56" s="107"/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  <c r="AA56" s="107"/>
      <c r="AB56" s="107"/>
      <c r="AC56" s="107"/>
      <c r="AD56" s="107"/>
      <c r="AE56" s="107"/>
      <c r="AF56" s="107"/>
      <c r="AG56" s="107"/>
      <c r="AH56" s="107"/>
      <c r="AI56" s="107"/>
      <c r="AJ56" s="107"/>
      <c r="AK56" s="107"/>
      <c r="AL56" s="107"/>
      <c r="AM56" s="107"/>
      <c r="AN56" s="107"/>
      <c r="AO56" s="107"/>
      <c r="AP56" s="107"/>
      <c r="AQ56" s="107"/>
      <c r="AR56" s="107"/>
    </row>
    <row r="57" spans="1:44" ht="12.75" customHeight="1" x14ac:dyDescent="0.2">
      <c r="A57" s="107"/>
      <c r="B57" s="107"/>
      <c r="C57" s="107"/>
      <c r="D57" s="107"/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  <c r="AA57" s="107"/>
      <c r="AB57" s="107"/>
      <c r="AC57" s="107"/>
      <c r="AD57" s="107"/>
      <c r="AE57" s="107"/>
      <c r="AF57" s="107"/>
      <c r="AG57" s="107"/>
      <c r="AH57" s="107"/>
      <c r="AI57" s="107"/>
      <c r="AJ57" s="107"/>
      <c r="AK57" s="107"/>
      <c r="AL57" s="107"/>
      <c r="AM57" s="107"/>
      <c r="AN57" s="107"/>
      <c r="AO57" s="107"/>
      <c r="AP57" s="107"/>
      <c r="AQ57" s="107"/>
      <c r="AR57" s="107"/>
    </row>
    <row r="58" spans="1:44" ht="12.75" customHeight="1" x14ac:dyDescent="0.2">
      <c r="A58" s="107"/>
      <c r="B58" s="107"/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  <c r="AA58" s="107"/>
      <c r="AB58" s="107"/>
      <c r="AC58" s="107"/>
      <c r="AD58" s="107"/>
      <c r="AE58" s="107"/>
      <c r="AF58" s="107"/>
      <c r="AG58" s="107"/>
      <c r="AH58" s="107"/>
      <c r="AI58" s="107"/>
      <c r="AJ58" s="107"/>
      <c r="AK58" s="107"/>
      <c r="AL58" s="107"/>
      <c r="AM58" s="107"/>
      <c r="AN58" s="107"/>
      <c r="AO58" s="107"/>
      <c r="AP58" s="107"/>
      <c r="AQ58" s="107"/>
      <c r="AR58" s="107"/>
    </row>
    <row r="59" spans="1:44" ht="12.75" customHeight="1" x14ac:dyDescent="0.2">
      <c r="A59" s="107"/>
      <c r="B59" s="107"/>
      <c r="C59" s="107"/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  <c r="AA59" s="107"/>
      <c r="AB59" s="107"/>
      <c r="AC59" s="107"/>
      <c r="AD59" s="107"/>
      <c r="AE59" s="107"/>
      <c r="AF59" s="107"/>
      <c r="AG59" s="107"/>
      <c r="AH59" s="107"/>
      <c r="AI59" s="107"/>
      <c r="AJ59" s="107"/>
      <c r="AK59" s="107"/>
      <c r="AL59" s="107"/>
      <c r="AM59" s="107"/>
      <c r="AN59" s="107"/>
      <c r="AO59" s="107"/>
      <c r="AP59" s="107"/>
      <c r="AQ59" s="107"/>
      <c r="AR59" s="107"/>
    </row>
    <row r="60" spans="1:44" ht="12.75" customHeight="1" x14ac:dyDescent="0.2">
      <c r="A60" s="107"/>
      <c r="B60" s="107"/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  <c r="AA60" s="107"/>
      <c r="AB60" s="107"/>
      <c r="AC60" s="107"/>
      <c r="AD60" s="107"/>
      <c r="AE60" s="107"/>
      <c r="AF60" s="107"/>
      <c r="AG60" s="107"/>
      <c r="AH60" s="107"/>
      <c r="AI60" s="107"/>
      <c r="AJ60" s="107"/>
      <c r="AK60" s="107"/>
      <c r="AL60" s="107"/>
      <c r="AM60" s="107"/>
      <c r="AN60" s="107"/>
      <c r="AO60" s="107"/>
      <c r="AP60" s="107"/>
      <c r="AQ60" s="107"/>
      <c r="AR60" s="107"/>
    </row>
    <row r="61" spans="1:44" ht="12.75" customHeight="1" x14ac:dyDescent="0.2">
      <c r="A61" s="107"/>
      <c r="B61" s="107"/>
      <c r="C61" s="107"/>
      <c r="D61" s="107"/>
      <c r="E61" s="107"/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  <c r="AA61" s="107"/>
      <c r="AB61" s="107"/>
      <c r="AC61" s="107"/>
      <c r="AD61" s="107"/>
      <c r="AE61" s="107"/>
      <c r="AF61" s="107"/>
      <c r="AG61" s="107"/>
      <c r="AH61" s="107"/>
      <c r="AI61" s="107"/>
      <c r="AJ61" s="107"/>
      <c r="AK61" s="107"/>
      <c r="AL61" s="107"/>
      <c r="AM61" s="107"/>
      <c r="AN61" s="107"/>
      <c r="AO61" s="107"/>
      <c r="AP61" s="107"/>
      <c r="AQ61" s="107"/>
      <c r="AR61" s="107"/>
    </row>
    <row r="62" spans="1:44" ht="12.75" customHeight="1" x14ac:dyDescent="0.2">
      <c r="A62" s="107"/>
      <c r="B62" s="107"/>
      <c r="C62" s="107"/>
      <c r="D62" s="107"/>
      <c r="E62" s="107"/>
      <c r="F62" s="107"/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  <c r="AA62" s="107"/>
      <c r="AB62" s="107"/>
      <c r="AC62" s="107"/>
      <c r="AD62" s="107"/>
      <c r="AE62" s="107"/>
      <c r="AF62" s="107"/>
      <c r="AG62" s="107"/>
      <c r="AH62" s="107"/>
      <c r="AI62" s="107"/>
      <c r="AJ62" s="107"/>
      <c r="AK62" s="107"/>
      <c r="AL62" s="107"/>
      <c r="AM62" s="107"/>
      <c r="AN62" s="107"/>
      <c r="AO62" s="107"/>
      <c r="AP62" s="107"/>
      <c r="AQ62" s="107"/>
      <c r="AR62" s="107"/>
    </row>
    <row r="63" spans="1:44" ht="12.75" customHeight="1" x14ac:dyDescent="0.2">
      <c r="A63" s="107"/>
      <c r="B63" s="107"/>
      <c r="C63" s="107"/>
      <c r="D63" s="107"/>
      <c r="E63" s="107"/>
      <c r="F63" s="107"/>
      <c r="G63" s="107"/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  <c r="AA63" s="107"/>
      <c r="AB63" s="107"/>
      <c r="AC63" s="107"/>
      <c r="AD63" s="107"/>
      <c r="AE63" s="107"/>
      <c r="AF63" s="107"/>
      <c r="AG63" s="107"/>
      <c r="AH63" s="107"/>
      <c r="AI63" s="107"/>
      <c r="AJ63" s="107"/>
      <c r="AK63" s="107"/>
      <c r="AL63" s="107"/>
      <c r="AM63" s="107"/>
      <c r="AN63" s="107"/>
      <c r="AO63" s="107"/>
      <c r="AP63" s="107"/>
      <c r="AQ63" s="107"/>
      <c r="AR63" s="107"/>
    </row>
    <row r="64" spans="1:44" ht="12.75" customHeight="1" x14ac:dyDescent="0.2">
      <c r="A64" s="107"/>
      <c r="B64" s="107"/>
      <c r="C64" s="107"/>
      <c r="D64" s="107"/>
      <c r="E64" s="107"/>
      <c r="F64" s="107"/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  <c r="AA64" s="107"/>
      <c r="AB64" s="107"/>
      <c r="AC64" s="107"/>
      <c r="AD64" s="107"/>
      <c r="AE64" s="107"/>
      <c r="AF64" s="107"/>
      <c r="AG64" s="107"/>
      <c r="AH64" s="107"/>
      <c r="AI64" s="107"/>
      <c r="AJ64" s="107"/>
      <c r="AK64" s="107"/>
      <c r="AL64" s="107"/>
      <c r="AM64" s="107"/>
      <c r="AN64" s="107"/>
      <c r="AO64" s="107"/>
      <c r="AP64" s="107"/>
      <c r="AQ64" s="107"/>
      <c r="AR64" s="107"/>
    </row>
    <row r="65" spans="1:44" ht="12.75" customHeight="1" x14ac:dyDescent="0.2">
      <c r="A65" s="107"/>
      <c r="B65" s="107"/>
      <c r="C65" s="107"/>
      <c r="D65" s="107"/>
      <c r="E65" s="107"/>
      <c r="F65" s="107"/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  <c r="AA65" s="107"/>
      <c r="AB65" s="107"/>
      <c r="AC65" s="107"/>
      <c r="AD65" s="107"/>
      <c r="AE65" s="107"/>
      <c r="AF65" s="107"/>
      <c r="AG65" s="107"/>
      <c r="AH65" s="107"/>
      <c r="AI65" s="107"/>
      <c r="AJ65" s="107"/>
      <c r="AK65" s="107"/>
      <c r="AL65" s="107"/>
      <c r="AM65" s="107"/>
      <c r="AN65" s="107"/>
      <c r="AO65" s="107"/>
      <c r="AP65" s="107"/>
      <c r="AQ65" s="107"/>
      <c r="AR65" s="107"/>
    </row>
    <row r="66" spans="1:44" ht="12.75" customHeight="1" x14ac:dyDescent="0.2">
      <c r="A66" s="107"/>
      <c r="B66" s="107"/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  <c r="AA66" s="107"/>
      <c r="AB66" s="107"/>
      <c r="AC66" s="107"/>
      <c r="AD66" s="107"/>
      <c r="AE66" s="107"/>
      <c r="AF66" s="107"/>
      <c r="AG66" s="107"/>
      <c r="AH66" s="107"/>
      <c r="AI66" s="107"/>
      <c r="AJ66" s="107"/>
      <c r="AK66" s="107"/>
      <c r="AL66" s="107"/>
      <c r="AM66" s="107"/>
      <c r="AN66" s="107"/>
      <c r="AO66" s="107"/>
      <c r="AP66" s="107"/>
      <c r="AQ66" s="107"/>
      <c r="AR66" s="107"/>
    </row>
    <row r="67" spans="1:44" ht="12.75" customHeight="1" x14ac:dyDescent="0.2">
      <c r="A67" s="107"/>
      <c r="B67" s="107"/>
      <c r="C67" s="107"/>
      <c r="D67" s="107"/>
      <c r="E67" s="107"/>
      <c r="F67" s="107"/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  <c r="AA67" s="107"/>
      <c r="AB67" s="107"/>
      <c r="AC67" s="107"/>
      <c r="AD67" s="107"/>
      <c r="AE67" s="107"/>
      <c r="AF67" s="107"/>
      <c r="AG67" s="107"/>
      <c r="AH67" s="107"/>
      <c r="AI67" s="107"/>
      <c r="AJ67" s="107"/>
      <c r="AK67" s="107"/>
      <c r="AL67" s="107"/>
      <c r="AM67" s="107"/>
      <c r="AN67" s="107"/>
      <c r="AO67" s="107"/>
      <c r="AP67" s="107"/>
      <c r="AQ67" s="107"/>
      <c r="AR67" s="107"/>
    </row>
    <row r="68" spans="1:44" ht="12.75" customHeight="1" x14ac:dyDescent="0.2">
      <c r="A68" s="107"/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  <c r="AA68" s="107"/>
      <c r="AB68" s="107"/>
      <c r="AC68" s="107"/>
      <c r="AD68" s="107"/>
      <c r="AE68" s="107"/>
      <c r="AF68" s="107"/>
      <c r="AG68" s="107"/>
      <c r="AH68" s="107"/>
      <c r="AI68" s="107"/>
      <c r="AJ68" s="107"/>
      <c r="AK68" s="107"/>
      <c r="AL68" s="107"/>
      <c r="AM68" s="107"/>
      <c r="AN68" s="107"/>
      <c r="AO68" s="107"/>
      <c r="AP68" s="107"/>
      <c r="AQ68" s="107"/>
      <c r="AR68" s="107"/>
    </row>
    <row r="69" spans="1:44" ht="12.75" customHeight="1" x14ac:dyDescent="0.2">
      <c r="A69" s="107"/>
      <c r="B69" s="107"/>
      <c r="C69" s="107"/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  <c r="AA69" s="107"/>
      <c r="AB69" s="107"/>
      <c r="AC69" s="107"/>
      <c r="AD69" s="107"/>
      <c r="AE69" s="107"/>
      <c r="AF69" s="107"/>
      <c r="AG69" s="107"/>
      <c r="AH69" s="107"/>
      <c r="AI69" s="107"/>
      <c r="AJ69" s="107"/>
      <c r="AK69" s="107"/>
      <c r="AL69" s="107"/>
      <c r="AM69" s="107"/>
      <c r="AN69" s="107"/>
      <c r="AO69" s="107"/>
      <c r="AP69" s="107"/>
      <c r="AQ69" s="107"/>
      <c r="AR69" s="107"/>
    </row>
    <row r="70" spans="1:44" ht="12.75" customHeight="1" x14ac:dyDescent="0.2">
      <c r="A70" s="107"/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  <c r="AA70" s="107"/>
      <c r="AB70" s="107"/>
      <c r="AC70" s="107"/>
      <c r="AD70" s="107"/>
      <c r="AE70" s="107"/>
      <c r="AF70" s="107"/>
      <c r="AG70" s="107"/>
      <c r="AH70" s="107"/>
      <c r="AI70" s="107"/>
      <c r="AJ70" s="107"/>
      <c r="AK70" s="107"/>
      <c r="AL70" s="107"/>
      <c r="AM70" s="107"/>
      <c r="AN70" s="107"/>
      <c r="AO70" s="107"/>
      <c r="AP70" s="107"/>
      <c r="AQ70" s="107"/>
      <c r="AR70" s="107"/>
    </row>
    <row r="71" spans="1:44" ht="12.75" customHeight="1" x14ac:dyDescent="0.2">
      <c r="A71" s="107"/>
      <c r="B71" s="107"/>
      <c r="C71" s="107"/>
      <c r="D71" s="107"/>
      <c r="E71" s="107"/>
      <c r="F71" s="107"/>
      <c r="G71" s="107"/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  <c r="AA71" s="107"/>
      <c r="AB71" s="107"/>
      <c r="AC71" s="107"/>
      <c r="AD71" s="107"/>
      <c r="AE71" s="107"/>
      <c r="AF71" s="107"/>
      <c r="AG71" s="107"/>
      <c r="AH71" s="107"/>
      <c r="AI71" s="107"/>
      <c r="AJ71" s="107"/>
      <c r="AK71" s="107"/>
      <c r="AL71" s="107"/>
      <c r="AM71" s="107"/>
      <c r="AN71" s="107"/>
      <c r="AO71" s="107"/>
      <c r="AP71" s="107"/>
      <c r="AQ71" s="107"/>
      <c r="AR71" s="107"/>
    </row>
    <row r="72" spans="1:44" ht="12.75" customHeight="1" x14ac:dyDescent="0.2">
      <c r="A72" s="107"/>
      <c r="B72" s="107"/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  <c r="AA72" s="107"/>
      <c r="AB72" s="107"/>
      <c r="AC72" s="107"/>
      <c r="AD72" s="107"/>
      <c r="AE72" s="107"/>
      <c r="AF72" s="107"/>
      <c r="AG72" s="107"/>
      <c r="AH72" s="107"/>
      <c r="AI72" s="107"/>
      <c r="AJ72" s="107"/>
      <c r="AK72" s="107"/>
      <c r="AL72" s="107"/>
      <c r="AM72" s="107"/>
      <c r="AN72" s="107"/>
      <c r="AO72" s="107"/>
      <c r="AP72" s="107"/>
      <c r="AQ72" s="107"/>
      <c r="AR72" s="107"/>
    </row>
    <row r="73" spans="1:44" ht="12.75" customHeight="1" x14ac:dyDescent="0.2">
      <c r="A73" s="107"/>
      <c r="B73" s="107"/>
      <c r="C73" s="107"/>
      <c r="D73" s="107"/>
      <c r="E73" s="107"/>
      <c r="F73" s="107"/>
      <c r="G73" s="107"/>
      <c r="H73" s="107"/>
      <c r="I73" s="107"/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  <c r="AA73" s="107"/>
      <c r="AB73" s="107"/>
      <c r="AC73" s="107"/>
      <c r="AD73" s="107"/>
      <c r="AE73" s="107"/>
      <c r="AF73" s="107"/>
      <c r="AG73" s="107"/>
      <c r="AH73" s="107"/>
      <c r="AI73" s="107"/>
      <c r="AJ73" s="107"/>
      <c r="AK73" s="107"/>
      <c r="AL73" s="107"/>
      <c r="AM73" s="107"/>
      <c r="AN73" s="107"/>
      <c r="AO73" s="107"/>
      <c r="AP73" s="107"/>
      <c r="AQ73" s="107"/>
      <c r="AR73" s="107"/>
    </row>
    <row r="74" spans="1:44" ht="12.75" customHeight="1" x14ac:dyDescent="0.2">
      <c r="A74" s="107"/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/>
      <c r="AA74" s="107"/>
      <c r="AB74" s="107"/>
      <c r="AC74" s="107"/>
      <c r="AD74" s="107"/>
      <c r="AE74" s="107"/>
      <c r="AF74" s="107"/>
      <c r="AG74" s="107"/>
      <c r="AH74" s="107"/>
      <c r="AI74" s="107"/>
      <c r="AJ74" s="107"/>
      <c r="AK74" s="107"/>
      <c r="AL74" s="107"/>
      <c r="AM74" s="107"/>
      <c r="AN74" s="107"/>
      <c r="AO74" s="107"/>
      <c r="AP74" s="107"/>
      <c r="AQ74" s="107"/>
      <c r="AR74" s="107"/>
    </row>
    <row r="75" spans="1:44" ht="12.75" customHeight="1" x14ac:dyDescent="0.2">
      <c r="A75" s="107"/>
      <c r="B75" s="107"/>
      <c r="C75" s="107"/>
      <c r="D75" s="107"/>
      <c r="E75" s="107"/>
      <c r="F75" s="107"/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/>
      <c r="AA75" s="107"/>
      <c r="AB75" s="107"/>
      <c r="AC75" s="107"/>
      <c r="AD75" s="107"/>
      <c r="AE75" s="107"/>
      <c r="AF75" s="107"/>
      <c r="AG75" s="107"/>
      <c r="AH75" s="107"/>
      <c r="AI75" s="107"/>
      <c r="AJ75" s="107"/>
      <c r="AK75" s="107"/>
      <c r="AL75" s="107"/>
      <c r="AM75" s="107"/>
      <c r="AN75" s="107"/>
      <c r="AO75" s="107"/>
      <c r="AP75" s="107"/>
      <c r="AQ75" s="107"/>
      <c r="AR75" s="107"/>
    </row>
    <row r="76" spans="1:44" ht="12.75" customHeight="1" x14ac:dyDescent="0.2">
      <c r="A76" s="107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  <c r="AA76" s="107"/>
      <c r="AB76" s="107"/>
      <c r="AC76" s="107"/>
      <c r="AD76" s="107"/>
      <c r="AE76" s="107"/>
      <c r="AF76" s="107"/>
      <c r="AG76" s="107"/>
      <c r="AH76" s="107"/>
      <c r="AI76" s="107"/>
      <c r="AJ76" s="107"/>
      <c r="AK76" s="107"/>
      <c r="AL76" s="107"/>
      <c r="AM76" s="107"/>
      <c r="AN76" s="107"/>
      <c r="AO76" s="107"/>
      <c r="AP76" s="107"/>
      <c r="AQ76" s="107"/>
      <c r="AR76" s="107"/>
    </row>
    <row r="77" spans="1:44" ht="12.75" customHeight="1" x14ac:dyDescent="0.2">
      <c r="A77" s="107"/>
      <c r="B77" s="107"/>
      <c r="C77" s="107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  <c r="AA77" s="107"/>
      <c r="AB77" s="107"/>
      <c r="AC77" s="107"/>
      <c r="AD77" s="107"/>
      <c r="AE77" s="107"/>
      <c r="AF77" s="107"/>
      <c r="AG77" s="107"/>
      <c r="AH77" s="107"/>
      <c r="AI77" s="107"/>
      <c r="AJ77" s="107"/>
      <c r="AK77" s="107"/>
      <c r="AL77" s="107"/>
      <c r="AM77" s="107"/>
      <c r="AN77" s="107"/>
      <c r="AO77" s="107"/>
      <c r="AP77" s="107"/>
      <c r="AQ77" s="107"/>
      <c r="AR77" s="107"/>
    </row>
    <row r="78" spans="1:44" ht="12.75" customHeight="1" x14ac:dyDescent="0.2">
      <c r="A78" s="107"/>
      <c r="B78" s="107"/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  <c r="AA78" s="107"/>
      <c r="AB78" s="107"/>
      <c r="AC78" s="107"/>
      <c r="AD78" s="107"/>
      <c r="AE78" s="107"/>
      <c r="AF78" s="107"/>
      <c r="AG78" s="107"/>
      <c r="AH78" s="107"/>
      <c r="AI78" s="107"/>
      <c r="AJ78" s="107"/>
      <c r="AK78" s="107"/>
      <c r="AL78" s="107"/>
      <c r="AM78" s="107"/>
      <c r="AN78" s="107"/>
      <c r="AO78" s="107"/>
      <c r="AP78" s="107"/>
      <c r="AQ78" s="107"/>
      <c r="AR78" s="107"/>
    </row>
    <row r="79" spans="1:44" ht="12.75" customHeight="1" x14ac:dyDescent="0.2">
      <c r="A79" s="107"/>
      <c r="B79" s="107"/>
      <c r="C79" s="107"/>
      <c r="D79" s="107"/>
      <c r="E79" s="107"/>
      <c r="F79" s="107"/>
      <c r="G79" s="107"/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  <c r="AA79" s="107"/>
      <c r="AB79" s="107"/>
      <c r="AC79" s="107"/>
      <c r="AD79" s="107"/>
      <c r="AE79" s="107"/>
      <c r="AF79" s="107"/>
      <c r="AG79" s="107"/>
      <c r="AH79" s="107"/>
      <c r="AI79" s="107"/>
      <c r="AJ79" s="107"/>
      <c r="AK79" s="107"/>
      <c r="AL79" s="107"/>
      <c r="AM79" s="107"/>
      <c r="AN79" s="107"/>
      <c r="AO79" s="107"/>
      <c r="AP79" s="107"/>
      <c r="AQ79" s="107"/>
      <c r="AR79" s="107"/>
    </row>
    <row r="80" spans="1:44" ht="12.75" customHeight="1" x14ac:dyDescent="0.2">
      <c r="A80" s="107"/>
      <c r="B80" s="107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  <c r="AA80" s="107"/>
      <c r="AB80" s="107"/>
      <c r="AC80" s="107"/>
      <c r="AD80" s="107"/>
      <c r="AE80" s="107"/>
      <c r="AF80" s="107"/>
      <c r="AG80" s="107"/>
      <c r="AH80" s="107"/>
      <c r="AI80" s="107"/>
      <c r="AJ80" s="107"/>
      <c r="AK80" s="107"/>
      <c r="AL80" s="107"/>
      <c r="AM80" s="107"/>
      <c r="AN80" s="107"/>
      <c r="AO80" s="107"/>
      <c r="AP80" s="107"/>
      <c r="AQ80" s="107"/>
      <c r="AR80" s="107"/>
    </row>
    <row r="81" spans="1:44" ht="12.75" customHeight="1" x14ac:dyDescent="0.2">
      <c r="A81" s="107"/>
      <c r="B81" s="107"/>
      <c r="C81" s="107"/>
      <c r="D81" s="107"/>
      <c r="E81" s="107"/>
      <c r="F81" s="107"/>
      <c r="G81" s="107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7"/>
      <c r="Z81" s="107"/>
      <c r="AA81" s="107"/>
      <c r="AB81" s="107"/>
      <c r="AC81" s="107"/>
      <c r="AD81" s="107"/>
      <c r="AE81" s="107"/>
      <c r="AF81" s="107"/>
      <c r="AG81" s="107"/>
      <c r="AH81" s="107"/>
      <c r="AI81" s="107"/>
      <c r="AJ81" s="107"/>
      <c r="AK81" s="107"/>
      <c r="AL81" s="107"/>
      <c r="AM81" s="107"/>
      <c r="AN81" s="107"/>
      <c r="AO81" s="107"/>
      <c r="AP81" s="107"/>
      <c r="AQ81" s="107"/>
      <c r="AR81" s="107"/>
    </row>
    <row r="82" spans="1:44" ht="12.75" customHeight="1" x14ac:dyDescent="0.2">
      <c r="A82" s="107"/>
      <c r="B82" s="107"/>
      <c r="C82" s="107"/>
      <c r="D82" s="107"/>
      <c r="E82" s="107"/>
      <c r="F82" s="107"/>
      <c r="G82" s="107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  <c r="AA82" s="107"/>
      <c r="AB82" s="107"/>
      <c r="AC82" s="107"/>
      <c r="AD82" s="107"/>
      <c r="AE82" s="107"/>
      <c r="AF82" s="107"/>
      <c r="AG82" s="107"/>
      <c r="AH82" s="107"/>
      <c r="AI82" s="107"/>
      <c r="AJ82" s="107"/>
      <c r="AK82" s="107"/>
      <c r="AL82" s="107"/>
      <c r="AM82" s="107"/>
      <c r="AN82" s="107"/>
      <c r="AO82" s="107"/>
      <c r="AP82" s="107"/>
      <c r="AQ82" s="107"/>
      <c r="AR82" s="107"/>
    </row>
    <row r="83" spans="1:44" ht="12.75" customHeight="1" x14ac:dyDescent="0.2">
      <c r="A83" s="107"/>
      <c r="B83" s="107"/>
      <c r="C83" s="107"/>
      <c r="D83" s="107"/>
      <c r="E83" s="107"/>
      <c r="F83" s="107"/>
      <c r="G83" s="107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  <c r="AA83" s="107"/>
      <c r="AB83" s="107"/>
      <c r="AC83" s="107"/>
      <c r="AD83" s="107"/>
      <c r="AE83" s="107"/>
      <c r="AF83" s="107"/>
      <c r="AG83" s="107"/>
      <c r="AH83" s="107"/>
      <c r="AI83" s="107"/>
      <c r="AJ83" s="107"/>
      <c r="AK83" s="107"/>
      <c r="AL83" s="107"/>
      <c r="AM83" s="107"/>
      <c r="AN83" s="107"/>
      <c r="AO83" s="107"/>
      <c r="AP83" s="107"/>
      <c r="AQ83" s="107"/>
      <c r="AR83" s="107"/>
    </row>
    <row r="84" spans="1:44" ht="12.75" customHeight="1" x14ac:dyDescent="0.2">
      <c r="A84" s="107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  <c r="AC84" s="107"/>
      <c r="AD84" s="107"/>
      <c r="AE84" s="107"/>
      <c r="AF84" s="107"/>
      <c r="AG84" s="107"/>
      <c r="AH84" s="107"/>
      <c r="AI84" s="107"/>
      <c r="AJ84" s="107"/>
      <c r="AK84" s="107"/>
      <c r="AL84" s="107"/>
      <c r="AM84" s="107"/>
      <c r="AN84" s="107"/>
      <c r="AO84" s="107"/>
      <c r="AP84" s="107"/>
      <c r="AQ84" s="107"/>
      <c r="AR84" s="107"/>
    </row>
    <row r="85" spans="1:44" ht="12.75" customHeight="1" x14ac:dyDescent="0.2">
      <c r="A85" s="107"/>
      <c r="B85" s="107"/>
      <c r="C85" s="107"/>
      <c r="D85" s="107"/>
      <c r="E85" s="107"/>
      <c r="F85" s="107"/>
      <c r="G85" s="107"/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  <c r="AA85" s="107"/>
      <c r="AB85" s="107"/>
      <c r="AC85" s="107"/>
      <c r="AD85" s="107"/>
      <c r="AE85" s="107"/>
      <c r="AF85" s="107"/>
      <c r="AG85" s="107"/>
      <c r="AH85" s="107"/>
      <c r="AI85" s="107"/>
      <c r="AJ85" s="107"/>
      <c r="AK85" s="107"/>
      <c r="AL85" s="107"/>
      <c r="AM85" s="107"/>
      <c r="AN85" s="107"/>
      <c r="AO85" s="107"/>
      <c r="AP85" s="107"/>
      <c r="AQ85" s="107"/>
      <c r="AR85" s="107"/>
    </row>
    <row r="86" spans="1:44" ht="12.75" customHeight="1" x14ac:dyDescent="0.2">
      <c r="A86" s="107"/>
      <c r="B86" s="107"/>
      <c r="C86" s="107"/>
      <c r="D86" s="107"/>
      <c r="E86" s="107"/>
      <c r="F86" s="107"/>
      <c r="G86" s="107"/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  <c r="AA86" s="107"/>
      <c r="AB86" s="107"/>
      <c r="AC86" s="107"/>
      <c r="AD86" s="107"/>
      <c r="AE86" s="107"/>
      <c r="AF86" s="107"/>
      <c r="AG86" s="107"/>
      <c r="AH86" s="107"/>
      <c r="AI86" s="107"/>
      <c r="AJ86" s="107"/>
      <c r="AK86" s="107"/>
      <c r="AL86" s="107"/>
      <c r="AM86" s="107"/>
      <c r="AN86" s="107"/>
      <c r="AO86" s="107"/>
      <c r="AP86" s="107"/>
      <c r="AQ86" s="107"/>
      <c r="AR86" s="107"/>
    </row>
    <row r="87" spans="1:44" ht="12.75" customHeight="1" x14ac:dyDescent="0.2">
      <c r="A87" s="107"/>
      <c r="B87" s="107"/>
      <c r="C87" s="107"/>
      <c r="D87" s="107"/>
      <c r="E87" s="107"/>
      <c r="F87" s="107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  <c r="AA87" s="107"/>
      <c r="AB87" s="107"/>
      <c r="AC87" s="107"/>
      <c r="AD87" s="107"/>
      <c r="AE87" s="107"/>
      <c r="AF87" s="107"/>
      <c r="AG87" s="107"/>
      <c r="AH87" s="107"/>
      <c r="AI87" s="107"/>
      <c r="AJ87" s="107"/>
      <c r="AK87" s="107"/>
      <c r="AL87" s="107"/>
      <c r="AM87" s="107"/>
      <c r="AN87" s="107"/>
      <c r="AO87" s="107"/>
      <c r="AP87" s="107"/>
      <c r="AQ87" s="107"/>
      <c r="AR87" s="107"/>
    </row>
    <row r="88" spans="1:44" ht="12.75" customHeight="1" x14ac:dyDescent="0.2">
      <c r="A88" s="107"/>
      <c r="B88" s="107"/>
      <c r="C88" s="107"/>
      <c r="D88" s="107"/>
      <c r="E88" s="107"/>
      <c r="F88" s="107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  <c r="AA88" s="107"/>
      <c r="AB88" s="107"/>
      <c r="AC88" s="107"/>
      <c r="AD88" s="107"/>
      <c r="AE88" s="107"/>
      <c r="AF88" s="107"/>
      <c r="AG88" s="107"/>
      <c r="AH88" s="107"/>
      <c r="AI88" s="107"/>
      <c r="AJ88" s="107"/>
      <c r="AK88" s="107"/>
      <c r="AL88" s="107"/>
      <c r="AM88" s="107"/>
      <c r="AN88" s="107"/>
      <c r="AO88" s="107"/>
      <c r="AP88" s="107"/>
      <c r="AQ88" s="107"/>
      <c r="AR88" s="107"/>
    </row>
    <row r="89" spans="1:44" ht="12.75" customHeight="1" x14ac:dyDescent="0.2">
      <c r="A89" s="107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7"/>
      <c r="AH89" s="107"/>
      <c r="AI89" s="107"/>
      <c r="AJ89" s="107"/>
      <c r="AK89" s="107"/>
      <c r="AL89" s="107"/>
      <c r="AM89" s="107"/>
      <c r="AN89" s="107"/>
      <c r="AO89" s="107"/>
      <c r="AP89" s="107"/>
      <c r="AQ89" s="107"/>
      <c r="AR89" s="107"/>
    </row>
    <row r="90" spans="1:44" ht="12.75" customHeight="1" x14ac:dyDescent="0.2">
      <c r="A90" s="107"/>
      <c r="B90" s="107"/>
      <c r="C90" s="107"/>
      <c r="D90" s="107"/>
      <c r="E90" s="107"/>
      <c r="F90" s="107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107"/>
      <c r="AA90" s="107"/>
      <c r="AB90" s="107"/>
      <c r="AC90" s="107"/>
      <c r="AD90" s="107"/>
      <c r="AE90" s="107"/>
      <c r="AF90" s="107"/>
      <c r="AG90" s="107"/>
      <c r="AH90" s="107"/>
      <c r="AI90" s="107"/>
      <c r="AJ90" s="107"/>
      <c r="AK90" s="107"/>
      <c r="AL90" s="107"/>
      <c r="AM90" s="107"/>
      <c r="AN90" s="107"/>
      <c r="AO90" s="107"/>
      <c r="AP90" s="107"/>
      <c r="AQ90" s="107"/>
      <c r="AR90" s="107"/>
    </row>
    <row r="91" spans="1:44" ht="12.75" customHeight="1" x14ac:dyDescent="0.2">
      <c r="A91" s="107"/>
      <c r="B91" s="107"/>
      <c r="C91" s="107"/>
      <c r="D91" s="107"/>
      <c r="E91" s="107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  <c r="AA91" s="107"/>
      <c r="AB91" s="107"/>
      <c r="AC91" s="107"/>
      <c r="AD91" s="107"/>
      <c r="AE91" s="107"/>
      <c r="AF91" s="107"/>
      <c r="AG91" s="107"/>
      <c r="AH91" s="107"/>
      <c r="AI91" s="107"/>
      <c r="AJ91" s="107"/>
      <c r="AK91" s="107"/>
      <c r="AL91" s="107"/>
      <c r="AM91" s="107"/>
      <c r="AN91" s="107"/>
      <c r="AO91" s="107"/>
      <c r="AP91" s="107"/>
      <c r="AQ91" s="107"/>
      <c r="AR91" s="107"/>
    </row>
    <row r="92" spans="1:44" ht="12.75" customHeight="1" x14ac:dyDescent="0.2">
      <c r="A92" s="107"/>
      <c r="B92" s="107"/>
      <c r="C92" s="107"/>
      <c r="D92" s="107"/>
      <c r="E92" s="107"/>
      <c r="F92" s="107"/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107"/>
      <c r="AA92" s="107"/>
      <c r="AB92" s="107"/>
      <c r="AC92" s="107"/>
      <c r="AD92" s="107"/>
      <c r="AE92" s="107"/>
      <c r="AF92" s="107"/>
      <c r="AG92" s="107"/>
      <c r="AH92" s="107"/>
      <c r="AI92" s="107"/>
      <c r="AJ92" s="107"/>
      <c r="AK92" s="107"/>
      <c r="AL92" s="107"/>
      <c r="AM92" s="107"/>
      <c r="AN92" s="107"/>
      <c r="AO92" s="107"/>
      <c r="AP92" s="107"/>
      <c r="AQ92" s="107"/>
      <c r="AR92" s="107"/>
    </row>
    <row r="93" spans="1:44" ht="12.75" customHeight="1" x14ac:dyDescent="0.2">
      <c r="A93" s="107"/>
      <c r="B93" s="107"/>
      <c r="C93" s="107"/>
      <c r="D93" s="107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  <c r="AA93" s="107"/>
      <c r="AB93" s="107"/>
      <c r="AC93" s="107"/>
      <c r="AD93" s="107"/>
      <c r="AE93" s="107"/>
      <c r="AF93" s="107"/>
      <c r="AG93" s="107"/>
      <c r="AH93" s="107"/>
      <c r="AI93" s="107"/>
      <c r="AJ93" s="107"/>
      <c r="AK93" s="107"/>
      <c r="AL93" s="107"/>
      <c r="AM93" s="107"/>
      <c r="AN93" s="107"/>
      <c r="AO93" s="107"/>
      <c r="AP93" s="107"/>
      <c r="AQ93" s="107"/>
      <c r="AR93" s="107"/>
    </row>
    <row r="94" spans="1:44" ht="12.75" customHeight="1" x14ac:dyDescent="0.2">
      <c r="A94" s="107"/>
      <c r="B94" s="107"/>
      <c r="C94" s="107"/>
      <c r="D94" s="107"/>
      <c r="E94" s="107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  <c r="AA94" s="107"/>
      <c r="AB94" s="107"/>
      <c r="AC94" s="107"/>
      <c r="AD94" s="107"/>
      <c r="AE94" s="107"/>
      <c r="AF94" s="107"/>
      <c r="AG94" s="107"/>
      <c r="AH94" s="107"/>
      <c r="AI94" s="107"/>
      <c r="AJ94" s="107"/>
      <c r="AK94" s="107"/>
      <c r="AL94" s="107"/>
      <c r="AM94" s="107"/>
      <c r="AN94" s="107"/>
      <c r="AO94" s="107"/>
      <c r="AP94" s="107"/>
      <c r="AQ94" s="107"/>
      <c r="AR94" s="107"/>
    </row>
    <row r="95" spans="1:44" ht="12.75" customHeight="1" x14ac:dyDescent="0.2">
      <c r="A95" s="107"/>
      <c r="B95" s="107"/>
      <c r="C95" s="107"/>
      <c r="D95" s="107"/>
      <c r="E95" s="107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7"/>
      <c r="AA95" s="107"/>
      <c r="AB95" s="107"/>
      <c r="AC95" s="107"/>
      <c r="AD95" s="107"/>
      <c r="AE95" s="107"/>
      <c r="AF95" s="107"/>
      <c r="AG95" s="107"/>
      <c r="AH95" s="107"/>
      <c r="AI95" s="107"/>
      <c r="AJ95" s="107"/>
      <c r="AK95" s="107"/>
      <c r="AL95" s="107"/>
      <c r="AM95" s="107"/>
      <c r="AN95" s="107"/>
      <c r="AO95" s="107"/>
      <c r="AP95" s="107"/>
      <c r="AQ95" s="107"/>
      <c r="AR95" s="107"/>
    </row>
    <row r="96" spans="1:44" ht="12.75" customHeight="1" x14ac:dyDescent="0.2">
      <c r="A96" s="107"/>
      <c r="B96" s="107"/>
      <c r="C96" s="107"/>
      <c r="D96" s="107"/>
      <c r="E96" s="107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107"/>
      <c r="AA96" s="107"/>
      <c r="AB96" s="107"/>
      <c r="AC96" s="107"/>
      <c r="AD96" s="107"/>
      <c r="AE96" s="107"/>
      <c r="AF96" s="107"/>
      <c r="AG96" s="107"/>
      <c r="AH96" s="107"/>
      <c r="AI96" s="107"/>
      <c r="AJ96" s="107"/>
      <c r="AK96" s="107"/>
      <c r="AL96" s="107"/>
      <c r="AM96" s="107"/>
      <c r="AN96" s="107"/>
      <c r="AO96" s="107"/>
      <c r="AP96" s="107"/>
      <c r="AQ96" s="107"/>
      <c r="AR96" s="107"/>
    </row>
    <row r="97" spans="1:44" ht="12.75" customHeight="1" x14ac:dyDescent="0.2">
      <c r="A97" s="107"/>
      <c r="B97" s="107"/>
      <c r="C97" s="107"/>
      <c r="D97" s="107"/>
      <c r="E97" s="107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  <c r="AA97" s="107"/>
      <c r="AB97" s="107"/>
      <c r="AC97" s="107"/>
      <c r="AD97" s="107"/>
      <c r="AE97" s="107"/>
      <c r="AF97" s="107"/>
      <c r="AG97" s="107"/>
      <c r="AH97" s="107"/>
      <c r="AI97" s="107"/>
      <c r="AJ97" s="107"/>
      <c r="AK97" s="107"/>
      <c r="AL97" s="107"/>
      <c r="AM97" s="107"/>
      <c r="AN97" s="107"/>
      <c r="AO97" s="107"/>
      <c r="AP97" s="107"/>
      <c r="AQ97" s="107"/>
      <c r="AR97" s="107"/>
    </row>
    <row r="98" spans="1:44" ht="12.75" customHeight="1" x14ac:dyDescent="0.2">
      <c r="A98" s="107"/>
      <c r="B98" s="107"/>
      <c r="C98" s="107"/>
      <c r="D98" s="107"/>
      <c r="E98" s="107"/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  <c r="AA98" s="107"/>
      <c r="AB98" s="107"/>
      <c r="AC98" s="107"/>
      <c r="AD98" s="107"/>
      <c r="AE98" s="107"/>
      <c r="AF98" s="107"/>
      <c r="AG98" s="107"/>
      <c r="AH98" s="107"/>
      <c r="AI98" s="107"/>
      <c r="AJ98" s="107"/>
      <c r="AK98" s="107"/>
      <c r="AL98" s="107"/>
      <c r="AM98" s="107"/>
      <c r="AN98" s="107"/>
      <c r="AO98" s="107"/>
      <c r="AP98" s="107"/>
      <c r="AQ98" s="107"/>
      <c r="AR98" s="107"/>
    </row>
    <row r="99" spans="1:44" ht="12.75" customHeight="1" x14ac:dyDescent="0.2">
      <c r="A99" s="107"/>
      <c r="B99" s="107"/>
      <c r="C99" s="107"/>
      <c r="D99" s="107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  <c r="AA99" s="107"/>
      <c r="AB99" s="107"/>
      <c r="AC99" s="107"/>
      <c r="AD99" s="107"/>
      <c r="AE99" s="107"/>
      <c r="AF99" s="107"/>
      <c r="AG99" s="107"/>
      <c r="AH99" s="107"/>
      <c r="AI99" s="107"/>
      <c r="AJ99" s="107"/>
      <c r="AK99" s="107"/>
      <c r="AL99" s="107"/>
      <c r="AM99" s="107"/>
      <c r="AN99" s="107"/>
      <c r="AO99" s="107"/>
      <c r="AP99" s="107"/>
      <c r="AQ99" s="107"/>
      <c r="AR99" s="107"/>
    </row>
    <row r="100" spans="1:44" ht="12.75" customHeight="1" x14ac:dyDescent="0.2">
      <c r="A100" s="107"/>
      <c r="B100" s="107"/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  <c r="AA100" s="107"/>
      <c r="AB100" s="107"/>
      <c r="AC100" s="107"/>
      <c r="AD100" s="107"/>
      <c r="AE100" s="107"/>
      <c r="AF100" s="107"/>
      <c r="AG100" s="107"/>
      <c r="AH100" s="107"/>
      <c r="AI100" s="107"/>
      <c r="AJ100" s="107"/>
      <c r="AK100" s="107"/>
      <c r="AL100" s="107"/>
      <c r="AM100" s="107"/>
      <c r="AN100" s="107"/>
      <c r="AO100" s="107"/>
      <c r="AP100" s="107"/>
      <c r="AQ100" s="107"/>
      <c r="AR100" s="107"/>
    </row>
    <row r="101" spans="1:44" ht="12.75" customHeight="1" x14ac:dyDescent="0.2">
      <c r="A101" s="107"/>
      <c r="B101" s="107"/>
      <c r="C101" s="107"/>
      <c r="D101" s="107"/>
      <c r="E101" s="107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  <c r="AA101" s="107"/>
      <c r="AB101" s="107"/>
      <c r="AC101" s="107"/>
      <c r="AD101" s="107"/>
      <c r="AE101" s="107"/>
      <c r="AF101" s="107"/>
      <c r="AG101" s="107"/>
      <c r="AH101" s="107"/>
      <c r="AI101" s="107"/>
      <c r="AJ101" s="107"/>
      <c r="AK101" s="107"/>
      <c r="AL101" s="107"/>
      <c r="AM101" s="107"/>
      <c r="AN101" s="107"/>
      <c r="AO101" s="107"/>
      <c r="AP101" s="107"/>
      <c r="AQ101" s="107"/>
      <c r="AR101" s="107"/>
    </row>
    <row r="102" spans="1:44" ht="12.75" customHeight="1" x14ac:dyDescent="0.2">
      <c r="A102" s="107"/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  <c r="AA102" s="107"/>
      <c r="AB102" s="107"/>
      <c r="AC102" s="107"/>
      <c r="AD102" s="107"/>
      <c r="AE102" s="107"/>
      <c r="AF102" s="107"/>
      <c r="AG102" s="107"/>
      <c r="AH102" s="107"/>
      <c r="AI102" s="107"/>
      <c r="AJ102" s="107"/>
      <c r="AK102" s="107"/>
      <c r="AL102" s="107"/>
      <c r="AM102" s="107"/>
      <c r="AN102" s="107"/>
      <c r="AO102" s="107"/>
      <c r="AP102" s="107"/>
      <c r="AQ102" s="107"/>
      <c r="AR102" s="107"/>
    </row>
    <row r="103" spans="1:44" ht="12.75" customHeight="1" x14ac:dyDescent="0.2">
      <c r="A103" s="107"/>
      <c r="B103" s="107"/>
      <c r="C103" s="107"/>
      <c r="D103" s="107"/>
      <c r="E103" s="107"/>
      <c r="F103" s="107"/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  <c r="AA103" s="107"/>
      <c r="AB103" s="107"/>
      <c r="AC103" s="107"/>
      <c r="AD103" s="107"/>
      <c r="AE103" s="107"/>
      <c r="AF103" s="107"/>
      <c r="AG103" s="107"/>
      <c r="AH103" s="107"/>
      <c r="AI103" s="107"/>
      <c r="AJ103" s="107"/>
      <c r="AK103" s="107"/>
      <c r="AL103" s="107"/>
      <c r="AM103" s="107"/>
      <c r="AN103" s="107"/>
      <c r="AO103" s="107"/>
      <c r="AP103" s="107"/>
      <c r="AQ103" s="107"/>
      <c r="AR103" s="107"/>
    </row>
    <row r="104" spans="1:44" ht="12.75" customHeight="1" x14ac:dyDescent="0.2">
      <c r="A104" s="107"/>
      <c r="B104" s="107"/>
      <c r="C104" s="107"/>
      <c r="D104" s="107"/>
      <c r="E104" s="107"/>
      <c r="F104" s="107"/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  <c r="AA104" s="107"/>
      <c r="AB104" s="107"/>
      <c r="AC104" s="107"/>
      <c r="AD104" s="107"/>
      <c r="AE104" s="107"/>
      <c r="AF104" s="107"/>
      <c r="AG104" s="107"/>
      <c r="AH104" s="107"/>
      <c r="AI104" s="107"/>
      <c r="AJ104" s="107"/>
      <c r="AK104" s="107"/>
      <c r="AL104" s="107"/>
      <c r="AM104" s="107"/>
      <c r="AN104" s="107"/>
      <c r="AO104" s="107"/>
      <c r="AP104" s="107"/>
      <c r="AQ104" s="107"/>
      <c r="AR104" s="107"/>
    </row>
    <row r="105" spans="1:44" ht="12.75" customHeight="1" x14ac:dyDescent="0.2">
      <c r="A105" s="107"/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  <c r="AA105" s="107"/>
      <c r="AB105" s="107"/>
      <c r="AC105" s="107"/>
      <c r="AD105" s="107"/>
      <c r="AE105" s="107"/>
      <c r="AF105" s="107"/>
      <c r="AG105" s="107"/>
      <c r="AH105" s="107"/>
      <c r="AI105" s="107"/>
      <c r="AJ105" s="107"/>
      <c r="AK105" s="107"/>
      <c r="AL105" s="107"/>
      <c r="AM105" s="107"/>
      <c r="AN105" s="107"/>
      <c r="AO105" s="107"/>
      <c r="AP105" s="107"/>
      <c r="AQ105" s="107"/>
      <c r="AR105" s="107"/>
    </row>
    <row r="106" spans="1:44" ht="12.75" customHeight="1" x14ac:dyDescent="0.2">
      <c r="A106" s="107"/>
      <c r="B106" s="107"/>
      <c r="C106" s="107"/>
      <c r="D106" s="107"/>
      <c r="E106" s="107"/>
      <c r="F106" s="107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  <c r="AA106" s="107"/>
      <c r="AB106" s="107"/>
      <c r="AC106" s="107"/>
      <c r="AD106" s="107"/>
      <c r="AE106" s="107"/>
      <c r="AF106" s="107"/>
      <c r="AG106" s="107"/>
      <c r="AH106" s="107"/>
      <c r="AI106" s="107"/>
      <c r="AJ106" s="107"/>
      <c r="AK106" s="107"/>
      <c r="AL106" s="107"/>
      <c r="AM106" s="107"/>
      <c r="AN106" s="107"/>
      <c r="AO106" s="107"/>
      <c r="AP106" s="107"/>
      <c r="AQ106" s="107"/>
      <c r="AR106" s="107"/>
    </row>
    <row r="107" spans="1:44" ht="12.75" customHeight="1" x14ac:dyDescent="0.2">
      <c r="A107" s="107"/>
      <c r="B107" s="107"/>
      <c r="C107" s="10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  <c r="AA107" s="107"/>
      <c r="AB107" s="107"/>
      <c r="AC107" s="107"/>
      <c r="AD107" s="107"/>
      <c r="AE107" s="107"/>
      <c r="AF107" s="107"/>
      <c r="AG107" s="107"/>
      <c r="AH107" s="107"/>
      <c r="AI107" s="107"/>
      <c r="AJ107" s="107"/>
      <c r="AK107" s="107"/>
      <c r="AL107" s="107"/>
      <c r="AM107" s="107"/>
      <c r="AN107" s="107"/>
      <c r="AO107" s="107"/>
      <c r="AP107" s="107"/>
      <c r="AQ107" s="107"/>
      <c r="AR107" s="107"/>
    </row>
    <row r="108" spans="1:44" ht="12.75" customHeight="1" x14ac:dyDescent="0.2">
      <c r="A108" s="107"/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  <c r="AA108" s="107"/>
      <c r="AB108" s="107"/>
      <c r="AC108" s="107"/>
      <c r="AD108" s="107"/>
      <c r="AE108" s="107"/>
      <c r="AF108" s="107"/>
      <c r="AG108" s="107"/>
      <c r="AH108" s="107"/>
      <c r="AI108" s="107"/>
      <c r="AJ108" s="107"/>
      <c r="AK108" s="107"/>
      <c r="AL108" s="107"/>
      <c r="AM108" s="107"/>
      <c r="AN108" s="107"/>
      <c r="AO108" s="107"/>
      <c r="AP108" s="107"/>
      <c r="AQ108" s="107"/>
      <c r="AR108" s="107"/>
    </row>
    <row r="109" spans="1:44" ht="12.75" customHeight="1" x14ac:dyDescent="0.2">
      <c r="A109" s="107"/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  <c r="AA109" s="107"/>
      <c r="AB109" s="107"/>
      <c r="AC109" s="107"/>
      <c r="AD109" s="107"/>
      <c r="AE109" s="107"/>
      <c r="AF109" s="107"/>
      <c r="AG109" s="107"/>
      <c r="AH109" s="107"/>
      <c r="AI109" s="107"/>
      <c r="AJ109" s="107"/>
      <c r="AK109" s="107"/>
      <c r="AL109" s="107"/>
      <c r="AM109" s="107"/>
      <c r="AN109" s="107"/>
      <c r="AO109" s="107"/>
      <c r="AP109" s="107"/>
      <c r="AQ109" s="107"/>
      <c r="AR109" s="107"/>
    </row>
    <row r="110" spans="1:44" ht="12.75" customHeight="1" x14ac:dyDescent="0.2">
      <c r="A110" s="107"/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  <c r="AA110" s="107"/>
      <c r="AB110" s="107"/>
      <c r="AC110" s="107"/>
      <c r="AD110" s="107"/>
      <c r="AE110" s="107"/>
      <c r="AF110" s="107"/>
      <c r="AG110" s="107"/>
      <c r="AH110" s="107"/>
      <c r="AI110" s="107"/>
      <c r="AJ110" s="107"/>
      <c r="AK110" s="107"/>
      <c r="AL110" s="107"/>
      <c r="AM110" s="107"/>
      <c r="AN110" s="107"/>
      <c r="AO110" s="107"/>
      <c r="AP110" s="107"/>
      <c r="AQ110" s="107"/>
      <c r="AR110" s="107"/>
    </row>
    <row r="111" spans="1:44" ht="12.75" customHeight="1" x14ac:dyDescent="0.2">
      <c r="A111" s="107"/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  <c r="AA111" s="107"/>
      <c r="AB111" s="107"/>
      <c r="AC111" s="107"/>
      <c r="AD111" s="107"/>
      <c r="AE111" s="107"/>
      <c r="AF111" s="107"/>
      <c r="AG111" s="107"/>
      <c r="AH111" s="107"/>
      <c r="AI111" s="107"/>
      <c r="AJ111" s="107"/>
      <c r="AK111" s="107"/>
      <c r="AL111" s="107"/>
      <c r="AM111" s="107"/>
      <c r="AN111" s="107"/>
      <c r="AO111" s="107"/>
      <c r="AP111" s="107"/>
      <c r="AQ111" s="107"/>
      <c r="AR111" s="107"/>
    </row>
    <row r="112" spans="1:44" ht="12.75" customHeight="1" x14ac:dyDescent="0.2">
      <c r="A112" s="107"/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  <c r="AA112" s="107"/>
      <c r="AB112" s="107"/>
      <c r="AC112" s="107"/>
      <c r="AD112" s="107"/>
      <c r="AE112" s="107"/>
      <c r="AF112" s="107"/>
      <c r="AG112" s="107"/>
      <c r="AH112" s="107"/>
      <c r="AI112" s="107"/>
      <c r="AJ112" s="107"/>
      <c r="AK112" s="107"/>
      <c r="AL112" s="107"/>
      <c r="AM112" s="107"/>
      <c r="AN112" s="107"/>
      <c r="AO112" s="107"/>
      <c r="AP112" s="107"/>
      <c r="AQ112" s="107"/>
      <c r="AR112" s="107"/>
    </row>
    <row r="113" spans="1:44" ht="12.75" customHeight="1" x14ac:dyDescent="0.2">
      <c r="A113" s="107"/>
      <c r="B113" s="107"/>
      <c r="C113" s="107"/>
      <c r="D113" s="107"/>
      <c r="E113" s="107"/>
      <c r="F113" s="107"/>
      <c r="G113" s="107"/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  <c r="AA113" s="107"/>
      <c r="AB113" s="107"/>
      <c r="AC113" s="107"/>
      <c r="AD113" s="107"/>
      <c r="AE113" s="107"/>
      <c r="AF113" s="107"/>
      <c r="AG113" s="107"/>
      <c r="AH113" s="107"/>
      <c r="AI113" s="107"/>
      <c r="AJ113" s="107"/>
      <c r="AK113" s="107"/>
      <c r="AL113" s="107"/>
      <c r="AM113" s="107"/>
      <c r="AN113" s="107"/>
      <c r="AO113" s="107"/>
      <c r="AP113" s="107"/>
      <c r="AQ113" s="107"/>
      <c r="AR113" s="107"/>
    </row>
    <row r="114" spans="1:44" ht="12.75" customHeight="1" x14ac:dyDescent="0.2">
      <c r="A114" s="107"/>
      <c r="B114" s="107"/>
      <c r="C114" s="107"/>
      <c r="D114" s="107"/>
      <c r="E114" s="107"/>
      <c r="F114" s="107"/>
      <c r="G114" s="107"/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  <c r="AA114" s="107"/>
      <c r="AB114" s="107"/>
      <c r="AC114" s="107"/>
      <c r="AD114" s="107"/>
      <c r="AE114" s="107"/>
      <c r="AF114" s="107"/>
      <c r="AG114" s="107"/>
      <c r="AH114" s="107"/>
      <c r="AI114" s="107"/>
      <c r="AJ114" s="107"/>
      <c r="AK114" s="107"/>
      <c r="AL114" s="107"/>
      <c r="AM114" s="107"/>
      <c r="AN114" s="107"/>
      <c r="AO114" s="107"/>
      <c r="AP114" s="107"/>
      <c r="AQ114" s="107"/>
      <c r="AR114" s="107"/>
    </row>
    <row r="115" spans="1:44" ht="12.75" customHeight="1" x14ac:dyDescent="0.2">
      <c r="A115" s="107"/>
      <c r="B115" s="107"/>
      <c r="C115" s="107"/>
      <c r="D115" s="107"/>
      <c r="E115" s="107"/>
      <c r="F115" s="107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  <c r="AA115" s="107"/>
      <c r="AB115" s="107"/>
      <c r="AC115" s="107"/>
      <c r="AD115" s="107"/>
      <c r="AE115" s="107"/>
      <c r="AF115" s="107"/>
      <c r="AG115" s="107"/>
      <c r="AH115" s="107"/>
      <c r="AI115" s="107"/>
      <c r="AJ115" s="107"/>
      <c r="AK115" s="107"/>
      <c r="AL115" s="107"/>
      <c r="AM115" s="107"/>
      <c r="AN115" s="107"/>
      <c r="AO115" s="107"/>
      <c r="AP115" s="107"/>
      <c r="AQ115" s="107"/>
      <c r="AR115" s="107"/>
    </row>
    <row r="116" spans="1:44" ht="12.75" customHeight="1" x14ac:dyDescent="0.2">
      <c r="A116" s="107"/>
      <c r="B116" s="107"/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  <c r="AA116" s="107"/>
      <c r="AB116" s="107"/>
      <c r="AC116" s="107"/>
      <c r="AD116" s="107"/>
      <c r="AE116" s="107"/>
      <c r="AF116" s="107"/>
      <c r="AG116" s="107"/>
      <c r="AH116" s="107"/>
      <c r="AI116" s="107"/>
      <c r="AJ116" s="107"/>
      <c r="AK116" s="107"/>
      <c r="AL116" s="107"/>
      <c r="AM116" s="107"/>
      <c r="AN116" s="107"/>
      <c r="AO116" s="107"/>
      <c r="AP116" s="107"/>
      <c r="AQ116" s="107"/>
      <c r="AR116" s="107"/>
    </row>
    <row r="117" spans="1:44" ht="12.75" customHeight="1" x14ac:dyDescent="0.2">
      <c r="A117" s="107"/>
      <c r="B117" s="107"/>
      <c r="C117" s="107"/>
      <c r="D117" s="107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  <c r="AA117" s="107"/>
      <c r="AB117" s="107"/>
      <c r="AC117" s="107"/>
      <c r="AD117" s="107"/>
      <c r="AE117" s="107"/>
      <c r="AF117" s="107"/>
      <c r="AG117" s="107"/>
      <c r="AH117" s="107"/>
      <c r="AI117" s="107"/>
      <c r="AJ117" s="107"/>
      <c r="AK117" s="107"/>
      <c r="AL117" s="107"/>
      <c r="AM117" s="107"/>
      <c r="AN117" s="107"/>
      <c r="AO117" s="107"/>
      <c r="AP117" s="107"/>
      <c r="AQ117" s="107"/>
      <c r="AR117" s="107"/>
    </row>
    <row r="118" spans="1:44" ht="12.75" customHeight="1" x14ac:dyDescent="0.2">
      <c r="A118" s="107"/>
      <c r="B118" s="107"/>
      <c r="C118" s="107"/>
      <c r="D118" s="107"/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  <c r="AA118" s="107"/>
      <c r="AB118" s="107"/>
      <c r="AC118" s="107"/>
      <c r="AD118" s="107"/>
      <c r="AE118" s="107"/>
      <c r="AF118" s="107"/>
      <c r="AG118" s="107"/>
      <c r="AH118" s="107"/>
      <c r="AI118" s="107"/>
      <c r="AJ118" s="107"/>
      <c r="AK118" s="107"/>
      <c r="AL118" s="107"/>
      <c r="AM118" s="107"/>
      <c r="AN118" s="107"/>
      <c r="AO118" s="107"/>
      <c r="AP118" s="107"/>
      <c r="AQ118" s="107"/>
      <c r="AR118" s="107"/>
    </row>
    <row r="119" spans="1:44" ht="12.75" customHeight="1" x14ac:dyDescent="0.2">
      <c r="A119" s="107"/>
      <c r="B119" s="107"/>
      <c r="C119" s="107"/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  <c r="AA119" s="107"/>
      <c r="AB119" s="107"/>
      <c r="AC119" s="107"/>
      <c r="AD119" s="107"/>
      <c r="AE119" s="107"/>
      <c r="AF119" s="107"/>
      <c r="AG119" s="107"/>
      <c r="AH119" s="107"/>
      <c r="AI119" s="107"/>
      <c r="AJ119" s="107"/>
      <c r="AK119" s="107"/>
      <c r="AL119" s="107"/>
      <c r="AM119" s="107"/>
      <c r="AN119" s="107"/>
      <c r="AO119" s="107"/>
      <c r="AP119" s="107"/>
      <c r="AQ119" s="107"/>
      <c r="AR119" s="107"/>
    </row>
    <row r="120" spans="1:44" ht="12.75" customHeight="1" x14ac:dyDescent="0.2">
      <c r="A120" s="107"/>
      <c r="B120" s="107"/>
      <c r="C120" s="107"/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07"/>
      <c r="Z120" s="107"/>
      <c r="AA120" s="107"/>
      <c r="AB120" s="107"/>
      <c r="AC120" s="107"/>
      <c r="AD120" s="107"/>
      <c r="AE120" s="107"/>
      <c r="AF120" s="107"/>
      <c r="AG120" s="107"/>
      <c r="AH120" s="107"/>
      <c r="AI120" s="107"/>
      <c r="AJ120" s="107"/>
      <c r="AK120" s="107"/>
      <c r="AL120" s="107"/>
      <c r="AM120" s="107"/>
      <c r="AN120" s="107"/>
      <c r="AO120" s="107"/>
      <c r="AP120" s="107"/>
      <c r="AQ120" s="107"/>
      <c r="AR120" s="107"/>
    </row>
    <row r="121" spans="1:44" ht="12.75" customHeight="1" x14ac:dyDescent="0.2">
      <c r="A121" s="107"/>
      <c r="B121" s="107"/>
      <c r="C121" s="107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  <c r="Y121" s="107"/>
      <c r="Z121" s="107"/>
      <c r="AA121" s="107"/>
      <c r="AB121" s="107"/>
      <c r="AC121" s="107"/>
      <c r="AD121" s="107"/>
      <c r="AE121" s="107"/>
      <c r="AF121" s="107"/>
      <c r="AG121" s="107"/>
      <c r="AH121" s="107"/>
      <c r="AI121" s="107"/>
      <c r="AJ121" s="107"/>
      <c r="AK121" s="107"/>
      <c r="AL121" s="107"/>
      <c r="AM121" s="107"/>
      <c r="AN121" s="107"/>
      <c r="AO121" s="107"/>
      <c r="AP121" s="107"/>
      <c r="AQ121" s="107"/>
      <c r="AR121" s="107"/>
    </row>
    <row r="122" spans="1:44" ht="12.75" customHeight="1" x14ac:dyDescent="0.2">
      <c r="A122" s="107"/>
      <c r="B122" s="107"/>
      <c r="C122" s="107"/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  <c r="Y122" s="107"/>
      <c r="Z122" s="107"/>
      <c r="AA122" s="107"/>
      <c r="AB122" s="107"/>
      <c r="AC122" s="107"/>
      <c r="AD122" s="107"/>
      <c r="AE122" s="107"/>
      <c r="AF122" s="107"/>
      <c r="AG122" s="107"/>
      <c r="AH122" s="107"/>
      <c r="AI122" s="107"/>
      <c r="AJ122" s="107"/>
      <c r="AK122" s="107"/>
      <c r="AL122" s="107"/>
      <c r="AM122" s="107"/>
      <c r="AN122" s="107"/>
      <c r="AO122" s="107"/>
      <c r="AP122" s="107"/>
      <c r="AQ122" s="107"/>
      <c r="AR122" s="107"/>
    </row>
    <row r="123" spans="1:44" ht="12.75" customHeight="1" x14ac:dyDescent="0.2">
      <c r="A123" s="107"/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  <c r="AA123" s="107"/>
      <c r="AB123" s="107"/>
      <c r="AC123" s="107"/>
      <c r="AD123" s="107"/>
      <c r="AE123" s="107"/>
      <c r="AF123" s="107"/>
      <c r="AG123" s="107"/>
      <c r="AH123" s="107"/>
      <c r="AI123" s="107"/>
      <c r="AJ123" s="107"/>
      <c r="AK123" s="107"/>
      <c r="AL123" s="107"/>
      <c r="AM123" s="107"/>
      <c r="AN123" s="107"/>
      <c r="AO123" s="107"/>
      <c r="AP123" s="107"/>
      <c r="AQ123" s="107"/>
      <c r="AR123" s="107"/>
    </row>
    <row r="124" spans="1:44" ht="12.75" customHeight="1" x14ac:dyDescent="0.2">
      <c r="A124" s="107"/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  <c r="AA124" s="107"/>
      <c r="AB124" s="107"/>
      <c r="AC124" s="107"/>
      <c r="AD124" s="107"/>
      <c r="AE124" s="107"/>
      <c r="AF124" s="107"/>
      <c r="AG124" s="107"/>
      <c r="AH124" s="107"/>
      <c r="AI124" s="107"/>
      <c r="AJ124" s="107"/>
      <c r="AK124" s="107"/>
      <c r="AL124" s="107"/>
      <c r="AM124" s="107"/>
      <c r="AN124" s="107"/>
      <c r="AO124" s="107"/>
      <c r="AP124" s="107"/>
      <c r="AQ124" s="107"/>
      <c r="AR124" s="107"/>
    </row>
    <row r="125" spans="1:44" ht="12.75" customHeight="1" x14ac:dyDescent="0.2">
      <c r="A125" s="107"/>
      <c r="B125" s="107"/>
      <c r="C125" s="107"/>
      <c r="D125" s="107"/>
      <c r="E125" s="107"/>
      <c r="F125" s="107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  <c r="AA125" s="107"/>
      <c r="AB125" s="107"/>
      <c r="AC125" s="107"/>
      <c r="AD125" s="107"/>
      <c r="AE125" s="107"/>
      <c r="AF125" s="107"/>
      <c r="AG125" s="107"/>
      <c r="AH125" s="107"/>
      <c r="AI125" s="107"/>
      <c r="AJ125" s="107"/>
      <c r="AK125" s="107"/>
      <c r="AL125" s="107"/>
      <c r="AM125" s="107"/>
      <c r="AN125" s="107"/>
      <c r="AO125" s="107"/>
      <c r="AP125" s="107"/>
      <c r="AQ125" s="107"/>
      <c r="AR125" s="107"/>
    </row>
    <row r="126" spans="1:44" ht="12.75" customHeight="1" x14ac:dyDescent="0.2">
      <c r="A126" s="107"/>
      <c r="B126" s="107"/>
      <c r="C126" s="107"/>
      <c r="D126" s="107"/>
      <c r="E126" s="107"/>
      <c r="F126" s="107"/>
      <c r="G126" s="107"/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  <c r="AA126" s="107"/>
      <c r="AB126" s="107"/>
      <c r="AC126" s="107"/>
      <c r="AD126" s="107"/>
      <c r="AE126" s="107"/>
      <c r="AF126" s="107"/>
      <c r="AG126" s="107"/>
      <c r="AH126" s="107"/>
      <c r="AI126" s="107"/>
      <c r="AJ126" s="107"/>
      <c r="AK126" s="107"/>
      <c r="AL126" s="107"/>
      <c r="AM126" s="107"/>
      <c r="AN126" s="107"/>
      <c r="AO126" s="107"/>
      <c r="AP126" s="107"/>
      <c r="AQ126" s="107"/>
      <c r="AR126" s="107"/>
    </row>
    <row r="127" spans="1:44" ht="12.75" customHeight="1" x14ac:dyDescent="0.2">
      <c r="A127" s="107"/>
      <c r="B127" s="107"/>
      <c r="C127" s="107"/>
      <c r="D127" s="107"/>
      <c r="E127" s="107"/>
      <c r="F127" s="107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  <c r="AA127" s="107"/>
      <c r="AB127" s="107"/>
      <c r="AC127" s="107"/>
      <c r="AD127" s="107"/>
      <c r="AE127" s="107"/>
      <c r="AF127" s="107"/>
      <c r="AG127" s="107"/>
      <c r="AH127" s="107"/>
      <c r="AI127" s="107"/>
      <c r="AJ127" s="107"/>
      <c r="AK127" s="107"/>
      <c r="AL127" s="107"/>
      <c r="AM127" s="107"/>
      <c r="AN127" s="107"/>
      <c r="AO127" s="107"/>
      <c r="AP127" s="107"/>
      <c r="AQ127" s="107"/>
      <c r="AR127" s="107"/>
    </row>
    <row r="128" spans="1:44" ht="12.75" customHeight="1" x14ac:dyDescent="0.2">
      <c r="A128" s="107"/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  <c r="AA128" s="107"/>
      <c r="AB128" s="107"/>
      <c r="AC128" s="107"/>
      <c r="AD128" s="107"/>
      <c r="AE128" s="107"/>
      <c r="AF128" s="107"/>
      <c r="AG128" s="107"/>
      <c r="AH128" s="107"/>
      <c r="AI128" s="107"/>
      <c r="AJ128" s="107"/>
      <c r="AK128" s="107"/>
      <c r="AL128" s="107"/>
      <c r="AM128" s="107"/>
      <c r="AN128" s="107"/>
      <c r="AO128" s="107"/>
      <c r="AP128" s="107"/>
      <c r="AQ128" s="107"/>
      <c r="AR128" s="107"/>
    </row>
    <row r="129" spans="1:44" ht="12.75" customHeight="1" x14ac:dyDescent="0.2">
      <c r="A129" s="107"/>
      <c r="B129" s="107"/>
      <c r="C129" s="107"/>
      <c r="D129" s="107"/>
      <c r="E129" s="107"/>
      <c r="F129" s="107"/>
      <c r="G129" s="107"/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  <c r="AA129" s="107"/>
      <c r="AB129" s="107"/>
      <c r="AC129" s="107"/>
      <c r="AD129" s="107"/>
      <c r="AE129" s="107"/>
      <c r="AF129" s="107"/>
      <c r="AG129" s="107"/>
      <c r="AH129" s="107"/>
      <c r="AI129" s="107"/>
      <c r="AJ129" s="107"/>
      <c r="AK129" s="107"/>
      <c r="AL129" s="107"/>
      <c r="AM129" s="107"/>
      <c r="AN129" s="107"/>
      <c r="AO129" s="107"/>
      <c r="AP129" s="107"/>
      <c r="AQ129" s="107"/>
      <c r="AR129" s="107"/>
    </row>
    <row r="130" spans="1:44" ht="12.75" customHeight="1" x14ac:dyDescent="0.2">
      <c r="A130" s="107"/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  <c r="AA130" s="107"/>
      <c r="AB130" s="107"/>
      <c r="AC130" s="107"/>
      <c r="AD130" s="107"/>
      <c r="AE130" s="107"/>
      <c r="AF130" s="107"/>
      <c r="AG130" s="107"/>
      <c r="AH130" s="107"/>
      <c r="AI130" s="107"/>
      <c r="AJ130" s="107"/>
      <c r="AK130" s="107"/>
      <c r="AL130" s="107"/>
      <c r="AM130" s="107"/>
      <c r="AN130" s="107"/>
      <c r="AO130" s="107"/>
      <c r="AP130" s="107"/>
      <c r="AQ130" s="107"/>
      <c r="AR130" s="107"/>
    </row>
    <row r="131" spans="1:44" ht="12.75" customHeight="1" x14ac:dyDescent="0.2">
      <c r="A131" s="107"/>
      <c r="B131" s="107"/>
      <c r="C131" s="107"/>
      <c r="D131" s="107"/>
      <c r="E131" s="107"/>
      <c r="F131" s="107"/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  <c r="AA131" s="107"/>
      <c r="AB131" s="107"/>
      <c r="AC131" s="107"/>
      <c r="AD131" s="107"/>
      <c r="AE131" s="107"/>
      <c r="AF131" s="107"/>
      <c r="AG131" s="107"/>
      <c r="AH131" s="107"/>
      <c r="AI131" s="107"/>
      <c r="AJ131" s="107"/>
      <c r="AK131" s="107"/>
      <c r="AL131" s="107"/>
      <c r="AM131" s="107"/>
      <c r="AN131" s="107"/>
      <c r="AO131" s="107"/>
      <c r="AP131" s="107"/>
      <c r="AQ131" s="107"/>
      <c r="AR131" s="107"/>
    </row>
    <row r="132" spans="1:44" ht="12.75" customHeight="1" x14ac:dyDescent="0.2">
      <c r="A132" s="107"/>
      <c r="B132" s="107"/>
      <c r="C132" s="107"/>
      <c r="D132" s="107"/>
      <c r="E132" s="107"/>
      <c r="F132" s="107"/>
      <c r="G132" s="107"/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  <c r="AA132" s="107"/>
      <c r="AB132" s="107"/>
      <c r="AC132" s="107"/>
      <c r="AD132" s="107"/>
      <c r="AE132" s="107"/>
      <c r="AF132" s="107"/>
      <c r="AG132" s="107"/>
      <c r="AH132" s="107"/>
      <c r="AI132" s="107"/>
      <c r="AJ132" s="107"/>
      <c r="AK132" s="107"/>
      <c r="AL132" s="107"/>
      <c r="AM132" s="107"/>
      <c r="AN132" s="107"/>
      <c r="AO132" s="107"/>
      <c r="AP132" s="107"/>
      <c r="AQ132" s="107"/>
      <c r="AR132" s="107"/>
    </row>
    <row r="133" spans="1:44" ht="12.75" customHeight="1" x14ac:dyDescent="0.2">
      <c r="A133" s="107"/>
      <c r="B133" s="107"/>
      <c r="C133" s="107"/>
      <c r="D133" s="107"/>
      <c r="E133" s="107"/>
      <c r="F133" s="107"/>
      <c r="G133" s="107"/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  <c r="AA133" s="107"/>
      <c r="AB133" s="107"/>
      <c r="AC133" s="107"/>
      <c r="AD133" s="107"/>
      <c r="AE133" s="107"/>
      <c r="AF133" s="107"/>
      <c r="AG133" s="107"/>
      <c r="AH133" s="107"/>
      <c r="AI133" s="107"/>
      <c r="AJ133" s="107"/>
      <c r="AK133" s="107"/>
      <c r="AL133" s="107"/>
      <c r="AM133" s="107"/>
      <c r="AN133" s="107"/>
      <c r="AO133" s="107"/>
      <c r="AP133" s="107"/>
      <c r="AQ133" s="107"/>
      <c r="AR133" s="107"/>
    </row>
    <row r="134" spans="1:44" ht="12.75" customHeight="1" x14ac:dyDescent="0.2">
      <c r="A134" s="107"/>
      <c r="B134" s="107"/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  <c r="AA134" s="107"/>
      <c r="AB134" s="107"/>
      <c r="AC134" s="107"/>
      <c r="AD134" s="107"/>
      <c r="AE134" s="107"/>
      <c r="AF134" s="107"/>
      <c r="AG134" s="107"/>
      <c r="AH134" s="107"/>
      <c r="AI134" s="107"/>
      <c r="AJ134" s="107"/>
      <c r="AK134" s="107"/>
      <c r="AL134" s="107"/>
      <c r="AM134" s="107"/>
      <c r="AN134" s="107"/>
      <c r="AO134" s="107"/>
      <c r="AP134" s="107"/>
      <c r="AQ134" s="107"/>
      <c r="AR134" s="107"/>
    </row>
    <row r="135" spans="1:44" ht="12.75" customHeight="1" x14ac:dyDescent="0.2">
      <c r="A135" s="107"/>
      <c r="B135" s="107"/>
      <c r="C135" s="107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  <c r="AA135" s="107"/>
      <c r="AB135" s="107"/>
      <c r="AC135" s="107"/>
      <c r="AD135" s="107"/>
      <c r="AE135" s="107"/>
      <c r="AF135" s="107"/>
      <c r="AG135" s="107"/>
      <c r="AH135" s="107"/>
      <c r="AI135" s="107"/>
      <c r="AJ135" s="107"/>
      <c r="AK135" s="107"/>
      <c r="AL135" s="107"/>
      <c r="AM135" s="107"/>
      <c r="AN135" s="107"/>
      <c r="AO135" s="107"/>
      <c r="AP135" s="107"/>
      <c r="AQ135" s="107"/>
      <c r="AR135" s="107"/>
    </row>
    <row r="136" spans="1:44" ht="12.75" customHeight="1" x14ac:dyDescent="0.2">
      <c r="A136" s="107"/>
      <c r="B136" s="107"/>
      <c r="C136" s="107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  <c r="AA136" s="107"/>
      <c r="AB136" s="107"/>
      <c r="AC136" s="107"/>
      <c r="AD136" s="107"/>
      <c r="AE136" s="107"/>
      <c r="AF136" s="107"/>
      <c r="AG136" s="107"/>
      <c r="AH136" s="107"/>
      <c r="AI136" s="107"/>
      <c r="AJ136" s="107"/>
      <c r="AK136" s="107"/>
      <c r="AL136" s="107"/>
      <c r="AM136" s="107"/>
      <c r="AN136" s="107"/>
      <c r="AO136" s="107"/>
      <c r="AP136" s="107"/>
      <c r="AQ136" s="107"/>
      <c r="AR136" s="107"/>
    </row>
    <row r="137" spans="1:44" ht="12.75" customHeight="1" x14ac:dyDescent="0.2">
      <c r="A137" s="107"/>
      <c r="B137" s="107"/>
      <c r="C137" s="107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  <c r="AA137" s="107"/>
      <c r="AB137" s="107"/>
      <c r="AC137" s="107"/>
      <c r="AD137" s="107"/>
      <c r="AE137" s="107"/>
      <c r="AF137" s="107"/>
      <c r="AG137" s="107"/>
      <c r="AH137" s="107"/>
      <c r="AI137" s="107"/>
      <c r="AJ137" s="107"/>
      <c r="AK137" s="107"/>
      <c r="AL137" s="107"/>
      <c r="AM137" s="107"/>
      <c r="AN137" s="107"/>
      <c r="AO137" s="107"/>
      <c r="AP137" s="107"/>
      <c r="AQ137" s="107"/>
      <c r="AR137" s="107"/>
    </row>
    <row r="138" spans="1:44" ht="12.75" customHeight="1" x14ac:dyDescent="0.2">
      <c r="A138" s="107"/>
      <c r="B138" s="107"/>
      <c r="C138" s="107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  <c r="AA138" s="107"/>
      <c r="AB138" s="107"/>
      <c r="AC138" s="107"/>
      <c r="AD138" s="107"/>
      <c r="AE138" s="107"/>
      <c r="AF138" s="107"/>
      <c r="AG138" s="107"/>
      <c r="AH138" s="107"/>
      <c r="AI138" s="107"/>
      <c r="AJ138" s="107"/>
      <c r="AK138" s="107"/>
      <c r="AL138" s="107"/>
      <c r="AM138" s="107"/>
      <c r="AN138" s="107"/>
      <c r="AO138" s="107"/>
      <c r="AP138" s="107"/>
      <c r="AQ138" s="107"/>
      <c r="AR138" s="107"/>
    </row>
    <row r="139" spans="1:44" ht="12.75" customHeight="1" x14ac:dyDescent="0.2">
      <c r="A139" s="107"/>
      <c r="B139" s="107"/>
      <c r="C139" s="107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  <c r="AA139" s="107"/>
      <c r="AB139" s="107"/>
      <c r="AC139" s="107"/>
      <c r="AD139" s="107"/>
      <c r="AE139" s="107"/>
      <c r="AF139" s="107"/>
      <c r="AG139" s="107"/>
      <c r="AH139" s="107"/>
      <c r="AI139" s="107"/>
      <c r="AJ139" s="107"/>
      <c r="AK139" s="107"/>
      <c r="AL139" s="107"/>
      <c r="AM139" s="107"/>
      <c r="AN139" s="107"/>
      <c r="AO139" s="107"/>
      <c r="AP139" s="107"/>
      <c r="AQ139" s="107"/>
      <c r="AR139" s="107"/>
    </row>
    <row r="140" spans="1:44" ht="12.75" customHeight="1" x14ac:dyDescent="0.2">
      <c r="A140" s="107"/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  <c r="AA140" s="107"/>
      <c r="AB140" s="107"/>
      <c r="AC140" s="107"/>
      <c r="AD140" s="107"/>
      <c r="AE140" s="107"/>
      <c r="AF140" s="107"/>
      <c r="AG140" s="107"/>
      <c r="AH140" s="107"/>
      <c r="AI140" s="107"/>
      <c r="AJ140" s="107"/>
      <c r="AK140" s="107"/>
      <c r="AL140" s="107"/>
      <c r="AM140" s="107"/>
      <c r="AN140" s="107"/>
      <c r="AO140" s="107"/>
      <c r="AP140" s="107"/>
      <c r="AQ140" s="107"/>
      <c r="AR140" s="107"/>
    </row>
    <row r="141" spans="1:44" ht="12.75" customHeight="1" x14ac:dyDescent="0.2">
      <c r="A141" s="107"/>
      <c r="B141" s="107"/>
      <c r="C141" s="107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  <c r="AA141" s="107"/>
      <c r="AB141" s="107"/>
      <c r="AC141" s="107"/>
      <c r="AD141" s="107"/>
      <c r="AE141" s="107"/>
      <c r="AF141" s="107"/>
      <c r="AG141" s="107"/>
      <c r="AH141" s="107"/>
      <c r="AI141" s="107"/>
      <c r="AJ141" s="107"/>
      <c r="AK141" s="107"/>
      <c r="AL141" s="107"/>
      <c r="AM141" s="107"/>
      <c r="AN141" s="107"/>
      <c r="AO141" s="107"/>
      <c r="AP141" s="107"/>
      <c r="AQ141" s="107"/>
      <c r="AR141" s="107"/>
    </row>
    <row r="142" spans="1:44" ht="12.75" customHeight="1" x14ac:dyDescent="0.2">
      <c r="A142" s="107"/>
      <c r="B142" s="107"/>
      <c r="C142" s="107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  <c r="AA142" s="107"/>
      <c r="AB142" s="107"/>
      <c r="AC142" s="107"/>
      <c r="AD142" s="107"/>
      <c r="AE142" s="107"/>
      <c r="AF142" s="107"/>
      <c r="AG142" s="107"/>
      <c r="AH142" s="107"/>
      <c r="AI142" s="107"/>
      <c r="AJ142" s="107"/>
      <c r="AK142" s="107"/>
      <c r="AL142" s="107"/>
      <c r="AM142" s="107"/>
      <c r="AN142" s="107"/>
      <c r="AO142" s="107"/>
      <c r="AP142" s="107"/>
      <c r="AQ142" s="107"/>
      <c r="AR142" s="107"/>
    </row>
    <row r="143" spans="1:44" ht="12.75" customHeight="1" x14ac:dyDescent="0.2">
      <c r="A143" s="107"/>
      <c r="B143" s="107"/>
      <c r="C143" s="107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  <c r="AA143" s="107"/>
      <c r="AB143" s="107"/>
      <c r="AC143" s="107"/>
      <c r="AD143" s="107"/>
      <c r="AE143" s="107"/>
      <c r="AF143" s="107"/>
      <c r="AG143" s="107"/>
      <c r="AH143" s="107"/>
      <c r="AI143" s="107"/>
      <c r="AJ143" s="107"/>
      <c r="AK143" s="107"/>
      <c r="AL143" s="107"/>
      <c r="AM143" s="107"/>
      <c r="AN143" s="107"/>
      <c r="AO143" s="107"/>
      <c r="AP143" s="107"/>
      <c r="AQ143" s="107"/>
      <c r="AR143" s="107"/>
    </row>
    <row r="144" spans="1:44" ht="12.75" customHeight="1" x14ac:dyDescent="0.2">
      <c r="A144" s="107"/>
      <c r="B144" s="107"/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  <c r="AA144" s="107"/>
      <c r="AB144" s="107"/>
      <c r="AC144" s="107"/>
      <c r="AD144" s="107"/>
      <c r="AE144" s="107"/>
      <c r="AF144" s="107"/>
      <c r="AG144" s="107"/>
      <c r="AH144" s="107"/>
      <c r="AI144" s="107"/>
      <c r="AJ144" s="107"/>
      <c r="AK144" s="107"/>
      <c r="AL144" s="107"/>
      <c r="AM144" s="107"/>
      <c r="AN144" s="107"/>
      <c r="AO144" s="107"/>
      <c r="AP144" s="107"/>
      <c r="AQ144" s="107"/>
      <c r="AR144" s="107"/>
    </row>
    <row r="145" spans="1:44" ht="12.75" customHeight="1" x14ac:dyDescent="0.2">
      <c r="A145" s="107"/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  <c r="AA145" s="107"/>
      <c r="AB145" s="107"/>
      <c r="AC145" s="107"/>
      <c r="AD145" s="107"/>
      <c r="AE145" s="107"/>
      <c r="AF145" s="107"/>
      <c r="AG145" s="107"/>
      <c r="AH145" s="107"/>
      <c r="AI145" s="107"/>
      <c r="AJ145" s="107"/>
      <c r="AK145" s="107"/>
      <c r="AL145" s="107"/>
      <c r="AM145" s="107"/>
      <c r="AN145" s="107"/>
      <c r="AO145" s="107"/>
      <c r="AP145" s="107"/>
      <c r="AQ145" s="107"/>
      <c r="AR145" s="107"/>
    </row>
    <row r="146" spans="1:44" ht="12.75" customHeight="1" x14ac:dyDescent="0.2">
      <c r="A146" s="107"/>
      <c r="B146" s="107"/>
      <c r="C146" s="107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  <c r="AA146" s="107"/>
      <c r="AB146" s="107"/>
      <c r="AC146" s="107"/>
      <c r="AD146" s="107"/>
      <c r="AE146" s="107"/>
      <c r="AF146" s="107"/>
      <c r="AG146" s="107"/>
      <c r="AH146" s="107"/>
      <c r="AI146" s="107"/>
      <c r="AJ146" s="107"/>
      <c r="AK146" s="107"/>
      <c r="AL146" s="107"/>
      <c r="AM146" s="107"/>
      <c r="AN146" s="107"/>
      <c r="AO146" s="107"/>
      <c r="AP146" s="107"/>
      <c r="AQ146" s="107"/>
      <c r="AR146" s="107"/>
    </row>
    <row r="147" spans="1:44" ht="12.75" customHeight="1" x14ac:dyDescent="0.2">
      <c r="A147" s="107"/>
      <c r="B147" s="107"/>
      <c r="C147" s="107"/>
      <c r="D147" s="107"/>
      <c r="E147" s="107"/>
      <c r="F147" s="107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  <c r="AA147" s="107"/>
      <c r="AB147" s="107"/>
      <c r="AC147" s="107"/>
      <c r="AD147" s="107"/>
      <c r="AE147" s="107"/>
      <c r="AF147" s="107"/>
      <c r="AG147" s="107"/>
      <c r="AH147" s="107"/>
      <c r="AI147" s="107"/>
      <c r="AJ147" s="107"/>
      <c r="AK147" s="107"/>
      <c r="AL147" s="107"/>
      <c r="AM147" s="107"/>
      <c r="AN147" s="107"/>
      <c r="AO147" s="107"/>
      <c r="AP147" s="107"/>
      <c r="AQ147" s="107"/>
      <c r="AR147" s="107"/>
    </row>
    <row r="148" spans="1:44" ht="12.75" customHeight="1" x14ac:dyDescent="0.2">
      <c r="A148" s="107"/>
      <c r="B148" s="107"/>
      <c r="C148" s="107"/>
      <c r="D148" s="107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  <c r="AA148" s="107"/>
      <c r="AB148" s="107"/>
      <c r="AC148" s="107"/>
      <c r="AD148" s="107"/>
      <c r="AE148" s="107"/>
      <c r="AF148" s="107"/>
      <c r="AG148" s="107"/>
      <c r="AH148" s="107"/>
      <c r="AI148" s="107"/>
      <c r="AJ148" s="107"/>
      <c r="AK148" s="107"/>
      <c r="AL148" s="107"/>
      <c r="AM148" s="107"/>
      <c r="AN148" s="107"/>
      <c r="AO148" s="107"/>
      <c r="AP148" s="107"/>
      <c r="AQ148" s="107"/>
      <c r="AR148" s="107"/>
    </row>
    <row r="149" spans="1:44" ht="12.75" customHeight="1" x14ac:dyDescent="0.2">
      <c r="A149" s="107"/>
      <c r="B149" s="107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  <c r="AA149" s="107"/>
      <c r="AB149" s="107"/>
      <c r="AC149" s="107"/>
      <c r="AD149" s="107"/>
      <c r="AE149" s="107"/>
      <c r="AF149" s="107"/>
      <c r="AG149" s="107"/>
      <c r="AH149" s="107"/>
      <c r="AI149" s="107"/>
      <c r="AJ149" s="107"/>
      <c r="AK149" s="107"/>
      <c r="AL149" s="107"/>
      <c r="AM149" s="107"/>
      <c r="AN149" s="107"/>
      <c r="AO149" s="107"/>
      <c r="AP149" s="107"/>
      <c r="AQ149" s="107"/>
      <c r="AR149" s="107"/>
    </row>
    <row r="150" spans="1:44" ht="12.75" customHeight="1" x14ac:dyDescent="0.2">
      <c r="A150" s="107"/>
      <c r="B150" s="107"/>
      <c r="C150" s="107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  <c r="AA150" s="107"/>
      <c r="AB150" s="107"/>
      <c r="AC150" s="107"/>
      <c r="AD150" s="107"/>
      <c r="AE150" s="107"/>
      <c r="AF150" s="107"/>
      <c r="AG150" s="107"/>
      <c r="AH150" s="107"/>
      <c r="AI150" s="107"/>
      <c r="AJ150" s="107"/>
      <c r="AK150" s="107"/>
      <c r="AL150" s="107"/>
      <c r="AM150" s="107"/>
      <c r="AN150" s="107"/>
      <c r="AO150" s="107"/>
      <c r="AP150" s="107"/>
      <c r="AQ150" s="107"/>
      <c r="AR150" s="107"/>
    </row>
    <row r="151" spans="1:44" ht="12.75" customHeight="1" x14ac:dyDescent="0.2">
      <c r="A151" s="107"/>
      <c r="B151" s="107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  <c r="AA151" s="107"/>
      <c r="AB151" s="107"/>
      <c r="AC151" s="107"/>
      <c r="AD151" s="107"/>
      <c r="AE151" s="107"/>
      <c r="AF151" s="107"/>
      <c r="AG151" s="107"/>
      <c r="AH151" s="107"/>
      <c r="AI151" s="107"/>
      <c r="AJ151" s="107"/>
      <c r="AK151" s="107"/>
      <c r="AL151" s="107"/>
      <c r="AM151" s="107"/>
      <c r="AN151" s="107"/>
      <c r="AO151" s="107"/>
      <c r="AP151" s="107"/>
      <c r="AQ151" s="107"/>
      <c r="AR151" s="107"/>
    </row>
    <row r="152" spans="1:44" ht="12.75" customHeight="1" x14ac:dyDescent="0.2">
      <c r="A152" s="107"/>
      <c r="B152" s="107"/>
      <c r="C152" s="107"/>
      <c r="D152" s="107"/>
      <c r="E152" s="107"/>
      <c r="F152" s="107"/>
      <c r="G152" s="107"/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  <c r="AA152" s="107"/>
      <c r="AB152" s="107"/>
      <c r="AC152" s="107"/>
      <c r="AD152" s="107"/>
      <c r="AE152" s="107"/>
      <c r="AF152" s="107"/>
      <c r="AG152" s="107"/>
      <c r="AH152" s="107"/>
      <c r="AI152" s="107"/>
      <c r="AJ152" s="107"/>
      <c r="AK152" s="107"/>
      <c r="AL152" s="107"/>
      <c r="AM152" s="107"/>
      <c r="AN152" s="107"/>
      <c r="AO152" s="107"/>
      <c r="AP152" s="107"/>
      <c r="AQ152" s="107"/>
      <c r="AR152" s="107"/>
    </row>
    <row r="153" spans="1:44" ht="12.75" customHeight="1" x14ac:dyDescent="0.2">
      <c r="A153" s="107"/>
      <c r="B153" s="107"/>
      <c r="C153" s="107"/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  <c r="AA153" s="107"/>
      <c r="AB153" s="107"/>
      <c r="AC153" s="107"/>
      <c r="AD153" s="107"/>
      <c r="AE153" s="107"/>
      <c r="AF153" s="107"/>
      <c r="AG153" s="107"/>
      <c r="AH153" s="107"/>
      <c r="AI153" s="107"/>
      <c r="AJ153" s="107"/>
      <c r="AK153" s="107"/>
      <c r="AL153" s="107"/>
      <c r="AM153" s="107"/>
      <c r="AN153" s="107"/>
      <c r="AO153" s="107"/>
      <c r="AP153" s="107"/>
      <c r="AQ153" s="107"/>
      <c r="AR153" s="107"/>
    </row>
    <row r="154" spans="1:44" ht="12.75" customHeight="1" x14ac:dyDescent="0.2">
      <c r="A154" s="107"/>
      <c r="B154" s="107"/>
      <c r="C154" s="107"/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  <c r="AA154" s="107"/>
      <c r="AB154" s="107"/>
      <c r="AC154" s="107"/>
      <c r="AD154" s="107"/>
      <c r="AE154" s="107"/>
      <c r="AF154" s="107"/>
      <c r="AG154" s="107"/>
      <c r="AH154" s="107"/>
      <c r="AI154" s="107"/>
      <c r="AJ154" s="107"/>
      <c r="AK154" s="107"/>
      <c r="AL154" s="107"/>
      <c r="AM154" s="107"/>
      <c r="AN154" s="107"/>
      <c r="AO154" s="107"/>
      <c r="AP154" s="107"/>
      <c r="AQ154" s="107"/>
      <c r="AR154" s="107"/>
    </row>
    <row r="155" spans="1:44" ht="12.75" customHeight="1" x14ac:dyDescent="0.2">
      <c r="A155" s="107"/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  <c r="AA155" s="107"/>
      <c r="AB155" s="107"/>
      <c r="AC155" s="107"/>
      <c r="AD155" s="107"/>
      <c r="AE155" s="107"/>
      <c r="AF155" s="107"/>
      <c r="AG155" s="107"/>
      <c r="AH155" s="107"/>
      <c r="AI155" s="107"/>
      <c r="AJ155" s="107"/>
      <c r="AK155" s="107"/>
      <c r="AL155" s="107"/>
      <c r="AM155" s="107"/>
      <c r="AN155" s="107"/>
      <c r="AO155" s="107"/>
      <c r="AP155" s="107"/>
      <c r="AQ155" s="107"/>
      <c r="AR155" s="107"/>
    </row>
    <row r="156" spans="1:44" ht="12.75" customHeight="1" x14ac:dyDescent="0.2">
      <c r="A156" s="107"/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  <c r="AA156" s="107"/>
      <c r="AB156" s="107"/>
      <c r="AC156" s="107"/>
      <c r="AD156" s="107"/>
      <c r="AE156" s="107"/>
      <c r="AF156" s="107"/>
      <c r="AG156" s="107"/>
      <c r="AH156" s="107"/>
      <c r="AI156" s="107"/>
      <c r="AJ156" s="107"/>
      <c r="AK156" s="107"/>
      <c r="AL156" s="107"/>
      <c r="AM156" s="107"/>
      <c r="AN156" s="107"/>
      <c r="AO156" s="107"/>
      <c r="AP156" s="107"/>
      <c r="AQ156" s="107"/>
      <c r="AR156" s="107"/>
    </row>
    <row r="157" spans="1:44" ht="12.75" customHeight="1" x14ac:dyDescent="0.2">
      <c r="A157" s="107"/>
      <c r="B157" s="107"/>
      <c r="C157" s="107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  <c r="AA157" s="107"/>
      <c r="AB157" s="107"/>
      <c r="AC157" s="107"/>
      <c r="AD157" s="107"/>
      <c r="AE157" s="107"/>
      <c r="AF157" s="107"/>
      <c r="AG157" s="107"/>
      <c r="AH157" s="107"/>
      <c r="AI157" s="107"/>
      <c r="AJ157" s="107"/>
      <c r="AK157" s="107"/>
      <c r="AL157" s="107"/>
      <c r="AM157" s="107"/>
      <c r="AN157" s="107"/>
      <c r="AO157" s="107"/>
      <c r="AP157" s="107"/>
      <c r="AQ157" s="107"/>
      <c r="AR157" s="107"/>
    </row>
    <row r="158" spans="1:44" ht="12.75" customHeight="1" x14ac:dyDescent="0.2">
      <c r="A158" s="107"/>
      <c r="B158" s="107"/>
      <c r="C158" s="107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  <c r="AA158" s="107"/>
      <c r="AB158" s="107"/>
      <c r="AC158" s="107"/>
      <c r="AD158" s="107"/>
      <c r="AE158" s="107"/>
      <c r="AF158" s="107"/>
      <c r="AG158" s="107"/>
      <c r="AH158" s="107"/>
      <c r="AI158" s="107"/>
      <c r="AJ158" s="107"/>
      <c r="AK158" s="107"/>
      <c r="AL158" s="107"/>
      <c r="AM158" s="107"/>
      <c r="AN158" s="107"/>
      <c r="AO158" s="107"/>
      <c r="AP158" s="107"/>
      <c r="AQ158" s="107"/>
      <c r="AR158" s="107"/>
    </row>
    <row r="159" spans="1:44" ht="12.75" customHeight="1" x14ac:dyDescent="0.2">
      <c r="A159" s="107"/>
      <c r="B159" s="107"/>
      <c r="C159" s="107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  <c r="AA159" s="107"/>
      <c r="AB159" s="107"/>
      <c r="AC159" s="107"/>
      <c r="AD159" s="107"/>
      <c r="AE159" s="107"/>
      <c r="AF159" s="107"/>
      <c r="AG159" s="107"/>
      <c r="AH159" s="107"/>
      <c r="AI159" s="107"/>
      <c r="AJ159" s="107"/>
      <c r="AK159" s="107"/>
      <c r="AL159" s="107"/>
      <c r="AM159" s="107"/>
      <c r="AN159" s="107"/>
      <c r="AO159" s="107"/>
      <c r="AP159" s="107"/>
      <c r="AQ159" s="107"/>
      <c r="AR159" s="107"/>
    </row>
    <row r="160" spans="1:44" ht="12.75" customHeight="1" x14ac:dyDescent="0.2">
      <c r="A160" s="107"/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  <c r="AA160" s="107"/>
      <c r="AB160" s="107"/>
      <c r="AC160" s="107"/>
      <c r="AD160" s="107"/>
      <c r="AE160" s="107"/>
      <c r="AF160" s="107"/>
      <c r="AG160" s="107"/>
      <c r="AH160" s="107"/>
      <c r="AI160" s="107"/>
      <c r="AJ160" s="107"/>
      <c r="AK160" s="107"/>
      <c r="AL160" s="107"/>
      <c r="AM160" s="107"/>
      <c r="AN160" s="107"/>
      <c r="AO160" s="107"/>
      <c r="AP160" s="107"/>
      <c r="AQ160" s="107"/>
      <c r="AR160" s="107"/>
    </row>
    <row r="161" spans="1:44" ht="12.75" customHeight="1" x14ac:dyDescent="0.2">
      <c r="A161" s="107"/>
      <c r="B161" s="107"/>
      <c r="C161" s="107"/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  <c r="AA161" s="107"/>
      <c r="AB161" s="107"/>
      <c r="AC161" s="107"/>
      <c r="AD161" s="107"/>
      <c r="AE161" s="107"/>
      <c r="AF161" s="107"/>
      <c r="AG161" s="107"/>
      <c r="AH161" s="107"/>
      <c r="AI161" s="107"/>
      <c r="AJ161" s="107"/>
      <c r="AK161" s="107"/>
      <c r="AL161" s="107"/>
      <c r="AM161" s="107"/>
      <c r="AN161" s="107"/>
      <c r="AO161" s="107"/>
      <c r="AP161" s="107"/>
      <c r="AQ161" s="107"/>
      <c r="AR161" s="107"/>
    </row>
    <row r="162" spans="1:44" ht="12.75" customHeight="1" x14ac:dyDescent="0.2">
      <c r="A162" s="107"/>
      <c r="B162" s="107"/>
      <c r="C162" s="107"/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  <c r="AA162" s="107"/>
      <c r="AB162" s="107"/>
      <c r="AC162" s="107"/>
      <c r="AD162" s="107"/>
      <c r="AE162" s="107"/>
      <c r="AF162" s="107"/>
      <c r="AG162" s="107"/>
      <c r="AH162" s="107"/>
      <c r="AI162" s="107"/>
      <c r="AJ162" s="107"/>
      <c r="AK162" s="107"/>
      <c r="AL162" s="107"/>
      <c r="AM162" s="107"/>
      <c r="AN162" s="107"/>
      <c r="AO162" s="107"/>
      <c r="AP162" s="107"/>
      <c r="AQ162" s="107"/>
      <c r="AR162" s="107"/>
    </row>
    <row r="163" spans="1:44" ht="12.75" customHeight="1" x14ac:dyDescent="0.2">
      <c r="A163" s="107"/>
      <c r="B163" s="107"/>
      <c r="C163" s="107"/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  <c r="AA163" s="107"/>
      <c r="AB163" s="107"/>
      <c r="AC163" s="107"/>
      <c r="AD163" s="107"/>
      <c r="AE163" s="107"/>
      <c r="AF163" s="107"/>
      <c r="AG163" s="107"/>
      <c r="AH163" s="107"/>
      <c r="AI163" s="107"/>
      <c r="AJ163" s="107"/>
      <c r="AK163" s="107"/>
      <c r="AL163" s="107"/>
      <c r="AM163" s="107"/>
      <c r="AN163" s="107"/>
      <c r="AO163" s="107"/>
      <c r="AP163" s="107"/>
      <c r="AQ163" s="107"/>
      <c r="AR163" s="107"/>
    </row>
    <row r="164" spans="1:44" ht="12.75" customHeight="1" x14ac:dyDescent="0.2">
      <c r="A164" s="107"/>
      <c r="B164" s="107"/>
      <c r="C164" s="107"/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  <c r="AA164" s="107"/>
      <c r="AB164" s="107"/>
      <c r="AC164" s="107"/>
      <c r="AD164" s="107"/>
      <c r="AE164" s="107"/>
      <c r="AF164" s="107"/>
      <c r="AG164" s="107"/>
      <c r="AH164" s="107"/>
      <c r="AI164" s="107"/>
      <c r="AJ164" s="107"/>
      <c r="AK164" s="107"/>
      <c r="AL164" s="107"/>
      <c r="AM164" s="107"/>
      <c r="AN164" s="107"/>
      <c r="AO164" s="107"/>
      <c r="AP164" s="107"/>
      <c r="AQ164" s="107"/>
      <c r="AR164" s="107"/>
    </row>
    <row r="165" spans="1:44" ht="12.75" customHeight="1" x14ac:dyDescent="0.2">
      <c r="A165" s="107"/>
      <c r="B165" s="107"/>
      <c r="C165" s="107"/>
      <c r="D165" s="107"/>
      <c r="E165" s="107"/>
      <c r="F165" s="107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V165" s="107"/>
      <c r="W165" s="107"/>
      <c r="X165" s="107"/>
      <c r="Y165" s="107"/>
      <c r="Z165" s="107"/>
      <c r="AA165" s="107"/>
      <c r="AB165" s="107"/>
      <c r="AC165" s="107"/>
      <c r="AD165" s="107"/>
      <c r="AE165" s="107"/>
      <c r="AF165" s="107"/>
      <c r="AG165" s="107"/>
      <c r="AH165" s="107"/>
      <c r="AI165" s="107"/>
      <c r="AJ165" s="107"/>
      <c r="AK165" s="107"/>
      <c r="AL165" s="107"/>
      <c r="AM165" s="107"/>
      <c r="AN165" s="107"/>
      <c r="AO165" s="107"/>
      <c r="AP165" s="107"/>
      <c r="AQ165" s="107"/>
      <c r="AR165" s="107"/>
    </row>
    <row r="166" spans="1:44" ht="12.75" customHeight="1" x14ac:dyDescent="0.2">
      <c r="A166" s="107"/>
      <c r="B166" s="107"/>
      <c r="C166" s="107"/>
      <c r="D166" s="107"/>
      <c r="E166" s="107"/>
      <c r="F166" s="107"/>
      <c r="G166" s="107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V166" s="107"/>
      <c r="W166" s="107"/>
      <c r="X166" s="107"/>
      <c r="Y166" s="107"/>
      <c r="Z166" s="107"/>
      <c r="AA166" s="107"/>
      <c r="AB166" s="107"/>
      <c r="AC166" s="107"/>
      <c r="AD166" s="107"/>
      <c r="AE166" s="107"/>
      <c r="AF166" s="107"/>
      <c r="AG166" s="107"/>
      <c r="AH166" s="107"/>
      <c r="AI166" s="107"/>
      <c r="AJ166" s="107"/>
      <c r="AK166" s="107"/>
      <c r="AL166" s="107"/>
      <c r="AM166" s="107"/>
      <c r="AN166" s="107"/>
      <c r="AO166" s="107"/>
      <c r="AP166" s="107"/>
      <c r="AQ166" s="107"/>
      <c r="AR166" s="107"/>
    </row>
    <row r="167" spans="1:44" ht="12.75" customHeight="1" x14ac:dyDescent="0.2">
      <c r="A167" s="107"/>
      <c r="B167" s="107"/>
      <c r="C167" s="107"/>
      <c r="D167" s="107"/>
      <c r="E167" s="107"/>
      <c r="F167" s="107"/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V167" s="107"/>
      <c r="W167" s="107"/>
      <c r="X167" s="107"/>
      <c r="Y167" s="107"/>
      <c r="Z167" s="107"/>
      <c r="AA167" s="107"/>
      <c r="AB167" s="107"/>
      <c r="AC167" s="107"/>
      <c r="AD167" s="107"/>
      <c r="AE167" s="107"/>
      <c r="AF167" s="107"/>
      <c r="AG167" s="107"/>
      <c r="AH167" s="107"/>
      <c r="AI167" s="107"/>
      <c r="AJ167" s="107"/>
      <c r="AK167" s="107"/>
      <c r="AL167" s="107"/>
      <c r="AM167" s="107"/>
      <c r="AN167" s="107"/>
      <c r="AO167" s="107"/>
      <c r="AP167" s="107"/>
      <c r="AQ167" s="107"/>
      <c r="AR167" s="107"/>
    </row>
    <row r="168" spans="1:44" ht="12.75" customHeight="1" x14ac:dyDescent="0.2">
      <c r="A168" s="107"/>
      <c r="B168" s="107"/>
      <c r="C168" s="107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V168" s="107"/>
      <c r="W168" s="107"/>
      <c r="X168" s="107"/>
      <c r="Y168" s="107"/>
      <c r="Z168" s="107"/>
      <c r="AA168" s="107"/>
      <c r="AB168" s="107"/>
      <c r="AC168" s="107"/>
      <c r="AD168" s="107"/>
      <c r="AE168" s="107"/>
      <c r="AF168" s="107"/>
      <c r="AG168" s="107"/>
      <c r="AH168" s="107"/>
      <c r="AI168" s="107"/>
      <c r="AJ168" s="107"/>
      <c r="AK168" s="107"/>
      <c r="AL168" s="107"/>
      <c r="AM168" s="107"/>
      <c r="AN168" s="107"/>
      <c r="AO168" s="107"/>
      <c r="AP168" s="107"/>
      <c r="AQ168" s="107"/>
      <c r="AR168" s="107"/>
    </row>
    <row r="169" spans="1:44" ht="12.75" customHeight="1" x14ac:dyDescent="0.2">
      <c r="A169" s="107"/>
      <c r="B169" s="107"/>
      <c r="C169" s="107"/>
      <c r="D169" s="107"/>
      <c r="E169" s="107"/>
      <c r="F169" s="107"/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V169" s="107"/>
      <c r="W169" s="107"/>
      <c r="X169" s="107"/>
      <c r="Y169" s="107"/>
      <c r="Z169" s="107"/>
      <c r="AA169" s="107"/>
      <c r="AB169" s="107"/>
      <c r="AC169" s="107"/>
      <c r="AD169" s="107"/>
      <c r="AE169" s="107"/>
      <c r="AF169" s="107"/>
      <c r="AG169" s="107"/>
      <c r="AH169" s="107"/>
      <c r="AI169" s="107"/>
      <c r="AJ169" s="107"/>
      <c r="AK169" s="107"/>
      <c r="AL169" s="107"/>
      <c r="AM169" s="107"/>
      <c r="AN169" s="107"/>
      <c r="AO169" s="107"/>
      <c r="AP169" s="107"/>
      <c r="AQ169" s="107"/>
      <c r="AR169" s="107"/>
    </row>
    <row r="170" spans="1:44" ht="12.75" customHeight="1" x14ac:dyDescent="0.2">
      <c r="A170" s="107"/>
      <c r="B170" s="107"/>
      <c r="C170" s="107"/>
      <c r="D170" s="107"/>
      <c r="E170" s="107"/>
      <c r="F170" s="107"/>
      <c r="G170" s="107"/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V170" s="107"/>
      <c r="W170" s="107"/>
      <c r="X170" s="107"/>
      <c r="Y170" s="107"/>
      <c r="Z170" s="107"/>
      <c r="AA170" s="107"/>
      <c r="AB170" s="107"/>
      <c r="AC170" s="107"/>
      <c r="AD170" s="107"/>
      <c r="AE170" s="107"/>
      <c r="AF170" s="107"/>
      <c r="AG170" s="107"/>
      <c r="AH170" s="107"/>
      <c r="AI170" s="107"/>
      <c r="AJ170" s="107"/>
      <c r="AK170" s="107"/>
      <c r="AL170" s="107"/>
      <c r="AM170" s="107"/>
      <c r="AN170" s="107"/>
      <c r="AO170" s="107"/>
      <c r="AP170" s="107"/>
      <c r="AQ170" s="107"/>
      <c r="AR170" s="107"/>
    </row>
    <row r="171" spans="1:44" ht="12.75" customHeight="1" x14ac:dyDescent="0.2">
      <c r="A171" s="107"/>
      <c r="B171" s="107"/>
      <c r="C171" s="107"/>
      <c r="D171" s="107"/>
      <c r="E171" s="107"/>
      <c r="F171" s="107"/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V171" s="107"/>
      <c r="W171" s="107"/>
      <c r="X171" s="107"/>
      <c r="Y171" s="107"/>
      <c r="Z171" s="107"/>
      <c r="AA171" s="107"/>
      <c r="AB171" s="107"/>
      <c r="AC171" s="107"/>
      <c r="AD171" s="107"/>
      <c r="AE171" s="107"/>
      <c r="AF171" s="107"/>
      <c r="AG171" s="107"/>
      <c r="AH171" s="107"/>
      <c r="AI171" s="107"/>
      <c r="AJ171" s="107"/>
      <c r="AK171" s="107"/>
      <c r="AL171" s="107"/>
      <c r="AM171" s="107"/>
      <c r="AN171" s="107"/>
      <c r="AO171" s="107"/>
      <c r="AP171" s="107"/>
      <c r="AQ171" s="107"/>
      <c r="AR171" s="107"/>
    </row>
    <row r="172" spans="1:44" ht="12.75" customHeight="1" x14ac:dyDescent="0.2">
      <c r="A172" s="107"/>
      <c r="B172" s="107"/>
      <c r="C172" s="107"/>
      <c r="D172" s="107"/>
      <c r="E172" s="107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V172" s="107"/>
      <c r="W172" s="107"/>
      <c r="X172" s="107"/>
      <c r="Y172" s="107"/>
      <c r="Z172" s="107"/>
      <c r="AA172" s="107"/>
      <c r="AB172" s="107"/>
      <c r="AC172" s="107"/>
      <c r="AD172" s="107"/>
      <c r="AE172" s="107"/>
      <c r="AF172" s="107"/>
      <c r="AG172" s="107"/>
      <c r="AH172" s="107"/>
      <c r="AI172" s="107"/>
      <c r="AJ172" s="107"/>
      <c r="AK172" s="107"/>
      <c r="AL172" s="107"/>
      <c r="AM172" s="107"/>
      <c r="AN172" s="107"/>
      <c r="AO172" s="107"/>
      <c r="AP172" s="107"/>
      <c r="AQ172" s="107"/>
      <c r="AR172" s="107"/>
    </row>
    <row r="173" spans="1:44" ht="12.75" customHeight="1" x14ac:dyDescent="0.2"/>
    <row r="174" spans="1:44" ht="12.75" customHeight="1" x14ac:dyDescent="0.2"/>
    <row r="175" spans="1:44" ht="12.75" customHeight="1" x14ac:dyDescent="0.2"/>
    <row r="176" spans="1:44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17">
    <mergeCell ref="H1:X2"/>
    <mergeCell ref="A29:D29"/>
    <mergeCell ref="K29:T30"/>
    <mergeCell ref="A30:D30"/>
    <mergeCell ref="K31:T31"/>
    <mergeCell ref="K32:T32"/>
    <mergeCell ref="K33:T33"/>
    <mergeCell ref="K41:T41"/>
    <mergeCell ref="K42:T42"/>
    <mergeCell ref="K43:T43"/>
    <mergeCell ref="K34:T34"/>
    <mergeCell ref="K35:T35"/>
    <mergeCell ref="K36:T36"/>
    <mergeCell ref="K37:T37"/>
    <mergeCell ref="K38:T38"/>
    <mergeCell ref="K39:T39"/>
    <mergeCell ref="K40:T40"/>
  </mergeCells>
  <printOptions horizontalCentered="1"/>
  <pageMargins left="0.70866141732283472" right="0.70866141732283472" top="0.74803149606299213" bottom="0.74803149606299213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/>
  </sheetViews>
  <sheetFormatPr baseColWidth="10" defaultColWidth="12.5703125" defaultRowHeight="15" customHeight="1" x14ac:dyDescent="0.2"/>
  <cols>
    <col min="1" max="26" width="10.7109375" customWidth="1"/>
  </cols>
  <sheetData>
    <row r="1" spans="1:8" ht="12.75" customHeight="1" x14ac:dyDescent="0.2">
      <c r="A1" s="33" t="s">
        <v>101</v>
      </c>
      <c r="B1" s="70" t="s">
        <v>101</v>
      </c>
      <c r="D1" s="33" t="s">
        <v>102</v>
      </c>
      <c r="E1" s="33" t="s">
        <v>103</v>
      </c>
    </row>
    <row r="2" spans="1:8" ht="12.75" customHeight="1" x14ac:dyDescent="0.2">
      <c r="A2" s="33" t="s">
        <v>103</v>
      </c>
      <c r="B2" s="71" t="s">
        <v>104</v>
      </c>
      <c r="D2" s="33" t="s">
        <v>105</v>
      </c>
      <c r="E2" s="72" t="s">
        <v>103</v>
      </c>
      <c r="H2" s="33"/>
    </row>
    <row r="3" spans="1:8" ht="12.75" customHeight="1" x14ac:dyDescent="0.2">
      <c r="A3" s="33" t="s">
        <v>106</v>
      </c>
      <c r="B3" s="73" t="s">
        <v>107</v>
      </c>
      <c r="D3" s="33" t="s">
        <v>108</v>
      </c>
      <c r="E3" s="74" t="s">
        <v>107</v>
      </c>
      <c r="H3" s="33"/>
    </row>
    <row r="4" spans="1:8" ht="12.75" customHeight="1" x14ac:dyDescent="0.2">
      <c r="A4" s="33" t="s">
        <v>109</v>
      </c>
      <c r="B4" s="71" t="s">
        <v>110</v>
      </c>
      <c r="D4" s="33" t="s">
        <v>111</v>
      </c>
      <c r="E4" s="72" t="s">
        <v>110</v>
      </c>
      <c r="H4" s="33"/>
    </row>
    <row r="5" spans="1:8" ht="12.75" customHeight="1" x14ac:dyDescent="0.2">
      <c r="A5" s="33" t="s">
        <v>112</v>
      </c>
      <c r="B5" s="71" t="s">
        <v>113</v>
      </c>
      <c r="E5" s="72" t="s">
        <v>114</v>
      </c>
      <c r="H5" s="33"/>
    </row>
    <row r="6" spans="1:8" ht="12.75" customHeight="1" x14ac:dyDescent="0.2">
      <c r="B6" s="71" t="s">
        <v>115</v>
      </c>
      <c r="E6" s="72" t="s">
        <v>116</v>
      </c>
      <c r="H6" s="33"/>
    </row>
    <row r="7" spans="1:8" ht="12.75" customHeight="1" x14ac:dyDescent="0.2">
      <c r="B7" s="71" t="s">
        <v>117</v>
      </c>
      <c r="E7" s="72" t="s">
        <v>118</v>
      </c>
      <c r="H7" s="33"/>
    </row>
    <row r="8" spans="1:8" ht="12.75" customHeight="1" x14ac:dyDescent="0.2">
      <c r="B8" s="71" t="s">
        <v>119</v>
      </c>
      <c r="E8" s="72" t="s">
        <v>120</v>
      </c>
      <c r="H8" s="33"/>
    </row>
    <row r="9" spans="1:8" ht="12.75" customHeight="1" x14ac:dyDescent="0.2">
      <c r="B9" s="71" t="s">
        <v>121</v>
      </c>
      <c r="E9" s="72" t="s">
        <v>122</v>
      </c>
      <c r="H9" s="33"/>
    </row>
    <row r="10" spans="1:8" ht="12.75" customHeight="1" x14ac:dyDescent="0.2">
      <c r="B10" s="71" t="s">
        <v>123</v>
      </c>
      <c r="E10" s="72" t="s">
        <v>124</v>
      </c>
      <c r="H10" s="33"/>
    </row>
    <row r="11" spans="1:8" ht="12.75" customHeight="1" x14ac:dyDescent="0.2">
      <c r="B11" s="71"/>
      <c r="E11" s="72"/>
      <c r="H11" s="33"/>
    </row>
    <row r="12" spans="1:8" ht="12.75" customHeight="1" x14ac:dyDescent="0.2">
      <c r="B12" s="71" t="s">
        <v>125</v>
      </c>
      <c r="E12" s="72"/>
      <c r="H12" s="33"/>
    </row>
    <row r="13" spans="1:8" ht="12.75" customHeight="1" x14ac:dyDescent="0.2">
      <c r="B13" s="33" t="s">
        <v>126</v>
      </c>
      <c r="E13" s="72"/>
      <c r="H13" s="33"/>
    </row>
    <row r="14" spans="1:8" ht="12.75" customHeight="1" x14ac:dyDescent="0.2">
      <c r="A14" s="33" t="s">
        <v>122</v>
      </c>
      <c r="B14" s="71" t="s">
        <v>122</v>
      </c>
      <c r="E14" s="72"/>
      <c r="H14" s="33"/>
    </row>
    <row r="15" spans="1:8" ht="12.75" customHeight="1" x14ac:dyDescent="0.2">
      <c r="B15" s="71" t="s">
        <v>127</v>
      </c>
      <c r="D15" s="33" t="s">
        <v>128</v>
      </c>
      <c r="E15" s="72"/>
      <c r="H15" s="33"/>
    </row>
    <row r="16" spans="1:8" ht="12.75" customHeight="1" x14ac:dyDescent="0.2">
      <c r="B16" s="71" t="s">
        <v>124</v>
      </c>
      <c r="E16" s="72"/>
      <c r="H16" s="33"/>
    </row>
    <row r="17" spans="2:8" ht="12.75" customHeight="1" x14ac:dyDescent="0.2">
      <c r="B17" s="71" t="s">
        <v>118</v>
      </c>
      <c r="E17" s="72"/>
      <c r="H17" s="33"/>
    </row>
    <row r="18" spans="2:8" ht="12.75" customHeight="1" x14ac:dyDescent="0.2">
      <c r="B18" s="71" t="s">
        <v>104</v>
      </c>
      <c r="H18" s="33"/>
    </row>
    <row r="19" spans="2:8" ht="12.75" customHeight="1" x14ac:dyDescent="0.2">
      <c r="B19" s="73" t="s">
        <v>129</v>
      </c>
      <c r="H19" s="33"/>
    </row>
    <row r="20" spans="2:8" ht="12.75" customHeight="1" x14ac:dyDescent="0.2"/>
    <row r="21" spans="2:8" ht="12.75" customHeight="1" x14ac:dyDescent="0.2"/>
    <row r="22" spans="2:8" ht="12.75" customHeight="1" x14ac:dyDescent="0.2"/>
    <row r="23" spans="2:8" ht="12.75" customHeight="1" x14ac:dyDescent="0.2"/>
    <row r="24" spans="2:8" ht="12.75" customHeight="1" x14ac:dyDescent="0.2"/>
    <row r="25" spans="2:8" ht="12.75" customHeight="1" x14ac:dyDescent="0.2"/>
    <row r="26" spans="2:8" ht="12.75" customHeight="1" x14ac:dyDescent="0.2"/>
    <row r="27" spans="2:8" ht="12.75" customHeight="1" x14ac:dyDescent="0.2"/>
    <row r="28" spans="2:8" ht="12.75" customHeight="1" x14ac:dyDescent="0.2"/>
    <row r="29" spans="2:8" ht="12.75" customHeight="1" x14ac:dyDescent="0.2"/>
    <row r="30" spans="2:8" ht="12.75" customHeight="1" x14ac:dyDescent="0.2"/>
    <row r="31" spans="2:8" ht="12.75" customHeight="1" x14ac:dyDescent="0.2"/>
    <row r="32" spans="2:8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dataValidations count="2">
    <dataValidation type="list" allowBlank="1" showErrorMessage="1" sqref="H2" xr:uid="{00000000-0002-0000-0200-000000000000}">
      <formula1>"METRO"</formula1>
    </dataValidation>
    <dataValidation type="list" allowBlank="1" showErrorMessage="1" sqref="H3:H19" xr:uid="{00000000-0002-0000-0200-000001000000}">
      <formula1>$B$2:$B$18</formula1>
    </dataValidation>
  </dataValidation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0"/>
  <sheetViews>
    <sheetView workbookViewId="0">
      <selection activeCell="I54" sqref="I54"/>
    </sheetView>
  </sheetViews>
  <sheetFormatPr baseColWidth="10" defaultColWidth="12.5703125" defaultRowHeight="15" customHeight="1" x14ac:dyDescent="0.2"/>
  <cols>
    <col min="1" max="26" width="10.7109375" customWidth="1"/>
  </cols>
  <sheetData>
    <row r="1" spans="1:9" ht="12.75" customHeight="1" x14ac:dyDescent="0.2">
      <c r="A1" s="75" t="s">
        <v>130</v>
      </c>
      <c r="B1" s="76" t="s">
        <v>131</v>
      </c>
      <c r="C1" s="77" t="s">
        <v>132</v>
      </c>
      <c r="D1" s="77" t="s">
        <v>133</v>
      </c>
      <c r="E1" s="77" t="s">
        <v>134</v>
      </c>
      <c r="F1" s="78" t="s">
        <v>135</v>
      </c>
      <c r="G1" s="79" t="s">
        <v>136</v>
      </c>
      <c r="H1" s="183" t="s">
        <v>137</v>
      </c>
      <c r="I1" s="140"/>
    </row>
    <row r="2" spans="1:9" ht="12.75" customHeight="1" x14ac:dyDescent="0.2">
      <c r="A2" s="80">
        <v>140</v>
      </c>
      <c r="B2" s="81">
        <v>0</v>
      </c>
      <c r="C2" s="82">
        <f t="shared" ref="C2:C5" si="0">B2/A2</f>
        <v>0</v>
      </c>
      <c r="D2" s="82">
        <f>C2/10</f>
        <v>0</v>
      </c>
      <c r="E2" s="82">
        <f t="shared" ref="E2:E5" si="1">C2/100</f>
        <v>0</v>
      </c>
      <c r="F2" s="81">
        <v>0</v>
      </c>
      <c r="G2" s="83">
        <f t="shared" ref="G2:G5" si="2">F2*E2</f>
        <v>0</v>
      </c>
      <c r="H2" s="153"/>
      <c r="I2" s="140"/>
    </row>
    <row r="3" spans="1:9" ht="12.75" customHeight="1" x14ac:dyDescent="0.2">
      <c r="A3" s="80">
        <v>150</v>
      </c>
      <c r="B3" s="81">
        <v>0</v>
      </c>
      <c r="C3" s="82">
        <f t="shared" si="0"/>
        <v>0</v>
      </c>
      <c r="D3" s="82">
        <f t="shared" ref="D3:D5" si="3">C3/100</f>
        <v>0</v>
      </c>
      <c r="E3" s="82">
        <f t="shared" si="1"/>
        <v>0</v>
      </c>
      <c r="F3" s="81">
        <v>0</v>
      </c>
      <c r="G3" s="83">
        <f t="shared" si="2"/>
        <v>0</v>
      </c>
      <c r="H3" s="153"/>
      <c r="I3" s="140"/>
    </row>
    <row r="4" spans="1:9" ht="12.75" customHeight="1" x14ac:dyDescent="0.2">
      <c r="A4" s="80">
        <v>100</v>
      </c>
      <c r="B4" s="81">
        <v>0</v>
      </c>
      <c r="C4" s="82">
        <f t="shared" si="0"/>
        <v>0</v>
      </c>
      <c r="D4" s="82">
        <f t="shared" si="3"/>
        <v>0</v>
      </c>
      <c r="E4" s="82">
        <f t="shared" si="1"/>
        <v>0</v>
      </c>
      <c r="F4" s="81">
        <v>0</v>
      </c>
      <c r="G4" s="83">
        <f t="shared" si="2"/>
        <v>0</v>
      </c>
      <c r="H4" s="153"/>
      <c r="I4" s="140"/>
    </row>
    <row r="5" spans="1:9" ht="12.75" customHeight="1" x14ac:dyDescent="0.2">
      <c r="A5" s="80">
        <v>50</v>
      </c>
      <c r="B5" s="81">
        <v>0</v>
      </c>
      <c r="C5" s="82">
        <f t="shared" si="0"/>
        <v>0</v>
      </c>
      <c r="D5" s="82">
        <f t="shared" si="3"/>
        <v>0</v>
      </c>
      <c r="E5" s="82">
        <f t="shared" si="1"/>
        <v>0</v>
      </c>
      <c r="F5" s="81">
        <v>0</v>
      </c>
      <c r="G5" s="83">
        <f t="shared" si="2"/>
        <v>0</v>
      </c>
      <c r="H5" s="153"/>
      <c r="I5" s="140"/>
    </row>
    <row r="6" spans="1:9" ht="12.75" customHeight="1" x14ac:dyDescent="0.2">
      <c r="A6" s="129"/>
      <c r="B6" s="130"/>
      <c r="C6" s="130"/>
      <c r="D6" s="130"/>
      <c r="E6" s="130"/>
      <c r="F6" s="129"/>
      <c r="G6" s="130"/>
    </row>
    <row r="7" spans="1:9" ht="12.75" customHeight="1" x14ac:dyDescent="0.2">
      <c r="A7" s="75" t="s">
        <v>138</v>
      </c>
      <c r="B7" s="76" t="s">
        <v>139</v>
      </c>
      <c r="C7" s="77" t="s">
        <v>133</v>
      </c>
      <c r="D7" s="77" t="s">
        <v>132</v>
      </c>
      <c r="E7" s="77" t="s">
        <v>134</v>
      </c>
      <c r="F7" s="84" t="s">
        <v>135</v>
      </c>
      <c r="G7" s="79" t="s">
        <v>136</v>
      </c>
    </row>
    <row r="8" spans="1:9" ht="12.75" customHeight="1" x14ac:dyDescent="0.2">
      <c r="A8" s="80">
        <v>14</v>
      </c>
      <c r="B8" s="81">
        <v>0</v>
      </c>
      <c r="C8" s="82">
        <f t="shared" ref="C8:C11" si="4">B8/A8</f>
        <v>0</v>
      </c>
      <c r="D8" s="82">
        <f t="shared" ref="D8:D11" si="5">C8*10</f>
        <v>0</v>
      </c>
      <c r="E8" s="82">
        <f t="shared" ref="E8:E11" si="6">C8/10</f>
        <v>0</v>
      </c>
      <c r="F8" s="81">
        <v>0</v>
      </c>
      <c r="G8" s="83">
        <f t="shared" ref="G8:G11" si="7">F8*E8</f>
        <v>0</v>
      </c>
    </row>
    <row r="9" spans="1:9" ht="12.75" customHeight="1" x14ac:dyDescent="0.2">
      <c r="A9" s="80">
        <v>15</v>
      </c>
      <c r="B9" s="81">
        <v>0</v>
      </c>
      <c r="C9" s="82">
        <f t="shared" si="4"/>
        <v>0</v>
      </c>
      <c r="D9" s="82">
        <f t="shared" si="5"/>
        <v>0</v>
      </c>
      <c r="E9" s="82">
        <f t="shared" si="6"/>
        <v>0</v>
      </c>
      <c r="F9" s="81">
        <v>0</v>
      </c>
      <c r="G9" s="83">
        <f t="shared" si="7"/>
        <v>0</v>
      </c>
    </row>
    <row r="10" spans="1:9" ht="12.75" customHeight="1" x14ac:dyDescent="0.2">
      <c r="A10" s="80">
        <v>10</v>
      </c>
      <c r="B10" s="81">
        <v>0</v>
      </c>
      <c r="C10" s="82">
        <f t="shared" si="4"/>
        <v>0</v>
      </c>
      <c r="D10" s="82">
        <f t="shared" si="5"/>
        <v>0</v>
      </c>
      <c r="E10" s="82">
        <f t="shared" si="6"/>
        <v>0</v>
      </c>
      <c r="F10" s="81">
        <v>0</v>
      </c>
      <c r="G10" s="83">
        <f t="shared" si="7"/>
        <v>0</v>
      </c>
    </row>
    <row r="11" spans="1:9" ht="12.75" customHeight="1" x14ac:dyDescent="0.2">
      <c r="A11" s="80">
        <v>5</v>
      </c>
      <c r="B11" s="81">
        <v>0</v>
      </c>
      <c r="C11" s="82">
        <f t="shared" si="4"/>
        <v>0</v>
      </c>
      <c r="D11" s="82">
        <f t="shared" si="5"/>
        <v>0</v>
      </c>
      <c r="E11" s="82">
        <f t="shared" si="6"/>
        <v>0</v>
      </c>
      <c r="F11" s="81">
        <v>0</v>
      </c>
      <c r="G11" s="83">
        <f t="shared" si="7"/>
        <v>0</v>
      </c>
    </row>
    <row r="12" spans="1:9" ht="12.75" customHeight="1" x14ac:dyDescent="0.2">
      <c r="A12" s="129"/>
      <c r="B12" s="130"/>
      <c r="C12" s="130"/>
      <c r="D12" s="130"/>
      <c r="E12" s="130"/>
      <c r="F12" s="129"/>
      <c r="G12" s="130"/>
    </row>
    <row r="13" spans="1:9" ht="12.75" customHeight="1" x14ac:dyDescent="0.2">
      <c r="A13" s="75" t="s">
        <v>140</v>
      </c>
      <c r="B13" s="76" t="s">
        <v>141</v>
      </c>
      <c r="C13" s="77" t="s">
        <v>134</v>
      </c>
      <c r="D13" s="77" t="s">
        <v>132</v>
      </c>
      <c r="E13" s="77" t="s">
        <v>133</v>
      </c>
      <c r="F13" s="84" t="s">
        <v>135</v>
      </c>
      <c r="G13" s="79" t="s">
        <v>136</v>
      </c>
    </row>
    <row r="14" spans="1:9" ht="12.75" customHeight="1" x14ac:dyDescent="0.2">
      <c r="A14" s="80">
        <v>1.4</v>
      </c>
      <c r="B14" s="81">
        <v>0</v>
      </c>
      <c r="C14" s="82">
        <f t="shared" ref="C14:C17" si="8">B14/A14</f>
        <v>0</v>
      </c>
      <c r="D14" s="82">
        <f t="shared" ref="D14:D17" si="9">C14*100</f>
        <v>0</v>
      </c>
      <c r="E14" s="82">
        <f t="shared" ref="E14:E17" si="10">C14*10</f>
        <v>0</v>
      </c>
      <c r="F14" s="81">
        <v>0</v>
      </c>
      <c r="G14" s="85">
        <f t="shared" ref="G14:G17" si="11">F14*E14</f>
        <v>0</v>
      </c>
    </row>
    <row r="15" spans="1:9" ht="12.75" customHeight="1" x14ac:dyDescent="0.2">
      <c r="A15" s="80">
        <v>1.5</v>
      </c>
      <c r="B15" s="81">
        <v>0</v>
      </c>
      <c r="C15" s="82">
        <f t="shared" si="8"/>
        <v>0</v>
      </c>
      <c r="D15" s="82">
        <f t="shared" si="9"/>
        <v>0</v>
      </c>
      <c r="E15" s="82">
        <f t="shared" si="10"/>
        <v>0</v>
      </c>
      <c r="F15" s="81">
        <v>0</v>
      </c>
      <c r="G15" s="85">
        <f t="shared" si="11"/>
        <v>0</v>
      </c>
    </row>
    <row r="16" spans="1:9" ht="12.75" customHeight="1" x14ac:dyDescent="0.2">
      <c r="A16" s="80">
        <v>1</v>
      </c>
      <c r="B16" s="81">
        <v>0</v>
      </c>
      <c r="C16" s="82">
        <f t="shared" si="8"/>
        <v>0</v>
      </c>
      <c r="D16" s="82">
        <f t="shared" si="9"/>
        <v>0</v>
      </c>
      <c r="E16" s="82">
        <f t="shared" si="10"/>
        <v>0</v>
      </c>
      <c r="F16" s="81">
        <v>0</v>
      </c>
      <c r="G16" s="85">
        <f t="shared" si="11"/>
        <v>0</v>
      </c>
    </row>
    <row r="17" spans="1:7" ht="12.75" customHeight="1" x14ac:dyDescent="0.2">
      <c r="A17" s="80">
        <v>0.5</v>
      </c>
      <c r="B17" s="81">
        <v>0</v>
      </c>
      <c r="C17" s="82">
        <f t="shared" si="8"/>
        <v>0</v>
      </c>
      <c r="D17" s="82">
        <f t="shared" si="9"/>
        <v>0</v>
      </c>
      <c r="E17" s="82">
        <f t="shared" si="10"/>
        <v>0</v>
      </c>
      <c r="F17" s="81">
        <v>0</v>
      </c>
      <c r="G17" s="85">
        <f t="shared" si="11"/>
        <v>0</v>
      </c>
    </row>
    <row r="18" spans="1:7" ht="12.75" customHeight="1" x14ac:dyDescent="0.2"/>
    <row r="19" spans="1:7" ht="12.75" customHeight="1" x14ac:dyDescent="0.2"/>
    <row r="20" spans="1:7" ht="12.75" hidden="1" customHeight="1" x14ac:dyDescent="0.2">
      <c r="A20" s="75" t="s">
        <v>130</v>
      </c>
      <c r="B20" s="76" t="s">
        <v>131</v>
      </c>
      <c r="C20" s="77" t="s">
        <v>132</v>
      </c>
      <c r="D20" s="77" t="s">
        <v>133</v>
      </c>
      <c r="E20" s="77" t="s">
        <v>134</v>
      </c>
      <c r="F20" s="78" t="s">
        <v>135</v>
      </c>
      <c r="G20" s="79" t="s">
        <v>136</v>
      </c>
    </row>
    <row r="21" spans="1:7" ht="12.75" hidden="1" customHeight="1" x14ac:dyDescent="0.2">
      <c r="A21" s="80">
        <v>145</v>
      </c>
      <c r="B21" s="86">
        <f>PEDIDO!C4</f>
        <v>24</v>
      </c>
      <c r="C21" s="82">
        <f t="shared" ref="C21:C45" si="12">B21/A21</f>
        <v>0.16551724137931034</v>
      </c>
      <c r="D21" s="82">
        <f t="shared" ref="D21:D45" si="13">C21/10</f>
        <v>1.6551724137931035E-2</v>
      </c>
      <c r="E21" s="82">
        <f t="shared" ref="E21:E45" si="14">C21/100</f>
        <v>1.6551724137931034E-3</v>
      </c>
      <c r="F21" s="81">
        <v>0</v>
      </c>
      <c r="G21" s="83">
        <f t="shared" ref="G21:G45" si="15">F21*E21</f>
        <v>0</v>
      </c>
    </row>
    <row r="22" spans="1:7" ht="12.75" hidden="1" customHeight="1" x14ac:dyDescent="0.2">
      <c r="A22" s="80">
        <v>145</v>
      </c>
      <c r="B22" s="86">
        <f>PEDIDO!C5</f>
        <v>7000</v>
      </c>
      <c r="C22" s="82">
        <f t="shared" si="12"/>
        <v>48.275862068965516</v>
      </c>
      <c r="D22" s="82">
        <f t="shared" si="13"/>
        <v>4.8275862068965516</v>
      </c>
      <c r="E22" s="82">
        <f t="shared" si="14"/>
        <v>0.48275862068965514</v>
      </c>
      <c r="F22" s="81">
        <v>0</v>
      </c>
      <c r="G22" s="83">
        <f t="shared" si="15"/>
        <v>0</v>
      </c>
    </row>
    <row r="23" spans="1:7" ht="12.75" hidden="1" customHeight="1" x14ac:dyDescent="0.2">
      <c r="A23" s="80">
        <v>145</v>
      </c>
      <c r="B23" s="86">
        <f>PEDIDO!C6</f>
        <v>100</v>
      </c>
      <c r="C23" s="82">
        <f t="shared" si="12"/>
        <v>0.68965517241379315</v>
      </c>
      <c r="D23" s="82">
        <f t="shared" si="13"/>
        <v>6.8965517241379309E-2</v>
      </c>
      <c r="E23" s="82">
        <f t="shared" si="14"/>
        <v>6.8965517241379318E-3</v>
      </c>
      <c r="F23" s="81">
        <v>0</v>
      </c>
      <c r="G23" s="83">
        <f t="shared" si="15"/>
        <v>0</v>
      </c>
    </row>
    <row r="24" spans="1:7" ht="12.75" hidden="1" customHeight="1" x14ac:dyDescent="0.2">
      <c r="A24" s="80">
        <v>145</v>
      </c>
      <c r="B24" s="86">
        <f>PEDIDO!C7</f>
        <v>3</v>
      </c>
      <c r="C24" s="82">
        <f t="shared" si="12"/>
        <v>2.0689655172413793E-2</v>
      </c>
      <c r="D24" s="82">
        <f t="shared" si="13"/>
        <v>2.0689655172413794E-3</v>
      </c>
      <c r="E24" s="82">
        <f t="shared" si="14"/>
        <v>2.0689655172413793E-4</v>
      </c>
      <c r="F24" s="81">
        <v>0</v>
      </c>
      <c r="G24" s="83">
        <f t="shared" si="15"/>
        <v>0</v>
      </c>
    </row>
    <row r="25" spans="1:7" ht="12.75" hidden="1" customHeight="1" x14ac:dyDescent="0.2">
      <c r="A25" s="80">
        <v>145</v>
      </c>
      <c r="B25" s="86">
        <f>PEDIDO!C8</f>
        <v>20</v>
      </c>
      <c r="C25" s="82">
        <f t="shared" si="12"/>
        <v>0.13793103448275862</v>
      </c>
      <c r="D25" s="82">
        <f t="shared" si="13"/>
        <v>1.3793103448275862E-2</v>
      </c>
      <c r="E25" s="82">
        <f t="shared" si="14"/>
        <v>1.3793103448275861E-3</v>
      </c>
      <c r="F25" s="81">
        <v>0</v>
      </c>
      <c r="G25" s="83">
        <f t="shared" si="15"/>
        <v>0</v>
      </c>
    </row>
    <row r="26" spans="1:7" ht="12.75" hidden="1" customHeight="1" x14ac:dyDescent="0.2">
      <c r="A26" s="80">
        <v>145</v>
      </c>
      <c r="B26" s="86">
        <f>PEDIDO!C9</f>
        <v>1</v>
      </c>
      <c r="C26" s="82">
        <f t="shared" si="12"/>
        <v>6.8965517241379309E-3</v>
      </c>
      <c r="D26" s="82">
        <f t="shared" si="13"/>
        <v>6.8965517241379305E-4</v>
      </c>
      <c r="E26" s="82">
        <f t="shared" si="14"/>
        <v>6.8965517241379313E-5</v>
      </c>
      <c r="F26" s="81">
        <v>0</v>
      </c>
      <c r="G26" s="83">
        <f t="shared" si="15"/>
        <v>0</v>
      </c>
    </row>
    <row r="27" spans="1:7" ht="12.75" hidden="1" customHeight="1" x14ac:dyDescent="0.2">
      <c r="A27" s="80">
        <v>145</v>
      </c>
      <c r="B27" s="86">
        <f>PEDIDO!C10</f>
        <v>7000</v>
      </c>
      <c r="C27" s="82">
        <f t="shared" si="12"/>
        <v>48.275862068965516</v>
      </c>
      <c r="D27" s="82">
        <f t="shared" si="13"/>
        <v>4.8275862068965516</v>
      </c>
      <c r="E27" s="82">
        <f t="shared" si="14"/>
        <v>0.48275862068965514</v>
      </c>
      <c r="F27" s="81">
        <v>0</v>
      </c>
      <c r="G27" s="83">
        <f t="shared" si="15"/>
        <v>0</v>
      </c>
    </row>
    <row r="28" spans="1:7" ht="12.75" hidden="1" customHeight="1" x14ac:dyDescent="0.2">
      <c r="A28" s="80">
        <v>145</v>
      </c>
      <c r="B28" s="86">
        <f>PEDIDO!C11</f>
        <v>1200</v>
      </c>
      <c r="C28" s="82">
        <f t="shared" si="12"/>
        <v>8.2758620689655178</v>
      </c>
      <c r="D28" s="82">
        <f t="shared" si="13"/>
        <v>0.82758620689655182</v>
      </c>
      <c r="E28" s="82">
        <f t="shared" si="14"/>
        <v>8.2758620689655171E-2</v>
      </c>
      <c r="F28" s="81">
        <v>0</v>
      </c>
      <c r="G28" s="83">
        <f t="shared" si="15"/>
        <v>0</v>
      </c>
    </row>
    <row r="29" spans="1:7" ht="12.75" hidden="1" customHeight="1" x14ac:dyDescent="0.2">
      <c r="A29" s="80">
        <v>145</v>
      </c>
      <c r="B29" s="86">
        <f>PEDIDO!C12</f>
        <v>2</v>
      </c>
      <c r="C29" s="82">
        <f t="shared" si="12"/>
        <v>1.3793103448275862E-2</v>
      </c>
      <c r="D29" s="82">
        <f t="shared" si="13"/>
        <v>1.3793103448275861E-3</v>
      </c>
      <c r="E29" s="82">
        <f t="shared" si="14"/>
        <v>1.3793103448275863E-4</v>
      </c>
      <c r="F29" s="81">
        <v>0</v>
      </c>
      <c r="G29" s="83">
        <f t="shared" si="15"/>
        <v>0</v>
      </c>
    </row>
    <row r="30" spans="1:7" ht="12.75" hidden="1" customHeight="1" x14ac:dyDescent="0.2">
      <c r="A30" s="80">
        <v>145</v>
      </c>
      <c r="B30" s="86">
        <f>PEDIDO!C13</f>
        <v>7000</v>
      </c>
      <c r="C30" s="82">
        <f t="shared" si="12"/>
        <v>48.275862068965516</v>
      </c>
      <c r="D30" s="82">
        <f t="shared" si="13"/>
        <v>4.8275862068965516</v>
      </c>
      <c r="E30" s="82">
        <f t="shared" si="14"/>
        <v>0.48275862068965514</v>
      </c>
      <c r="F30" s="81">
        <v>0</v>
      </c>
      <c r="G30" s="83">
        <f t="shared" si="15"/>
        <v>0</v>
      </c>
    </row>
    <row r="31" spans="1:7" ht="12.75" hidden="1" customHeight="1" x14ac:dyDescent="0.2">
      <c r="A31" s="80">
        <v>145</v>
      </c>
      <c r="B31" s="86">
        <f>PEDIDO!C14</f>
        <v>200</v>
      </c>
      <c r="C31" s="82">
        <f t="shared" si="12"/>
        <v>1.3793103448275863</v>
      </c>
      <c r="D31" s="82">
        <f t="shared" si="13"/>
        <v>0.13793103448275862</v>
      </c>
      <c r="E31" s="82">
        <f t="shared" si="14"/>
        <v>1.3793103448275864E-2</v>
      </c>
      <c r="F31" s="81">
        <v>0</v>
      </c>
      <c r="G31" s="83">
        <f t="shared" si="15"/>
        <v>0</v>
      </c>
    </row>
    <row r="32" spans="1:7" ht="12.75" hidden="1" customHeight="1" x14ac:dyDescent="0.2">
      <c r="A32" s="80">
        <v>145</v>
      </c>
      <c r="B32" s="86">
        <f>PEDIDO!C15</f>
        <v>0</v>
      </c>
      <c r="C32" s="82">
        <f t="shared" si="12"/>
        <v>0</v>
      </c>
      <c r="D32" s="82">
        <f t="shared" si="13"/>
        <v>0</v>
      </c>
      <c r="E32" s="82">
        <f t="shared" si="14"/>
        <v>0</v>
      </c>
      <c r="F32" s="81">
        <v>0</v>
      </c>
      <c r="G32" s="83">
        <f t="shared" si="15"/>
        <v>0</v>
      </c>
    </row>
    <row r="33" spans="1:7" ht="12.75" hidden="1" customHeight="1" x14ac:dyDescent="0.2">
      <c r="A33" s="80">
        <v>145</v>
      </c>
      <c r="B33" s="86">
        <f>PEDIDO!C16</f>
        <v>0</v>
      </c>
      <c r="C33" s="82">
        <f t="shared" si="12"/>
        <v>0</v>
      </c>
      <c r="D33" s="82">
        <f t="shared" si="13"/>
        <v>0</v>
      </c>
      <c r="E33" s="82">
        <f t="shared" si="14"/>
        <v>0</v>
      </c>
      <c r="F33" s="81">
        <v>0</v>
      </c>
      <c r="G33" s="83">
        <f t="shared" si="15"/>
        <v>0</v>
      </c>
    </row>
    <row r="34" spans="1:7" ht="12.75" hidden="1" customHeight="1" x14ac:dyDescent="0.2">
      <c r="A34" s="80">
        <v>145</v>
      </c>
      <c r="B34" s="86">
        <f>PEDIDO!C17</f>
        <v>0</v>
      </c>
      <c r="C34" s="82">
        <f t="shared" si="12"/>
        <v>0</v>
      </c>
      <c r="D34" s="82">
        <f t="shared" si="13"/>
        <v>0</v>
      </c>
      <c r="E34" s="82">
        <f t="shared" si="14"/>
        <v>0</v>
      </c>
      <c r="F34" s="81">
        <v>0</v>
      </c>
      <c r="G34" s="83">
        <f t="shared" si="15"/>
        <v>0</v>
      </c>
    </row>
    <row r="35" spans="1:7" ht="12.75" hidden="1" customHeight="1" x14ac:dyDescent="0.2">
      <c r="A35" s="80">
        <v>145</v>
      </c>
      <c r="B35" s="86">
        <f>PEDIDO!C18</f>
        <v>0</v>
      </c>
      <c r="C35" s="82">
        <f t="shared" si="12"/>
        <v>0</v>
      </c>
      <c r="D35" s="82">
        <f t="shared" si="13"/>
        <v>0</v>
      </c>
      <c r="E35" s="82">
        <f t="shared" si="14"/>
        <v>0</v>
      </c>
      <c r="F35" s="81">
        <v>0</v>
      </c>
      <c r="G35" s="83">
        <f t="shared" si="15"/>
        <v>0</v>
      </c>
    </row>
    <row r="36" spans="1:7" ht="12.75" hidden="1" customHeight="1" x14ac:dyDescent="0.2">
      <c r="A36" s="80">
        <v>145</v>
      </c>
      <c r="B36" s="86">
        <f>PEDIDO!C19</f>
        <v>0</v>
      </c>
      <c r="C36" s="82">
        <f t="shared" si="12"/>
        <v>0</v>
      </c>
      <c r="D36" s="82">
        <f t="shared" si="13"/>
        <v>0</v>
      </c>
      <c r="E36" s="82">
        <f t="shared" si="14"/>
        <v>0</v>
      </c>
      <c r="F36" s="81">
        <v>0</v>
      </c>
      <c r="G36" s="83">
        <f t="shared" si="15"/>
        <v>0</v>
      </c>
    </row>
    <row r="37" spans="1:7" ht="12.75" hidden="1" customHeight="1" x14ac:dyDescent="0.2">
      <c r="A37" s="80">
        <v>145</v>
      </c>
      <c r="B37" s="86">
        <f>PEDIDO!C20</f>
        <v>0</v>
      </c>
      <c r="C37" s="82">
        <f t="shared" si="12"/>
        <v>0</v>
      </c>
      <c r="D37" s="82">
        <f t="shared" si="13"/>
        <v>0</v>
      </c>
      <c r="E37" s="82">
        <f t="shared" si="14"/>
        <v>0</v>
      </c>
      <c r="F37" s="81">
        <v>0</v>
      </c>
      <c r="G37" s="83">
        <f t="shared" si="15"/>
        <v>0</v>
      </c>
    </row>
    <row r="38" spans="1:7" ht="12.75" hidden="1" customHeight="1" x14ac:dyDescent="0.2">
      <c r="A38" s="80">
        <v>145</v>
      </c>
      <c r="B38" s="86">
        <f>PEDIDO!C21</f>
        <v>0</v>
      </c>
      <c r="C38" s="82">
        <f t="shared" si="12"/>
        <v>0</v>
      </c>
      <c r="D38" s="82">
        <f t="shared" si="13"/>
        <v>0</v>
      </c>
      <c r="E38" s="82">
        <f t="shared" si="14"/>
        <v>0</v>
      </c>
      <c r="F38" s="81">
        <v>0</v>
      </c>
      <c r="G38" s="83">
        <f t="shared" si="15"/>
        <v>0</v>
      </c>
    </row>
    <row r="39" spans="1:7" ht="12.75" hidden="1" customHeight="1" x14ac:dyDescent="0.2">
      <c r="A39" s="80">
        <v>145</v>
      </c>
      <c r="B39" s="86">
        <f>PEDIDO!C22</f>
        <v>0</v>
      </c>
      <c r="C39" s="82">
        <f t="shared" si="12"/>
        <v>0</v>
      </c>
      <c r="D39" s="82">
        <f t="shared" si="13"/>
        <v>0</v>
      </c>
      <c r="E39" s="82">
        <f t="shared" si="14"/>
        <v>0</v>
      </c>
      <c r="F39" s="81">
        <v>0</v>
      </c>
      <c r="G39" s="83">
        <f t="shared" si="15"/>
        <v>0</v>
      </c>
    </row>
    <row r="40" spans="1:7" ht="12.75" hidden="1" customHeight="1" x14ac:dyDescent="0.2">
      <c r="A40" s="80">
        <v>145</v>
      </c>
      <c r="B40" s="86">
        <f>PEDIDO!C23</f>
        <v>0</v>
      </c>
      <c r="C40" s="82">
        <f t="shared" si="12"/>
        <v>0</v>
      </c>
      <c r="D40" s="82">
        <f t="shared" si="13"/>
        <v>0</v>
      </c>
      <c r="E40" s="82">
        <f t="shared" si="14"/>
        <v>0</v>
      </c>
      <c r="F40" s="81">
        <v>0</v>
      </c>
      <c r="G40" s="83">
        <f t="shared" si="15"/>
        <v>0</v>
      </c>
    </row>
    <row r="41" spans="1:7" ht="12.75" hidden="1" customHeight="1" x14ac:dyDescent="0.2">
      <c r="A41" s="80">
        <v>145</v>
      </c>
      <c r="B41" s="86">
        <f>PEDIDO!C24</f>
        <v>0</v>
      </c>
      <c r="C41" s="82">
        <f t="shared" si="12"/>
        <v>0</v>
      </c>
      <c r="D41" s="82">
        <f t="shared" si="13"/>
        <v>0</v>
      </c>
      <c r="E41" s="82">
        <f t="shared" si="14"/>
        <v>0</v>
      </c>
      <c r="F41" s="81">
        <v>0</v>
      </c>
      <c r="G41" s="83">
        <f t="shared" si="15"/>
        <v>0</v>
      </c>
    </row>
    <row r="42" spans="1:7" ht="12.75" hidden="1" customHeight="1" x14ac:dyDescent="0.2">
      <c r="A42" s="80">
        <v>145</v>
      </c>
      <c r="B42" s="86">
        <f>PEDIDO!C25</f>
        <v>0</v>
      </c>
      <c r="C42" s="82">
        <f t="shared" si="12"/>
        <v>0</v>
      </c>
      <c r="D42" s="82">
        <f t="shared" si="13"/>
        <v>0</v>
      </c>
      <c r="E42" s="82">
        <f t="shared" si="14"/>
        <v>0</v>
      </c>
      <c r="F42" s="81">
        <v>0</v>
      </c>
      <c r="G42" s="83">
        <f t="shared" si="15"/>
        <v>0</v>
      </c>
    </row>
    <row r="43" spans="1:7" ht="12.75" hidden="1" customHeight="1" x14ac:dyDescent="0.2">
      <c r="A43" s="80">
        <v>145</v>
      </c>
      <c r="B43" s="86">
        <f>PEDIDO!C26</f>
        <v>0</v>
      </c>
      <c r="C43" s="82">
        <f t="shared" si="12"/>
        <v>0</v>
      </c>
      <c r="D43" s="82">
        <f t="shared" si="13"/>
        <v>0</v>
      </c>
      <c r="E43" s="82">
        <f t="shared" si="14"/>
        <v>0</v>
      </c>
      <c r="F43" s="81">
        <v>0</v>
      </c>
      <c r="G43" s="83">
        <f t="shared" si="15"/>
        <v>0</v>
      </c>
    </row>
    <row r="44" spans="1:7" ht="12.75" hidden="1" customHeight="1" x14ac:dyDescent="0.2">
      <c r="A44" s="80">
        <v>145</v>
      </c>
      <c r="B44" s="86">
        <f>PEDIDO!C27</f>
        <v>0</v>
      </c>
      <c r="C44" s="82">
        <f t="shared" si="12"/>
        <v>0</v>
      </c>
      <c r="D44" s="82">
        <f t="shared" si="13"/>
        <v>0</v>
      </c>
      <c r="E44" s="82">
        <f t="shared" si="14"/>
        <v>0</v>
      </c>
      <c r="F44" s="81">
        <v>0</v>
      </c>
      <c r="G44" s="83">
        <f t="shared" si="15"/>
        <v>0</v>
      </c>
    </row>
    <row r="45" spans="1:7" ht="12.75" hidden="1" customHeight="1" x14ac:dyDescent="0.2">
      <c r="A45" s="80">
        <v>145</v>
      </c>
      <c r="B45" s="86">
        <f>PEDIDO!C28</f>
        <v>0</v>
      </c>
      <c r="C45" s="82">
        <f t="shared" si="12"/>
        <v>0</v>
      </c>
      <c r="D45" s="82">
        <f t="shared" si="13"/>
        <v>0</v>
      </c>
      <c r="E45" s="82">
        <f t="shared" si="14"/>
        <v>0</v>
      </c>
      <c r="F45" s="81">
        <v>0</v>
      </c>
      <c r="G45" s="83">
        <f t="shared" si="15"/>
        <v>0</v>
      </c>
    </row>
    <row r="46" spans="1:7" ht="12.75" customHeight="1" x14ac:dyDescent="0.2"/>
    <row r="47" spans="1:7" ht="12.75" customHeight="1" x14ac:dyDescent="0.2"/>
    <row r="48" spans="1:7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1">
    <mergeCell ref="H1:I5"/>
  </mergeCells>
  <pageMargins left="0.7" right="0.7" top="0.75" bottom="0.75" header="0" footer="0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/>
  </sheetViews>
  <sheetFormatPr baseColWidth="10" defaultColWidth="12.5703125" defaultRowHeight="15" customHeight="1" x14ac:dyDescent="0.2"/>
  <cols>
    <col min="1" max="1" width="26.28515625" customWidth="1"/>
    <col min="2" max="2" width="10.5703125" customWidth="1"/>
    <col min="3" max="3" width="7.7109375" customWidth="1"/>
    <col min="4" max="4" width="17.7109375" customWidth="1"/>
    <col min="5" max="26" width="10.7109375" customWidth="1"/>
  </cols>
  <sheetData>
    <row r="1" spans="1:4" ht="12.75" customHeight="1" x14ac:dyDescent="0.2">
      <c r="A1" s="87" t="s">
        <v>91</v>
      </c>
      <c r="B1" s="88" t="s">
        <v>142</v>
      </c>
      <c r="C1" s="89" t="s">
        <v>98</v>
      </c>
      <c r="D1" s="87" t="s">
        <v>143</v>
      </c>
    </row>
    <row r="2" spans="1:4" ht="12.75" customHeight="1" x14ac:dyDescent="0.2">
      <c r="A2" s="90" t="s">
        <v>144</v>
      </c>
      <c r="B2" s="91">
        <v>133.4</v>
      </c>
      <c r="C2" s="92">
        <v>1</v>
      </c>
      <c r="D2" s="93"/>
    </row>
    <row r="3" spans="1:4" ht="12.75" customHeight="1" x14ac:dyDescent="0.2">
      <c r="A3" s="90">
        <v>0</v>
      </c>
      <c r="B3" s="91">
        <v>0</v>
      </c>
      <c r="C3" s="92">
        <v>0</v>
      </c>
      <c r="D3" s="93"/>
    </row>
    <row r="4" spans="1:4" ht="12.75" customHeight="1" x14ac:dyDescent="0.2">
      <c r="A4" s="90" t="s">
        <v>145</v>
      </c>
      <c r="B4" s="91">
        <v>50</v>
      </c>
      <c r="C4" s="92">
        <v>1</v>
      </c>
      <c r="D4" s="93"/>
    </row>
    <row r="5" spans="1:4" ht="12.75" customHeight="1" x14ac:dyDescent="0.2">
      <c r="A5" s="90" t="s">
        <v>146</v>
      </c>
      <c r="B5" s="94">
        <v>1392</v>
      </c>
      <c r="C5" s="92">
        <v>1</v>
      </c>
      <c r="D5" s="93"/>
    </row>
    <row r="6" spans="1:4" ht="12.75" customHeight="1" x14ac:dyDescent="0.2">
      <c r="A6" s="90" t="s">
        <v>147</v>
      </c>
      <c r="B6" s="94">
        <v>2204</v>
      </c>
      <c r="C6" s="92">
        <v>1</v>
      </c>
      <c r="D6" s="93"/>
    </row>
    <row r="7" spans="1:4" ht="12.75" customHeight="1" x14ac:dyDescent="0.2">
      <c r="A7" s="90" t="s">
        <v>148</v>
      </c>
      <c r="B7" s="91">
        <v>800</v>
      </c>
      <c r="C7" s="92">
        <v>1</v>
      </c>
      <c r="D7" s="93"/>
    </row>
    <row r="8" spans="1:4" ht="12.75" customHeight="1" x14ac:dyDescent="0.2">
      <c r="A8" s="90" t="s">
        <v>149</v>
      </c>
      <c r="B8" s="91">
        <v>800</v>
      </c>
      <c r="C8" s="92">
        <v>1</v>
      </c>
      <c r="D8" s="93"/>
    </row>
    <row r="9" spans="1:4" ht="12.75" customHeight="1" x14ac:dyDescent="0.2">
      <c r="A9" s="90" t="s">
        <v>150</v>
      </c>
      <c r="B9" s="91">
        <v>800</v>
      </c>
      <c r="C9" s="92">
        <v>1</v>
      </c>
      <c r="D9" s="93"/>
    </row>
    <row r="10" spans="1:4" ht="12.75" customHeight="1" x14ac:dyDescent="0.2">
      <c r="A10" s="90" t="s">
        <v>151</v>
      </c>
      <c r="B10" s="91">
        <v>800</v>
      </c>
      <c r="C10" s="92">
        <v>1</v>
      </c>
      <c r="D10" s="93"/>
    </row>
    <row r="11" spans="1:4" ht="12.75" customHeight="1" x14ac:dyDescent="0.2">
      <c r="A11" s="90" t="s">
        <v>152</v>
      </c>
      <c r="B11" s="91">
        <v>800</v>
      </c>
      <c r="C11" s="92">
        <v>1</v>
      </c>
      <c r="D11" s="93"/>
    </row>
    <row r="12" spans="1:4" ht="12" customHeight="1" x14ac:dyDescent="0.2">
      <c r="A12" s="90" t="s">
        <v>153</v>
      </c>
      <c r="B12" s="91">
        <v>58</v>
      </c>
      <c r="C12" s="92">
        <v>1</v>
      </c>
      <c r="D12" s="93"/>
    </row>
    <row r="13" spans="1:4" ht="12.75" customHeight="1" x14ac:dyDescent="0.2">
      <c r="A13" s="90" t="s">
        <v>154</v>
      </c>
      <c r="B13" s="91">
        <v>63.8</v>
      </c>
      <c r="C13" s="92">
        <v>1</v>
      </c>
      <c r="D13" s="93"/>
    </row>
    <row r="14" spans="1:4" ht="12.75" customHeight="1" x14ac:dyDescent="0.2">
      <c r="A14" s="90" t="s">
        <v>155</v>
      </c>
      <c r="B14" s="91">
        <v>63.8</v>
      </c>
      <c r="C14" s="92">
        <v>1</v>
      </c>
      <c r="D14" s="93"/>
    </row>
    <row r="15" spans="1:4" ht="12.75" customHeight="1" x14ac:dyDescent="0.2">
      <c r="A15" s="90" t="s">
        <v>156</v>
      </c>
      <c r="B15" s="91">
        <v>130</v>
      </c>
      <c r="C15" s="92">
        <v>1</v>
      </c>
      <c r="D15" s="93"/>
    </row>
    <row r="16" spans="1:4" ht="12.75" customHeight="1" x14ac:dyDescent="0.2">
      <c r="A16" s="90" t="s">
        <v>157</v>
      </c>
      <c r="B16" s="91">
        <v>130</v>
      </c>
      <c r="C16" s="92">
        <v>1</v>
      </c>
      <c r="D16" s="93"/>
    </row>
    <row r="17" spans="1:4" ht="12.75" customHeight="1" x14ac:dyDescent="0.2">
      <c r="A17" s="90" t="s">
        <v>158</v>
      </c>
      <c r="B17" s="91">
        <v>250</v>
      </c>
      <c r="C17" s="92">
        <v>1</v>
      </c>
      <c r="D17" s="93"/>
    </row>
    <row r="18" spans="1:4" ht="12.75" customHeight="1" x14ac:dyDescent="0.2">
      <c r="A18" s="90" t="s">
        <v>159</v>
      </c>
      <c r="B18" s="91">
        <v>350</v>
      </c>
      <c r="C18" s="92">
        <v>1</v>
      </c>
      <c r="D18" s="93"/>
    </row>
    <row r="19" spans="1:4" ht="12.75" customHeight="1" x14ac:dyDescent="0.2">
      <c r="A19" s="90" t="s">
        <v>160</v>
      </c>
      <c r="B19" s="91">
        <v>800</v>
      </c>
      <c r="C19" s="92">
        <v>1</v>
      </c>
      <c r="D19" s="93"/>
    </row>
    <row r="20" spans="1:4" ht="12.75" customHeight="1" x14ac:dyDescent="0.2">
      <c r="A20" s="90" t="s">
        <v>161</v>
      </c>
      <c r="B20" s="91">
        <v>110</v>
      </c>
      <c r="C20" s="92">
        <v>1</v>
      </c>
      <c r="D20" s="93"/>
    </row>
    <row r="21" spans="1:4" ht="12.75" customHeight="1" x14ac:dyDescent="0.2">
      <c r="A21" s="90" t="s">
        <v>162</v>
      </c>
      <c r="B21" s="91">
        <v>1000</v>
      </c>
      <c r="C21" s="92">
        <v>1</v>
      </c>
      <c r="D21" s="93"/>
    </row>
    <row r="22" spans="1:4" ht="12.75" customHeight="1" x14ac:dyDescent="0.2">
      <c r="A22" s="90" t="s">
        <v>163</v>
      </c>
      <c r="B22" s="91">
        <v>0.5</v>
      </c>
      <c r="C22" s="92">
        <v>1</v>
      </c>
      <c r="D22" s="93"/>
    </row>
    <row r="23" spans="1:4" ht="12.75" customHeight="1" x14ac:dyDescent="0.2">
      <c r="A23" s="90" t="s">
        <v>164</v>
      </c>
      <c r="B23" s="91">
        <v>754</v>
      </c>
      <c r="C23" s="92">
        <v>1</v>
      </c>
      <c r="D23" s="93"/>
    </row>
    <row r="24" spans="1:4" ht="12.75" customHeight="1" x14ac:dyDescent="0.2">
      <c r="A24" s="90" t="s">
        <v>165</v>
      </c>
      <c r="B24" s="91">
        <v>754</v>
      </c>
      <c r="C24" s="92">
        <v>1</v>
      </c>
      <c r="D24" s="93"/>
    </row>
    <row r="25" spans="1:4" ht="12.75" customHeight="1" x14ac:dyDescent="0.2">
      <c r="A25" s="90" t="s">
        <v>31</v>
      </c>
      <c r="B25" s="91">
        <v>0.2</v>
      </c>
      <c r="C25" s="92">
        <v>1</v>
      </c>
      <c r="D25" s="93"/>
    </row>
    <row r="26" spans="1:4" ht="12.75" customHeight="1" x14ac:dyDescent="0.2">
      <c r="A26" s="90" t="s">
        <v>166</v>
      </c>
      <c r="B26" s="91">
        <v>0.3</v>
      </c>
      <c r="C26" s="92">
        <v>1</v>
      </c>
      <c r="D26" s="93"/>
    </row>
    <row r="27" spans="1:4" ht="12.75" customHeight="1" x14ac:dyDescent="0.2">
      <c r="A27" s="90" t="s">
        <v>167</v>
      </c>
      <c r="B27" s="91">
        <v>0.26</v>
      </c>
      <c r="C27" s="92">
        <v>1</v>
      </c>
      <c r="D27" s="93"/>
    </row>
    <row r="28" spans="1:4" ht="12.75" customHeight="1" x14ac:dyDescent="0.2">
      <c r="A28" s="90" t="s">
        <v>168</v>
      </c>
      <c r="B28" s="91">
        <v>0.4</v>
      </c>
      <c r="C28" s="92">
        <v>1</v>
      </c>
      <c r="D28" s="93"/>
    </row>
    <row r="29" spans="1:4" ht="12.75" customHeight="1" x14ac:dyDescent="0.2">
      <c r="A29" s="90" t="s">
        <v>169</v>
      </c>
      <c r="B29" s="91">
        <v>0.4</v>
      </c>
      <c r="C29" s="92">
        <v>1</v>
      </c>
      <c r="D29" s="93"/>
    </row>
    <row r="30" spans="1:4" ht="12.75" customHeight="1" x14ac:dyDescent="0.2">
      <c r="A30" s="90" t="s">
        <v>170</v>
      </c>
      <c r="B30" s="91">
        <v>0.4</v>
      </c>
      <c r="C30" s="92">
        <v>1</v>
      </c>
      <c r="D30" s="93"/>
    </row>
    <row r="31" spans="1:4" ht="12.75" customHeight="1" x14ac:dyDescent="0.2">
      <c r="A31" s="90" t="s">
        <v>171</v>
      </c>
      <c r="B31" s="91">
        <v>500</v>
      </c>
      <c r="C31" s="92">
        <v>1</v>
      </c>
      <c r="D31" s="93"/>
    </row>
    <row r="32" spans="1:4" ht="12.75" customHeight="1" x14ac:dyDescent="0.2">
      <c r="A32" s="90" t="s">
        <v>172</v>
      </c>
      <c r="B32" s="91">
        <v>450</v>
      </c>
      <c r="C32" s="92">
        <v>1</v>
      </c>
      <c r="D32" s="93"/>
    </row>
    <row r="33" spans="1:4" ht="12.75" customHeight="1" x14ac:dyDescent="0.2">
      <c r="A33" s="90" t="s">
        <v>173</v>
      </c>
      <c r="B33" s="91">
        <v>400</v>
      </c>
      <c r="C33" s="92">
        <v>1</v>
      </c>
      <c r="D33" s="93"/>
    </row>
    <row r="34" spans="1:4" ht="12.75" customHeight="1" x14ac:dyDescent="0.2">
      <c r="A34" s="90" t="s">
        <v>25</v>
      </c>
      <c r="B34" s="91">
        <v>3.4</v>
      </c>
      <c r="C34" s="92">
        <v>1</v>
      </c>
      <c r="D34" s="93"/>
    </row>
    <row r="35" spans="1:4" ht="12.75" customHeight="1" x14ac:dyDescent="0.2">
      <c r="A35" s="90" t="s">
        <v>174</v>
      </c>
      <c r="B35" s="91">
        <v>4.4000000000000004</v>
      </c>
      <c r="C35" s="92">
        <v>1</v>
      </c>
      <c r="D35" s="93"/>
    </row>
    <row r="36" spans="1:4" ht="12.75" customHeight="1" x14ac:dyDescent="0.2">
      <c r="A36" s="90" t="s">
        <v>23</v>
      </c>
      <c r="B36" s="91">
        <v>6</v>
      </c>
      <c r="C36" s="92">
        <v>1</v>
      </c>
      <c r="D36" s="93"/>
    </row>
    <row r="37" spans="1:4" ht="12.75" customHeight="1" x14ac:dyDescent="0.2">
      <c r="A37" s="90" t="s">
        <v>175</v>
      </c>
      <c r="B37" s="91">
        <v>0.38</v>
      </c>
      <c r="C37" s="92">
        <v>1</v>
      </c>
      <c r="D37" s="93"/>
    </row>
    <row r="38" spans="1:4" ht="15" customHeight="1" x14ac:dyDescent="0.25">
      <c r="A38" s="90" t="s">
        <v>176</v>
      </c>
      <c r="B38" s="95">
        <v>50</v>
      </c>
      <c r="C38" s="92">
        <v>1</v>
      </c>
      <c r="D38" s="93"/>
    </row>
    <row r="39" spans="1:4" ht="15" customHeight="1" x14ac:dyDescent="0.25">
      <c r="A39" s="90" t="s">
        <v>177</v>
      </c>
      <c r="B39" s="96">
        <v>50</v>
      </c>
      <c r="C39" s="92">
        <v>1</v>
      </c>
      <c r="D39" s="93"/>
    </row>
    <row r="40" spans="1:4" ht="12.75" customHeight="1" x14ac:dyDescent="0.2">
      <c r="A40" s="90" t="s">
        <v>178</v>
      </c>
      <c r="B40" s="96">
        <v>80</v>
      </c>
      <c r="C40" s="92">
        <v>1</v>
      </c>
      <c r="D40" s="93"/>
    </row>
    <row r="41" spans="1:4" ht="12.75" customHeight="1" x14ac:dyDescent="0.2">
      <c r="A41" s="90" t="s">
        <v>179</v>
      </c>
      <c r="B41" s="96">
        <v>90</v>
      </c>
      <c r="C41" s="92">
        <v>1</v>
      </c>
      <c r="D41" s="93"/>
    </row>
    <row r="42" spans="1:4" ht="12.75" customHeight="1" x14ac:dyDescent="0.2">
      <c r="A42" s="90" t="s">
        <v>180</v>
      </c>
      <c r="B42" s="96">
        <v>100</v>
      </c>
      <c r="C42" s="92">
        <v>1</v>
      </c>
      <c r="D42" s="93"/>
    </row>
    <row r="43" spans="1:4" ht="15" customHeight="1" x14ac:dyDescent="0.25">
      <c r="A43" s="90" t="s">
        <v>181</v>
      </c>
      <c r="B43" s="95">
        <v>50</v>
      </c>
      <c r="C43" s="92">
        <v>1</v>
      </c>
      <c r="D43" s="93"/>
    </row>
    <row r="44" spans="1:4" ht="15" customHeight="1" x14ac:dyDescent="0.25">
      <c r="A44" s="90" t="s">
        <v>182</v>
      </c>
      <c r="B44" s="96">
        <v>50</v>
      </c>
      <c r="C44" s="92">
        <v>1</v>
      </c>
      <c r="D44" s="93"/>
    </row>
    <row r="45" spans="1:4" ht="12.75" customHeight="1" x14ac:dyDescent="0.2">
      <c r="A45" s="90" t="s">
        <v>183</v>
      </c>
      <c r="B45" s="96">
        <v>80</v>
      </c>
      <c r="C45" s="92">
        <v>1</v>
      </c>
      <c r="D45" s="93"/>
    </row>
    <row r="46" spans="1:4" ht="12.75" customHeight="1" x14ac:dyDescent="0.2">
      <c r="A46" s="90" t="s">
        <v>184</v>
      </c>
      <c r="B46" s="96">
        <v>90</v>
      </c>
      <c r="C46" s="92">
        <v>1</v>
      </c>
      <c r="D46" s="93"/>
    </row>
    <row r="47" spans="1:4" ht="12.75" customHeight="1" x14ac:dyDescent="0.2">
      <c r="A47" s="90" t="s">
        <v>185</v>
      </c>
      <c r="B47" s="96">
        <v>100</v>
      </c>
      <c r="C47" s="92">
        <v>1</v>
      </c>
      <c r="D47" s="93"/>
    </row>
    <row r="48" spans="1:4" ht="12.75" customHeight="1" x14ac:dyDescent="0.2">
      <c r="A48" s="90" t="s">
        <v>186</v>
      </c>
      <c r="B48" s="94">
        <v>250</v>
      </c>
      <c r="C48" s="131">
        <v>1</v>
      </c>
      <c r="D48" s="93"/>
    </row>
    <row r="49" spans="1:4" ht="12.75" customHeight="1" x14ac:dyDescent="0.2">
      <c r="A49" s="90" t="s">
        <v>187</v>
      </c>
      <c r="B49" s="91">
        <v>349</v>
      </c>
      <c r="C49" s="92">
        <v>1</v>
      </c>
      <c r="D49" s="93"/>
    </row>
    <row r="50" spans="1:4" ht="12.75" customHeight="1" x14ac:dyDescent="0.2">
      <c r="A50" s="90" t="s">
        <v>188</v>
      </c>
      <c r="B50" s="91">
        <v>246</v>
      </c>
      <c r="C50" s="92">
        <v>1</v>
      </c>
      <c r="D50" s="93"/>
    </row>
    <row r="51" spans="1:4" ht="12.75" customHeight="1" x14ac:dyDescent="0.2">
      <c r="A51" s="90" t="s">
        <v>189</v>
      </c>
      <c r="B51" s="91">
        <v>436</v>
      </c>
      <c r="C51" s="92">
        <v>1</v>
      </c>
      <c r="D51" s="93"/>
    </row>
    <row r="52" spans="1:4" ht="12.75" customHeight="1" x14ac:dyDescent="0.2">
      <c r="A52" s="90" t="s">
        <v>190</v>
      </c>
      <c r="B52" s="91">
        <v>491</v>
      </c>
      <c r="C52" s="92">
        <v>1</v>
      </c>
      <c r="D52" s="93"/>
    </row>
    <row r="53" spans="1:4" ht="12.75" customHeight="1" x14ac:dyDescent="0.2">
      <c r="A53" s="90" t="s">
        <v>21</v>
      </c>
      <c r="B53" s="91">
        <v>488</v>
      </c>
      <c r="C53" s="92">
        <v>1</v>
      </c>
      <c r="D53" s="93"/>
    </row>
    <row r="54" spans="1:4" ht="12.75" customHeight="1" x14ac:dyDescent="0.2">
      <c r="A54" s="90" t="s">
        <v>191</v>
      </c>
      <c r="B54" s="91">
        <v>589</v>
      </c>
      <c r="C54" s="92">
        <v>1</v>
      </c>
      <c r="D54" s="93"/>
    </row>
    <row r="55" spans="1:4" ht="12.75" customHeight="1" x14ac:dyDescent="0.2">
      <c r="A55" s="90" t="s">
        <v>192</v>
      </c>
      <c r="B55" s="91">
        <v>685</v>
      </c>
      <c r="C55" s="92">
        <v>1</v>
      </c>
      <c r="D55" s="93"/>
    </row>
    <row r="56" spans="1:4" ht="12.75" customHeight="1" x14ac:dyDescent="0.2">
      <c r="A56" s="90" t="s">
        <v>193</v>
      </c>
      <c r="B56" s="91">
        <v>430</v>
      </c>
      <c r="C56" s="92">
        <v>1</v>
      </c>
      <c r="D56" s="93"/>
    </row>
    <row r="57" spans="1:4" ht="12.75" customHeight="1" x14ac:dyDescent="0.2">
      <c r="A57" s="90" t="s">
        <v>194</v>
      </c>
      <c r="B57" s="91">
        <v>476</v>
      </c>
      <c r="C57" s="92">
        <v>1</v>
      </c>
      <c r="D57" s="93"/>
    </row>
    <row r="58" spans="1:4" ht="12.75" customHeight="1" x14ac:dyDescent="0.2">
      <c r="A58" s="90" t="s">
        <v>195</v>
      </c>
      <c r="B58" s="91">
        <v>306</v>
      </c>
      <c r="C58" s="92">
        <v>1</v>
      </c>
      <c r="D58" s="93"/>
    </row>
    <row r="59" spans="1:4" ht="12.75" customHeight="1" x14ac:dyDescent="0.2">
      <c r="A59" s="90" t="s">
        <v>196</v>
      </c>
      <c r="B59" s="91">
        <v>200</v>
      </c>
      <c r="C59" s="92">
        <v>1</v>
      </c>
      <c r="D59" s="93"/>
    </row>
    <row r="60" spans="1:4" ht="12.75" customHeight="1" x14ac:dyDescent="0.2">
      <c r="A60" s="90" t="s">
        <v>197</v>
      </c>
      <c r="B60" s="91">
        <v>17</v>
      </c>
      <c r="C60" s="92">
        <v>1</v>
      </c>
      <c r="D60" s="93"/>
    </row>
    <row r="61" spans="1:4" ht="12.75" customHeight="1" x14ac:dyDescent="0.2">
      <c r="A61" s="90" t="s">
        <v>198</v>
      </c>
      <c r="B61" s="91">
        <v>80</v>
      </c>
      <c r="C61" s="92">
        <v>1</v>
      </c>
      <c r="D61" s="93"/>
    </row>
    <row r="62" spans="1:4" ht="12.75" customHeight="1" x14ac:dyDescent="0.2">
      <c r="A62" s="90" t="s">
        <v>199</v>
      </c>
      <c r="B62" s="91">
        <v>4000</v>
      </c>
      <c r="C62" s="92">
        <v>1</v>
      </c>
      <c r="D62" s="93"/>
    </row>
    <row r="63" spans="1:4" ht="12.75" customHeight="1" x14ac:dyDescent="0.2">
      <c r="A63" s="90" t="s">
        <v>200</v>
      </c>
      <c r="B63" s="91">
        <v>0.13</v>
      </c>
      <c r="C63" s="92">
        <v>1</v>
      </c>
      <c r="D63" s="93"/>
    </row>
    <row r="64" spans="1:4" ht="12.75" customHeight="1" x14ac:dyDescent="0.2">
      <c r="A64" s="90" t="s">
        <v>201</v>
      </c>
      <c r="B64" s="91">
        <v>0.15</v>
      </c>
      <c r="C64" s="92">
        <v>1</v>
      </c>
      <c r="D64" s="93"/>
    </row>
    <row r="65" spans="1:4" ht="12.75" customHeight="1" x14ac:dyDescent="0.2">
      <c r="A65" s="90" t="s">
        <v>202</v>
      </c>
      <c r="B65" s="91">
        <v>0.17</v>
      </c>
      <c r="C65" s="92">
        <v>1</v>
      </c>
      <c r="D65" s="93"/>
    </row>
    <row r="66" spans="1:4" ht="12.75" customHeight="1" x14ac:dyDescent="0.2">
      <c r="A66" s="90" t="s">
        <v>203</v>
      </c>
      <c r="B66" s="91">
        <v>0.25</v>
      </c>
      <c r="C66" s="92">
        <v>1</v>
      </c>
      <c r="D66" s="93">
        <v>100</v>
      </c>
    </row>
    <row r="67" spans="1:4" ht="12.75" customHeight="1" x14ac:dyDescent="0.2">
      <c r="A67" s="90" t="s">
        <v>204</v>
      </c>
      <c r="B67" s="91">
        <v>0.56999999999999995</v>
      </c>
      <c r="C67" s="92">
        <v>1</v>
      </c>
      <c r="D67" s="93">
        <v>140</v>
      </c>
    </row>
    <row r="68" spans="1:4" ht="12.75" customHeight="1" x14ac:dyDescent="0.2">
      <c r="A68" s="90" t="s">
        <v>205</v>
      </c>
      <c r="B68" s="91">
        <v>284</v>
      </c>
      <c r="C68" s="92">
        <v>1</v>
      </c>
      <c r="D68" s="93"/>
    </row>
    <row r="69" spans="1:4" ht="12.75" customHeight="1" x14ac:dyDescent="0.2">
      <c r="A69" s="90" t="s">
        <v>206</v>
      </c>
      <c r="B69" s="91">
        <v>491</v>
      </c>
      <c r="C69" s="92">
        <v>1</v>
      </c>
      <c r="D69" s="93"/>
    </row>
    <row r="70" spans="1:4" ht="12.75" customHeight="1" x14ac:dyDescent="0.2">
      <c r="A70" s="90" t="s">
        <v>207</v>
      </c>
      <c r="B70" s="91">
        <v>0.1</v>
      </c>
      <c r="C70" s="92">
        <v>1</v>
      </c>
      <c r="D70" s="93">
        <v>140</v>
      </c>
    </row>
    <row r="71" spans="1:4" ht="12.75" customHeight="1" x14ac:dyDescent="0.2">
      <c r="A71" s="90" t="s">
        <v>208</v>
      </c>
      <c r="B71" s="91">
        <v>0.36</v>
      </c>
      <c r="C71" s="92">
        <v>1</v>
      </c>
      <c r="D71" s="93">
        <v>140</v>
      </c>
    </row>
    <row r="72" spans="1:4" ht="12.75" customHeight="1" x14ac:dyDescent="0.2">
      <c r="A72" s="90" t="s">
        <v>29</v>
      </c>
      <c r="B72" s="91">
        <v>928</v>
      </c>
      <c r="C72" s="92">
        <v>1</v>
      </c>
      <c r="D72" s="93"/>
    </row>
    <row r="73" spans="1:4" ht="12.75" customHeight="1" x14ac:dyDescent="0.2">
      <c r="A73" s="90" t="s">
        <v>209</v>
      </c>
      <c r="B73" s="91">
        <v>1500</v>
      </c>
      <c r="C73" s="92">
        <v>1</v>
      </c>
      <c r="D73" s="93"/>
    </row>
    <row r="74" spans="1:4" ht="12.75" customHeight="1" x14ac:dyDescent="0.2">
      <c r="A74" s="90" t="s">
        <v>210</v>
      </c>
      <c r="B74" s="91">
        <v>1000</v>
      </c>
      <c r="C74" s="92">
        <v>1</v>
      </c>
      <c r="D74" s="93"/>
    </row>
    <row r="75" spans="1:4" ht="12.75" customHeight="1" x14ac:dyDescent="0.2">
      <c r="A75" s="90" t="s">
        <v>211</v>
      </c>
      <c r="B75" s="91">
        <v>1100</v>
      </c>
      <c r="C75" s="92">
        <v>1</v>
      </c>
      <c r="D75" s="93"/>
    </row>
    <row r="76" spans="1:4" ht="12.75" customHeight="1" x14ac:dyDescent="0.2">
      <c r="A76" s="90" t="s">
        <v>212</v>
      </c>
      <c r="B76" s="91">
        <v>930</v>
      </c>
      <c r="C76" s="92">
        <v>1</v>
      </c>
      <c r="D76" s="93"/>
    </row>
    <row r="77" spans="1:4" ht="12.75" customHeight="1" x14ac:dyDescent="0.2">
      <c r="A77" s="90" t="s">
        <v>213</v>
      </c>
      <c r="B77" s="91">
        <v>950</v>
      </c>
      <c r="C77" s="92">
        <v>1</v>
      </c>
      <c r="D77" s="93"/>
    </row>
    <row r="78" spans="1:4" ht="12.75" customHeight="1" x14ac:dyDescent="0.2">
      <c r="A78" s="90" t="s">
        <v>214</v>
      </c>
      <c r="B78" s="91">
        <v>2000</v>
      </c>
      <c r="C78" s="92">
        <v>1</v>
      </c>
      <c r="D78" s="93"/>
    </row>
    <row r="79" spans="1:4" ht="12.75" customHeight="1" x14ac:dyDescent="0.2">
      <c r="A79" s="90" t="s">
        <v>215</v>
      </c>
      <c r="B79" s="91">
        <v>500</v>
      </c>
      <c r="C79" s="92">
        <v>1</v>
      </c>
      <c r="D79" s="93"/>
    </row>
    <row r="80" spans="1:4" ht="12.75" customHeight="1" x14ac:dyDescent="0.25">
      <c r="A80" s="90" t="s">
        <v>216</v>
      </c>
      <c r="B80" s="91">
        <v>400</v>
      </c>
      <c r="C80" s="92">
        <v>1</v>
      </c>
      <c r="D80" s="93"/>
    </row>
    <row r="81" spans="1:4" ht="12.75" customHeight="1" x14ac:dyDescent="0.2">
      <c r="A81" s="90" t="s">
        <v>217</v>
      </c>
      <c r="B81" s="91">
        <v>0.5</v>
      </c>
      <c r="C81" s="92">
        <v>1</v>
      </c>
      <c r="D81" s="93"/>
    </row>
    <row r="82" spans="1:4" ht="12.75" customHeight="1" x14ac:dyDescent="0.2">
      <c r="A82" s="90" t="s">
        <v>27</v>
      </c>
      <c r="B82" s="91">
        <v>0.25</v>
      </c>
      <c r="C82" s="92">
        <v>1</v>
      </c>
      <c r="D82" s="93">
        <v>150</v>
      </c>
    </row>
    <row r="83" spans="1:4" ht="12.75" customHeight="1" x14ac:dyDescent="0.2">
      <c r="A83" s="90" t="s">
        <v>218</v>
      </c>
      <c r="B83" s="91">
        <v>0.51</v>
      </c>
      <c r="C83" s="92">
        <v>1</v>
      </c>
      <c r="D83" s="93">
        <v>150</v>
      </c>
    </row>
    <row r="84" spans="1:4" ht="12.75" customHeight="1" x14ac:dyDescent="0.2">
      <c r="A84" s="90" t="s">
        <v>24</v>
      </c>
      <c r="B84" s="91">
        <v>300</v>
      </c>
      <c r="C84" s="92">
        <v>1</v>
      </c>
      <c r="D84" s="93"/>
    </row>
    <row r="85" spans="1:4" ht="12.75" customHeight="1" x14ac:dyDescent="0.2">
      <c r="A85" s="90" t="s">
        <v>219</v>
      </c>
      <c r="B85" s="91">
        <v>105</v>
      </c>
      <c r="C85" s="92">
        <v>1</v>
      </c>
      <c r="D85" s="93"/>
    </row>
    <row r="86" spans="1:4" ht="12.75" customHeight="1" x14ac:dyDescent="0.2">
      <c r="A86" s="90" t="s">
        <v>220</v>
      </c>
      <c r="B86" s="91">
        <v>105</v>
      </c>
      <c r="C86" s="92">
        <v>1</v>
      </c>
      <c r="D86" s="93"/>
    </row>
    <row r="87" spans="1:4" ht="12.75" customHeight="1" x14ac:dyDescent="0.2">
      <c r="A87" s="90" t="s">
        <v>26</v>
      </c>
      <c r="B87" s="91">
        <v>100</v>
      </c>
      <c r="C87" s="92">
        <v>1</v>
      </c>
      <c r="D87" s="93"/>
    </row>
    <row r="88" spans="1:4" ht="12.75" customHeight="1" x14ac:dyDescent="0.2">
      <c r="A88" s="90" t="s">
        <v>221</v>
      </c>
      <c r="B88" s="91">
        <v>200</v>
      </c>
      <c r="C88" s="92">
        <v>1</v>
      </c>
      <c r="D88" s="93"/>
    </row>
    <row r="89" spans="1:4" ht="12.75" customHeight="1" x14ac:dyDescent="0.2">
      <c r="A89" s="90" t="s">
        <v>222</v>
      </c>
      <c r="B89" s="91">
        <v>100</v>
      </c>
      <c r="C89" s="92">
        <v>1</v>
      </c>
      <c r="D89" s="93"/>
    </row>
    <row r="90" spans="1:4" ht="12.75" customHeight="1" x14ac:dyDescent="0.2">
      <c r="A90" s="90" t="s">
        <v>30</v>
      </c>
      <c r="B90" s="91">
        <v>0.66</v>
      </c>
      <c r="C90" s="92">
        <v>1</v>
      </c>
      <c r="D90" s="93">
        <v>140</v>
      </c>
    </row>
    <row r="91" spans="1:4" ht="12.75" customHeight="1" x14ac:dyDescent="0.2">
      <c r="A91" s="90" t="s">
        <v>223</v>
      </c>
      <c r="B91" s="91">
        <v>1.46</v>
      </c>
      <c r="C91" s="92">
        <v>1</v>
      </c>
      <c r="D91" s="93">
        <v>140</v>
      </c>
    </row>
    <row r="92" spans="1:4" ht="12.75" customHeight="1" x14ac:dyDescent="0.2">
      <c r="A92" s="90" t="s">
        <v>224</v>
      </c>
      <c r="B92" s="91">
        <v>115</v>
      </c>
      <c r="C92" s="92">
        <v>1</v>
      </c>
      <c r="D92" s="93"/>
    </row>
    <row r="93" spans="1:4" ht="12.75" customHeight="1" x14ac:dyDescent="0.2">
      <c r="A93" s="90" t="s">
        <v>225</v>
      </c>
      <c r="B93" s="91">
        <v>108</v>
      </c>
      <c r="C93" s="92">
        <v>1</v>
      </c>
      <c r="D93" s="93"/>
    </row>
    <row r="94" spans="1:4" ht="12.75" customHeight="1" x14ac:dyDescent="0.2">
      <c r="A94" s="90" t="s">
        <v>226</v>
      </c>
      <c r="B94" s="91">
        <v>290</v>
      </c>
      <c r="C94" s="92">
        <v>1</v>
      </c>
      <c r="D94" s="93"/>
    </row>
    <row r="95" spans="1:4" ht="12.75" customHeight="1" x14ac:dyDescent="0.2">
      <c r="A95" s="90" t="s">
        <v>227</v>
      </c>
      <c r="B95" s="91">
        <v>115</v>
      </c>
      <c r="C95" s="92">
        <v>1</v>
      </c>
      <c r="D95" s="93"/>
    </row>
    <row r="96" spans="1:4" ht="12.75" customHeight="1" x14ac:dyDescent="0.2">
      <c r="A96" s="90" t="s">
        <v>228</v>
      </c>
      <c r="B96" s="91">
        <v>290</v>
      </c>
      <c r="C96" s="92">
        <v>1</v>
      </c>
      <c r="D96" s="93"/>
    </row>
    <row r="97" spans="1:4" ht="12.75" customHeight="1" x14ac:dyDescent="0.2">
      <c r="A97" s="90" t="s">
        <v>229</v>
      </c>
      <c r="B97" s="91">
        <v>65</v>
      </c>
      <c r="C97" s="92">
        <v>1</v>
      </c>
      <c r="D97" s="93"/>
    </row>
    <row r="98" spans="1:4" ht="12.75" customHeight="1" x14ac:dyDescent="0.2">
      <c r="A98" s="90" t="s">
        <v>230</v>
      </c>
      <c r="B98" s="91">
        <v>7</v>
      </c>
      <c r="C98" s="92">
        <v>1</v>
      </c>
      <c r="D98" s="93"/>
    </row>
    <row r="99" spans="1:4" ht="12.75" customHeight="1" x14ac:dyDescent="0.2">
      <c r="A99" s="90" t="s">
        <v>231</v>
      </c>
      <c r="B99" s="91">
        <v>8</v>
      </c>
      <c r="C99" s="92">
        <v>1</v>
      </c>
      <c r="D99" s="93"/>
    </row>
    <row r="100" spans="1:4" ht="12.75" customHeight="1" x14ac:dyDescent="0.2">
      <c r="A100" s="90" t="s">
        <v>232</v>
      </c>
      <c r="B100" s="91">
        <v>3.6</v>
      </c>
      <c r="C100" s="92">
        <v>1</v>
      </c>
      <c r="D100" s="93">
        <v>81</v>
      </c>
    </row>
    <row r="101" spans="1:4" ht="12.75" customHeight="1" x14ac:dyDescent="0.2">
      <c r="A101" s="90" t="s">
        <v>233</v>
      </c>
      <c r="B101" s="91">
        <v>1.07</v>
      </c>
      <c r="C101" s="92">
        <v>1</v>
      </c>
      <c r="D101" s="93">
        <v>100</v>
      </c>
    </row>
    <row r="102" spans="1:4" ht="12.75" customHeight="1" x14ac:dyDescent="0.2">
      <c r="A102" s="90" t="s">
        <v>234</v>
      </c>
      <c r="B102" s="91">
        <v>1.1399999999999999</v>
      </c>
      <c r="C102" s="92">
        <v>1</v>
      </c>
      <c r="D102" s="93">
        <v>100</v>
      </c>
    </row>
    <row r="103" spans="1:4" ht="12.75" customHeight="1" x14ac:dyDescent="0.2">
      <c r="A103" s="90" t="s">
        <v>235</v>
      </c>
      <c r="B103" s="91">
        <v>0.64</v>
      </c>
      <c r="C103" s="92">
        <v>1</v>
      </c>
      <c r="D103" s="93">
        <v>100</v>
      </c>
    </row>
    <row r="104" spans="1:4" ht="12.75" customHeight="1" x14ac:dyDescent="0.2">
      <c r="A104" s="90" t="s">
        <v>236</v>
      </c>
      <c r="B104" s="94">
        <v>7</v>
      </c>
      <c r="C104" s="92">
        <v>1</v>
      </c>
      <c r="D104" s="93"/>
    </row>
    <row r="105" spans="1:4" ht="12.75" customHeight="1" x14ac:dyDescent="0.2">
      <c r="A105" s="90" t="s">
        <v>237</v>
      </c>
      <c r="B105" s="94">
        <v>8</v>
      </c>
      <c r="C105" s="92">
        <v>1</v>
      </c>
      <c r="D105" s="93"/>
    </row>
    <row r="106" spans="1:4" ht="12.75" customHeight="1" x14ac:dyDescent="0.2">
      <c r="A106" s="90" t="s">
        <v>238</v>
      </c>
      <c r="B106" s="94">
        <v>3.5</v>
      </c>
      <c r="C106" s="92">
        <v>1</v>
      </c>
      <c r="D106" s="93"/>
    </row>
    <row r="107" spans="1:4" ht="12.75" customHeight="1" x14ac:dyDescent="0.2">
      <c r="A107" s="90" t="s">
        <v>239</v>
      </c>
      <c r="B107" s="94">
        <v>3.6</v>
      </c>
      <c r="C107" s="92">
        <v>1</v>
      </c>
      <c r="D107" s="93"/>
    </row>
    <row r="108" spans="1:4" ht="12.75" customHeight="1" x14ac:dyDescent="0.2">
      <c r="A108" s="90" t="s">
        <v>240</v>
      </c>
      <c r="B108" s="91">
        <v>300</v>
      </c>
      <c r="C108" s="92">
        <v>1</v>
      </c>
      <c r="D108" s="93"/>
    </row>
    <row r="109" spans="1:4" ht="12.75" customHeight="1" x14ac:dyDescent="0.2">
      <c r="A109" s="90" t="s">
        <v>28</v>
      </c>
      <c r="B109" s="91">
        <v>0.42</v>
      </c>
      <c r="C109" s="92">
        <v>1</v>
      </c>
      <c r="D109" s="93">
        <v>140</v>
      </c>
    </row>
    <row r="110" spans="1:4" ht="12.75" customHeight="1" x14ac:dyDescent="0.2">
      <c r="A110" s="90" t="s">
        <v>241</v>
      </c>
      <c r="B110" s="91">
        <v>3900</v>
      </c>
      <c r="C110" s="92">
        <v>1</v>
      </c>
      <c r="D110" s="93"/>
    </row>
    <row r="111" spans="1:4" ht="12.75" customHeight="1" x14ac:dyDescent="0.2">
      <c r="A111" s="90" t="s">
        <v>242</v>
      </c>
      <c r="B111" s="91">
        <v>70</v>
      </c>
      <c r="C111" s="92">
        <v>1</v>
      </c>
      <c r="D111" s="93"/>
    </row>
    <row r="112" spans="1:4" ht="12.75" customHeight="1" x14ac:dyDescent="0.2">
      <c r="A112" s="90" t="s">
        <v>243</v>
      </c>
      <c r="B112" s="91">
        <v>40</v>
      </c>
      <c r="C112" s="92">
        <v>1</v>
      </c>
      <c r="D112" s="93"/>
    </row>
    <row r="113" spans="1:4" ht="12.75" customHeight="1" x14ac:dyDescent="0.2">
      <c r="A113" s="90" t="s">
        <v>244</v>
      </c>
      <c r="B113" s="91">
        <v>30</v>
      </c>
      <c r="C113" s="92">
        <v>1</v>
      </c>
      <c r="D113" s="93"/>
    </row>
    <row r="114" spans="1:4" ht="12.75" customHeight="1" x14ac:dyDescent="0.2">
      <c r="A114" s="90" t="s">
        <v>245</v>
      </c>
      <c r="B114" s="91">
        <v>12</v>
      </c>
      <c r="C114" s="92">
        <v>1</v>
      </c>
      <c r="D114" s="93"/>
    </row>
    <row r="115" spans="1:4" ht="12.75" customHeight="1" x14ac:dyDescent="0.2">
      <c r="A115" s="90" t="s">
        <v>246</v>
      </c>
      <c r="B115" s="91">
        <v>10</v>
      </c>
      <c r="C115" s="92">
        <v>1</v>
      </c>
      <c r="D115" s="93"/>
    </row>
    <row r="116" spans="1:4" ht="12.75" customHeight="1" x14ac:dyDescent="0.2">
      <c r="A116" s="90" t="s">
        <v>247</v>
      </c>
      <c r="B116" s="91">
        <v>8</v>
      </c>
      <c r="C116" s="92">
        <v>1</v>
      </c>
      <c r="D116" s="93"/>
    </row>
    <row r="117" spans="1:4" ht="12.75" customHeight="1" x14ac:dyDescent="0.2">
      <c r="A117" s="90" t="s">
        <v>248</v>
      </c>
      <c r="B117" s="91">
        <v>25</v>
      </c>
      <c r="C117" s="92">
        <v>1</v>
      </c>
      <c r="D117" s="93"/>
    </row>
    <row r="118" spans="1:4" ht="12.75" customHeight="1" x14ac:dyDescent="0.2">
      <c r="A118" s="90" t="s">
        <v>249</v>
      </c>
      <c r="B118" s="91">
        <v>12</v>
      </c>
      <c r="C118" s="92">
        <v>1</v>
      </c>
      <c r="D118" s="93"/>
    </row>
    <row r="119" spans="1:4" ht="12.75" customHeight="1" x14ac:dyDescent="0.2">
      <c r="A119" s="90" t="s">
        <v>250</v>
      </c>
      <c r="B119" s="91">
        <v>10</v>
      </c>
      <c r="C119" s="92">
        <v>1</v>
      </c>
      <c r="D119" s="93"/>
    </row>
    <row r="120" spans="1:4" ht="12.75" customHeight="1" x14ac:dyDescent="0.2">
      <c r="A120" s="90" t="s">
        <v>251</v>
      </c>
      <c r="B120" s="91">
        <v>8</v>
      </c>
      <c r="C120" s="92">
        <v>1</v>
      </c>
      <c r="D120" s="93"/>
    </row>
    <row r="121" spans="1:4" ht="12.75" customHeight="1" x14ac:dyDescent="0.2">
      <c r="A121" s="90" t="s">
        <v>252</v>
      </c>
      <c r="B121" s="91">
        <v>7</v>
      </c>
      <c r="C121" s="92">
        <v>1</v>
      </c>
      <c r="D121" s="93"/>
    </row>
    <row r="122" spans="1:4" ht="12.75" customHeight="1" x14ac:dyDescent="0.2">
      <c r="A122" s="90" t="s">
        <v>253</v>
      </c>
      <c r="B122" s="91">
        <v>0.15</v>
      </c>
      <c r="C122" s="92">
        <v>1</v>
      </c>
      <c r="D122" s="93">
        <v>100</v>
      </c>
    </row>
    <row r="123" spans="1:4" ht="12.75" customHeight="1" x14ac:dyDescent="0.2">
      <c r="A123" s="90" t="s">
        <v>22</v>
      </c>
      <c r="B123" s="91">
        <v>0.5</v>
      </c>
      <c r="C123" s="92">
        <v>1</v>
      </c>
      <c r="D123" s="93">
        <v>140</v>
      </c>
    </row>
    <row r="124" spans="1:4" ht="12.75" customHeight="1" x14ac:dyDescent="0.2">
      <c r="A124" s="90" t="s">
        <v>254</v>
      </c>
      <c r="B124" s="91">
        <v>0.12</v>
      </c>
      <c r="C124" s="92">
        <v>1</v>
      </c>
      <c r="D124" s="93">
        <v>140</v>
      </c>
    </row>
    <row r="125" spans="1:4" ht="12.75" customHeight="1" x14ac:dyDescent="0.2">
      <c r="A125" s="90" t="s">
        <v>255</v>
      </c>
      <c r="B125" s="91">
        <v>0.17</v>
      </c>
      <c r="C125" s="92">
        <v>1</v>
      </c>
      <c r="D125" s="93">
        <v>140</v>
      </c>
    </row>
    <row r="126" spans="1:4" ht="12.75" customHeight="1" x14ac:dyDescent="0.2">
      <c r="A126" s="90" t="s">
        <v>256</v>
      </c>
      <c r="B126" s="91">
        <v>0.64</v>
      </c>
      <c r="C126" s="92">
        <v>1</v>
      </c>
      <c r="D126" s="93">
        <v>140</v>
      </c>
    </row>
    <row r="127" spans="1:4" ht="12.75" customHeight="1" x14ac:dyDescent="0.2">
      <c r="A127" s="90" t="s">
        <v>257</v>
      </c>
      <c r="B127" s="91">
        <v>0.1</v>
      </c>
      <c r="C127" s="92">
        <v>1</v>
      </c>
      <c r="D127" s="93">
        <v>100</v>
      </c>
    </row>
    <row r="128" spans="1:4" ht="12.75" customHeight="1" x14ac:dyDescent="0.2">
      <c r="A128" s="90" t="s">
        <v>258</v>
      </c>
      <c r="B128" s="91">
        <v>0.1</v>
      </c>
      <c r="C128" s="92">
        <v>1</v>
      </c>
      <c r="D128" s="93">
        <v>100</v>
      </c>
    </row>
    <row r="129" spans="1:4" ht="12.75" customHeight="1" x14ac:dyDescent="0.2">
      <c r="A129" s="90" t="s">
        <v>259</v>
      </c>
      <c r="B129" s="91">
        <v>3500</v>
      </c>
      <c r="C129" s="92">
        <v>1</v>
      </c>
      <c r="D129" s="93"/>
    </row>
    <row r="130" spans="1:4" ht="12.75" customHeight="1" x14ac:dyDescent="0.2">
      <c r="A130" s="90" t="s">
        <v>260</v>
      </c>
      <c r="B130" s="91">
        <v>4000</v>
      </c>
      <c r="C130" s="92">
        <v>1</v>
      </c>
      <c r="D130" s="93"/>
    </row>
    <row r="131" spans="1:4" ht="12.75" customHeight="1" x14ac:dyDescent="0.2">
      <c r="A131" s="90" t="s">
        <v>261</v>
      </c>
      <c r="B131" s="91">
        <v>6500</v>
      </c>
      <c r="C131" s="92">
        <v>1</v>
      </c>
      <c r="D131" s="93"/>
    </row>
    <row r="132" spans="1:4" ht="12.75" customHeight="1" x14ac:dyDescent="0.2">
      <c r="A132" s="90" t="s">
        <v>262</v>
      </c>
      <c r="B132" s="91">
        <v>4000</v>
      </c>
      <c r="C132" s="92">
        <v>1</v>
      </c>
      <c r="D132" s="93"/>
    </row>
    <row r="133" spans="1:4" ht="12.75" customHeight="1" x14ac:dyDescent="0.2">
      <c r="A133" s="90" t="s">
        <v>263</v>
      </c>
      <c r="B133" s="91">
        <v>6000</v>
      </c>
      <c r="C133" s="92">
        <v>1</v>
      </c>
      <c r="D133" s="93"/>
    </row>
    <row r="134" spans="1:4" ht="12.75" customHeight="1" x14ac:dyDescent="0.2">
      <c r="A134" s="90" t="s">
        <v>264</v>
      </c>
      <c r="B134" s="91">
        <v>1000</v>
      </c>
      <c r="C134" s="92">
        <v>1</v>
      </c>
      <c r="D134" s="93"/>
    </row>
    <row r="135" spans="1:4" ht="12.75" customHeight="1" x14ac:dyDescent="0.2">
      <c r="A135" s="90" t="s">
        <v>265</v>
      </c>
      <c r="B135" s="91">
        <v>6500</v>
      </c>
      <c r="C135" s="92">
        <v>1</v>
      </c>
      <c r="D135" s="93"/>
    </row>
    <row r="136" spans="1:4" ht="12.75" customHeight="1" x14ac:dyDescent="0.2">
      <c r="A136" s="90" t="s">
        <v>266</v>
      </c>
      <c r="B136" s="91">
        <v>2000</v>
      </c>
      <c r="C136" s="92">
        <v>1</v>
      </c>
      <c r="D136" s="93"/>
    </row>
    <row r="137" spans="1:4" ht="12.75" customHeight="1" x14ac:dyDescent="0.2">
      <c r="A137" s="90" t="s">
        <v>267</v>
      </c>
      <c r="B137" s="91">
        <v>310</v>
      </c>
      <c r="C137" s="92">
        <v>1</v>
      </c>
      <c r="D137" s="93"/>
    </row>
    <row r="138" spans="1:4" ht="12.75" customHeight="1" x14ac:dyDescent="0.2">
      <c r="A138" s="90" t="s">
        <v>268</v>
      </c>
      <c r="B138" s="91">
        <v>80</v>
      </c>
      <c r="C138" s="92">
        <v>1</v>
      </c>
      <c r="D138" s="93"/>
    </row>
    <row r="139" spans="1:4" ht="12.75" customHeight="1" x14ac:dyDescent="0.2">
      <c r="A139" s="90" t="s">
        <v>269</v>
      </c>
      <c r="B139" s="91">
        <v>100</v>
      </c>
      <c r="C139" s="92">
        <v>1</v>
      </c>
      <c r="D139" s="93"/>
    </row>
    <row r="140" spans="1:4" ht="12.75" customHeight="1" x14ac:dyDescent="0.2">
      <c r="A140" s="90" t="s">
        <v>270</v>
      </c>
      <c r="B140" s="91">
        <v>52</v>
      </c>
      <c r="C140" s="92">
        <v>1</v>
      </c>
      <c r="D140" s="93"/>
    </row>
    <row r="141" spans="1:4" ht="12.75" customHeight="1" x14ac:dyDescent="0.2">
      <c r="A141" s="90" t="s">
        <v>271</v>
      </c>
      <c r="B141" s="91">
        <v>100</v>
      </c>
      <c r="C141" s="92">
        <v>1</v>
      </c>
      <c r="D141" s="93"/>
    </row>
    <row r="142" spans="1:4" ht="12.75" customHeight="1" x14ac:dyDescent="0.2">
      <c r="A142" s="90" t="s">
        <v>272</v>
      </c>
      <c r="B142" s="91">
        <v>0.5</v>
      </c>
      <c r="C142" s="92">
        <v>1</v>
      </c>
      <c r="D142" s="93"/>
    </row>
    <row r="143" spans="1:4" ht="12.75" customHeight="1" x14ac:dyDescent="0.2">
      <c r="A143" s="90" t="s">
        <v>273</v>
      </c>
      <c r="B143" s="95">
        <v>0.25</v>
      </c>
      <c r="C143" s="92">
        <v>1</v>
      </c>
      <c r="D143" s="93">
        <v>100</v>
      </c>
    </row>
    <row r="144" spans="1:4" ht="12.75" customHeight="1" x14ac:dyDescent="0.2">
      <c r="A144" s="90" t="s">
        <v>274</v>
      </c>
      <c r="B144" s="95">
        <v>0.3</v>
      </c>
      <c r="C144" s="92">
        <v>1</v>
      </c>
      <c r="D144" s="93">
        <v>100</v>
      </c>
    </row>
    <row r="145" spans="1:4" ht="12.75" customHeight="1" x14ac:dyDescent="0.2">
      <c r="A145" s="90" t="s">
        <v>275</v>
      </c>
      <c r="B145" s="91">
        <v>52</v>
      </c>
      <c r="C145" s="92">
        <v>1</v>
      </c>
      <c r="D145" s="93"/>
    </row>
    <row r="146" spans="1:4" ht="12.75" customHeight="1" x14ac:dyDescent="0.2">
      <c r="A146" s="90">
        <v>0</v>
      </c>
      <c r="B146" s="95">
        <v>0</v>
      </c>
      <c r="C146" s="92">
        <v>0</v>
      </c>
      <c r="D146" s="93"/>
    </row>
    <row r="147" spans="1:4" ht="12.75" customHeight="1" x14ac:dyDescent="0.2">
      <c r="A147" s="90">
        <v>0</v>
      </c>
      <c r="B147" s="90">
        <v>0</v>
      </c>
      <c r="C147" s="97">
        <v>0</v>
      </c>
      <c r="D147" s="93"/>
    </row>
    <row r="148" spans="1:4" ht="12.75" customHeight="1" x14ac:dyDescent="0.2">
      <c r="A148" s="107"/>
      <c r="B148" s="132"/>
      <c r="C148" s="133"/>
      <c r="D148" s="1"/>
    </row>
    <row r="149" spans="1:4" ht="12.75" customHeight="1" x14ac:dyDescent="0.2">
      <c r="A149" s="107"/>
      <c r="B149" s="132"/>
      <c r="C149" s="133"/>
      <c r="D149" s="1"/>
    </row>
    <row r="150" spans="1:4" ht="12.75" customHeight="1" x14ac:dyDescent="0.2">
      <c r="A150" s="107"/>
      <c r="B150" s="132"/>
      <c r="C150" s="133"/>
      <c r="D150" s="1"/>
    </row>
    <row r="151" spans="1:4" ht="12.75" customHeight="1" x14ac:dyDescent="0.2">
      <c r="A151" s="107"/>
      <c r="B151" s="132"/>
      <c r="C151" s="133"/>
      <c r="D151" s="1"/>
    </row>
    <row r="152" spans="1:4" ht="12.75" customHeight="1" x14ac:dyDescent="0.2">
      <c r="A152" s="107"/>
      <c r="B152" s="132"/>
      <c r="C152" s="133"/>
      <c r="D152" s="1"/>
    </row>
    <row r="153" spans="1:4" ht="12.75" customHeight="1" x14ac:dyDescent="0.2">
      <c r="A153" s="107"/>
      <c r="B153" s="132"/>
      <c r="C153" s="133"/>
      <c r="D153" s="1"/>
    </row>
    <row r="154" spans="1:4" ht="12.75" customHeight="1" x14ac:dyDescent="0.2">
      <c r="A154" s="107"/>
      <c r="B154" s="132"/>
      <c r="C154" s="133"/>
      <c r="D154" s="1"/>
    </row>
    <row r="155" spans="1:4" ht="12.75" customHeight="1" x14ac:dyDescent="0.2">
      <c r="A155" s="107"/>
      <c r="B155" s="132"/>
      <c r="C155" s="133"/>
      <c r="D155" s="1"/>
    </row>
    <row r="156" spans="1:4" ht="12.75" customHeight="1" x14ac:dyDescent="0.2">
      <c r="A156" s="107"/>
      <c r="B156" s="132"/>
      <c r="C156" s="133"/>
      <c r="D156" s="1"/>
    </row>
    <row r="157" spans="1:4" ht="12.75" customHeight="1" x14ac:dyDescent="0.2">
      <c r="A157" s="107"/>
      <c r="B157" s="132"/>
      <c r="C157" s="133"/>
      <c r="D157" s="1"/>
    </row>
    <row r="158" spans="1:4" ht="12.75" customHeight="1" x14ac:dyDescent="0.2">
      <c r="A158" s="107"/>
      <c r="B158" s="132"/>
      <c r="C158" s="133"/>
      <c r="D158" s="1"/>
    </row>
    <row r="159" spans="1:4" ht="12.75" customHeight="1" x14ac:dyDescent="0.2">
      <c r="A159" s="107"/>
      <c r="B159" s="132"/>
      <c r="C159" s="133"/>
      <c r="D159" s="1"/>
    </row>
    <row r="160" spans="1:4" ht="12.75" customHeight="1" x14ac:dyDescent="0.2">
      <c r="A160" s="107"/>
      <c r="B160" s="132"/>
      <c r="C160" s="133"/>
      <c r="D160" s="1"/>
    </row>
    <row r="161" spans="1:4" ht="12.75" customHeight="1" x14ac:dyDescent="0.2">
      <c r="A161" s="107"/>
      <c r="B161" s="132"/>
      <c r="C161" s="133"/>
      <c r="D161" s="1"/>
    </row>
    <row r="162" spans="1:4" ht="12.75" customHeight="1" x14ac:dyDescent="0.2">
      <c r="A162" s="107"/>
      <c r="B162" s="132"/>
      <c r="C162" s="133"/>
      <c r="D162" s="1"/>
    </row>
    <row r="163" spans="1:4" ht="12.75" customHeight="1" x14ac:dyDescent="0.2">
      <c r="A163" s="107"/>
      <c r="B163" s="132"/>
      <c r="C163" s="133"/>
      <c r="D163" s="1"/>
    </row>
    <row r="164" spans="1:4" ht="12.75" customHeight="1" x14ac:dyDescent="0.2">
      <c r="A164" s="107"/>
      <c r="B164" s="132"/>
      <c r="C164" s="133"/>
      <c r="D164" s="1"/>
    </row>
    <row r="165" spans="1:4" ht="12.75" customHeight="1" x14ac:dyDescent="0.2">
      <c r="A165" s="107"/>
      <c r="B165" s="132"/>
      <c r="C165" s="133"/>
      <c r="D165" s="1"/>
    </row>
    <row r="166" spans="1:4" ht="12.75" customHeight="1" x14ac:dyDescent="0.2">
      <c r="A166" s="107"/>
      <c r="B166" s="132"/>
      <c r="C166" s="133"/>
      <c r="D166" s="1"/>
    </row>
    <row r="167" spans="1:4" ht="12.75" customHeight="1" x14ac:dyDescent="0.2">
      <c r="A167" s="107"/>
      <c r="B167" s="132"/>
      <c r="C167" s="133"/>
      <c r="D167" s="1"/>
    </row>
    <row r="168" spans="1:4" ht="12.75" customHeight="1" x14ac:dyDescent="0.2">
      <c r="A168" s="107"/>
      <c r="B168" s="132"/>
      <c r="C168" s="133"/>
      <c r="D168" s="1"/>
    </row>
    <row r="169" spans="1:4" ht="12.75" customHeight="1" x14ac:dyDescent="0.2">
      <c r="A169" s="107"/>
      <c r="B169" s="132"/>
      <c r="C169" s="133"/>
      <c r="D169" s="1"/>
    </row>
    <row r="170" spans="1:4" ht="12.75" customHeight="1" x14ac:dyDescent="0.2">
      <c r="A170" s="107"/>
      <c r="B170" s="132"/>
      <c r="C170" s="133"/>
      <c r="D170" s="1"/>
    </row>
    <row r="171" spans="1:4" ht="12.75" customHeight="1" x14ac:dyDescent="0.2">
      <c r="A171" s="107"/>
      <c r="B171" s="132"/>
      <c r="C171" s="133"/>
      <c r="D171" s="1"/>
    </row>
    <row r="172" spans="1:4" ht="12.75" customHeight="1" x14ac:dyDescent="0.2">
      <c r="A172" s="107"/>
      <c r="B172" s="132"/>
      <c r="C172" s="133"/>
      <c r="D172" s="1"/>
    </row>
    <row r="173" spans="1:4" ht="12.75" customHeight="1" x14ac:dyDescent="0.2">
      <c r="A173" s="107"/>
      <c r="B173" s="132"/>
      <c r="C173" s="133"/>
      <c r="D173" s="1"/>
    </row>
    <row r="174" spans="1:4" ht="12.75" customHeight="1" x14ac:dyDescent="0.2">
      <c r="A174" s="107"/>
      <c r="B174" s="132"/>
      <c r="C174" s="133"/>
      <c r="D174" s="1"/>
    </row>
    <row r="175" spans="1:4" ht="12.75" customHeight="1" x14ac:dyDescent="0.2">
      <c r="A175" s="107"/>
      <c r="B175" s="132"/>
      <c r="C175" s="133"/>
      <c r="D175" s="1"/>
    </row>
    <row r="176" spans="1:4" ht="12.75" customHeight="1" x14ac:dyDescent="0.2">
      <c r="A176" s="107"/>
      <c r="B176" s="132"/>
      <c r="C176" s="133"/>
      <c r="D176" s="1"/>
    </row>
    <row r="177" spans="1:4" ht="12.75" customHeight="1" x14ac:dyDescent="0.2">
      <c r="A177" s="107"/>
      <c r="B177" s="132"/>
      <c r="C177" s="133"/>
      <c r="D177" s="1"/>
    </row>
    <row r="178" spans="1:4" ht="12.75" customHeight="1" x14ac:dyDescent="0.2">
      <c r="A178" s="107"/>
      <c r="B178" s="132"/>
      <c r="C178" s="133"/>
      <c r="D178" s="1"/>
    </row>
    <row r="179" spans="1:4" ht="12.75" customHeight="1" x14ac:dyDescent="0.2">
      <c r="A179" s="107"/>
      <c r="B179" s="132"/>
      <c r="C179" s="133"/>
      <c r="D179" s="1"/>
    </row>
    <row r="180" spans="1:4" ht="12.75" customHeight="1" x14ac:dyDescent="0.2">
      <c r="A180" s="107"/>
      <c r="B180" s="132"/>
      <c r="C180" s="133"/>
      <c r="D180" s="1"/>
    </row>
    <row r="181" spans="1:4" ht="12.75" customHeight="1" x14ac:dyDescent="0.2">
      <c r="A181" s="107"/>
      <c r="B181" s="132"/>
      <c r="C181" s="133"/>
      <c r="D181" s="1"/>
    </row>
    <row r="182" spans="1:4" ht="12.75" customHeight="1" x14ac:dyDescent="0.2">
      <c r="A182" s="107"/>
      <c r="B182" s="132"/>
      <c r="C182" s="133"/>
      <c r="D182" s="1"/>
    </row>
    <row r="183" spans="1:4" ht="12.75" customHeight="1" x14ac:dyDescent="0.2">
      <c r="A183" s="107"/>
      <c r="B183" s="132"/>
      <c r="C183" s="133"/>
      <c r="D183" s="1"/>
    </row>
    <row r="184" spans="1:4" ht="12.75" customHeight="1" x14ac:dyDescent="0.2">
      <c r="A184" s="107"/>
      <c r="B184" s="132"/>
      <c r="C184" s="133"/>
      <c r="D184" s="1"/>
    </row>
    <row r="185" spans="1:4" ht="12.75" customHeight="1" x14ac:dyDescent="0.2">
      <c r="A185" s="107"/>
      <c r="B185" s="132"/>
      <c r="C185" s="133"/>
      <c r="D185" s="1"/>
    </row>
    <row r="186" spans="1:4" ht="12.75" customHeight="1" x14ac:dyDescent="0.2">
      <c r="A186" s="107"/>
      <c r="B186" s="132"/>
      <c r="C186" s="133"/>
      <c r="D186" s="1"/>
    </row>
    <row r="187" spans="1:4" ht="12.75" customHeight="1" x14ac:dyDescent="0.2">
      <c r="A187" s="107"/>
      <c r="B187" s="132"/>
      <c r="C187" s="133"/>
      <c r="D187" s="1"/>
    </row>
    <row r="188" spans="1:4" ht="12.75" customHeight="1" x14ac:dyDescent="0.2">
      <c r="A188" s="107"/>
      <c r="B188" s="132"/>
      <c r="C188" s="133"/>
      <c r="D188" s="1"/>
    </row>
    <row r="189" spans="1:4" ht="12.75" customHeight="1" x14ac:dyDescent="0.2">
      <c r="A189" s="107"/>
      <c r="B189" s="132"/>
      <c r="C189" s="133"/>
      <c r="D189" s="1"/>
    </row>
    <row r="190" spans="1:4" ht="12.75" customHeight="1" x14ac:dyDescent="0.2">
      <c r="A190" s="107"/>
      <c r="B190" s="132"/>
      <c r="C190" s="133"/>
      <c r="D190" s="1"/>
    </row>
    <row r="191" spans="1:4" ht="12.75" customHeight="1" x14ac:dyDescent="0.2">
      <c r="A191" s="107"/>
      <c r="B191" s="132"/>
      <c r="C191" s="133"/>
      <c r="D191" s="1"/>
    </row>
    <row r="192" spans="1:4" ht="12.75" customHeight="1" x14ac:dyDescent="0.2">
      <c r="A192" s="107"/>
      <c r="B192" s="132"/>
      <c r="C192" s="133"/>
      <c r="D192" s="1"/>
    </row>
    <row r="193" spans="1:4" ht="12.75" customHeight="1" x14ac:dyDescent="0.2">
      <c r="A193" s="107"/>
      <c r="B193" s="132"/>
      <c r="C193" s="133"/>
      <c r="D193" s="1"/>
    </row>
    <row r="194" spans="1:4" ht="12.75" customHeight="1" x14ac:dyDescent="0.2">
      <c r="A194" s="107"/>
      <c r="B194" s="132"/>
      <c r="C194" s="133"/>
      <c r="D194" s="1"/>
    </row>
    <row r="195" spans="1:4" ht="12.75" customHeight="1" x14ac:dyDescent="0.2">
      <c r="A195" s="107"/>
      <c r="B195" s="132"/>
      <c r="C195" s="133"/>
      <c r="D195" s="1"/>
    </row>
    <row r="196" spans="1:4" ht="12.75" customHeight="1" x14ac:dyDescent="0.2">
      <c r="A196" s="107"/>
      <c r="B196" s="132"/>
      <c r="C196" s="133"/>
      <c r="D196" s="1"/>
    </row>
    <row r="197" spans="1:4" ht="12.75" customHeight="1" x14ac:dyDescent="0.2">
      <c r="A197" s="107"/>
      <c r="B197" s="132"/>
      <c r="C197" s="133"/>
      <c r="D197" s="1"/>
    </row>
    <row r="198" spans="1:4" ht="12.75" customHeight="1" x14ac:dyDescent="0.2">
      <c r="A198" s="107"/>
      <c r="B198" s="132"/>
      <c r="C198" s="133"/>
      <c r="D198" s="1"/>
    </row>
    <row r="199" spans="1:4" ht="12.75" customHeight="1" x14ac:dyDescent="0.2">
      <c r="A199" s="107"/>
      <c r="B199" s="132"/>
      <c r="C199" s="133"/>
      <c r="D199" s="1"/>
    </row>
    <row r="200" spans="1:4" ht="12.75" customHeight="1" x14ac:dyDescent="0.2">
      <c r="A200" s="107"/>
      <c r="B200" s="132"/>
      <c r="C200" s="133"/>
      <c r="D200" s="1"/>
    </row>
    <row r="201" spans="1:4" ht="12.75" customHeight="1" x14ac:dyDescent="0.2">
      <c r="A201" s="107"/>
      <c r="B201" s="132"/>
      <c r="C201" s="133"/>
      <c r="D201" s="1"/>
    </row>
    <row r="202" spans="1:4" ht="12.75" customHeight="1" x14ac:dyDescent="0.2">
      <c r="A202" s="107"/>
      <c r="B202" s="132"/>
      <c r="C202" s="133"/>
      <c r="D202" s="1"/>
    </row>
    <row r="203" spans="1:4" ht="12.75" customHeight="1" x14ac:dyDescent="0.2">
      <c r="A203" s="107"/>
      <c r="B203" s="132"/>
      <c r="C203" s="133"/>
      <c r="D203" s="1"/>
    </row>
    <row r="204" spans="1:4" ht="12.75" customHeight="1" x14ac:dyDescent="0.2">
      <c r="A204" s="107"/>
      <c r="B204" s="132"/>
      <c r="C204" s="133"/>
      <c r="D204" s="1"/>
    </row>
    <row r="205" spans="1:4" ht="12.75" customHeight="1" x14ac:dyDescent="0.2">
      <c r="A205" s="107"/>
      <c r="B205" s="132"/>
      <c r="C205" s="133"/>
      <c r="D205" s="1"/>
    </row>
    <row r="206" spans="1:4" ht="12.75" customHeight="1" x14ac:dyDescent="0.2">
      <c r="A206" s="107"/>
      <c r="B206" s="132"/>
      <c r="C206" s="133"/>
      <c r="D206" s="1"/>
    </row>
    <row r="207" spans="1:4" ht="12.75" customHeight="1" x14ac:dyDescent="0.2">
      <c r="A207" s="107"/>
      <c r="B207" s="132"/>
      <c r="C207" s="133"/>
      <c r="D207" s="1"/>
    </row>
    <row r="208" spans="1:4" ht="12.75" customHeight="1" x14ac:dyDescent="0.2">
      <c r="A208" s="107"/>
      <c r="B208" s="132"/>
      <c r="C208" s="133"/>
      <c r="D208" s="1"/>
    </row>
    <row r="209" spans="1:4" ht="12.75" customHeight="1" x14ac:dyDescent="0.2">
      <c r="A209" s="107"/>
      <c r="B209" s="132"/>
      <c r="C209" s="133"/>
      <c r="D209" s="1"/>
    </row>
    <row r="210" spans="1:4" ht="12.75" customHeight="1" x14ac:dyDescent="0.2">
      <c r="A210" s="107"/>
      <c r="B210" s="132"/>
      <c r="C210" s="133"/>
      <c r="D210" s="1"/>
    </row>
    <row r="211" spans="1:4" ht="12.75" customHeight="1" x14ac:dyDescent="0.2">
      <c r="A211" s="107"/>
      <c r="B211" s="132"/>
      <c r="C211" s="133"/>
      <c r="D211" s="1"/>
    </row>
    <row r="212" spans="1:4" ht="12.75" customHeight="1" x14ac:dyDescent="0.2">
      <c r="A212" s="107"/>
      <c r="B212" s="132"/>
      <c r="C212" s="133"/>
      <c r="D212" s="1"/>
    </row>
    <row r="213" spans="1:4" ht="12.75" customHeight="1" x14ac:dyDescent="0.2">
      <c r="A213" s="107"/>
      <c r="B213" s="132"/>
      <c r="C213" s="133"/>
      <c r="D213" s="1"/>
    </row>
    <row r="214" spans="1:4" ht="12.75" customHeight="1" x14ac:dyDescent="0.2">
      <c r="A214" s="107"/>
      <c r="B214" s="132"/>
      <c r="C214" s="133"/>
      <c r="D214" s="1"/>
    </row>
    <row r="215" spans="1:4" ht="12.75" customHeight="1" x14ac:dyDescent="0.2">
      <c r="A215" s="107"/>
      <c r="B215" s="132"/>
      <c r="C215" s="133"/>
      <c r="D215" s="1"/>
    </row>
    <row r="216" spans="1:4" ht="12.75" customHeight="1" x14ac:dyDescent="0.2">
      <c r="A216" s="107"/>
      <c r="B216" s="132"/>
      <c r="C216" s="133"/>
      <c r="D216" s="1"/>
    </row>
    <row r="217" spans="1:4" ht="12.75" customHeight="1" x14ac:dyDescent="0.2">
      <c r="A217" s="107"/>
      <c r="B217" s="132"/>
      <c r="C217" s="133"/>
      <c r="D217" s="1"/>
    </row>
    <row r="218" spans="1:4" ht="12.75" customHeight="1" x14ac:dyDescent="0.2">
      <c r="A218" s="107"/>
      <c r="B218" s="132"/>
      <c r="C218" s="133"/>
      <c r="D218" s="1"/>
    </row>
    <row r="219" spans="1:4" ht="12.75" customHeight="1" x14ac:dyDescent="0.2">
      <c r="A219" s="107"/>
      <c r="B219" s="132"/>
      <c r="C219" s="133"/>
      <c r="D219" s="1"/>
    </row>
    <row r="220" spans="1:4" ht="12.75" customHeight="1" x14ac:dyDescent="0.2">
      <c r="A220" s="107"/>
      <c r="B220" s="132"/>
      <c r="C220" s="133"/>
      <c r="D220" s="1"/>
    </row>
    <row r="221" spans="1:4" ht="12.75" customHeight="1" x14ac:dyDescent="0.2">
      <c r="A221" s="107"/>
      <c r="B221" s="132"/>
      <c r="C221" s="133"/>
      <c r="D221" s="1"/>
    </row>
    <row r="222" spans="1:4" ht="12.75" customHeight="1" x14ac:dyDescent="0.2">
      <c r="A222" s="107"/>
      <c r="B222" s="132"/>
      <c r="C222" s="133"/>
      <c r="D222" s="1"/>
    </row>
    <row r="223" spans="1:4" ht="12.75" customHeight="1" x14ac:dyDescent="0.2">
      <c r="A223" s="107"/>
      <c r="B223" s="132"/>
      <c r="C223" s="133"/>
      <c r="D223" s="1"/>
    </row>
    <row r="224" spans="1:4" ht="12.75" customHeight="1" x14ac:dyDescent="0.2">
      <c r="A224" s="107"/>
      <c r="B224" s="132"/>
      <c r="C224" s="133"/>
      <c r="D224" s="1"/>
    </row>
    <row r="225" spans="1:4" ht="12.75" customHeight="1" x14ac:dyDescent="0.2">
      <c r="A225" s="107"/>
      <c r="B225" s="132"/>
      <c r="C225" s="133"/>
      <c r="D225" s="1"/>
    </row>
    <row r="226" spans="1:4" ht="12.75" customHeight="1" x14ac:dyDescent="0.2">
      <c r="A226" s="107"/>
      <c r="B226" s="132"/>
      <c r="C226" s="133"/>
      <c r="D226" s="1"/>
    </row>
    <row r="227" spans="1:4" ht="12.75" customHeight="1" x14ac:dyDescent="0.2">
      <c r="A227" s="107"/>
      <c r="B227" s="132"/>
      <c r="C227" s="133"/>
      <c r="D227" s="1"/>
    </row>
    <row r="228" spans="1:4" ht="12.75" customHeight="1" x14ac:dyDescent="0.2">
      <c r="A228" s="107"/>
      <c r="B228" s="132"/>
      <c r="C228" s="133"/>
      <c r="D228" s="1"/>
    </row>
    <row r="229" spans="1:4" ht="12.75" customHeight="1" x14ac:dyDescent="0.2">
      <c r="A229" s="107"/>
      <c r="B229" s="132"/>
      <c r="C229" s="133"/>
      <c r="D229" s="1"/>
    </row>
    <row r="230" spans="1:4" ht="12.75" customHeight="1" x14ac:dyDescent="0.2">
      <c r="A230" s="107"/>
      <c r="B230" s="132"/>
      <c r="C230" s="133"/>
      <c r="D230" s="1"/>
    </row>
    <row r="231" spans="1:4" ht="12.75" customHeight="1" x14ac:dyDescent="0.2">
      <c r="A231" s="107"/>
      <c r="B231" s="132"/>
      <c r="C231" s="133"/>
      <c r="D231" s="1"/>
    </row>
    <row r="232" spans="1:4" ht="12.75" customHeight="1" x14ac:dyDescent="0.2">
      <c r="A232" s="107"/>
      <c r="B232" s="132"/>
      <c r="C232" s="133"/>
      <c r="D232" s="1"/>
    </row>
    <row r="233" spans="1:4" ht="12.75" customHeight="1" x14ac:dyDescent="0.2">
      <c r="A233" s="107"/>
      <c r="B233" s="132"/>
      <c r="C233" s="133"/>
      <c r="D233" s="1"/>
    </row>
    <row r="234" spans="1:4" ht="12.75" customHeight="1" x14ac:dyDescent="0.2">
      <c r="A234" s="107"/>
      <c r="B234" s="132"/>
      <c r="C234" s="133"/>
      <c r="D234" s="1"/>
    </row>
    <row r="235" spans="1:4" ht="12.75" customHeight="1" x14ac:dyDescent="0.2">
      <c r="A235" s="107"/>
      <c r="B235" s="132"/>
      <c r="C235" s="133"/>
      <c r="D235" s="1"/>
    </row>
    <row r="236" spans="1:4" ht="12.75" customHeight="1" x14ac:dyDescent="0.2">
      <c r="A236" s="107"/>
      <c r="B236" s="132"/>
      <c r="C236" s="133"/>
      <c r="D236" s="1"/>
    </row>
    <row r="237" spans="1:4" ht="12.75" customHeight="1" x14ac:dyDescent="0.2">
      <c r="A237" s="107"/>
      <c r="B237" s="132"/>
      <c r="C237" s="133"/>
      <c r="D237" s="1"/>
    </row>
    <row r="238" spans="1:4" ht="12.75" customHeight="1" x14ac:dyDescent="0.2">
      <c r="A238" s="107"/>
      <c r="B238" s="132"/>
      <c r="C238" s="133"/>
      <c r="D238" s="1"/>
    </row>
    <row r="239" spans="1:4" ht="12.75" customHeight="1" x14ac:dyDescent="0.2">
      <c r="A239" s="107"/>
      <c r="B239" s="132"/>
      <c r="C239" s="133"/>
      <c r="D239" s="1"/>
    </row>
    <row r="240" spans="1:4" ht="12.75" customHeight="1" x14ac:dyDescent="0.2">
      <c r="A240" s="107"/>
      <c r="B240" s="132"/>
      <c r="C240" s="133"/>
      <c r="D240" s="1"/>
    </row>
    <row r="241" spans="1:4" ht="12.75" customHeight="1" x14ac:dyDescent="0.2">
      <c r="A241" s="107"/>
      <c r="B241" s="132"/>
      <c r="C241" s="133"/>
      <c r="D241" s="1"/>
    </row>
    <row r="242" spans="1:4" ht="12.75" customHeight="1" x14ac:dyDescent="0.2">
      <c r="A242" s="107"/>
      <c r="B242" s="132"/>
      <c r="C242" s="133"/>
      <c r="D242" s="1"/>
    </row>
    <row r="243" spans="1:4" ht="12.75" customHeight="1" x14ac:dyDescent="0.2">
      <c r="A243" s="107"/>
      <c r="B243" s="132"/>
      <c r="C243" s="133"/>
      <c r="D243" s="1"/>
    </row>
    <row r="244" spans="1:4" ht="12.75" customHeight="1" x14ac:dyDescent="0.2">
      <c r="A244" s="107"/>
      <c r="B244" s="132"/>
      <c r="C244" s="133"/>
      <c r="D244" s="1"/>
    </row>
    <row r="245" spans="1:4" ht="12.75" customHeight="1" x14ac:dyDescent="0.2">
      <c r="A245" s="107"/>
      <c r="B245" s="132"/>
      <c r="C245" s="133"/>
      <c r="D245" s="1"/>
    </row>
    <row r="246" spans="1:4" ht="12.75" customHeight="1" x14ac:dyDescent="0.2">
      <c r="A246" s="107"/>
      <c r="B246" s="132"/>
      <c r="C246" s="133"/>
      <c r="D246" s="1"/>
    </row>
    <row r="247" spans="1:4" ht="12.75" customHeight="1" x14ac:dyDescent="0.2">
      <c r="A247" s="107"/>
      <c r="B247" s="132"/>
      <c r="C247" s="133"/>
      <c r="D247" s="1"/>
    </row>
    <row r="248" spans="1:4" ht="12.75" customHeight="1" x14ac:dyDescent="0.2">
      <c r="A248" s="107"/>
      <c r="B248" s="132"/>
      <c r="C248" s="133"/>
      <c r="D248" s="1"/>
    </row>
    <row r="249" spans="1:4" ht="12.75" customHeight="1" x14ac:dyDescent="0.2">
      <c r="A249" s="107"/>
      <c r="B249" s="132"/>
      <c r="C249" s="133"/>
      <c r="D249" s="1"/>
    </row>
    <row r="250" spans="1:4" ht="12.75" customHeight="1" x14ac:dyDescent="0.2">
      <c r="A250" s="107"/>
      <c r="B250" s="132"/>
      <c r="C250" s="133"/>
      <c r="D250" s="1"/>
    </row>
    <row r="251" spans="1:4" ht="12.75" customHeight="1" x14ac:dyDescent="0.2">
      <c r="A251" s="107"/>
      <c r="B251" s="132"/>
      <c r="C251" s="133"/>
      <c r="D251" s="1"/>
    </row>
    <row r="252" spans="1:4" ht="12.75" customHeight="1" x14ac:dyDescent="0.2">
      <c r="A252" s="107"/>
      <c r="B252" s="132"/>
      <c r="C252" s="133"/>
      <c r="D252" s="1"/>
    </row>
    <row r="253" spans="1:4" ht="12.75" customHeight="1" x14ac:dyDescent="0.2">
      <c r="A253" s="107"/>
      <c r="B253" s="132"/>
      <c r="C253" s="133"/>
      <c r="D253" s="1"/>
    </row>
    <row r="254" spans="1:4" ht="12.75" customHeight="1" x14ac:dyDescent="0.2">
      <c r="A254" s="107"/>
      <c r="B254" s="132"/>
      <c r="C254" s="133"/>
      <c r="D254" s="1"/>
    </row>
    <row r="255" spans="1:4" ht="12.75" customHeight="1" x14ac:dyDescent="0.2">
      <c r="A255" s="107"/>
      <c r="B255" s="132"/>
      <c r="C255" s="133"/>
      <c r="D255" s="1"/>
    </row>
    <row r="256" spans="1:4" ht="12.75" customHeight="1" x14ac:dyDescent="0.2">
      <c r="A256" s="107"/>
      <c r="B256" s="132"/>
      <c r="C256" s="133"/>
      <c r="D256" s="1"/>
    </row>
    <row r="257" spans="1:4" ht="12.75" customHeight="1" x14ac:dyDescent="0.2">
      <c r="A257" s="107"/>
      <c r="B257" s="132"/>
      <c r="C257" s="133"/>
      <c r="D257" s="1"/>
    </row>
    <row r="258" spans="1:4" ht="12.75" customHeight="1" x14ac:dyDescent="0.2">
      <c r="A258" s="107"/>
      <c r="B258" s="132"/>
      <c r="C258" s="133"/>
      <c r="D258" s="1"/>
    </row>
    <row r="259" spans="1:4" ht="12.75" customHeight="1" x14ac:dyDescent="0.2">
      <c r="A259" s="107"/>
      <c r="B259" s="132"/>
      <c r="C259" s="133"/>
      <c r="D259" s="1"/>
    </row>
    <row r="260" spans="1:4" ht="12.75" customHeight="1" x14ac:dyDescent="0.2">
      <c r="A260" s="107"/>
      <c r="B260" s="132"/>
      <c r="C260" s="133"/>
      <c r="D260" s="1"/>
    </row>
    <row r="261" spans="1:4" ht="12.75" customHeight="1" x14ac:dyDescent="0.2">
      <c r="A261" s="107"/>
      <c r="B261" s="132"/>
      <c r="C261" s="133"/>
      <c r="D261" s="1"/>
    </row>
    <row r="262" spans="1:4" ht="12.75" customHeight="1" x14ac:dyDescent="0.2">
      <c r="A262" s="107"/>
      <c r="B262" s="132"/>
      <c r="C262" s="133"/>
      <c r="D262" s="1"/>
    </row>
    <row r="263" spans="1:4" ht="12.75" customHeight="1" x14ac:dyDescent="0.2">
      <c r="A263" s="107"/>
      <c r="B263" s="132"/>
      <c r="C263" s="133"/>
      <c r="D263" s="1"/>
    </row>
    <row r="264" spans="1:4" ht="12.75" customHeight="1" x14ac:dyDescent="0.2">
      <c r="A264" s="107"/>
      <c r="B264" s="132"/>
      <c r="C264" s="133"/>
      <c r="D264" s="1"/>
    </row>
    <row r="265" spans="1:4" ht="12.75" customHeight="1" x14ac:dyDescent="0.2">
      <c r="A265" s="107"/>
      <c r="B265" s="132"/>
      <c r="C265" s="133"/>
      <c r="D265" s="1"/>
    </row>
    <row r="266" spans="1:4" ht="12.75" customHeight="1" x14ac:dyDescent="0.2">
      <c r="A266" s="107"/>
      <c r="B266" s="132"/>
      <c r="C266" s="133"/>
      <c r="D266" s="1"/>
    </row>
    <row r="267" spans="1:4" ht="12.75" customHeight="1" x14ac:dyDescent="0.2">
      <c r="A267" s="107"/>
      <c r="B267" s="132"/>
      <c r="C267" s="133"/>
      <c r="D267" s="1"/>
    </row>
    <row r="268" spans="1:4" ht="12.75" customHeight="1" x14ac:dyDescent="0.2">
      <c r="A268" s="107"/>
      <c r="B268" s="132"/>
      <c r="C268" s="133"/>
      <c r="D268" s="1"/>
    </row>
    <row r="269" spans="1:4" ht="12.75" customHeight="1" x14ac:dyDescent="0.2">
      <c r="A269" s="107"/>
      <c r="B269" s="132"/>
      <c r="C269" s="133"/>
      <c r="D269" s="1"/>
    </row>
    <row r="270" spans="1:4" ht="12.75" customHeight="1" x14ac:dyDescent="0.2">
      <c r="A270" s="107"/>
      <c r="B270" s="132"/>
      <c r="C270" s="133"/>
      <c r="D270" s="1"/>
    </row>
    <row r="271" spans="1:4" ht="12.75" customHeight="1" x14ac:dyDescent="0.2">
      <c r="A271" s="107"/>
      <c r="B271" s="132"/>
      <c r="C271" s="133"/>
      <c r="D271" s="1"/>
    </row>
    <row r="272" spans="1:4" ht="12.75" customHeight="1" x14ac:dyDescent="0.2">
      <c r="A272" s="107"/>
      <c r="B272" s="132"/>
      <c r="C272" s="133"/>
      <c r="D272" s="1"/>
    </row>
    <row r="273" spans="1:4" ht="12.75" customHeight="1" x14ac:dyDescent="0.2">
      <c r="A273" s="107"/>
      <c r="B273" s="132"/>
      <c r="C273" s="133"/>
      <c r="D273" s="1"/>
    </row>
    <row r="274" spans="1:4" ht="12.75" customHeight="1" x14ac:dyDescent="0.2">
      <c r="A274" s="107"/>
      <c r="B274" s="132"/>
      <c r="C274" s="133"/>
      <c r="D274" s="1"/>
    </row>
    <row r="275" spans="1:4" ht="12.75" customHeight="1" x14ac:dyDescent="0.2">
      <c r="A275" s="107"/>
      <c r="B275" s="132"/>
      <c r="C275" s="133"/>
      <c r="D275" s="1"/>
    </row>
    <row r="276" spans="1:4" ht="12.75" customHeight="1" x14ac:dyDescent="0.2">
      <c r="A276" s="107"/>
      <c r="B276" s="132"/>
      <c r="C276" s="133"/>
      <c r="D276" s="1"/>
    </row>
    <row r="277" spans="1:4" ht="12.75" customHeight="1" x14ac:dyDescent="0.2">
      <c r="A277" s="107"/>
      <c r="B277" s="132"/>
      <c r="C277" s="133"/>
      <c r="D277" s="1"/>
    </row>
    <row r="278" spans="1:4" ht="12.75" customHeight="1" x14ac:dyDescent="0.2">
      <c r="A278" s="107"/>
      <c r="B278" s="132"/>
      <c r="C278" s="133"/>
      <c r="D278" s="1"/>
    </row>
    <row r="279" spans="1:4" ht="12.75" customHeight="1" x14ac:dyDescent="0.2">
      <c r="A279" s="107"/>
      <c r="B279" s="132"/>
      <c r="C279" s="133"/>
      <c r="D279" s="1"/>
    </row>
    <row r="280" spans="1:4" ht="12.75" customHeight="1" x14ac:dyDescent="0.2">
      <c r="A280" s="107"/>
      <c r="B280" s="132"/>
      <c r="C280" s="133"/>
      <c r="D280" s="1"/>
    </row>
    <row r="281" spans="1:4" ht="12.75" customHeight="1" x14ac:dyDescent="0.2">
      <c r="A281" s="107"/>
      <c r="B281" s="132"/>
      <c r="C281" s="133"/>
      <c r="D281" s="1"/>
    </row>
    <row r="282" spans="1:4" ht="12.75" customHeight="1" x14ac:dyDescent="0.2">
      <c r="A282" s="107"/>
      <c r="B282" s="132"/>
      <c r="C282" s="133"/>
      <c r="D282" s="1"/>
    </row>
    <row r="283" spans="1:4" ht="12.75" customHeight="1" x14ac:dyDescent="0.2">
      <c r="A283" s="107"/>
      <c r="B283" s="132"/>
      <c r="C283" s="133"/>
      <c r="D283" s="1"/>
    </row>
    <row r="284" spans="1:4" ht="12.75" customHeight="1" x14ac:dyDescent="0.2">
      <c r="A284" s="107"/>
      <c r="B284" s="132"/>
      <c r="C284" s="133"/>
      <c r="D284" s="1"/>
    </row>
    <row r="285" spans="1:4" ht="12.75" customHeight="1" x14ac:dyDescent="0.2">
      <c r="A285" s="107"/>
      <c r="B285" s="132"/>
      <c r="C285" s="133"/>
      <c r="D285" s="1"/>
    </row>
    <row r="286" spans="1:4" ht="12.75" customHeight="1" x14ac:dyDescent="0.2">
      <c r="A286" s="107"/>
      <c r="B286" s="132"/>
      <c r="C286" s="133"/>
      <c r="D286" s="1"/>
    </row>
    <row r="287" spans="1:4" ht="12.75" customHeight="1" x14ac:dyDescent="0.2">
      <c r="A287" s="107"/>
      <c r="B287" s="132"/>
      <c r="C287" s="133"/>
      <c r="D287" s="1"/>
    </row>
    <row r="288" spans="1:4" ht="12.75" customHeight="1" x14ac:dyDescent="0.2">
      <c r="A288" s="107"/>
      <c r="B288" s="132"/>
      <c r="C288" s="133"/>
      <c r="D288" s="1"/>
    </row>
    <row r="289" spans="1:4" ht="12.75" customHeight="1" x14ac:dyDescent="0.2">
      <c r="A289" s="107"/>
      <c r="B289" s="132"/>
      <c r="C289" s="133"/>
      <c r="D289" s="1"/>
    </row>
    <row r="290" spans="1:4" ht="12.75" customHeight="1" x14ac:dyDescent="0.2">
      <c r="A290" s="107"/>
      <c r="B290" s="132"/>
      <c r="C290" s="133"/>
      <c r="D290" s="1"/>
    </row>
    <row r="291" spans="1:4" ht="12.75" customHeight="1" x14ac:dyDescent="0.2">
      <c r="A291" s="107"/>
      <c r="B291" s="132"/>
      <c r="C291" s="133"/>
      <c r="D291" s="1"/>
    </row>
    <row r="292" spans="1:4" ht="12.75" customHeight="1" x14ac:dyDescent="0.2">
      <c r="A292" s="107"/>
      <c r="B292" s="132"/>
      <c r="C292" s="133"/>
      <c r="D292" s="1"/>
    </row>
    <row r="293" spans="1:4" ht="12.75" customHeight="1" x14ac:dyDescent="0.2">
      <c r="A293" s="107"/>
      <c r="B293" s="132"/>
      <c r="C293" s="133"/>
      <c r="D293" s="1"/>
    </row>
    <row r="294" spans="1:4" ht="12.75" customHeight="1" x14ac:dyDescent="0.2">
      <c r="A294" s="107"/>
      <c r="B294" s="132"/>
      <c r="C294" s="133"/>
      <c r="D294" s="1"/>
    </row>
    <row r="295" spans="1:4" ht="12.75" customHeight="1" x14ac:dyDescent="0.2">
      <c r="A295" s="107"/>
      <c r="B295" s="132"/>
      <c r="C295" s="133"/>
      <c r="D295" s="1"/>
    </row>
    <row r="296" spans="1:4" ht="12.75" customHeight="1" x14ac:dyDescent="0.2">
      <c r="A296" s="107"/>
      <c r="B296" s="132"/>
      <c r="C296" s="133"/>
      <c r="D296" s="1"/>
    </row>
    <row r="297" spans="1:4" ht="12.75" customHeight="1" x14ac:dyDescent="0.2">
      <c r="A297" s="107"/>
      <c r="B297" s="132"/>
      <c r="C297" s="133"/>
      <c r="D297" s="1"/>
    </row>
    <row r="298" spans="1:4" ht="12.75" customHeight="1" x14ac:dyDescent="0.2">
      <c r="A298" s="107"/>
      <c r="B298" s="132"/>
      <c r="C298" s="133"/>
      <c r="D298" s="1"/>
    </row>
    <row r="299" spans="1:4" ht="12.75" customHeight="1" x14ac:dyDescent="0.2">
      <c r="A299" s="107"/>
      <c r="B299" s="132"/>
      <c r="C299" s="133"/>
      <c r="D299" s="1"/>
    </row>
    <row r="300" spans="1:4" ht="12.75" customHeight="1" x14ac:dyDescent="0.2">
      <c r="A300" s="107"/>
      <c r="B300" s="132"/>
      <c r="C300" s="133"/>
      <c r="D300" s="1"/>
    </row>
    <row r="301" spans="1:4" ht="12.75" customHeight="1" x14ac:dyDescent="0.2">
      <c r="A301" s="107"/>
      <c r="B301" s="132"/>
      <c r="C301" s="133"/>
      <c r="D301" s="1"/>
    </row>
    <row r="302" spans="1:4" ht="12.75" customHeight="1" x14ac:dyDescent="0.2">
      <c r="A302" s="107"/>
      <c r="B302" s="132"/>
      <c r="C302" s="133"/>
      <c r="D302" s="1"/>
    </row>
    <row r="303" spans="1:4" ht="12.75" customHeight="1" x14ac:dyDescent="0.2">
      <c r="A303" s="107"/>
      <c r="B303" s="132"/>
      <c r="C303" s="133"/>
      <c r="D303" s="1"/>
    </row>
    <row r="304" spans="1:4" ht="12.75" customHeight="1" x14ac:dyDescent="0.2">
      <c r="A304" s="107"/>
      <c r="B304" s="132"/>
      <c r="C304" s="133"/>
      <c r="D304" s="1"/>
    </row>
    <row r="305" spans="1:4" ht="12.75" customHeight="1" x14ac:dyDescent="0.2">
      <c r="A305" s="107"/>
      <c r="B305" s="132"/>
      <c r="C305" s="133"/>
      <c r="D305" s="1"/>
    </row>
    <row r="306" spans="1:4" ht="12.75" customHeight="1" x14ac:dyDescent="0.2">
      <c r="A306" s="107"/>
      <c r="B306" s="132"/>
      <c r="C306" s="133"/>
      <c r="D306" s="1"/>
    </row>
    <row r="307" spans="1:4" ht="12.75" customHeight="1" x14ac:dyDescent="0.2">
      <c r="A307" s="107"/>
      <c r="B307" s="132"/>
      <c r="C307" s="133"/>
      <c r="D307" s="1"/>
    </row>
    <row r="308" spans="1:4" ht="12.75" customHeight="1" x14ac:dyDescent="0.2">
      <c r="A308" s="107"/>
      <c r="B308" s="132"/>
      <c r="C308" s="133"/>
      <c r="D308" s="1"/>
    </row>
    <row r="309" spans="1:4" ht="12.75" customHeight="1" x14ac:dyDescent="0.2">
      <c r="A309" s="107"/>
      <c r="B309" s="132"/>
      <c r="C309" s="133"/>
      <c r="D309" s="1"/>
    </row>
    <row r="310" spans="1:4" ht="12.75" customHeight="1" x14ac:dyDescent="0.2">
      <c r="A310" s="107"/>
      <c r="B310" s="132"/>
      <c r="C310" s="133"/>
      <c r="D310" s="1"/>
    </row>
    <row r="311" spans="1:4" ht="12.75" customHeight="1" x14ac:dyDescent="0.2">
      <c r="A311" s="107"/>
      <c r="B311" s="132"/>
      <c r="C311" s="133"/>
      <c r="D311" s="1"/>
    </row>
    <row r="312" spans="1:4" ht="12.75" customHeight="1" x14ac:dyDescent="0.2">
      <c r="A312" s="107"/>
      <c r="B312" s="132"/>
      <c r="C312" s="133"/>
      <c r="D312" s="1"/>
    </row>
    <row r="313" spans="1:4" ht="12.75" customHeight="1" x14ac:dyDescent="0.2">
      <c r="A313" s="107"/>
      <c r="B313" s="132"/>
      <c r="C313" s="133"/>
      <c r="D313" s="1"/>
    </row>
    <row r="314" spans="1:4" ht="12.75" customHeight="1" x14ac:dyDescent="0.2">
      <c r="A314" s="107"/>
      <c r="B314" s="132"/>
      <c r="C314" s="133"/>
      <c r="D314" s="1"/>
    </row>
    <row r="315" spans="1:4" ht="12.75" customHeight="1" x14ac:dyDescent="0.2">
      <c r="A315" s="107"/>
      <c r="B315" s="132"/>
      <c r="C315" s="133"/>
      <c r="D315" s="1"/>
    </row>
    <row r="316" spans="1:4" ht="12.75" customHeight="1" x14ac:dyDescent="0.2">
      <c r="A316" s="107"/>
      <c r="B316" s="132"/>
      <c r="C316" s="133"/>
      <c r="D316" s="1"/>
    </row>
    <row r="317" spans="1:4" ht="12.75" customHeight="1" x14ac:dyDescent="0.2">
      <c r="A317" s="107"/>
      <c r="B317" s="132"/>
      <c r="C317" s="133"/>
      <c r="D317" s="1"/>
    </row>
    <row r="318" spans="1:4" ht="12.75" customHeight="1" x14ac:dyDescent="0.2">
      <c r="A318" s="107"/>
      <c r="B318" s="132"/>
      <c r="C318" s="133"/>
      <c r="D318" s="1"/>
    </row>
    <row r="319" spans="1:4" ht="12.75" customHeight="1" x14ac:dyDescent="0.2">
      <c r="A319" s="107"/>
      <c r="B319" s="132"/>
      <c r="C319" s="133"/>
      <c r="D319" s="1"/>
    </row>
    <row r="320" spans="1:4" ht="12.75" customHeight="1" x14ac:dyDescent="0.2">
      <c r="A320" s="107"/>
      <c r="B320" s="132"/>
      <c r="C320" s="133"/>
      <c r="D320" s="1"/>
    </row>
    <row r="321" spans="1:4" ht="12.75" customHeight="1" x14ac:dyDescent="0.2">
      <c r="A321" s="107"/>
      <c r="B321" s="132"/>
      <c r="C321" s="133"/>
      <c r="D321" s="1"/>
    </row>
    <row r="322" spans="1:4" ht="12.75" customHeight="1" x14ac:dyDescent="0.2">
      <c r="A322" s="107"/>
      <c r="B322" s="132"/>
      <c r="C322" s="133"/>
      <c r="D322" s="1"/>
    </row>
    <row r="323" spans="1:4" ht="12.75" customHeight="1" x14ac:dyDescent="0.2">
      <c r="A323" s="107"/>
      <c r="B323" s="132"/>
      <c r="C323" s="133"/>
      <c r="D323" s="1"/>
    </row>
    <row r="324" spans="1:4" ht="12.75" customHeight="1" x14ac:dyDescent="0.2">
      <c r="A324" s="107"/>
      <c r="B324" s="132"/>
      <c r="C324" s="133"/>
      <c r="D324" s="1"/>
    </row>
    <row r="325" spans="1:4" ht="12.75" customHeight="1" x14ac:dyDescent="0.2">
      <c r="A325" s="107"/>
      <c r="B325" s="132"/>
      <c r="C325" s="133"/>
      <c r="D325" s="1"/>
    </row>
    <row r="326" spans="1:4" ht="12.75" customHeight="1" x14ac:dyDescent="0.2">
      <c r="A326" s="107"/>
      <c r="B326" s="132"/>
      <c r="C326" s="133"/>
      <c r="D326" s="1"/>
    </row>
    <row r="327" spans="1:4" ht="12.75" customHeight="1" x14ac:dyDescent="0.2">
      <c r="A327" s="107"/>
      <c r="B327" s="132"/>
      <c r="C327" s="133"/>
      <c r="D327" s="1"/>
    </row>
    <row r="328" spans="1:4" ht="12.75" customHeight="1" x14ac:dyDescent="0.2">
      <c r="A328" s="107"/>
      <c r="B328" s="132"/>
      <c r="C328" s="133"/>
      <c r="D328" s="1"/>
    </row>
    <row r="329" spans="1:4" ht="12.75" customHeight="1" x14ac:dyDescent="0.2">
      <c r="A329" s="107"/>
      <c r="B329" s="132"/>
      <c r="C329" s="133"/>
      <c r="D329" s="1"/>
    </row>
    <row r="330" spans="1:4" ht="12.75" customHeight="1" x14ac:dyDescent="0.2">
      <c r="A330" s="107"/>
      <c r="B330" s="132"/>
      <c r="C330" s="133"/>
      <c r="D330" s="1"/>
    </row>
    <row r="331" spans="1:4" ht="12.75" customHeight="1" x14ac:dyDescent="0.2">
      <c r="A331" s="107"/>
      <c r="B331" s="132"/>
      <c r="C331" s="133"/>
      <c r="D331" s="1"/>
    </row>
    <row r="332" spans="1:4" ht="12.75" customHeight="1" x14ac:dyDescent="0.2">
      <c r="A332" s="107"/>
      <c r="B332" s="132"/>
      <c r="C332" s="133"/>
      <c r="D332" s="1"/>
    </row>
    <row r="333" spans="1:4" ht="12.75" customHeight="1" x14ac:dyDescent="0.2">
      <c r="A333" s="107"/>
      <c r="B333" s="132"/>
      <c r="C333" s="133"/>
      <c r="D333" s="1"/>
    </row>
    <row r="334" spans="1:4" ht="12.75" customHeight="1" x14ac:dyDescent="0.2">
      <c r="A334" s="107"/>
      <c r="B334" s="132"/>
      <c r="C334" s="133"/>
      <c r="D334" s="1"/>
    </row>
    <row r="335" spans="1:4" ht="12.75" customHeight="1" x14ac:dyDescent="0.2">
      <c r="A335" s="107"/>
      <c r="B335" s="132"/>
      <c r="C335" s="133"/>
      <c r="D335" s="1"/>
    </row>
    <row r="336" spans="1:4" ht="12.75" customHeight="1" x14ac:dyDescent="0.2">
      <c r="A336" s="107"/>
      <c r="B336" s="132"/>
      <c r="C336" s="133"/>
      <c r="D336" s="1"/>
    </row>
    <row r="337" spans="1:4" ht="12.75" customHeight="1" x14ac:dyDescent="0.2">
      <c r="A337" s="107"/>
      <c r="B337" s="132"/>
      <c r="C337" s="133"/>
      <c r="D337" s="1"/>
    </row>
    <row r="338" spans="1:4" ht="12.75" customHeight="1" x14ac:dyDescent="0.2">
      <c r="A338" s="107"/>
      <c r="B338" s="132"/>
      <c r="C338" s="133"/>
      <c r="D338" s="1"/>
    </row>
    <row r="339" spans="1:4" ht="12.75" customHeight="1" x14ac:dyDescent="0.2">
      <c r="A339" s="107"/>
      <c r="B339" s="132"/>
      <c r="C339" s="133"/>
      <c r="D339" s="1"/>
    </row>
    <row r="340" spans="1:4" ht="12.75" customHeight="1" x14ac:dyDescent="0.2">
      <c r="A340" s="107"/>
      <c r="B340" s="132"/>
      <c r="C340" s="133"/>
      <c r="D340" s="1"/>
    </row>
    <row r="341" spans="1:4" ht="12.75" customHeight="1" x14ac:dyDescent="0.2">
      <c r="A341" s="107"/>
      <c r="B341" s="132"/>
      <c r="C341" s="133"/>
      <c r="D341" s="1"/>
    </row>
    <row r="342" spans="1:4" ht="12.75" customHeight="1" x14ac:dyDescent="0.2">
      <c r="A342" s="107"/>
      <c r="B342" s="132"/>
      <c r="C342" s="133"/>
      <c r="D342" s="1"/>
    </row>
    <row r="343" spans="1:4" ht="12.75" customHeight="1" x14ac:dyDescent="0.2">
      <c r="A343" s="107"/>
      <c r="B343" s="132"/>
      <c r="C343" s="133"/>
      <c r="D343" s="1"/>
    </row>
    <row r="344" spans="1:4" ht="12.75" customHeight="1" x14ac:dyDescent="0.2">
      <c r="A344" s="107"/>
      <c r="B344" s="132"/>
      <c r="C344" s="133"/>
      <c r="D344" s="1"/>
    </row>
    <row r="345" spans="1:4" ht="12.75" customHeight="1" x14ac:dyDescent="0.2">
      <c r="A345" s="107"/>
      <c r="B345" s="132"/>
      <c r="C345" s="133"/>
      <c r="D345" s="1"/>
    </row>
    <row r="346" spans="1:4" ht="12.75" customHeight="1" x14ac:dyDescent="0.2">
      <c r="A346" s="107"/>
      <c r="B346" s="132"/>
      <c r="C346" s="133"/>
      <c r="D346" s="1"/>
    </row>
    <row r="347" spans="1:4" ht="12.75" customHeight="1" x14ac:dyDescent="0.2">
      <c r="A347" s="107"/>
      <c r="B347" s="132"/>
      <c r="C347" s="133"/>
      <c r="D347" s="1"/>
    </row>
    <row r="348" spans="1:4" ht="12.75" customHeight="1" x14ac:dyDescent="0.2">
      <c r="A348" s="107"/>
      <c r="B348" s="132"/>
      <c r="C348" s="133"/>
      <c r="D348" s="1"/>
    </row>
    <row r="349" spans="1:4" ht="12.75" customHeight="1" x14ac:dyDescent="0.2">
      <c r="A349" s="107"/>
      <c r="B349" s="132"/>
      <c r="C349" s="133"/>
      <c r="D349" s="1"/>
    </row>
    <row r="350" spans="1:4" ht="12.75" customHeight="1" x14ac:dyDescent="0.2">
      <c r="A350" s="107"/>
      <c r="B350" s="132"/>
      <c r="C350" s="133"/>
      <c r="D350" s="1"/>
    </row>
    <row r="351" spans="1:4" ht="12.75" customHeight="1" x14ac:dyDescent="0.2">
      <c r="A351" s="107"/>
      <c r="B351" s="132"/>
      <c r="C351" s="133"/>
      <c r="D351" s="1"/>
    </row>
    <row r="352" spans="1:4" ht="12.75" customHeight="1" x14ac:dyDescent="0.2">
      <c r="A352" s="107"/>
      <c r="B352" s="132"/>
      <c r="C352" s="133"/>
      <c r="D352" s="1"/>
    </row>
    <row r="353" spans="1:4" ht="12.75" customHeight="1" x14ac:dyDescent="0.2">
      <c r="A353" s="107"/>
      <c r="B353" s="132"/>
      <c r="C353" s="133"/>
      <c r="D353" s="1"/>
    </row>
    <row r="354" spans="1:4" ht="12.75" customHeight="1" x14ac:dyDescent="0.2">
      <c r="A354" s="107"/>
      <c r="B354" s="132"/>
      <c r="C354" s="133"/>
      <c r="D354" s="1"/>
    </row>
    <row r="355" spans="1:4" ht="12.75" customHeight="1" x14ac:dyDescent="0.2">
      <c r="A355" s="107"/>
      <c r="B355" s="132"/>
      <c r="C355" s="133"/>
      <c r="D355" s="1"/>
    </row>
    <row r="356" spans="1:4" ht="12.75" customHeight="1" x14ac:dyDescent="0.2">
      <c r="A356" s="107"/>
      <c r="B356" s="132"/>
      <c r="C356" s="133"/>
      <c r="D356" s="1"/>
    </row>
    <row r="357" spans="1:4" ht="12.75" customHeight="1" x14ac:dyDescent="0.2">
      <c r="A357" s="107"/>
      <c r="B357" s="132"/>
      <c r="C357" s="133"/>
      <c r="D357" s="1"/>
    </row>
    <row r="358" spans="1:4" ht="12.75" customHeight="1" x14ac:dyDescent="0.2">
      <c r="A358" s="107"/>
      <c r="B358" s="132"/>
      <c r="C358" s="133"/>
      <c r="D358" s="1"/>
    </row>
    <row r="359" spans="1:4" ht="12.75" customHeight="1" x14ac:dyDescent="0.2">
      <c r="A359" s="107"/>
      <c r="B359" s="132"/>
      <c r="C359" s="133"/>
      <c r="D359" s="1"/>
    </row>
    <row r="360" spans="1:4" ht="12.75" customHeight="1" x14ac:dyDescent="0.2">
      <c r="A360" s="107"/>
      <c r="B360" s="132"/>
      <c r="C360" s="133"/>
      <c r="D360" s="1"/>
    </row>
    <row r="361" spans="1:4" ht="12.75" customHeight="1" x14ac:dyDescent="0.2">
      <c r="A361" s="107"/>
      <c r="B361" s="132"/>
      <c r="C361" s="133"/>
      <c r="D361" s="1"/>
    </row>
    <row r="362" spans="1:4" ht="12.75" customHeight="1" x14ac:dyDescent="0.2">
      <c r="A362" s="107"/>
      <c r="B362" s="132"/>
      <c r="C362" s="133"/>
      <c r="D362" s="1"/>
    </row>
    <row r="363" spans="1:4" ht="12.75" customHeight="1" x14ac:dyDescent="0.2">
      <c r="A363" s="107"/>
      <c r="B363" s="132"/>
      <c r="C363" s="133"/>
      <c r="D363" s="1"/>
    </row>
    <row r="364" spans="1:4" ht="12.75" customHeight="1" x14ac:dyDescent="0.2">
      <c r="A364" s="107"/>
      <c r="B364" s="132"/>
      <c r="C364" s="133"/>
      <c r="D364" s="1"/>
    </row>
    <row r="365" spans="1:4" ht="12.75" customHeight="1" x14ac:dyDescent="0.2">
      <c r="A365" s="107"/>
      <c r="B365" s="132"/>
      <c r="C365" s="133"/>
      <c r="D365" s="1"/>
    </row>
    <row r="366" spans="1:4" ht="12.75" customHeight="1" x14ac:dyDescent="0.2">
      <c r="A366" s="107"/>
      <c r="B366" s="132"/>
      <c r="C366" s="133"/>
      <c r="D366" s="1"/>
    </row>
    <row r="367" spans="1:4" ht="12.75" customHeight="1" x14ac:dyDescent="0.2">
      <c r="A367" s="107"/>
      <c r="B367" s="132"/>
      <c r="C367" s="133"/>
      <c r="D367" s="1"/>
    </row>
    <row r="368" spans="1:4" ht="12.75" customHeight="1" x14ac:dyDescent="0.2">
      <c r="A368" s="107"/>
      <c r="B368" s="132"/>
      <c r="C368" s="133"/>
      <c r="D368" s="1"/>
    </row>
    <row r="369" spans="1:4" ht="12.75" customHeight="1" x14ac:dyDescent="0.2">
      <c r="A369" s="107"/>
      <c r="B369" s="132"/>
      <c r="C369" s="133"/>
      <c r="D369" s="1"/>
    </row>
    <row r="370" spans="1:4" ht="12.75" customHeight="1" x14ac:dyDescent="0.2">
      <c r="A370" s="107"/>
      <c r="B370" s="132"/>
      <c r="C370" s="133"/>
      <c r="D370" s="1"/>
    </row>
    <row r="371" spans="1:4" ht="12.75" customHeight="1" x14ac:dyDescent="0.2">
      <c r="A371" s="107"/>
      <c r="B371" s="132"/>
      <c r="C371" s="133"/>
      <c r="D371" s="1"/>
    </row>
    <row r="372" spans="1:4" ht="12.75" customHeight="1" x14ac:dyDescent="0.2">
      <c r="A372" s="107"/>
      <c r="B372" s="132"/>
      <c r="C372" s="133"/>
      <c r="D372" s="1"/>
    </row>
    <row r="373" spans="1:4" ht="12.75" customHeight="1" x14ac:dyDescent="0.2">
      <c r="A373" s="107"/>
      <c r="B373" s="132"/>
      <c r="C373" s="133"/>
      <c r="D373" s="1"/>
    </row>
    <row r="374" spans="1:4" ht="12.75" customHeight="1" x14ac:dyDescent="0.2">
      <c r="A374" s="107"/>
      <c r="B374" s="132"/>
      <c r="C374" s="133"/>
      <c r="D374" s="1"/>
    </row>
    <row r="375" spans="1:4" ht="12.75" customHeight="1" x14ac:dyDescent="0.2">
      <c r="A375" s="107"/>
      <c r="B375" s="132"/>
      <c r="C375" s="133"/>
      <c r="D375" s="1"/>
    </row>
    <row r="376" spans="1:4" ht="12.75" customHeight="1" x14ac:dyDescent="0.2">
      <c r="A376" s="107"/>
      <c r="B376" s="132"/>
      <c r="C376" s="133"/>
      <c r="D376" s="1"/>
    </row>
    <row r="377" spans="1:4" ht="12.75" customHeight="1" x14ac:dyDescent="0.2">
      <c r="A377" s="107"/>
      <c r="B377" s="132"/>
      <c r="C377" s="133"/>
      <c r="D377" s="1"/>
    </row>
    <row r="378" spans="1:4" ht="12.75" customHeight="1" x14ac:dyDescent="0.2">
      <c r="A378" s="107"/>
      <c r="B378" s="132"/>
      <c r="C378" s="133"/>
      <c r="D378" s="1"/>
    </row>
    <row r="379" spans="1:4" ht="12.75" customHeight="1" x14ac:dyDescent="0.2">
      <c r="A379" s="107"/>
      <c r="B379" s="132"/>
      <c r="C379" s="133"/>
      <c r="D379" s="1"/>
    </row>
    <row r="380" spans="1:4" ht="12.75" customHeight="1" x14ac:dyDescent="0.2">
      <c r="A380" s="107"/>
      <c r="B380" s="132"/>
      <c r="C380" s="133"/>
      <c r="D380" s="1"/>
    </row>
    <row r="381" spans="1:4" ht="12.75" customHeight="1" x14ac:dyDescent="0.2">
      <c r="A381" s="107"/>
      <c r="B381" s="132"/>
      <c r="C381" s="133"/>
      <c r="D381" s="1"/>
    </row>
    <row r="382" spans="1:4" ht="12.75" customHeight="1" x14ac:dyDescent="0.2">
      <c r="A382" s="107"/>
      <c r="B382" s="132"/>
      <c r="C382" s="133"/>
      <c r="D382" s="1"/>
    </row>
    <row r="383" spans="1:4" ht="12.75" customHeight="1" x14ac:dyDescent="0.2">
      <c r="A383" s="107"/>
      <c r="B383" s="132"/>
      <c r="C383" s="133"/>
      <c r="D383" s="1"/>
    </row>
    <row r="384" spans="1:4" ht="12.75" customHeight="1" x14ac:dyDescent="0.2">
      <c r="A384" s="107"/>
      <c r="B384" s="132"/>
      <c r="C384" s="133"/>
      <c r="D384" s="1"/>
    </row>
    <row r="385" spans="1:4" ht="12.75" customHeight="1" x14ac:dyDescent="0.2">
      <c r="A385" s="107"/>
      <c r="B385" s="132"/>
      <c r="C385" s="133"/>
      <c r="D385" s="1"/>
    </row>
    <row r="386" spans="1:4" ht="12.75" customHeight="1" x14ac:dyDescent="0.2">
      <c r="A386" s="107"/>
      <c r="B386" s="132"/>
      <c r="C386" s="133"/>
      <c r="D386" s="1"/>
    </row>
    <row r="387" spans="1:4" ht="12.75" customHeight="1" x14ac:dyDescent="0.2">
      <c r="A387" s="107"/>
      <c r="B387" s="132"/>
      <c r="C387" s="133"/>
      <c r="D387" s="1"/>
    </row>
    <row r="388" spans="1:4" ht="12.75" customHeight="1" x14ac:dyDescent="0.2">
      <c r="A388" s="107"/>
      <c r="B388" s="132"/>
      <c r="C388" s="133"/>
      <c r="D388" s="1"/>
    </row>
    <row r="389" spans="1:4" ht="12.75" customHeight="1" x14ac:dyDescent="0.2">
      <c r="A389" s="107"/>
      <c r="B389" s="132"/>
      <c r="C389" s="133"/>
      <c r="D389" s="1"/>
    </row>
    <row r="390" spans="1:4" ht="12.75" customHeight="1" x14ac:dyDescent="0.2">
      <c r="A390" s="107"/>
      <c r="B390" s="132"/>
      <c r="C390" s="133"/>
      <c r="D390" s="1"/>
    </row>
    <row r="391" spans="1:4" ht="12.75" customHeight="1" x14ac:dyDescent="0.2">
      <c r="A391" s="107"/>
      <c r="B391" s="132"/>
      <c r="C391" s="133"/>
      <c r="D391" s="1"/>
    </row>
    <row r="392" spans="1:4" ht="12.75" customHeight="1" x14ac:dyDescent="0.2">
      <c r="A392" s="107"/>
      <c r="B392" s="132"/>
      <c r="C392" s="133"/>
      <c r="D392" s="1"/>
    </row>
    <row r="393" spans="1:4" ht="12.75" customHeight="1" x14ac:dyDescent="0.2">
      <c r="A393" s="107"/>
      <c r="B393" s="132"/>
      <c r="C393" s="133"/>
      <c r="D393" s="1"/>
    </row>
    <row r="394" spans="1:4" ht="12.75" customHeight="1" x14ac:dyDescent="0.2">
      <c r="A394" s="107"/>
      <c r="B394" s="132"/>
      <c r="C394" s="133"/>
      <c r="D394" s="1"/>
    </row>
    <row r="395" spans="1:4" ht="12.75" customHeight="1" x14ac:dyDescent="0.2">
      <c r="A395" s="107"/>
      <c r="B395" s="132"/>
      <c r="C395" s="133"/>
      <c r="D395" s="1"/>
    </row>
    <row r="396" spans="1:4" ht="12.75" customHeight="1" x14ac:dyDescent="0.2">
      <c r="A396" s="107"/>
      <c r="B396" s="132"/>
      <c r="C396" s="133"/>
      <c r="D396" s="1"/>
    </row>
    <row r="397" spans="1:4" ht="12.75" customHeight="1" x14ac:dyDescent="0.2">
      <c r="A397" s="107"/>
      <c r="B397" s="132"/>
      <c r="C397" s="133"/>
      <c r="D397" s="1"/>
    </row>
    <row r="398" spans="1:4" ht="12.75" customHeight="1" x14ac:dyDescent="0.2">
      <c r="A398" s="107"/>
      <c r="B398" s="132"/>
      <c r="C398" s="133"/>
      <c r="D398" s="1"/>
    </row>
    <row r="399" spans="1:4" ht="12.75" customHeight="1" x14ac:dyDescent="0.2">
      <c r="A399" s="107"/>
      <c r="B399" s="132"/>
      <c r="C399" s="133"/>
      <c r="D399" s="1"/>
    </row>
    <row r="400" spans="1:4" ht="12.75" customHeight="1" x14ac:dyDescent="0.2">
      <c r="A400" s="107"/>
      <c r="B400" s="132"/>
      <c r="C400" s="133"/>
      <c r="D400" s="1"/>
    </row>
    <row r="401" spans="1:4" ht="12.75" customHeight="1" x14ac:dyDescent="0.2">
      <c r="A401" s="107"/>
      <c r="B401" s="132"/>
      <c r="C401" s="133"/>
      <c r="D401" s="1"/>
    </row>
    <row r="402" spans="1:4" ht="12.75" customHeight="1" x14ac:dyDescent="0.2">
      <c r="A402" s="107"/>
      <c r="B402" s="132"/>
      <c r="C402" s="133"/>
      <c r="D402" s="1"/>
    </row>
    <row r="403" spans="1:4" ht="12.75" customHeight="1" x14ac:dyDescent="0.2">
      <c r="A403" s="107"/>
      <c r="B403" s="132"/>
      <c r="C403" s="133"/>
      <c r="D403" s="1"/>
    </row>
    <row r="404" spans="1:4" ht="12.75" customHeight="1" x14ac:dyDescent="0.2">
      <c r="A404" s="107"/>
      <c r="B404" s="132"/>
      <c r="C404" s="133"/>
      <c r="D404" s="1"/>
    </row>
    <row r="405" spans="1:4" ht="12.75" customHeight="1" x14ac:dyDescent="0.2">
      <c r="A405" s="107"/>
      <c r="B405" s="132"/>
      <c r="C405" s="133"/>
      <c r="D405" s="1"/>
    </row>
    <row r="406" spans="1:4" ht="12.75" customHeight="1" x14ac:dyDescent="0.2">
      <c r="A406" s="107"/>
      <c r="B406" s="132"/>
      <c r="C406" s="133"/>
      <c r="D406" s="1"/>
    </row>
    <row r="407" spans="1:4" ht="12.75" customHeight="1" x14ac:dyDescent="0.2">
      <c r="A407" s="107"/>
      <c r="B407" s="132"/>
      <c r="C407" s="133"/>
      <c r="D407" s="1"/>
    </row>
    <row r="408" spans="1:4" ht="12.75" customHeight="1" x14ac:dyDescent="0.2">
      <c r="A408" s="107"/>
      <c r="B408" s="132"/>
      <c r="C408" s="133"/>
      <c r="D408" s="1"/>
    </row>
    <row r="409" spans="1:4" ht="12.75" customHeight="1" x14ac:dyDescent="0.2">
      <c r="A409" s="107"/>
      <c r="B409" s="132"/>
      <c r="C409" s="133"/>
      <c r="D409" s="1"/>
    </row>
    <row r="410" spans="1:4" ht="12.75" customHeight="1" x14ac:dyDescent="0.2">
      <c r="A410" s="107"/>
      <c r="B410" s="132"/>
      <c r="C410" s="133"/>
      <c r="D410" s="1"/>
    </row>
    <row r="411" spans="1:4" ht="12.75" customHeight="1" x14ac:dyDescent="0.2">
      <c r="A411" s="107"/>
      <c r="B411" s="132"/>
      <c r="C411" s="133"/>
      <c r="D411" s="1"/>
    </row>
    <row r="412" spans="1:4" ht="12.75" customHeight="1" x14ac:dyDescent="0.2">
      <c r="A412" s="107"/>
      <c r="B412" s="132"/>
      <c r="C412" s="133"/>
      <c r="D412" s="1"/>
    </row>
    <row r="413" spans="1:4" ht="12.75" customHeight="1" x14ac:dyDescent="0.2">
      <c r="A413" s="107"/>
      <c r="B413" s="132"/>
      <c r="C413" s="133"/>
      <c r="D413" s="1"/>
    </row>
    <row r="414" spans="1:4" ht="12.75" customHeight="1" x14ac:dyDescent="0.2">
      <c r="A414" s="107"/>
      <c r="B414" s="132"/>
      <c r="C414" s="133"/>
      <c r="D414" s="1"/>
    </row>
    <row r="415" spans="1:4" ht="12.75" customHeight="1" x14ac:dyDescent="0.2">
      <c r="A415" s="107"/>
      <c r="B415" s="132"/>
      <c r="C415" s="133"/>
      <c r="D415" s="1"/>
    </row>
    <row r="416" spans="1:4" ht="12.75" customHeight="1" x14ac:dyDescent="0.2">
      <c r="A416" s="107"/>
      <c r="B416" s="132"/>
      <c r="C416" s="133"/>
      <c r="D416" s="1"/>
    </row>
    <row r="417" spans="1:4" ht="12.75" customHeight="1" x14ac:dyDescent="0.2">
      <c r="A417" s="107"/>
      <c r="B417" s="132"/>
      <c r="C417" s="133"/>
      <c r="D417" s="1"/>
    </row>
    <row r="418" spans="1:4" ht="12.75" customHeight="1" x14ac:dyDescent="0.2">
      <c r="A418" s="107"/>
      <c r="B418" s="132"/>
      <c r="C418" s="133"/>
      <c r="D418" s="1"/>
    </row>
    <row r="419" spans="1:4" ht="12.75" customHeight="1" x14ac:dyDescent="0.2">
      <c r="A419" s="107"/>
      <c r="B419" s="132"/>
      <c r="C419" s="133"/>
      <c r="D419" s="1"/>
    </row>
    <row r="420" spans="1:4" ht="12.75" customHeight="1" x14ac:dyDescent="0.2">
      <c r="A420" s="107"/>
      <c r="B420" s="132"/>
      <c r="C420" s="133"/>
      <c r="D420" s="1"/>
    </row>
    <row r="421" spans="1:4" ht="12.75" customHeight="1" x14ac:dyDescent="0.2">
      <c r="A421" s="107"/>
      <c r="B421" s="132"/>
      <c r="C421" s="133"/>
      <c r="D421" s="1"/>
    </row>
    <row r="422" spans="1:4" ht="12.75" customHeight="1" x14ac:dyDescent="0.2">
      <c r="A422" s="107"/>
      <c r="B422" s="132"/>
      <c r="C422" s="133"/>
      <c r="D422" s="1"/>
    </row>
    <row r="423" spans="1:4" ht="12.75" customHeight="1" x14ac:dyDescent="0.2">
      <c r="A423" s="107"/>
      <c r="B423" s="132"/>
      <c r="C423" s="133"/>
      <c r="D423" s="1"/>
    </row>
    <row r="424" spans="1:4" ht="12.75" customHeight="1" x14ac:dyDescent="0.2">
      <c r="A424" s="107"/>
      <c r="B424" s="132"/>
      <c r="C424" s="133"/>
      <c r="D424" s="1"/>
    </row>
    <row r="425" spans="1:4" ht="12.75" customHeight="1" x14ac:dyDescent="0.2">
      <c r="A425" s="107"/>
      <c r="B425" s="132"/>
      <c r="C425" s="133"/>
      <c r="D425" s="1"/>
    </row>
    <row r="426" spans="1:4" ht="12.75" customHeight="1" x14ac:dyDescent="0.2">
      <c r="A426" s="107"/>
      <c r="B426" s="132"/>
      <c r="C426" s="133"/>
      <c r="D426" s="1"/>
    </row>
    <row r="427" spans="1:4" ht="12.75" customHeight="1" x14ac:dyDescent="0.2">
      <c r="A427" s="107"/>
      <c r="B427" s="132"/>
      <c r="C427" s="133"/>
      <c r="D427" s="1"/>
    </row>
    <row r="428" spans="1:4" ht="12.75" customHeight="1" x14ac:dyDescent="0.2">
      <c r="A428" s="107"/>
      <c r="B428" s="132"/>
      <c r="C428" s="133"/>
      <c r="D428" s="1"/>
    </row>
    <row r="429" spans="1:4" ht="12.75" customHeight="1" x14ac:dyDescent="0.2">
      <c r="A429" s="107"/>
      <c r="B429" s="132"/>
      <c r="C429" s="133"/>
      <c r="D429" s="1"/>
    </row>
    <row r="430" spans="1:4" ht="12.75" customHeight="1" x14ac:dyDescent="0.2">
      <c r="A430" s="107"/>
      <c r="B430" s="132"/>
      <c r="C430" s="133"/>
      <c r="D430" s="1"/>
    </row>
    <row r="431" spans="1:4" ht="12.75" customHeight="1" x14ac:dyDescent="0.2">
      <c r="A431" s="107"/>
      <c r="B431" s="132"/>
      <c r="C431" s="133"/>
      <c r="D431" s="1"/>
    </row>
    <row r="432" spans="1:4" ht="12.75" customHeight="1" x14ac:dyDescent="0.2">
      <c r="A432" s="107"/>
      <c r="B432" s="132"/>
      <c r="C432" s="133"/>
      <c r="D432" s="1"/>
    </row>
    <row r="433" spans="1:4" ht="12.75" customHeight="1" x14ac:dyDescent="0.2">
      <c r="A433" s="107"/>
      <c r="B433" s="132"/>
      <c r="C433" s="133"/>
      <c r="D433" s="1"/>
    </row>
    <row r="434" spans="1:4" ht="12.75" customHeight="1" x14ac:dyDescent="0.2">
      <c r="A434" s="107"/>
      <c r="B434" s="132"/>
      <c r="C434" s="133"/>
      <c r="D434" s="1"/>
    </row>
    <row r="435" spans="1:4" ht="12.75" customHeight="1" x14ac:dyDescent="0.2">
      <c r="A435" s="107"/>
      <c r="B435" s="132"/>
      <c r="C435" s="133"/>
      <c r="D435" s="1"/>
    </row>
    <row r="436" spans="1:4" ht="12.75" customHeight="1" x14ac:dyDescent="0.2">
      <c r="A436" s="107"/>
      <c r="B436" s="132"/>
      <c r="C436" s="133"/>
      <c r="D436" s="1"/>
    </row>
    <row r="437" spans="1:4" ht="12.75" customHeight="1" x14ac:dyDescent="0.2">
      <c r="A437" s="107"/>
      <c r="B437" s="132"/>
      <c r="C437" s="133"/>
      <c r="D437" s="1"/>
    </row>
    <row r="438" spans="1:4" ht="12.75" customHeight="1" x14ac:dyDescent="0.2">
      <c r="A438" s="107"/>
      <c r="B438" s="132"/>
      <c r="C438" s="133"/>
      <c r="D438" s="1"/>
    </row>
    <row r="439" spans="1:4" ht="12.75" customHeight="1" x14ac:dyDescent="0.2">
      <c r="A439" s="107"/>
      <c r="B439" s="132"/>
      <c r="C439" s="133"/>
      <c r="D439" s="1"/>
    </row>
    <row r="440" spans="1:4" ht="12.75" customHeight="1" x14ac:dyDescent="0.2">
      <c r="A440" s="107"/>
      <c r="B440" s="132"/>
      <c r="C440" s="133"/>
      <c r="D440" s="1"/>
    </row>
    <row r="441" spans="1:4" ht="12.75" customHeight="1" x14ac:dyDescent="0.2">
      <c r="A441" s="107"/>
      <c r="B441" s="132"/>
      <c r="C441" s="133"/>
      <c r="D441" s="1"/>
    </row>
    <row r="442" spans="1:4" ht="12.75" customHeight="1" x14ac:dyDescent="0.2">
      <c r="A442" s="107"/>
      <c r="B442" s="132"/>
      <c r="C442" s="133"/>
      <c r="D442" s="1"/>
    </row>
    <row r="443" spans="1:4" ht="12.75" customHeight="1" x14ac:dyDescent="0.2">
      <c r="A443" s="107"/>
      <c r="B443" s="132"/>
      <c r="C443" s="133"/>
      <c r="D443" s="1"/>
    </row>
    <row r="444" spans="1:4" ht="12.75" customHeight="1" x14ac:dyDescent="0.2">
      <c r="A444" s="107"/>
      <c r="B444" s="132"/>
      <c r="C444" s="133"/>
      <c r="D444" s="1"/>
    </row>
    <row r="445" spans="1:4" ht="12.75" customHeight="1" x14ac:dyDescent="0.2">
      <c r="A445" s="107"/>
      <c r="B445" s="132"/>
      <c r="C445" s="133"/>
      <c r="D445" s="1"/>
    </row>
    <row r="446" spans="1:4" ht="12.75" customHeight="1" x14ac:dyDescent="0.2">
      <c r="A446" s="107"/>
      <c r="B446" s="132"/>
      <c r="C446" s="133"/>
      <c r="D446" s="1"/>
    </row>
    <row r="447" spans="1:4" ht="12.75" customHeight="1" x14ac:dyDescent="0.2">
      <c r="A447" s="107"/>
      <c r="B447" s="132"/>
      <c r="C447" s="133"/>
      <c r="D447" s="1"/>
    </row>
    <row r="448" spans="1:4" ht="12.75" customHeight="1" x14ac:dyDescent="0.2">
      <c r="A448" s="107"/>
      <c r="B448" s="132"/>
      <c r="C448" s="133"/>
      <c r="D448" s="1"/>
    </row>
    <row r="449" spans="1:4" ht="12.75" customHeight="1" x14ac:dyDescent="0.2">
      <c r="A449" s="107"/>
      <c r="B449" s="132"/>
      <c r="C449" s="133"/>
      <c r="D449" s="1"/>
    </row>
    <row r="450" spans="1:4" ht="12.75" customHeight="1" x14ac:dyDescent="0.2">
      <c r="A450" s="107"/>
      <c r="B450" s="132"/>
      <c r="C450" s="133"/>
      <c r="D450" s="1"/>
    </row>
    <row r="451" spans="1:4" ht="12.75" customHeight="1" x14ac:dyDescent="0.2">
      <c r="A451" s="107"/>
      <c r="B451" s="132"/>
      <c r="C451" s="133"/>
      <c r="D451" s="1"/>
    </row>
    <row r="452" spans="1:4" ht="12.75" customHeight="1" x14ac:dyDescent="0.2">
      <c r="A452" s="107"/>
      <c r="B452" s="132"/>
      <c r="C452" s="133"/>
      <c r="D452" s="1"/>
    </row>
    <row r="453" spans="1:4" ht="12.75" customHeight="1" x14ac:dyDescent="0.2">
      <c r="A453" s="107"/>
      <c r="B453" s="132"/>
      <c r="C453" s="133"/>
      <c r="D453" s="1"/>
    </row>
    <row r="454" spans="1:4" ht="12.75" customHeight="1" x14ac:dyDescent="0.2">
      <c r="A454" s="107"/>
      <c r="B454" s="132"/>
      <c r="C454" s="133"/>
      <c r="D454" s="1"/>
    </row>
    <row r="455" spans="1:4" ht="12.75" customHeight="1" x14ac:dyDescent="0.2">
      <c r="A455" s="107"/>
      <c r="B455" s="132"/>
      <c r="C455" s="133"/>
      <c r="D455" s="1"/>
    </row>
    <row r="456" spans="1:4" ht="12.75" customHeight="1" x14ac:dyDescent="0.2">
      <c r="A456" s="107"/>
      <c r="B456" s="132"/>
      <c r="C456" s="133"/>
      <c r="D456" s="1"/>
    </row>
    <row r="457" spans="1:4" ht="12.75" customHeight="1" x14ac:dyDescent="0.2">
      <c r="A457" s="107"/>
      <c r="B457" s="132"/>
      <c r="C457" s="133"/>
      <c r="D457" s="1"/>
    </row>
    <row r="458" spans="1:4" ht="12.75" customHeight="1" x14ac:dyDescent="0.2">
      <c r="A458" s="107"/>
      <c r="B458" s="132"/>
      <c r="C458" s="133"/>
      <c r="D458" s="1"/>
    </row>
    <row r="459" spans="1:4" ht="12.75" customHeight="1" x14ac:dyDescent="0.2">
      <c r="A459" s="107"/>
      <c r="B459" s="132"/>
      <c r="C459" s="133"/>
      <c r="D459" s="1"/>
    </row>
    <row r="460" spans="1:4" ht="12.75" customHeight="1" x14ac:dyDescent="0.2">
      <c r="A460" s="107"/>
      <c r="B460" s="132"/>
      <c r="C460" s="133"/>
      <c r="D460" s="1"/>
    </row>
    <row r="461" spans="1:4" ht="12.75" customHeight="1" x14ac:dyDescent="0.2">
      <c r="A461" s="107"/>
      <c r="B461" s="132"/>
      <c r="C461" s="133"/>
      <c r="D461" s="1"/>
    </row>
    <row r="462" spans="1:4" ht="12.75" customHeight="1" x14ac:dyDescent="0.2">
      <c r="A462" s="107"/>
      <c r="B462" s="132"/>
      <c r="C462" s="133"/>
      <c r="D462" s="1"/>
    </row>
    <row r="463" spans="1:4" ht="12.75" customHeight="1" x14ac:dyDescent="0.2">
      <c r="A463" s="107"/>
      <c r="B463" s="132"/>
      <c r="C463" s="133"/>
      <c r="D463" s="1"/>
    </row>
    <row r="464" spans="1:4" ht="12.75" customHeight="1" x14ac:dyDescent="0.2">
      <c r="A464" s="107"/>
      <c r="B464" s="132"/>
      <c r="C464" s="133"/>
      <c r="D464" s="1"/>
    </row>
    <row r="465" spans="1:4" ht="12.75" customHeight="1" x14ac:dyDescent="0.2">
      <c r="A465" s="107"/>
      <c r="B465" s="132"/>
      <c r="C465" s="133"/>
      <c r="D465" s="1"/>
    </row>
    <row r="466" spans="1:4" ht="12.75" customHeight="1" x14ac:dyDescent="0.2">
      <c r="A466" s="107"/>
      <c r="B466" s="132"/>
      <c r="C466" s="133"/>
      <c r="D466" s="1"/>
    </row>
    <row r="467" spans="1:4" ht="12.75" customHeight="1" x14ac:dyDescent="0.2">
      <c r="A467" s="107"/>
      <c r="B467" s="132"/>
      <c r="C467" s="133"/>
      <c r="D467" s="1"/>
    </row>
    <row r="468" spans="1:4" ht="12.75" customHeight="1" x14ac:dyDescent="0.2">
      <c r="A468" s="107"/>
      <c r="B468" s="132"/>
      <c r="C468" s="133"/>
      <c r="D468" s="1"/>
    </row>
    <row r="469" spans="1:4" ht="12.75" customHeight="1" x14ac:dyDescent="0.2">
      <c r="A469" s="107"/>
      <c r="B469" s="132"/>
      <c r="C469" s="133"/>
      <c r="D469" s="1"/>
    </row>
    <row r="470" spans="1:4" ht="12.75" customHeight="1" x14ac:dyDescent="0.2">
      <c r="A470" s="107"/>
      <c r="B470" s="132"/>
      <c r="C470" s="133"/>
      <c r="D470" s="1"/>
    </row>
    <row r="471" spans="1:4" ht="12.75" customHeight="1" x14ac:dyDescent="0.2">
      <c r="A471" s="107"/>
      <c r="B471" s="132"/>
      <c r="C471" s="133"/>
      <c r="D471" s="1"/>
    </row>
    <row r="472" spans="1:4" ht="12.75" customHeight="1" x14ac:dyDescent="0.2">
      <c r="A472" s="107"/>
      <c r="B472" s="132"/>
      <c r="C472" s="133"/>
      <c r="D472" s="1"/>
    </row>
    <row r="473" spans="1:4" ht="12.75" customHeight="1" x14ac:dyDescent="0.2">
      <c r="A473" s="107"/>
      <c r="B473" s="132"/>
      <c r="C473" s="133"/>
      <c r="D473" s="1"/>
    </row>
    <row r="474" spans="1:4" ht="12.75" customHeight="1" x14ac:dyDescent="0.2">
      <c r="A474" s="107"/>
      <c r="B474" s="132"/>
      <c r="C474" s="133"/>
      <c r="D474" s="1"/>
    </row>
    <row r="475" spans="1:4" ht="12.75" customHeight="1" x14ac:dyDescent="0.2">
      <c r="A475" s="107"/>
      <c r="B475" s="132"/>
      <c r="C475" s="133"/>
      <c r="D475" s="1"/>
    </row>
    <row r="476" spans="1:4" ht="12.75" customHeight="1" x14ac:dyDescent="0.2">
      <c r="A476" s="107"/>
      <c r="B476" s="132"/>
      <c r="C476" s="133"/>
      <c r="D476" s="1"/>
    </row>
    <row r="477" spans="1:4" ht="12.75" customHeight="1" x14ac:dyDescent="0.2">
      <c r="A477" s="107"/>
      <c r="B477" s="132"/>
      <c r="C477" s="133"/>
      <c r="D477" s="1"/>
    </row>
    <row r="478" spans="1:4" ht="12.75" customHeight="1" x14ac:dyDescent="0.2">
      <c r="A478" s="107"/>
      <c r="B478" s="132"/>
      <c r="C478" s="133"/>
      <c r="D478" s="1"/>
    </row>
    <row r="479" spans="1:4" ht="12.75" customHeight="1" x14ac:dyDescent="0.2">
      <c r="A479" s="107"/>
      <c r="B479" s="132"/>
      <c r="C479" s="133"/>
      <c r="D479" s="1"/>
    </row>
    <row r="480" spans="1:4" ht="12.75" customHeight="1" x14ac:dyDescent="0.2">
      <c r="A480" s="107"/>
      <c r="B480" s="132"/>
      <c r="C480" s="133"/>
      <c r="D480" s="1"/>
    </row>
    <row r="481" spans="1:4" ht="12.75" customHeight="1" x14ac:dyDescent="0.2">
      <c r="A481" s="107"/>
      <c r="B481" s="132"/>
      <c r="C481" s="133"/>
      <c r="D481" s="1"/>
    </row>
    <row r="482" spans="1:4" ht="12.75" customHeight="1" x14ac:dyDescent="0.2">
      <c r="A482" s="107"/>
      <c r="B482" s="132"/>
      <c r="C482" s="133"/>
      <c r="D482" s="1"/>
    </row>
    <row r="483" spans="1:4" ht="12.75" customHeight="1" x14ac:dyDescent="0.2">
      <c r="A483" s="107"/>
      <c r="B483" s="132"/>
      <c r="C483" s="133"/>
      <c r="D483" s="1"/>
    </row>
    <row r="484" spans="1:4" ht="12.75" customHeight="1" x14ac:dyDescent="0.2">
      <c r="A484" s="107"/>
      <c r="B484" s="132"/>
      <c r="C484" s="133"/>
      <c r="D484" s="1"/>
    </row>
    <row r="485" spans="1:4" ht="12.75" customHeight="1" x14ac:dyDescent="0.2">
      <c r="A485" s="107"/>
      <c r="B485" s="132"/>
      <c r="C485" s="133"/>
      <c r="D485" s="1"/>
    </row>
    <row r="486" spans="1:4" ht="12.75" customHeight="1" x14ac:dyDescent="0.2">
      <c r="A486" s="107"/>
      <c r="B486" s="132"/>
      <c r="C486" s="133"/>
      <c r="D486" s="1"/>
    </row>
    <row r="487" spans="1:4" ht="12.75" customHeight="1" x14ac:dyDescent="0.2">
      <c r="A487" s="107"/>
      <c r="B487" s="132"/>
      <c r="C487" s="133"/>
      <c r="D487" s="1"/>
    </row>
    <row r="488" spans="1:4" ht="12.75" customHeight="1" x14ac:dyDescent="0.2">
      <c r="A488" s="107"/>
      <c r="B488" s="132"/>
      <c r="C488" s="133"/>
      <c r="D488" s="1"/>
    </row>
    <row r="489" spans="1:4" ht="12.75" customHeight="1" x14ac:dyDescent="0.2">
      <c r="A489" s="107"/>
      <c r="B489" s="132"/>
      <c r="C489" s="133"/>
      <c r="D489" s="1"/>
    </row>
    <row r="490" spans="1:4" ht="12.75" customHeight="1" x14ac:dyDescent="0.2">
      <c r="A490" s="107"/>
      <c r="B490" s="132"/>
      <c r="C490" s="133"/>
      <c r="D490" s="1"/>
    </row>
    <row r="491" spans="1:4" ht="12.75" customHeight="1" x14ac:dyDescent="0.2">
      <c r="A491" s="107"/>
      <c r="B491" s="132"/>
      <c r="C491" s="133"/>
      <c r="D491" s="1"/>
    </row>
    <row r="492" spans="1:4" ht="12.75" customHeight="1" x14ac:dyDescent="0.2">
      <c r="A492" s="107"/>
      <c r="B492" s="132"/>
      <c r="C492" s="133"/>
      <c r="D492" s="1"/>
    </row>
    <row r="493" spans="1:4" ht="12.75" customHeight="1" x14ac:dyDescent="0.2">
      <c r="A493" s="107"/>
      <c r="B493" s="132"/>
      <c r="C493" s="133"/>
      <c r="D493" s="1"/>
    </row>
    <row r="494" spans="1:4" ht="12.75" customHeight="1" x14ac:dyDescent="0.2">
      <c r="A494" s="107"/>
      <c r="B494" s="132"/>
      <c r="C494" s="133"/>
      <c r="D494" s="1"/>
    </row>
    <row r="495" spans="1:4" ht="12.75" customHeight="1" x14ac:dyDescent="0.2">
      <c r="A495" s="107"/>
      <c r="B495" s="132"/>
      <c r="C495" s="133"/>
      <c r="D495" s="1"/>
    </row>
    <row r="496" spans="1:4" ht="12.75" customHeight="1" x14ac:dyDescent="0.2">
      <c r="A496" s="107"/>
      <c r="B496" s="132"/>
      <c r="C496" s="133"/>
      <c r="D496" s="1"/>
    </row>
    <row r="497" spans="1:4" ht="12.75" customHeight="1" x14ac:dyDescent="0.2">
      <c r="A497" s="107"/>
      <c r="B497" s="132"/>
      <c r="C497" s="133"/>
      <c r="D497" s="1"/>
    </row>
    <row r="498" spans="1:4" ht="12.75" customHeight="1" x14ac:dyDescent="0.2">
      <c r="A498" s="107"/>
      <c r="B498" s="132"/>
      <c r="C498" s="133"/>
      <c r="D498" s="1"/>
    </row>
    <row r="499" spans="1:4" ht="12.75" customHeight="1" x14ac:dyDescent="0.2">
      <c r="A499" s="107"/>
      <c r="B499" s="132"/>
      <c r="C499" s="133"/>
      <c r="D499" s="1"/>
    </row>
    <row r="500" spans="1:4" ht="12.75" customHeight="1" x14ac:dyDescent="0.2">
      <c r="A500" s="107"/>
      <c r="B500" s="132"/>
      <c r="C500" s="133"/>
      <c r="D500" s="1"/>
    </row>
    <row r="501" spans="1:4" ht="12.75" customHeight="1" x14ac:dyDescent="0.2">
      <c r="A501" s="107"/>
      <c r="B501" s="132"/>
      <c r="C501" s="133"/>
      <c r="D501" s="1"/>
    </row>
    <row r="502" spans="1:4" ht="12.75" customHeight="1" x14ac:dyDescent="0.2">
      <c r="A502" s="107"/>
      <c r="B502" s="132"/>
      <c r="C502" s="133"/>
      <c r="D502" s="1"/>
    </row>
    <row r="503" spans="1:4" ht="12.75" customHeight="1" x14ac:dyDescent="0.2">
      <c r="A503" s="107"/>
      <c r="B503" s="132"/>
      <c r="C503" s="133"/>
      <c r="D503" s="1"/>
    </row>
    <row r="504" spans="1:4" ht="12.75" customHeight="1" x14ac:dyDescent="0.2">
      <c r="A504" s="107"/>
      <c r="B504" s="132"/>
      <c r="C504" s="133"/>
      <c r="D504" s="1"/>
    </row>
    <row r="505" spans="1:4" ht="12.75" customHeight="1" x14ac:dyDescent="0.2">
      <c r="A505" s="107"/>
      <c r="B505" s="132"/>
      <c r="C505" s="133"/>
      <c r="D505" s="1"/>
    </row>
    <row r="506" spans="1:4" ht="12.75" customHeight="1" x14ac:dyDescent="0.2">
      <c r="A506" s="107"/>
      <c r="B506" s="132"/>
      <c r="C506" s="133"/>
      <c r="D506" s="1"/>
    </row>
    <row r="507" spans="1:4" ht="12.75" customHeight="1" x14ac:dyDescent="0.2">
      <c r="A507" s="107"/>
      <c r="B507" s="132"/>
      <c r="C507" s="133"/>
      <c r="D507" s="1"/>
    </row>
    <row r="508" spans="1:4" ht="12.75" customHeight="1" x14ac:dyDescent="0.2">
      <c r="A508" s="107"/>
      <c r="B508" s="132"/>
      <c r="C508" s="133"/>
      <c r="D508" s="1"/>
    </row>
    <row r="509" spans="1:4" ht="12.75" customHeight="1" x14ac:dyDescent="0.2">
      <c r="A509" s="107"/>
      <c r="B509" s="132"/>
      <c r="C509" s="133"/>
      <c r="D509" s="1"/>
    </row>
    <row r="510" spans="1:4" ht="12.75" customHeight="1" x14ac:dyDescent="0.2">
      <c r="A510" s="107"/>
      <c r="B510" s="132"/>
      <c r="C510" s="133"/>
      <c r="D510" s="1"/>
    </row>
    <row r="511" spans="1:4" ht="12.75" customHeight="1" x14ac:dyDescent="0.2">
      <c r="A511" s="107"/>
      <c r="B511" s="132"/>
      <c r="C511" s="133"/>
      <c r="D511" s="1"/>
    </row>
    <row r="512" spans="1:4" ht="12.75" customHeight="1" x14ac:dyDescent="0.2">
      <c r="A512" s="107"/>
      <c r="B512" s="132"/>
      <c r="C512" s="133"/>
      <c r="D512" s="1"/>
    </row>
    <row r="513" spans="1:4" ht="12.75" customHeight="1" x14ac:dyDescent="0.2">
      <c r="A513" s="107"/>
      <c r="B513" s="132"/>
      <c r="C513" s="133"/>
      <c r="D513" s="1"/>
    </row>
    <row r="514" spans="1:4" ht="12.75" customHeight="1" x14ac:dyDescent="0.2">
      <c r="A514" s="107"/>
      <c r="B514" s="132"/>
      <c r="C514" s="133"/>
      <c r="D514" s="1"/>
    </row>
    <row r="515" spans="1:4" ht="12.75" customHeight="1" x14ac:dyDescent="0.2">
      <c r="A515" s="107"/>
      <c r="B515" s="132"/>
      <c r="C515" s="133"/>
      <c r="D515" s="1"/>
    </row>
    <row r="516" spans="1:4" ht="12.75" customHeight="1" x14ac:dyDescent="0.2">
      <c r="A516" s="107"/>
      <c r="B516" s="132"/>
      <c r="C516" s="133"/>
      <c r="D516" s="1"/>
    </row>
    <row r="517" spans="1:4" ht="12.75" customHeight="1" x14ac:dyDescent="0.2">
      <c r="A517" s="107"/>
      <c r="B517" s="132"/>
      <c r="C517" s="133"/>
      <c r="D517" s="1"/>
    </row>
    <row r="518" spans="1:4" ht="12.75" customHeight="1" x14ac:dyDescent="0.2">
      <c r="A518" s="107"/>
      <c r="B518" s="132"/>
      <c r="C518" s="133"/>
      <c r="D518" s="1"/>
    </row>
    <row r="519" spans="1:4" ht="12.75" customHeight="1" x14ac:dyDescent="0.2">
      <c r="A519" s="107"/>
      <c r="B519" s="132"/>
      <c r="C519" s="133"/>
      <c r="D519" s="1"/>
    </row>
    <row r="520" spans="1:4" ht="12.75" customHeight="1" x14ac:dyDescent="0.2">
      <c r="A520" s="107"/>
      <c r="B520" s="132"/>
      <c r="C520" s="133"/>
      <c r="D520" s="1"/>
    </row>
    <row r="521" spans="1:4" ht="12.75" customHeight="1" x14ac:dyDescent="0.2">
      <c r="A521" s="107"/>
      <c r="B521" s="132"/>
      <c r="C521" s="133"/>
      <c r="D521" s="1"/>
    </row>
    <row r="522" spans="1:4" ht="12.75" customHeight="1" x14ac:dyDescent="0.2">
      <c r="A522" s="107"/>
      <c r="B522" s="132"/>
      <c r="C522" s="133"/>
      <c r="D522" s="1"/>
    </row>
    <row r="523" spans="1:4" ht="12.75" customHeight="1" x14ac:dyDescent="0.2">
      <c r="A523" s="107"/>
      <c r="B523" s="132"/>
      <c r="C523" s="133"/>
      <c r="D523" s="1"/>
    </row>
    <row r="524" spans="1:4" ht="12.75" customHeight="1" x14ac:dyDescent="0.2">
      <c r="A524" s="107"/>
      <c r="B524" s="132"/>
      <c r="C524" s="133"/>
      <c r="D524" s="1"/>
    </row>
    <row r="525" spans="1:4" ht="12.75" customHeight="1" x14ac:dyDescent="0.2">
      <c r="A525" s="107"/>
      <c r="B525" s="132"/>
      <c r="C525" s="133"/>
      <c r="D525" s="1"/>
    </row>
    <row r="526" spans="1:4" ht="12.75" customHeight="1" x14ac:dyDescent="0.2">
      <c r="A526" s="107"/>
      <c r="B526" s="132"/>
      <c r="C526" s="133"/>
      <c r="D526" s="1"/>
    </row>
    <row r="527" spans="1:4" ht="12.75" customHeight="1" x14ac:dyDescent="0.2">
      <c r="A527" s="107"/>
      <c r="B527" s="132"/>
      <c r="C527" s="133"/>
      <c r="D527" s="1"/>
    </row>
    <row r="528" spans="1:4" ht="12.75" customHeight="1" x14ac:dyDescent="0.2">
      <c r="A528" s="107"/>
      <c r="B528" s="132"/>
      <c r="C528" s="133"/>
      <c r="D528" s="1"/>
    </row>
    <row r="529" spans="1:4" ht="12.75" customHeight="1" x14ac:dyDescent="0.2">
      <c r="A529" s="107"/>
      <c r="B529" s="132"/>
      <c r="C529" s="133"/>
      <c r="D529" s="1"/>
    </row>
    <row r="530" spans="1:4" ht="12.75" customHeight="1" x14ac:dyDescent="0.2">
      <c r="A530" s="107"/>
      <c r="B530" s="132"/>
      <c r="C530" s="133"/>
      <c r="D530" s="1"/>
    </row>
    <row r="531" spans="1:4" ht="12.75" customHeight="1" x14ac:dyDescent="0.2">
      <c r="A531" s="107"/>
      <c r="B531" s="132"/>
      <c r="C531" s="133"/>
      <c r="D531" s="1"/>
    </row>
    <row r="532" spans="1:4" ht="12.75" customHeight="1" x14ac:dyDescent="0.2">
      <c r="A532" s="107"/>
      <c r="B532" s="132"/>
      <c r="C532" s="133"/>
      <c r="D532" s="1"/>
    </row>
    <row r="533" spans="1:4" ht="12.75" customHeight="1" x14ac:dyDescent="0.2">
      <c r="A533" s="107"/>
      <c r="B533" s="132"/>
      <c r="C533" s="133"/>
      <c r="D533" s="1"/>
    </row>
    <row r="534" spans="1:4" ht="12.75" customHeight="1" x14ac:dyDescent="0.2">
      <c r="A534" s="107"/>
      <c r="B534" s="132"/>
      <c r="C534" s="133"/>
      <c r="D534" s="1"/>
    </row>
    <row r="535" spans="1:4" ht="12.75" customHeight="1" x14ac:dyDescent="0.2">
      <c r="A535" s="107"/>
      <c r="B535" s="132"/>
      <c r="C535" s="133"/>
      <c r="D535" s="1"/>
    </row>
    <row r="536" spans="1:4" ht="12.75" customHeight="1" x14ac:dyDescent="0.2">
      <c r="A536" s="107"/>
      <c r="B536" s="132"/>
      <c r="C536" s="133"/>
      <c r="D536" s="1"/>
    </row>
    <row r="537" spans="1:4" ht="12.75" customHeight="1" x14ac:dyDescent="0.2">
      <c r="A537" s="107"/>
      <c r="B537" s="132"/>
      <c r="C537" s="133"/>
      <c r="D537" s="1"/>
    </row>
    <row r="538" spans="1:4" ht="12.75" customHeight="1" x14ac:dyDescent="0.2">
      <c r="A538" s="107"/>
      <c r="B538" s="132"/>
      <c r="C538" s="133"/>
      <c r="D538" s="1"/>
    </row>
    <row r="539" spans="1:4" ht="12.75" customHeight="1" x14ac:dyDescent="0.2">
      <c r="A539" s="107"/>
      <c r="B539" s="132"/>
      <c r="C539" s="133"/>
      <c r="D539" s="1"/>
    </row>
    <row r="540" spans="1:4" ht="12.75" customHeight="1" x14ac:dyDescent="0.2">
      <c r="A540" s="107"/>
      <c r="B540" s="132"/>
      <c r="C540" s="133"/>
      <c r="D540" s="1"/>
    </row>
    <row r="541" spans="1:4" ht="12.75" customHeight="1" x14ac:dyDescent="0.2">
      <c r="A541" s="107"/>
      <c r="B541" s="132"/>
      <c r="C541" s="133"/>
      <c r="D541" s="1"/>
    </row>
    <row r="542" spans="1:4" ht="12.75" customHeight="1" x14ac:dyDescent="0.2">
      <c r="A542" s="107"/>
      <c r="B542" s="132"/>
      <c r="C542" s="133"/>
      <c r="D542" s="1"/>
    </row>
    <row r="543" spans="1:4" ht="12.75" customHeight="1" x14ac:dyDescent="0.2">
      <c r="A543" s="107"/>
      <c r="B543" s="132"/>
      <c r="C543" s="133"/>
      <c r="D543" s="1"/>
    </row>
    <row r="544" spans="1:4" ht="12.75" customHeight="1" x14ac:dyDescent="0.2">
      <c r="A544" s="107"/>
      <c r="B544" s="132"/>
      <c r="C544" s="133"/>
      <c r="D544" s="1"/>
    </row>
    <row r="545" spans="1:4" ht="12.75" customHeight="1" x14ac:dyDescent="0.2">
      <c r="A545" s="107"/>
      <c r="B545" s="132"/>
      <c r="C545" s="133"/>
      <c r="D545" s="1"/>
    </row>
    <row r="546" spans="1:4" ht="12.75" customHeight="1" x14ac:dyDescent="0.2">
      <c r="A546" s="107"/>
      <c r="B546" s="132"/>
      <c r="C546" s="133"/>
      <c r="D546" s="1"/>
    </row>
    <row r="547" spans="1:4" ht="12.75" customHeight="1" x14ac:dyDescent="0.2">
      <c r="A547" s="107"/>
      <c r="B547" s="132"/>
      <c r="C547" s="133"/>
      <c r="D547" s="1"/>
    </row>
    <row r="548" spans="1:4" ht="12.75" customHeight="1" x14ac:dyDescent="0.2">
      <c r="A548" s="107"/>
      <c r="B548" s="132"/>
      <c r="C548" s="133"/>
      <c r="D548" s="1"/>
    </row>
    <row r="549" spans="1:4" ht="12.75" customHeight="1" x14ac:dyDescent="0.2">
      <c r="A549" s="107"/>
      <c r="B549" s="132"/>
      <c r="C549" s="133"/>
      <c r="D549" s="1"/>
    </row>
    <row r="550" spans="1:4" ht="12.75" customHeight="1" x14ac:dyDescent="0.2">
      <c r="A550" s="107"/>
      <c r="B550" s="132"/>
      <c r="C550" s="133"/>
      <c r="D550" s="1"/>
    </row>
    <row r="551" spans="1:4" ht="12.75" customHeight="1" x14ac:dyDescent="0.2">
      <c r="A551" s="107"/>
      <c r="B551" s="132"/>
      <c r="C551" s="133"/>
      <c r="D551" s="1"/>
    </row>
    <row r="552" spans="1:4" ht="12.75" customHeight="1" x14ac:dyDescent="0.2">
      <c r="A552" s="107"/>
      <c r="B552" s="132"/>
      <c r="C552" s="133"/>
      <c r="D552" s="1"/>
    </row>
    <row r="553" spans="1:4" ht="12.75" customHeight="1" x14ac:dyDescent="0.2">
      <c r="A553" s="107"/>
      <c r="B553" s="132"/>
      <c r="C553" s="133"/>
      <c r="D553" s="1"/>
    </row>
    <row r="554" spans="1:4" ht="12.75" customHeight="1" x14ac:dyDescent="0.2">
      <c r="A554" s="107"/>
      <c r="B554" s="132"/>
      <c r="C554" s="133"/>
      <c r="D554" s="1"/>
    </row>
    <row r="555" spans="1:4" ht="12.75" customHeight="1" x14ac:dyDescent="0.2">
      <c r="A555" s="107"/>
      <c r="B555" s="132"/>
      <c r="C555" s="133"/>
      <c r="D555" s="1"/>
    </row>
    <row r="556" spans="1:4" ht="12.75" customHeight="1" x14ac:dyDescent="0.2">
      <c r="A556" s="107"/>
      <c r="B556" s="132"/>
      <c r="C556" s="133"/>
      <c r="D556" s="1"/>
    </row>
    <row r="557" spans="1:4" ht="12.75" customHeight="1" x14ac:dyDescent="0.2">
      <c r="A557" s="107"/>
      <c r="B557" s="132"/>
      <c r="C557" s="133"/>
      <c r="D557" s="1"/>
    </row>
    <row r="558" spans="1:4" ht="12.75" customHeight="1" x14ac:dyDescent="0.2">
      <c r="A558" s="107"/>
      <c r="B558" s="132"/>
      <c r="C558" s="133"/>
      <c r="D558" s="1"/>
    </row>
    <row r="559" spans="1:4" ht="12.75" customHeight="1" x14ac:dyDescent="0.2">
      <c r="A559" s="107"/>
      <c r="B559" s="132"/>
      <c r="C559" s="133"/>
      <c r="D559" s="1"/>
    </row>
    <row r="560" spans="1:4" ht="12.75" customHeight="1" x14ac:dyDescent="0.2">
      <c r="A560" s="107"/>
      <c r="B560" s="132"/>
      <c r="C560" s="133"/>
      <c r="D560" s="1"/>
    </row>
    <row r="561" spans="1:4" ht="12.75" customHeight="1" x14ac:dyDescent="0.2">
      <c r="A561" s="107"/>
      <c r="B561" s="132"/>
      <c r="C561" s="133"/>
      <c r="D561" s="1"/>
    </row>
    <row r="562" spans="1:4" ht="12.75" customHeight="1" x14ac:dyDescent="0.2">
      <c r="A562" s="107"/>
      <c r="B562" s="132"/>
      <c r="C562" s="133"/>
      <c r="D562" s="1"/>
    </row>
    <row r="563" spans="1:4" ht="12.75" customHeight="1" x14ac:dyDescent="0.2">
      <c r="A563" s="107"/>
      <c r="B563" s="132"/>
      <c r="C563" s="133"/>
      <c r="D563" s="1"/>
    </row>
    <row r="564" spans="1:4" ht="12.75" customHeight="1" x14ac:dyDescent="0.2">
      <c r="A564" s="107"/>
      <c r="B564" s="132"/>
      <c r="C564" s="133"/>
      <c r="D564" s="1"/>
    </row>
    <row r="565" spans="1:4" ht="12.75" customHeight="1" x14ac:dyDescent="0.2">
      <c r="A565" s="107"/>
      <c r="B565" s="132"/>
      <c r="C565" s="133"/>
      <c r="D565" s="1"/>
    </row>
    <row r="566" spans="1:4" ht="12.75" customHeight="1" x14ac:dyDescent="0.2">
      <c r="A566" s="107"/>
      <c r="B566" s="132"/>
      <c r="C566" s="133"/>
      <c r="D566" s="1"/>
    </row>
    <row r="567" spans="1:4" ht="12.75" customHeight="1" x14ac:dyDescent="0.2">
      <c r="A567" s="107"/>
      <c r="B567" s="132"/>
      <c r="C567" s="133"/>
      <c r="D567" s="1"/>
    </row>
    <row r="568" spans="1:4" ht="12.75" customHeight="1" x14ac:dyDescent="0.2">
      <c r="A568" s="107"/>
      <c r="B568" s="132"/>
      <c r="C568" s="133"/>
      <c r="D568" s="1"/>
    </row>
    <row r="569" spans="1:4" ht="12.75" customHeight="1" x14ac:dyDescent="0.2">
      <c r="A569" s="107"/>
      <c r="B569" s="132"/>
      <c r="C569" s="133"/>
      <c r="D569" s="1"/>
    </row>
    <row r="570" spans="1:4" ht="12.75" customHeight="1" x14ac:dyDescent="0.2">
      <c r="A570" s="107"/>
      <c r="B570" s="132"/>
      <c r="C570" s="133"/>
      <c r="D570" s="1"/>
    </row>
    <row r="571" spans="1:4" ht="12.75" customHeight="1" x14ac:dyDescent="0.2">
      <c r="A571" s="107"/>
      <c r="B571" s="132"/>
      <c r="C571" s="133"/>
      <c r="D571" s="1"/>
    </row>
    <row r="572" spans="1:4" ht="12.75" customHeight="1" x14ac:dyDescent="0.2">
      <c r="A572" s="107"/>
      <c r="B572" s="132"/>
      <c r="C572" s="133"/>
      <c r="D572" s="1"/>
    </row>
    <row r="573" spans="1:4" ht="12.75" customHeight="1" x14ac:dyDescent="0.2">
      <c r="A573" s="107"/>
      <c r="B573" s="132"/>
      <c r="C573" s="133"/>
      <c r="D573" s="1"/>
    </row>
    <row r="574" spans="1:4" ht="12.75" customHeight="1" x14ac:dyDescent="0.2">
      <c r="A574" s="107"/>
      <c r="B574" s="132"/>
      <c r="C574" s="133"/>
      <c r="D574" s="1"/>
    </row>
    <row r="575" spans="1:4" ht="12.75" customHeight="1" x14ac:dyDescent="0.2">
      <c r="A575" s="107"/>
      <c r="B575" s="132"/>
      <c r="C575" s="133"/>
      <c r="D575" s="1"/>
    </row>
    <row r="576" spans="1:4" ht="12.75" customHeight="1" x14ac:dyDescent="0.2">
      <c r="A576" s="107"/>
      <c r="B576" s="132"/>
      <c r="C576" s="133"/>
      <c r="D576" s="1"/>
    </row>
    <row r="577" spans="1:4" ht="12.75" customHeight="1" x14ac:dyDescent="0.2">
      <c r="A577" s="107"/>
      <c r="B577" s="132"/>
      <c r="C577" s="133"/>
      <c r="D577" s="1"/>
    </row>
    <row r="578" spans="1:4" ht="12.75" customHeight="1" x14ac:dyDescent="0.2">
      <c r="A578" s="107"/>
      <c r="B578" s="132"/>
      <c r="C578" s="133"/>
      <c r="D578" s="1"/>
    </row>
    <row r="579" spans="1:4" ht="12.75" customHeight="1" x14ac:dyDescent="0.2">
      <c r="A579" s="107"/>
      <c r="B579" s="132"/>
      <c r="C579" s="133"/>
      <c r="D579" s="1"/>
    </row>
    <row r="580" spans="1:4" ht="12.75" customHeight="1" x14ac:dyDescent="0.2">
      <c r="A580" s="107"/>
      <c r="B580" s="132"/>
      <c r="C580" s="133"/>
      <c r="D580" s="1"/>
    </row>
    <row r="581" spans="1:4" ht="12.75" customHeight="1" x14ac:dyDescent="0.2">
      <c r="A581" s="107"/>
      <c r="B581" s="132"/>
      <c r="C581" s="133"/>
      <c r="D581" s="1"/>
    </row>
    <row r="582" spans="1:4" ht="12.75" customHeight="1" x14ac:dyDescent="0.2">
      <c r="A582" s="107"/>
      <c r="B582" s="132"/>
      <c r="C582" s="133"/>
      <c r="D582" s="1"/>
    </row>
    <row r="583" spans="1:4" ht="12.75" customHeight="1" x14ac:dyDescent="0.2">
      <c r="A583" s="107"/>
      <c r="B583" s="132"/>
      <c r="C583" s="133"/>
      <c r="D583" s="1"/>
    </row>
    <row r="584" spans="1:4" ht="12.75" customHeight="1" x14ac:dyDescent="0.2">
      <c r="A584" s="107"/>
      <c r="B584" s="132"/>
      <c r="C584" s="133"/>
      <c r="D584" s="1"/>
    </row>
    <row r="585" spans="1:4" ht="12.75" customHeight="1" x14ac:dyDescent="0.2">
      <c r="A585" s="107"/>
      <c r="B585" s="132"/>
      <c r="C585" s="133"/>
      <c r="D585" s="1"/>
    </row>
    <row r="586" spans="1:4" ht="12.75" customHeight="1" x14ac:dyDescent="0.2">
      <c r="A586" s="107"/>
      <c r="B586" s="132"/>
      <c r="C586" s="133"/>
      <c r="D586" s="1"/>
    </row>
    <row r="587" spans="1:4" ht="12.75" customHeight="1" x14ac:dyDescent="0.2">
      <c r="A587" s="107"/>
      <c r="B587" s="132"/>
      <c r="C587" s="133"/>
      <c r="D587" s="1"/>
    </row>
    <row r="588" spans="1:4" ht="12.75" customHeight="1" x14ac:dyDescent="0.2">
      <c r="A588" s="107"/>
      <c r="B588" s="132"/>
      <c r="C588" s="133"/>
      <c r="D588" s="1"/>
    </row>
    <row r="589" spans="1:4" ht="12.75" customHeight="1" x14ac:dyDescent="0.2">
      <c r="A589" s="107"/>
      <c r="B589" s="132"/>
      <c r="C589" s="133"/>
      <c r="D589" s="1"/>
    </row>
    <row r="590" spans="1:4" ht="12.75" customHeight="1" x14ac:dyDescent="0.2">
      <c r="A590" s="107"/>
      <c r="B590" s="132"/>
      <c r="C590" s="133"/>
      <c r="D590" s="1"/>
    </row>
    <row r="591" spans="1:4" ht="12.75" customHeight="1" x14ac:dyDescent="0.2">
      <c r="A591" s="107"/>
      <c r="B591" s="132"/>
      <c r="C591" s="133"/>
      <c r="D591" s="1"/>
    </row>
    <row r="592" spans="1:4" ht="12.75" customHeight="1" x14ac:dyDescent="0.2">
      <c r="A592" s="107"/>
      <c r="B592" s="132"/>
      <c r="C592" s="133"/>
      <c r="D592" s="1"/>
    </row>
    <row r="593" spans="1:4" ht="12.75" customHeight="1" x14ac:dyDescent="0.2">
      <c r="A593" s="107"/>
      <c r="B593" s="132"/>
      <c r="C593" s="133"/>
      <c r="D593" s="1"/>
    </row>
    <row r="594" spans="1:4" ht="12.75" customHeight="1" x14ac:dyDescent="0.2">
      <c r="A594" s="107"/>
      <c r="B594" s="132"/>
      <c r="C594" s="133"/>
      <c r="D594" s="1"/>
    </row>
    <row r="595" spans="1:4" ht="12.75" customHeight="1" x14ac:dyDescent="0.2">
      <c r="A595" s="107"/>
      <c r="B595" s="132"/>
      <c r="C595" s="133"/>
      <c r="D595" s="1"/>
    </row>
    <row r="596" spans="1:4" ht="12.75" customHeight="1" x14ac:dyDescent="0.2">
      <c r="A596" s="107"/>
      <c r="B596" s="132"/>
      <c r="C596" s="133"/>
      <c r="D596" s="1"/>
    </row>
    <row r="597" spans="1:4" ht="12.75" customHeight="1" x14ac:dyDescent="0.2">
      <c r="A597" s="107"/>
      <c r="B597" s="132"/>
      <c r="C597" s="133"/>
      <c r="D597" s="1"/>
    </row>
    <row r="598" spans="1:4" ht="12.75" customHeight="1" x14ac:dyDescent="0.2">
      <c r="A598" s="107"/>
      <c r="B598" s="132"/>
      <c r="C598" s="133"/>
      <c r="D598" s="1"/>
    </row>
    <row r="599" spans="1:4" ht="12.75" customHeight="1" x14ac:dyDescent="0.2">
      <c r="A599" s="107"/>
      <c r="B599" s="132"/>
      <c r="C599" s="133"/>
      <c r="D599" s="1"/>
    </row>
    <row r="600" spans="1:4" ht="12.75" customHeight="1" x14ac:dyDescent="0.2">
      <c r="A600" s="107"/>
      <c r="B600" s="132"/>
      <c r="C600" s="133"/>
      <c r="D600" s="1"/>
    </row>
    <row r="601" spans="1:4" ht="12.75" customHeight="1" x14ac:dyDescent="0.2">
      <c r="A601" s="107"/>
      <c r="B601" s="132"/>
      <c r="C601" s="133"/>
      <c r="D601" s="1"/>
    </row>
    <row r="602" spans="1:4" ht="12.75" customHeight="1" x14ac:dyDescent="0.2">
      <c r="A602" s="107"/>
      <c r="B602" s="132"/>
      <c r="C602" s="133"/>
      <c r="D602" s="1"/>
    </row>
    <row r="603" spans="1:4" ht="12.75" customHeight="1" x14ac:dyDescent="0.2">
      <c r="A603" s="107"/>
      <c r="B603" s="132"/>
      <c r="C603" s="133"/>
      <c r="D603" s="1"/>
    </row>
    <row r="604" spans="1:4" ht="12.75" customHeight="1" x14ac:dyDescent="0.2">
      <c r="A604" s="107"/>
      <c r="B604" s="132"/>
      <c r="C604" s="133"/>
      <c r="D604" s="1"/>
    </row>
    <row r="605" spans="1:4" ht="12.75" customHeight="1" x14ac:dyDescent="0.2">
      <c r="A605" s="107"/>
      <c r="B605" s="132"/>
      <c r="C605" s="133"/>
      <c r="D605" s="1"/>
    </row>
    <row r="606" spans="1:4" ht="12.75" customHeight="1" x14ac:dyDescent="0.2">
      <c r="A606" s="107"/>
      <c r="B606" s="132"/>
      <c r="C606" s="133"/>
      <c r="D606" s="1"/>
    </row>
    <row r="607" spans="1:4" ht="12.75" customHeight="1" x14ac:dyDescent="0.2">
      <c r="A607" s="107"/>
      <c r="B607" s="132"/>
      <c r="C607" s="133"/>
      <c r="D607" s="1"/>
    </row>
    <row r="608" spans="1:4" ht="12.75" customHeight="1" x14ac:dyDescent="0.2">
      <c r="A608" s="107"/>
      <c r="B608" s="132"/>
      <c r="C608" s="133"/>
      <c r="D608" s="1"/>
    </row>
    <row r="609" spans="1:4" ht="12.75" customHeight="1" x14ac:dyDescent="0.2">
      <c r="A609" s="107"/>
      <c r="B609" s="132"/>
      <c r="C609" s="133"/>
      <c r="D609" s="1"/>
    </row>
    <row r="610" spans="1:4" ht="12.75" customHeight="1" x14ac:dyDescent="0.2">
      <c r="A610" s="107"/>
      <c r="B610" s="132"/>
      <c r="C610" s="133"/>
      <c r="D610" s="1"/>
    </row>
    <row r="611" spans="1:4" ht="12.75" customHeight="1" x14ac:dyDescent="0.2">
      <c r="A611" s="107"/>
      <c r="B611" s="132"/>
      <c r="C611" s="133"/>
      <c r="D611" s="1"/>
    </row>
    <row r="612" spans="1:4" ht="12.75" customHeight="1" x14ac:dyDescent="0.2">
      <c r="A612" s="107"/>
      <c r="B612" s="132"/>
      <c r="C612" s="133"/>
      <c r="D612" s="1"/>
    </row>
    <row r="613" spans="1:4" ht="12.75" customHeight="1" x14ac:dyDescent="0.2">
      <c r="A613" s="107"/>
      <c r="B613" s="132"/>
      <c r="C613" s="133"/>
      <c r="D613" s="1"/>
    </row>
    <row r="614" spans="1:4" ht="12.75" customHeight="1" x14ac:dyDescent="0.2">
      <c r="A614" s="107"/>
      <c r="B614" s="132"/>
      <c r="C614" s="133"/>
      <c r="D614" s="1"/>
    </row>
    <row r="615" spans="1:4" ht="12.75" customHeight="1" x14ac:dyDescent="0.2">
      <c r="A615" s="107"/>
      <c r="B615" s="132"/>
      <c r="C615" s="133"/>
      <c r="D615" s="1"/>
    </row>
    <row r="616" spans="1:4" ht="12.75" customHeight="1" x14ac:dyDescent="0.2">
      <c r="A616" s="107"/>
      <c r="B616" s="132"/>
      <c r="C616" s="133"/>
      <c r="D616" s="1"/>
    </row>
    <row r="617" spans="1:4" ht="12.75" customHeight="1" x14ac:dyDescent="0.2">
      <c r="A617" s="107"/>
      <c r="B617" s="132"/>
      <c r="C617" s="133"/>
      <c r="D617" s="1"/>
    </row>
    <row r="618" spans="1:4" ht="12.75" customHeight="1" x14ac:dyDescent="0.2">
      <c r="A618" s="107"/>
      <c r="B618" s="132"/>
      <c r="C618" s="133"/>
      <c r="D618" s="1"/>
    </row>
    <row r="619" spans="1:4" ht="12.75" customHeight="1" x14ac:dyDescent="0.2">
      <c r="A619" s="107"/>
      <c r="B619" s="132"/>
      <c r="C619" s="133"/>
      <c r="D619" s="1"/>
    </row>
    <row r="620" spans="1:4" ht="12.75" customHeight="1" x14ac:dyDescent="0.2">
      <c r="A620" s="107"/>
      <c r="B620" s="132"/>
      <c r="C620" s="133"/>
      <c r="D620" s="1"/>
    </row>
    <row r="621" spans="1:4" ht="12.75" customHeight="1" x14ac:dyDescent="0.2">
      <c r="A621" s="107"/>
      <c r="B621" s="132"/>
      <c r="C621" s="133"/>
      <c r="D621" s="1"/>
    </row>
    <row r="622" spans="1:4" ht="12.75" customHeight="1" x14ac:dyDescent="0.2">
      <c r="A622" s="107"/>
      <c r="B622" s="132"/>
      <c r="C622" s="133"/>
      <c r="D622" s="1"/>
    </row>
    <row r="623" spans="1:4" ht="12.75" customHeight="1" x14ac:dyDescent="0.2">
      <c r="A623" s="107"/>
      <c r="B623" s="132"/>
      <c r="C623" s="133"/>
      <c r="D623" s="1"/>
    </row>
    <row r="624" spans="1:4" ht="12.75" customHeight="1" x14ac:dyDescent="0.2">
      <c r="A624" s="107"/>
      <c r="B624" s="132"/>
      <c r="C624" s="133"/>
      <c r="D624" s="1"/>
    </row>
    <row r="625" spans="1:4" ht="12.75" customHeight="1" x14ac:dyDescent="0.2">
      <c r="A625" s="107"/>
      <c r="B625" s="132"/>
      <c r="C625" s="133"/>
      <c r="D625" s="1"/>
    </row>
    <row r="626" spans="1:4" ht="12.75" customHeight="1" x14ac:dyDescent="0.2">
      <c r="A626" s="107"/>
      <c r="B626" s="132"/>
      <c r="C626" s="133"/>
      <c r="D626" s="1"/>
    </row>
    <row r="627" spans="1:4" ht="12.75" customHeight="1" x14ac:dyDescent="0.2">
      <c r="A627" s="107"/>
      <c r="B627" s="132"/>
      <c r="C627" s="133"/>
      <c r="D627" s="1"/>
    </row>
    <row r="628" spans="1:4" ht="12.75" customHeight="1" x14ac:dyDescent="0.2">
      <c r="A628" s="107"/>
      <c r="B628" s="132"/>
      <c r="C628" s="133"/>
      <c r="D628" s="1"/>
    </row>
    <row r="629" spans="1:4" ht="12.75" customHeight="1" x14ac:dyDescent="0.2">
      <c r="A629" s="107"/>
      <c r="B629" s="132"/>
      <c r="C629" s="133"/>
      <c r="D629" s="1"/>
    </row>
    <row r="630" spans="1:4" ht="12.75" customHeight="1" x14ac:dyDescent="0.2">
      <c r="A630" s="107"/>
      <c r="B630" s="132"/>
      <c r="C630" s="133"/>
      <c r="D630" s="1"/>
    </row>
    <row r="631" spans="1:4" ht="12.75" customHeight="1" x14ac:dyDescent="0.2">
      <c r="A631" s="107"/>
      <c r="B631" s="132"/>
      <c r="C631" s="133"/>
      <c r="D631" s="1"/>
    </row>
    <row r="632" spans="1:4" ht="12.75" customHeight="1" x14ac:dyDescent="0.2">
      <c r="A632" s="107"/>
      <c r="B632" s="132"/>
      <c r="C632" s="133"/>
      <c r="D632" s="1"/>
    </row>
    <row r="633" spans="1:4" ht="12.75" customHeight="1" x14ac:dyDescent="0.2">
      <c r="A633" s="107"/>
      <c r="B633" s="132"/>
      <c r="C633" s="133"/>
      <c r="D633" s="1"/>
    </row>
    <row r="634" spans="1:4" ht="12.75" customHeight="1" x14ac:dyDescent="0.2">
      <c r="A634" s="107"/>
      <c r="B634" s="132"/>
      <c r="C634" s="133"/>
      <c r="D634" s="1"/>
    </row>
    <row r="635" spans="1:4" ht="12.75" customHeight="1" x14ac:dyDescent="0.2">
      <c r="A635" s="107"/>
      <c r="B635" s="132"/>
      <c r="C635" s="133"/>
      <c r="D635" s="1"/>
    </row>
    <row r="636" spans="1:4" ht="12.75" customHeight="1" x14ac:dyDescent="0.2">
      <c r="A636" s="107"/>
      <c r="B636" s="132"/>
      <c r="C636" s="133"/>
      <c r="D636" s="1"/>
    </row>
    <row r="637" spans="1:4" ht="12.75" customHeight="1" x14ac:dyDescent="0.2">
      <c r="A637" s="107"/>
      <c r="B637" s="132"/>
      <c r="C637" s="133"/>
      <c r="D637" s="1"/>
    </row>
    <row r="638" spans="1:4" ht="12.75" customHeight="1" x14ac:dyDescent="0.2">
      <c r="A638" s="107"/>
      <c r="B638" s="132"/>
      <c r="C638" s="133"/>
      <c r="D638" s="1"/>
    </row>
    <row r="639" spans="1:4" ht="12.75" customHeight="1" x14ac:dyDescent="0.2">
      <c r="A639" s="107"/>
      <c r="B639" s="132"/>
      <c r="C639" s="133"/>
      <c r="D639" s="1"/>
    </row>
    <row r="640" spans="1:4" ht="12.75" customHeight="1" x14ac:dyDescent="0.2">
      <c r="A640" s="107"/>
      <c r="B640" s="132"/>
      <c r="C640" s="133"/>
      <c r="D640" s="1"/>
    </row>
    <row r="641" spans="1:4" ht="12.75" customHeight="1" x14ac:dyDescent="0.2">
      <c r="A641" s="107"/>
      <c r="B641" s="132"/>
      <c r="C641" s="133"/>
      <c r="D641" s="1"/>
    </row>
    <row r="642" spans="1:4" ht="12.75" customHeight="1" x14ac:dyDescent="0.2">
      <c r="A642" s="107"/>
      <c r="B642" s="132"/>
      <c r="C642" s="133"/>
      <c r="D642" s="1"/>
    </row>
    <row r="643" spans="1:4" ht="12.75" customHeight="1" x14ac:dyDescent="0.2">
      <c r="A643" s="107"/>
      <c r="B643" s="132"/>
      <c r="C643" s="133"/>
      <c r="D643" s="1"/>
    </row>
    <row r="644" spans="1:4" ht="12.75" customHeight="1" x14ac:dyDescent="0.2">
      <c r="A644" s="107"/>
      <c r="B644" s="132"/>
      <c r="C644" s="133"/>
      <c r="D644" s="1"/>
    </row>
    <row r="645" spans="1:4" ht="12.75" customHeight="1" x14ac:dyDescent="0.2">
      <c r="A645" s="107"/>
      <c r="B645" s="132"/>
      <c r="C645" s="133"/>
      <c r="D645" s="1"/>
    </row>
    <row r="646" spans="1:4" ht="12.75" customHeight="1" x14ac:dyDescent="0.2">
      <c r="A646" s="107"/>
      <c r="B646" s="132"/>
      <c r="C646" s="133"/>
      <c r="D646" s="1"/>
    </row>
    <row r="647" spans="1:4" ht="12.75" customHeight="1" x14ac:dyDescent="0.2">
      <c r="A647" s="107"/>
      <c r="B647" s="132"/>
      <c r="C647" s="133"/>
      <c r="D647" s="1"/>
    </row>
    <row r="648" spans="1:4" ht="12.75" customHeight="1" x14ac:dyDescent="0.2">
      <c r="A648" s="107"/>
      <c r="B648" s="132"/>
      <c r="C648" s="133"/>
      <c r="D648" s="1"/>
    </row>
    <row r="649" spans="1:4" ht="12.75" customHeight="1" x14ac:dyDescent="0.2">
      <c r="A649" s="107"/>
      <c r="B649" s="132"/>
      <c r="C649" s="133"/>
      <c r="D649" s="1"/>
    </row>
    <row r="650" spans="1:4" ht="12.75" customHeight="1" x14ac:dyDescent="0.2">
      <c r="A650" s="107"/>
      <c r="B650" s="132"/>
      <c r="C650" s="133"/>
      <c r="D650" s="1"/>
    </row>
    <row r="651" spans="1:4" ht="12.75" customHeight="1" x14ac:dyDescent="0.2">
      <c r="A651" s="107"/>
      <c r="B651" s="132"/>
      <c r="C651" s="133"/>
      <c r="D651" s="1"/>
    </row>
    <row r="652" spans="1:4" ht="12.75" customHeight="1" x14ac:dyDescent="0.2">
      <c r="A652" s="107"/>
      <c r="B652" s="132"/>
      <c r="C652" s="133"/>
      <c r="D652" s="1"/>
    </row>
    <row r="653" spans="1:4" ht="12.75" customHeight="1" x14ac:dyDescent="0.2">
      <c r="A653" s="107"/>
      <c r="B653" s="132"/>
      <c r="C653" s="133"/>
      <c r="D653" s="1"/>
    </row>
    <row r="654" spans="1:4" ht="12.75" customHeight="1" x14ac:dyDescent="0.2">
      <c r="A654" s="107"/>
      <c r="B654" s="132"/>
      <c r="C654" s="133"/>
      <c r="D654" s="1"/>
    </row>
    <row r="655" spans="1:4" ht="12.75" customHeight="1" x14ac:dyDescent="0.2">
      <c r="A655" s="107"/>
      <c r="B655" s="132"/>
      <c r="C655" s="133"/>
      <c r="D655" s="1"/>
    </row>
    <row r="656" spans="1:4" ht="12.75" customHeight="1" x14ac:dyDescent="0.2">
      <c r="A656" s="107"/>
      <c r="B656" s="132"/>
      <c r="C656" s="133"/>
      <c r="D656" s="1"/>
    </row>
    <row r="657" spans="1:4" ht="12.75" customHeight="1" x14ac:dyDescent="0.2">
      <c r="A657" s="107"/>
      <c r="B657" s="132"/>
      <c r="C657" s="133"/>
      <c r="D657" s="1"/>
    </row>
    <row r="658" spans="1:4" ht="12.75" customHeight="1" x14ac:dyDescent="0.2">
      <c r="A658" s="107"/>
      <c r="B658" s="132"/>
      <c r="C658" s="133"/>
      <c r="D658" s="1"/>
    </row>
    <row r="659" spans="1:4" ht="12.75" customHeight="1" x14ac:dyDescent="0.2">
      <c r="A659" s="107"/>
      <c r="B659" s="132"/>
      <c r="C659" s="133"/>
      <c r="D659" s="1"/>
    </row>
    <row r="660" spans="1:4" ht="12.75" customHeight="1" x14ac:dyDescent="0.2">
      <c r="A660" s="107"/>
      <c r="B660" s="132"/>
      <c r="C660" s="133"/>
      <c r="D660" s="1"/>
    </row>
    <row r="661" spans="1:4" ht="12.75" customHeight="1" x14ac:dyDescent="0.2">
      <c r="A661" s="107"/>
      <c r="B661" s="132"/>
      <c r="C661" s="133"/>
      <c r="D661" s="1"/>
    </row>
    <row r="662" spans="1:4" ht="12.75" customHeight="1" x14ac:dyDescent="0.2">
      <c r="A662" s="107"/>
      <c r="B662" s="132"/>
      <c r="C662" s="133"/>
      <c r="D662" s="1"/>
    </row>
    <row r="663" spans="1:4" ht="12.75" customHeight="1" x14ac:dyDescent="0.2">
      <c r="A663" s="107"/>
      <c r="B663" s="132"/>
      <c r="C663" s="133"/>
      <c r="D663" s="1"/>
    </row>
    <row r="664" spans="1:4" ht="12.75" customHeight="1" x14ac:dyDescent="0.2">
      <c r="A664" s="107"/>
      <c r="B664" s="132"/>
      <c r="C664" s="133"/>
      <c r="D664" s="1"/>
    </row>
    <row r="665" spans="1:4" ht="12.75" customHeight="1" x14ac:dyDescent="0.2">
      <c r="A665" s="107"/>
      <c r="B665" s="132"/>
      <c r="C665" s="133"/>
      <c r="D665" s="1"/>
    </row>
    <row r="666" spans="1:4" ht="12.75" customHeight="1" x14ac:dyDescent="0.2">
      <c r="A666" s="107"/>
      <c r="B666" s="132"/>
      <c r="C666" s="133"/>
      <c r="D666" s="1"/>
    </row>
    <row r="667" spans="1:4" ht="12.75" customHeight="1" x14ac:dyDescent="0.2">
      <c r="A667" s="107"/>
      <c r="B667" s="132"/>
      <c r="C667" s="133"/>
      <c r="D667" s="1"/>
    </row>
    <row r="668" spans="1:4" ht="12.75" customHeight="1" x14ac:dyDescent="0.2">
      <c r="A668" s="107"/>
      <c r="B668" s="132"/>
      <c r="C668" s="133"/>
      <c r="D668" s="1"/>
    </row>
    <row r="669" spans="1:4" ht="12.75" customHeight="1" x14ac:dyDescent="0.2">
      <c r="A669" s="107"/>
      <c r="B669" s="132"/>
      <c r="C669" s="133"/>
      <c r="D669" s="1"/>
    </row>
    <row r="670" spans="1:4" ht="12.75" customHeight="1" x14ac:dyDescent="0.2">
      <c r="A670" s="107"/>
      <c r="B670" s="132"/>
      <c r="C670" s="133"/>
      <c r="D670" s="1"/>
    </row>
    <row r="671" spans="1:4" ht="12.75" customHeight="1" x14ac:dyDescent="0.2">
      <c r="A671" s="107"/>
      <c r="B671" s="132"/>
      <c r="C671" s="133"/>
      <c r="D671" s="1"/>
    </row>
    <row r="672" spans="1:4" ht="12.75" customHeight="1" x14ac:dyDescent="0.2">
      <c r="A672" s="107"/>
      <c r="B672" s="132"/>
      <c r="C672" s="133"/>
      <c r="D672" s="1"/>
    </row>
    <row r="673" spans="1:4" ht="12.75" customHeight="1" x14ac:dyDescent="0.2">
      <c r="A673" s="107"/>
      <c r="B673" s="132"/>
      <c r="C673" s="133"/>
      <c r="D673" s="1"/>
    </row>
    <row r="674" spans="1:4" ht="12.75" customHeight="1" x14ac:dyDescent="0.2">
      <c r="A674" s="107"/>
      <c r="B674" s="132"/>
      <c r="C674" s="133"/>
      <c r="D674" s="1"/>
    </row>
    <row r="675" spans="1:4" ht="12.75" customHeight="1" x14ac:dyDescent="0.2">
      <c r="A675" s="107"/>
      <c r="B675" s="132"/>
      <c r="C675" s="133"/>
      <c r="D675" s="1"/>
    </row>
    <row r="676" spans="1:4" ht="12.75" customHeight="1" x14ac:dyDescent="0.2">
      <c r="A676" s="107"/>
      <c r="B676" s="132"/>
      <c r="C676" s="133"/>
      <c r="D676" s="1"/>
    </row>
    <row r="677" spans="1:4" ht="12.75" customHeight="1" x14ac:dyDescent="0.2">
      <c r="A677" s="107"/>
      <c r="B677" s="132"/>
      <c r="C677" s="133"/>
      <c r="D677" s="1"/>
    </row>
    <row r="678" spans="1:4" ht="12.75" customHeight="1" x14ac:dyDescent="0.2">
      <c r="A678" s="107"/>
      <c r="B678" s="132"/>
      <c r="C678" s="133"/>
      <c r="D678" s="1"/>
    </row>
    <row r="679" spans="1:4" ht="12.75" customHeight="1" x14ac:dyDescent="0.2">
      <c r="A679" s="107"/>
      <c r="B679" s="132"/>
      <c r="C679" s="133"/>
      <c r="D679" s="1"/>
    </row>
    <row r="680" spans="1:4" ht="12.75" customHeight="1" x14ac:dyDescent="0.2">
      <c r="A680" s="107"/>
      <c r="B680" s="132"/>
      <c r="C680" s="133"/>
      <c r="D680" s="1"/>
    </row>
    <row r="681" spans="1:4" ht="12.75" customHeight="1" x14ac:dyDescent="0.2">
      <c r="A681" s="107"/>
      <c r="B681" s="132"/>
      <c r="C681" s="133"/>
      <c r="D681" s="1"/>
    </row>
    <row r="682" spans="1:4" ht="12.75" customHeight="1" x14ac:dyDescent="0.2">
      <c r="A682" s="107"/>
      <c r="B682" s="132"/>
      <c r="C682" s="133"/>
      <c r="D682" s="1"/>
    </row>
    <row r="683" spans="1:4" ht="12.75" customHeight="1" x14ac:dyDescent="0.2">
      <c r="A683" s="107"/>
      <c r="B683" s="132"/>
      <c r="C683" s="133"/>
      <c r="D683" s="1"/>
    </row>
    <row r="684" spans="1:4" ht="12.75" customHeight="1" x14ac:dyDescent="0.2">
      <c r="A684" s="107"/>
      <c r="B684" s="132"/>
      <c r="C684" s="133"/>
      <c r="D684" s="1"/>
    </row>
    <row r="685" spans="1:4" ht="12.75" customHeight="1" x14ac:dyDescent="0.2">
      <c r="A685" s="107"/>
      <c r="B685" s="132"/>
      <c r="C685" s="133"/>
      <c r="D685" s="1"/>
    </row>
    <row r="686" spans="1:4" ht="12.75" customHeight="1" x14ac:dyDescent="0.2">
      <c r="A686" s="107"/>
      <c r="B686" s="132"/>
      <c r="C686" s="133"/>
      <c r="D686" s="1"/>
    </row>
    <row r="687" spans="1:4" ht="12.75" customHeight="1" x14ac:dyDescent="0.2">
      <c r="A687" s="107"/>
      <c r="B687" s="132"/>
      <c r="C687" s="133"/>
      <c r="D687" s="1"/>
    </row>
    <row r="688" spans="1:4" ht="12.75" customHeight="1" x14ac:dyDescent="0.2">
      <c r="A688" s="107"/>
      <c r="B688" s="132"/>
      <c r="C688" s="133"/>
      <c r="D688" s="1"/>
    </row>
    <row r="689" spans="1:4" ht="12.75" customHeight="1" x14ac:dyDescent="0.2">
      <c r="A689" s="107"/>
      <c r="B689" s="132"/>
      <c r="C689" s="133"/>
      <c r="D689" s="1"/>
    </row>
    <row r="690" spans="1:4" ht="12.75" customHeight="1" x14ac:dyDescent="0.2">
      <c r="A690" s="107"/>
      <c r="B690" s="132"/>
      <c r="C690" s="133"/>
      <c r="D690" s="1"/>
    </row>
    <row r="691" spans="1:4" ht="12.75" customHeight="1" x14ac:dyDescent="0.2">
      <c r="A691" s="107"/>
      <c r="B691" s="132"/>
      <c r="C691" s="133"/>
      <c r="D691" s="1"/>
    </row>
    <row r="692" spans="1:4" ht="12.75" customHeight="1" x14ac:dyDescent="0.2">
      <c r="A692" s="107"/>
      <c r="B692" s="132"/>
      <c r="C692" s="133"/>
      <c r="D692" s="1"/>
    </row>
    <row r="693" spans="1:4" ht="12.75" customHeight="1" x14ac:dyDescent="0.2">
      <c r="A693" s="107"/>
      <c r="B693" s="132"/>
      <c r="C693" s="133"/>
      <c r="D693" s="1"/>
    </row>
    <row r="694" spans="1:4" ht="12.75" customHeight="1" x14ac:dyDescent="0.2">
      <c r="A694" s="107"/>
      <c r="B694" s="132"/>
      <c r="C694" s="133"/>
      <c r="D694" s="1"/>
    </row>
    <row r="695" spans="1:4" ht="12.75" customHeight="1" x14ac:dyDescent="0.2">
      <c r="A695" s="107"/>
      <c r="B695" s="132"/>
      <c r="C695" s="133"/>
      <c r="D695" s="1"/>
    </row>
    <row r="696" spans="1:4" ht="12.75" customHeight="1" x14ac:dyDescent="0.2">
      <c r="A696" s="107"/>
      <c r="B696" s="132"/>
      <c r="C696" s="133"/>
      <c r="D696" s="1"/>
    </row>
    <row r="697" spans="1:4" ht="12.75" customHeight="1" x14ac:dyDescent="0.2">
      <c r="A697" s="107"/>
      <c r="B697" s="132"/>
      <c r="C697" s="133"/>
      <c r="D697" s="1"/>
    </row>
    <row r="698" spans="1:4" ht="12.75" customHeight="1" x14ac:dyDescent="0.2">
      <c r="A698" s="107"/>
      <c r="B698" s="132"/>
      <c r="C698" s="133"/>
      <c r="D698" s="1"/>
    </row>
    <row r="699" spans="1:4" ht="12.75" customHeight="1" x14ac:dyDescent="0.2">
      <c r="A699" s="107"/>
      <c r="B699" s="132"/>
      <c r="C699" s="133"/>
      <c r="D699" s="1"/>
    </row>
    <row r="700" spans="1:4" ht="12.75" customHeight="1" x14ac:dyDescent="0.2">
      <c r="A700" s="107"/>
      <c r="B700" s="132"/>
      <c r="C700" s="133"/>
      <c r="D700" s="1"/>
    </row>
    <row r="701" spans="1:4" ht="12.75" customHeight="1" x14ac:dyDescent="0.2">
      <c r="A701" s="107"/>
      <c r="B701" s="132"/>
      <c r="C701" s="133"/>
      <c r="D701" s="1"/>
    </row>
    <row r="702" spans="1:4" ht="12.75" customHeight="1" x14ac:dyDescent="0.2">
      <c r="A702" s="107"/>
      <c r="B702" s="132"/>
      <c r="C702" s="133"/>
      <c r="D702" s="1"/>
    </row>
    <row r="703" spans="1:4" ht="12.75" customHeight="1" x14ac:dyDescent="0.2">
      <c r="A703" s="107"/>
      <c r="B703" s="132"/>
      <c r="C703" s="133"/>
      <c r="D703" s="1"/>
    </row>
    <row r="704" spans="1:4" ht="12.75" customHeight="1" x14ac:dyDescent="0.2">
      <c r="A704" s="107"/>
      <c r="B704" s="132"/>
      <c r="C704" s="133"/>
      <c r="D704" s="1"/>
    </row>
    <row r="705" spans="1:4" ht="12.75" customHeight="1" x14ac:dyDescent="0.2">
      <c r="A705" s="107"/>
      <c r="B705" s="132"/>
      <c r="C705" s="133"/>
      <c r="D705" s="1"/>
    </row>
    <row r="706" spans="1:4" ht="12.75" customHeight="1" x14ac:dyDescent="0.2">
      <c r="A706" s="107"/>
      <c r="B706" s="132"/>
      <c r="C706" s="133"/>
      <c r="D706" s="1"/>
    </row>
    <row r="707" spans="1:4" ht="12.75" customHeight="1" x14ac:dyDescent="0.2">
      <c r="A707" s="107"/>
      <c r="B707" s="132"/>
      <c r="C707" s="133"/>
      <c r="D707" s="1"/>
    </row>
    <row r="708" spans="1:4" ht="12.75" customHeight="1" x14ac:dyDescent="0.2">
      <c r="A708" s="107"/>
      <c r="B708" s="132"/>
      <c r="C708" s="133"/>
      <c r="D708" s="1"/>
    </row>
    <row r="709" spans="1:4" ht="12.75" customHeight="1" x14ac:dyDescent="0.2">
      <c r="A709" s="107"/>
      <c r="B709" s="132"/>
      <c r="C709" s="133"/>
      <c r="D709" s="1"/>
    </row>
    <row r="710" spans="1:4" ht="12.75" customHeight="1" x14ac:dyDescent="0.2">
      <c r="A710" s="107"/>
      <c r="B710" s="132"/>
      <c r="C710" s="133"/>
      <c r="D710" s="1"/>
    </row>
    <row r="711" spans="1:4" ht="12.75" customHeight="1" x14ac:dyDescent="0.2">
      <c r="A711" s="107"/>
      <c r="B711" s="132"/>
      <c r="C711" s="133"/>
      <c r="D711" s="1"/>
    </row>
    <row r="712" spans="1:4" ht="12.75" customHeight="1" x14ac:dyDescent="0.2">
      <c r="A712" s="107"/>
      <c r="B712" s="132"/>
      <c r="C712" s="133"/>
      <c r="D712" s="1"/>
    </row>
    <row r="713" spans="1:4" ht="12.75" customHeight="1" x14ac:dyDescent="0.2">
      <c r="A713" s="107"/>
      <c r="B713" s="132"/>
      <c r="C713" s="133"/>
      <c r="D713" s="1"/>
    </row>
    <row r="714" spans="1:4" ht="12.75" customHeight="1" x14ac:dyDescent="0.2">
      <c r="A714" s="107"/>
      <c r="B714" s="132"/>
      <c r="C714" s="133"/>
      <c r="D714" s="1"/>
    </row>
    <row r="715" spans="1:4" ht="12.75" customHeight="1" x14ac:dyDescent="0.2">
      <c r="A715" s="107"/>
      <c r="B715" s="132"/>
      <c r="C715" s="133"/>
      <c r="D715" s="1"/>
    </row>
    <row r="716" spans="1:4" ht="12.75" customHeight="1" x14ac:dyDescent="0.2">
      <c r="A716" s="107"/>
      <c r="B716" s="132"/>
      <c r="C716" s="133"/>
      <c r="D716" s="1"/>
    </row>
    <row r="717" spans="1:4" ht="12.75" customHeight="1" x14ac:dyDescent="0.2">
      <c r="A717" s="107"/>
      <c r="B717" s="132"/>
      <c r="C717" s="133"/>
      <c r="D717" s="1"/>
    </row>
    <row r="718" spans="1:4" ht="12.75" customHeight="1" x14ac:dyDescent="0.2">
      <c r="A718" s="107"/>
      <c r="B718" s="132"/>
      <c r="C718" s="133"/>
      <c r="D718" s="1"/>
    </row>
    <row r="719" spans="1:4" ht="12.75" customHeight="1" x14ac:dyDescent="0.2">
      <c r="A719" s="107"/>
      <c r="B719" s="132"/>
      <c r="C719" s="133"/>
      <c r="D719" s="1"/>
    </row>
    <row r="720" spans="1:4" ht="12.75" customHeight="1" x14ac:dyDescent="0.2">
      <c r="A720" s="107"/>
      <c r="B720" s="132"/>
      <c r="C720" s="133"/>
      <c r="D720" s="1"/>
    </row>
    <row r="721" spans="1:4" ht="12.75" customHeight="1" x14ac:dyDescent="0.2">
      <c r="A721" s="107"/>
      <c r="B721" s="132"/>
      <c r="C721" s="133"/>
      <c r="D721" s="1"/>
    </row>
    <row r="722" spans="1:4" ht="12.75" customHeight="1" x14ac:dyDescent="0.2">
      <c r="A722" s="107"/>
      <c r="B722" s="132"/>
      <c r="C722" s="133"/>
      <c r="D722" s="1"/>
    </row>
    <row r="723" spans="1:4" ht="12.75" customHeight="1" x14ac:dyDescent="0.2">
      <c r="A723" s="107"/>
      <c r="B723" s="132"/>
      <c r="C723" s="133"/>
      <c r="D723" s="1"/>
    </row>
    <row r="724" spans="1:4" ht="12.75" customHeight="1" x14ac:dyDescent="0.2">
      <c r="A724" s="107"/>
      <c r="B724" s="132"/>
      <c r="C724" s="133"/>
      <c r="D724" s="1"/>
    </row>
    <row r="725" spans="1:4" ht="12.75" customHeight="1" x14ac:dyDescent="0.2">
      <c r="A725" s="107"/>
      <c r="B725" s="132"/>
      <c r="C725" s="133"/>
      <c r="D725" s="1"/>
    </row>
    <row r="726" spans="1:4" ht="12.75" customHeight="1" x14ac:dyDescent="0.2">
      <c r="A726" s="107"/>
      <c r="B726" s="132"/>
      <c r="C726" s="133"/>
      <c r="D726" s="1"/>
    </row>
    <row r="727" spans="1:4" ht="12.75" customHeight="1" x14ac:dyDescent="0.2">
      <c r="A727" s="107"/>
      <c r="B727" s="132"/>
      <c r="C727" s="133"/>
      <c r="D727" s="1"/>
    </row>
    <row r="728" spans="1:4" ht="12.75" customHeight="1" x14ac:dyDescent="0.2">
      <c r="A728" s="107"/>
      <c r="B728" s="132"/>
      <c r="C728" s="133"/>
      <c r="D728" s="1"/>
    </row>
    <row r="729" spans="1:4" ht="12.75" customHeight="1" x14ac:dyDescent="0.2">
      <c r="A729" s="107"/>
      <c r="B729" s="132"/>
      <c r="C729" s="133"/>
      <c r="D729" s="1"/>
    </row>
    <row r="730" spans="1:4" ht="12.75" customHeight="1" x14ac:dyDescent="0.2">
      <c r="A730" s="107"/>
      <c r="B730" s="132"/>
      <c r="C730" s="133"/>
      <c r="D730" s="1"/>
    </row>
    <row r="731" spans="1:4" ht="12.75" customHeight="1" x14ac:dyDescent="0.2">
      <c r="A731" s="107"/>
      <c r="B731" s="132"/>
      <c r="C731" s="133"/>
      <c r="D731" s="1"/>
    </row>
    <row r="732" spans="1:4" ht="12.75" customHeight="1" x14ac:dyDescent="0.2">
      <c r="A732" s="107"/>
      <c r="B732" s="132"/>
      <c r="C732" s="133"/>
      <c r="D732" s="1"/>
    </row>
    <row r="733" spans="1:4" ht="12.75" customHeight="1" x14ac:dyDescent="0.2">
      <c r="A733" s="107"/>
      <c r="B733" s="132"/>
      <c r="C733" s="133"/>
      <c r="D733" s="1"/>
    </row>
    <row r="734" spans="1:4" ht="12.75" customHeight="1" x14ac:dyDescent="0.2">
      <c r="A734" s="107"/>
      <c r="B734" s="132"/>
      <c r="C734" s="133"/>
      <c r="D734" s="1"/>
    </row>
    <row r="735" spans="1:4" ht="12.75" customHeight="1" x14ac:dyDescent="0.2">
      <c r="A735" s="107"/>
      <c r="B735" s="132"/>
      <c r="C735" s="133"/>
      <c r="D735" s="1"/>
    </row>
    <row r="736" spans="1:4" ht="12.75" customHeight="1" x14ac:dyDescent="0.2">
      <c r="A736" s="107"/>
      <c r="B736" s="132"/>
      <c r="C736" s="133"/>
      <c r="D736" s="1"/>
    </row>
    <row r="737" spans="1:4" ht="12.75" customHeight="1" x14ac:dyDescent="0.2">
      <c r="A737" s="107"/>
      <c r="B737" s="132"/>
      <c r="C737" s="133"/>
      <c r="D737" s="1"/>
    </row>
    <row r="738" spans="1:4" ht="12.75" customHeight="1" x14ac:dyDescent="0.2">
      <c r="A738" s="107"/>
      <c r="B738" s="132"/>
      <c r="C738" s="133"/>
      <c r="D738" s="1"/>
    </row>
    <row r="739" spans="1:4" ht="12.75" customHeight="1" x14ac:dyDescent="0.2">
      <c r="A739" s="107"/>
      <c r="B739" s="132"/>
      <c r="C739" s="133"/>
      <c r="D739" s="1"/>
    </row>
    <row r="740" spans="1:4" ht="12.75" customHeight="1" x14ac:dyDescent="0.2">
      <c r="A740" s="107"/>
      <c r="B740" s="132"/>
      <c r="C740" s="133"/>
      <c r="D740" s="1"/>
    </row>
    <row r="741" spans="1:4" ht="12.75" customHeight="1" x14ac:dyDescent="0.2">
      <c r="A741" s="107"/>
      <c r="B741" s="132"/>
      <c r="C741" s="133"/>
      <c r="D741" s="1"/>
    </row>
    <row r="742" spans="1:4" ht="12.75" customHeight="1" x14ac:dyDescent="0.2">
      <c r="A742" s="107"/>
      <c r="B742" s="132"/>
      <c r="C742" s="133"/>
      <c r="D742" s="1"/>
    </row>
    <row r="743" spans="1:4" ht="12.75" customHeight="1" x14ac:dyDescent="0.2">
      <c r="A743" s="107"/>
      <c r="B743" s="132"/>
      <c r="C743" s="133"/>
      <c r="D743" s="1"/>
    </row>
    <row r="744" spans="1:4" ht="12.75" customHeight="1" x14ac:dyDescent="0.2">
      <c r="A744" s="107"/>
      <c r="B744" s="132"/>
      <c r="C744" s="133"/>
      <c r="D744" s="1"/>
    </row>
    <row r="745" spans="1:4" ht="12.75" customHeight="1" x14ac:dyDescent="0.2">
      <c r="A745" s="107"/>
      <c r="B745" s="132"/>
      <c r="C745" s="133"/>
      <c r="D745" s="1"/>
    </row>
    <row r="746" spans="1:4" ht="12.75" customHeight="1" x14ac:dyDescent="0.2">
      <c r="A746" s="107"/>
      <c r="B746" s="132"/>
      <c r="C746" s="133"/>
      <c r="D746" s="1"/>
    </row>
    <row r="747" spans="1:4" ht="12.75" customHeight="1" x14ac:dyDescent="0.2">
      <c r="A747" s="107"/>
      <c r="B747" s="132"/>
      <c r="C747" s="133"/>
      <c r="D747" s="1"/>
    </row>
    <row r="748" spans="1:4" ht="12.75" customHeight="1" x14ac:dyDescent="0.2">
      <c r="A748" s="107"/>
      <c r="B748" s="132"/>
      <c r="C748" s="133"/>
      <c r="D748" s="1"/>
    </row>
    <row r="749" spans="1:4" ht="12.75" customHeight="1" x14ac:dyDescent="0.2">
      <c r="A749" s="107"/>
      <c r="B749" s="132"/>
      <c r="C749" s="133"/>
      <c r="D749" s="1"/>
    </row>
    <row r="750" spans="1:4" ht="12.75" customHeight="1" x14ac:dyDescent="0.2">
      <c r="A750" s="107"/>
      <c r="B750" s="132"/>
      <c r="C750" s="133"/>
      <c r="D750" s="1"/>
    </row>
    <row r="751" spans="1:4" ht="12.75" customHeight="1" x14ac:dyDescent="0.2">
      <c r="A751" s="107"/>
      <c r="B751" s="132"/>
      <c r="C751" s="133"/>
      <c r="D751" s="1"/>
    </row>
    <row r="752" spans="1:4" ht="12.75" customHeight="1" x14ac:dyDescent="0.2">
      <c r="A752" s="107"/>
      <c r="B752" s="132"/>
      <c r="C752" s="133"/>
      <c r="D752" s="1"/>
    </row>
    <row r="753" spans="1:4" ht="12.75" customHeight="1" x14ac:dyDescent="0.2">
      <c r="A753" s="107"/>
      <c r="B753" s="132"/>
      <c r="C753" s="133"/>
      <c r="D753" s="1"/>
    </row>
    <row r="754" spans="1:4" ht="12.75" customHeight="1" x14ac:dyDescent="0.2">
      <c r="A754" s="107"/>
      <c r="B754" s="132"/>
      <c r="C754" s="133"/>
      <c r="D754" s="1"/>
    </row>
    <row r="755" spans="1:4" ht="12.75" customHeight="1" x14ac:dyDescent="0.2">
      <c r="A755" s="107"/>
      <c r="B755" s="132"/>
      <c r="C755" s="133"/>
      <c r="D755" s="1"/>
    </row>
    <row r="756" spans="1:4" ht="12.75" customHeight="1" x14ac:dyDescent="0.2">
      <c r="A756" s="107"/>
      <c r="B756" s="132"/>
      <c r="C756" s="133"/>
      <c r="D756" s="1"/>
    </row>
    <row r="757" spans="1:4" ht="12.75" customHeight="1" x14ac:dyDescent="0.2">
      <c r="A757" s="107"/>
      <c r="B757" s="132"/>
      <c r="C757" s="133"/>
      <c r="D757" s="1"/>
    </row>
    <row r="758" spans="1:4" ht="12.75" customHeight="1" x14ac:dyDescent="0.2">
      <c r="A758" s="107"/>
      <c r="B758" s="132"/>
      <c r="C758" s="133"/>
      <c r="D758" s="1"/>
    </row>
    <row r="759" spans="1:4" ht="12.75" customHeight="1" x14ac:dyDescent="0.2">
      <c r="A759" s="107"/>
      <c r="B759" s="132"/>
      <c r="C759" s="133"/>
      <c r="D759" s="1"/>
    </row>
    <row r="760" spans="1:4" ht="12.75" customHeight="1" x14ac:dyDescent="0.2">
      <c r="A760" s="107"/>
      <c r="B760" s="132"/>
      <c r="C760" s="133"/>
      <c r="D760" s="1"/>
    </row>
    <row r="761" spans="1:4" ht="12.75" customHeight="1" x14ac:dyDescent="0.2">
      <c r="A761" s="107"/>
      <c r="B761" s="132"/>
      <c r="C761" s="133"/>
      <c r="D761" s="1"/>
    </row>
    <row r="762" spans="1:4" ht="12.75" customHeight="1" x14ac:dyDescent="0.2">
      <c r="A762" s="107"/>
      <c r="B762" s="132"/>
      <c r="C762" s="133"/>
      <c r="D762" s="1"/>
    </row>
    <row r="763" spans="1:4" ht="12.75" customHeight="1" x14ac:dyDescent="0.2">
      <c r="A763" s="107"/>
      <c r="B763" s="132"/>
      <c r="C763" s="133"/>
      <c r="D763" s="1"/>
    </row>
    <row r="764" spans="1:4" ht="12.75" customHeight="1" x14ac:dyDescent="0.2">
      <c r="A764" s="107"/>
      <c r="B764" s="132"/>
      <c r="C764" s="133"/>
      <c r="D764" s="1"/>
    </row>
    <row r="765" spans="1:4" ht="12.75" customHeight="1" x14ac:dyDescent="0.2">
      <c r="A765" s="107"/>
      <c r="B765" s="132"/>
      <c r="C765" s="133"/>
      <c r="D765" s="1"/>
    </row>
    <row r="766" spans="1:4" ht="12.75" customHeight="1" x14ac:dyDescent="0.2">
      <c r="A766" s="107"/>
      <c r="B766" s="132"/>
      <c r="C766" s="133"/>
      <c r="D766" s="1"/>
    </row>
    <row r="767" spans="1:4" ht="12.75" customHeight="1" x14ac:dyDescent="0.2">
      <c r="A767" s="107"/>
      <c r="B767" s="132"/>
      <c r="C767" s="133"/>
      <c r="D767" s="1"/>
    </row>
    <row r="768" spans="1:4" ht="12.75" customHeight="1" x14ac:dyDescent="0.2">
      <c r="A768" s="107"/>
      <c r="B768" s="132"/>
      <c r="C768" s="133"/>
      <c r="D768" s="1"/>
    </row>
    <row r="769" spans="1:4" ht="12.75" customHeight="1" x14ac:dyDescent="0.2">
      <c r="A769" s="107"/>
      <c r="B769" s="132"/>
      <c r="C769" s="133"/>
      <c r="D769" s="1"/>
    </row>
    <row r="770" spans="1:4" ht="12.75" customHeight="1" x14ac:dyDescent="0.2">
      <c r="A770" s="107"/>
      <c r="B770" s="132"/>
      <c r="C770" s="133"/>
      <c r="D770" s="1"/>
    </row>
    <row r="771" spans="1:4" ht="12.75" customHeight="1" x14ac:dyDescent="0.2">
      <c r="A771" s="107"/>
      <c r="B771" s="132"/>
      <c r="C771" s="133"/>
      <c r="D771" s="1"/>
    </row>
    <row r="772" spans="1:4" ht="12.75" customHeight="1" x14ac:dyDescent="0.2">
      <c r="A772" s="107"/>
      <c r="B772" s="132"/>
      <c r="C772" s="133"/>
      <c r="D772" s="1"/>
    </row>
    <row r="773" spans="1:4" ht="12.75" customHeight="1" x14ac:dyDescent="0.2">
      <c r="A773" s="107"/>
      <c r="B773" s="132"/>
      <c r="C773" s="133"/>
      <c r="D773" s="1"/>
    </row>
    <row r="774" spans="1:4" ht="12.75" customHeight="1" x14ac:dyDescent="0.2">
      <c r="A774" s="107"/>
      <c r="B774" s="132"/>
      <c r="C774" s="133"/>
      <c r="D774" s="1"/>
    </row>
    <row r="775" spans="1:4" ht="12.75" customHeight="1" x14ac:dyDescent="0.2">
      <c r="A775" s="107"/>
      <c r="B775" s="132"/>
      <c r="C775" s="133"/>
      <c r="D775" s="1"/>
    </row>
    <row r="776" spans="1:4" ht="12.75" customHeight="1" x14ac:dyDescent="0.2">
      <c r="A776" s="107"/>
      <c r="B776" s="132"/>
      <c r="C776" s="133"/>
      <c r="D776" s="1"/>
    </row>
    <row r="777" spans="1:4" ht="12.75" customHeight="1" x14ac:dyDescent="0.2">
      <c r="A777" s="107"/>
      <c r="B777" s="132"/>
      <c r="C777" s="133"/>
      <c r="D777" s="1"/>
    </row>
    <row r="778" spans="1:4" ht="12.75" customHeight="1" x14ac:dyDescent="0.2">
      <c r="A778" s="107"/>
      <c r="B778" s="132"/>
      <c r="C778" s="133"/>
      <c r="D778" s="1"/>
    </row>
    <row r="779" spans="1:4" ht="12.75" customHeight="1" x14ac:dyDescent="0.2">
      <c r="A779" s="107"/>
      <c r="B779" s="132"/>
      <c r="C779" s="133"/>
      <c r="D779" s="1"/>
    </row>
    <row r="780" spans="1:4" ht="12.75" customHeight="1" x14ac:dyDescent="0.2">
      <c r="A780" s="107"/>
      <c r="B780" s="132"/>
      <c r="C780" s="133"/>
      <c r="D780" s="1"/>
    </row>
    <row r="781" spans="1:4" ht="12.75" customHeight="1" x14ac:dyDescent="0.2">
      <c r="A781" s="107"/>
      <c r="B781" s="132"/>
      <c r="C781" s="133"/>
      <c r="D781" s="1"/>
    </row>
    <row r="782" spans="1:4" ht="12.75" customHeight="1" x14ac:dyDescent="0.2">
      <c r="A782" s="107"/>
      <c r="B782" s="132"/>
      <c r="C782" s="133"/>
      <c r="D782" s="1"/>
    </row>
    <row r="783" spans="1:4" ht="12.75" customHeight="1" x14ac:dyDescent="0.2">
      <c r="A783" s="107"/>
      <c r="B783" s="132"/>
      <c r="C783" s="133"/>
      <c r="D783" s="1"/>
    </row>
    <row r="784" spans="1:4" ht="12.75" customHeight="1" x14ac:dyDescent="0.2">
      <c r="A784" s="107"/>
      <c r="B784" s="132"/>
      <c r="C784" s="133"/>
      <c r="D784" s="1"/>
    </row>
    <row r="785" spans="1:4" ht="12.75" customHeight="1" x14ac:dyDescent="0.2">
      <c r="A785" s="107"/>
      <c r="B785" s="132"/>
      <c r="C785" s="133"/>
      <c r="D785" s="1"/>
    </row>
    <row r="786" spans="1:4" ht="12.75" customHeight="1" x14ac:dyDescent="0.2">
      <c r="A786" s="107"/>
      <c r="B786" s="132"/>
      <c r="C786" s="133"/>
      <c r="D786" s="1"/>
    </row>
    <row r="787" spans="1:4" ht="12.75" customHeight="1" x14ac:dyDescent="0.2">
      <c r="A787" s="107"/>
      <c r="B787" s="132"/>
      <c r="C787" s="133"/>
      <c r="D787" s="1"/>
    </row>
    <row r="788" spans="1:4" ht="12.75" customHeight="1" x14ac:dyDescent="0.2">
      <c r="A788" s="107"/>
      <c r="B788" s="132"/>
      <c r="C788" s="133"/>
      <c r="D788" s="1"/>
    </row>
    <row r="789" spans="1:4" ht="12.75" customHeight="1" x14ac:dyDescent="0.2">
      <c r="A789" s="107"/>
      <c r="B789" s="132"/>
      <c r="C789" s="133"/>
      <c r="D789" s="1"/>
    </row>
    <row r="790" spans="1:4" ht="12.75" customHeight="1" x14ac:dyDescent="0.2">
      <c r="A790" s="107"/>
      <c r="B790" s="132"/>
      <c r="C790" s="133"/>
      <c r="D790" s="1"/>
    </row>
    <row r="791" spans="1:4" ht="12.75" customHeight="1" x14ac:dyDescent="0.2">
      <c r="A791" s="107"/>
      <c r="B791" s="132"/>
      <c r="C791" s="133"/>
      <c r="D791" s="1"/>
    </row>
    <row r="792" spans="1:4" ht="12.75" customHeight="1" x14ac:dyDescent="0.2">
      <c r="A792" s="107"/>
      <c r="B792" s="132"/>
      <c r="C792" s="133"/>
      <c r="D792" s="1"/>
    </row>
    <row r="793" spans="1:4" ht="12.75" customHeight="1" x14ac:dyDescent="0.2">
      <c r="A793" s="107"/>
      <c r="B793" s="132"/>
      <c r="C793" s="133"/>
      <c r="D793" s="1"/>
    </row>
    <row r="794" spans="1:4" ht="12.75" customHeight="1" x14ac:dyDescent="0.2">
      <c r="A794" s="107"/>
      <c r="B794" s="132"/>
      <c r="C794" s="133"/>
      <c r="D794" s="1"/>
    </row>
    <row r="795" spans="1:4" ht="12.75" customHeight="1" x14ac:dyDescent="0.2">
      <c r="A795" s="107"/>
      <c r="B795" s="132"/>
      <c r="C795" s="133"/>
      <c r="D795" s="1"/>
    </row>
    <row r="796" spans="1:4" ht="12.75" customHeight="1" x14ac:dyDescent="0.2">
      <c r="A796" s="107"/>
      <c r="B796" s="132"/>
      <c r="C796" s="133"/>
      <c r="D796" s="1"/>
    </row>
    <row r="797" spans="1:4" ht="12.75" customHeight="1" x14ac:dyDescent="0.2">
      <c r="A797" s="107"/>
      <c r="B797" s="132"/>
      <c r="C797" s="133"/>
      <c r="D797" s="1"/>
    </row>
    <row r="798" spans="1:4" ht="12.75" customHeight="1" x14ac:dyDescent="0.2">
      <c r="A798" s="107"/>
      <c r="B798" s="132"/>
      <c r="C798" s="133"/>
      <c r="D798" s="1"/>
    </row>
    <row r="799" spans="1:4" ht="12.75" customHeight="1" x14ac:dyDescent="0.2">
      <c r="A799" s="107"/>
      <c r="B799" s="132"/>
      <c r="C799" s="133"/>
      <c r="D799" s="1"/>
    </row>
    <row r="800" spans="1:4" ht="12.75" customHeight="1" x14ac:dyDescent="0.2">
      <c r="A800" s="107"/>
      <c r="B800" s="132"/>
      <c r="C800" s="133"/>
      <c r="D800" s="1"/>
    </row>
    <row r="801" spans="1:4" ht="12.75" customHeight="1" x14ac:dyDescent="0.2">
      <c r="A801" s="107"/>
      <c r="B801" s="132"/>
      <c r="C801" s="133"/>
      <c r="D801" s="1"/>
    </row>
    <row r="802" spans="1:4" ht="12.75" customHeight="1" x14ac:dyDescent="0.2">
      <c r="A802" s="107"/>
      <c r="B802" s="132"/>
      <c r="C802" s="133"/>
      <c r="D802" s="1"/>
    </row>
    <row r="803" spans="1:4" ht="12.75" customHeight="1" x14ac:dyDescent="0.2">
      <c r="A803" s="107"/>
      <c r="B803" s="132"/>
      <c r="C803" s="133"/>
      <c r="D803" s="1"/>
    </row>
    <row r="804" spans="1:4" ht="12.75" customHeight="1" x14ac:dyDescent="0.2">
      <c r="A804" s="107"/>
      <c r="B804" s="132"/>
      <c r="C804" s="133"/>
      <c r="D804" s="1"/>
    </row>
    <row r="805" spans="1:4" ht="12.75" customHeight="1" x14ac:dyDescent="0.2">
      <c r="A805" s="107"/>
      <c r="B805" s="132"/>
      <c r="C805" s="133"/>
      <c r="D805" s="1"/>
    </row>
    <row r="806" spans="1:4" ht="12.75" customHeight="1" x14ac:dyDescent="0.2">
      <c r="A806" s="107"/>
      <c r="B806" s="132"/>
      <c r="C806" s="133"/>
      <c r="D806" s="1"/>
    </row>
    <row r="807" spans="1:4" ht="12.75" customHeight="1" x14ac:dyDescent="0.2">
      <c r="A807" s="107"/>
      <c r="B807" s="132"/>
      <c r="C807" s="133"/>
      <c r="D807" s="1"/>
    </row>
    <row r="808" spans="1:4" ht="12.75" customHeight="1" x14ac:dyDescent="0.2">
      <c r="A808" s="107"/>
      <c r="B808" s="132"/>
      <c r="C808" s="133"/>
      <c r="D808" s="1"/>
    </row>
    <row r="809" spans="1:4" ht="12.75" customHeight="1" x14ac:dyDescent="0.2">
      <c r="A809" s="107"/>
      <c r="B809" s="132"/>
      <c r="C809" s="133"/>
      <c r="D809" s="1"/>
    </row>
    <row r="810" spans="1:4" ht="12.75" customHeight="1" x14ac:dyDescent="0.2">
      <c r="A810" s="107"/>
      <c r="B810" s="132"/>
      <c r="C810" s="133"/>
      <c r="D810" s="1"/>
    </row>
    <row r="811" spans="1:4" ht="12.75" customHeight="1" x14ac:dyDescent="0.2">
      <c r="A811" s="107"/>
      <c r="B811" s="132"/>
      <c r="C811" s="133"/>
      <c r="D811" s="1"/>
    </row>
    <row r="812" spans="1:4" ht="12.75" customHeight="1" x14ac:dyDescent="0.2">
      <c r="A812" s="107"/>
      <c r="B812" s="132"/>
      <c r="C812" s="133"/>
      <c r="D812" s="1"/>
    </row>
    <row r="813" spans="1:4" ht="12.75" customHeight="1" x14ac:dyDescent="0.2">
      <c r="A813" s="107"/>
      <c r="B813" s="132"/>
      <c r="C813" s="133"/>
      <c r="D813" s="1"/>
    </row>
    <row r="814" spans="1:4" ht="12.75" customHeight="1" x14ac:dyDescent="0.2">
      <c r="A814" s="107"/>
      <c r="B814" s="132"/>
      <c r="C814" s="133"/>
      <c r="D814" s="1"/>
    </row>
    <row r="815" spans="1:4" ht="12.75" customHeight="1" x14ac:dyDescent="0.2">
      <c r="A815" s="107"/>
      <c r="B815" s="132"/>
      <c r="C815" s="133"/>
      <c r="D815" s="1"/>
    </row>
    <row r="816" spans="1:4" ht="12.75" customHeight="1" x14ac:dyDescent="0.2">
      <c r="A816" s="107"/>
      <c r="B816" s="132"/>
      <c r="C816" s="133"/>
      <c r="D816" s="1"/>
    </row>
    <row r="817" spans="1:4" ht="12.75" customHeight="1" x14ac:dyDescent="0.2">
      <c r="A817" s="107"/>
      <c r="B817" s="132"/>
      <c r="C817" s="133"/>
      <c r="D817" s="1"/>
    </row>
    <row r="818" spans="1:4" ht="12.75" customHeight="1" x14ac:dyDescent="0.2">
      <c r="A818" s="107"/>
      <c r="B818" s="132"/>
      <c r="C818" s="133"/>
      <c r="D818" s="1"/>
    </row>
    <row r="819" spans="1:4" ht="12.75" customHeight="1" x14ac:dyDescent="0.2">
      <c r="A819" s="107"/>
      <c r="B819" s="132"/>
      <c r="C819" s="133"/>
      <c r="D819" s="1"/>
    </row>
    <row r="820" spans="1:4" ht="12.75" customHeight="1" x14ac:dyDescent="0.2">
      <c r="A820" s="107"/>
      <c r="B820" s="132"/>
      <c r="C820" s="133"/>
      <c r="D820" s="1"/>
    </row>
    <row r="821" spans="1:4" ht="12.75" customHeight="1" x14ac:dyDescent="0.2">
      <c r="A821" s="107"/>
      <c r="B821" s="132"/>
      <c r="C821" s="133"/>
      <c r="D821" s="1"/>
    </row>
    <row r="822" spans="1:4" ht="12.75" customHeight="1" x14ac:dyDescent="0.2">
      <c r="A822" s="107"/>
      <c r="B822" s="132"/>
      <c r="C822" s="133"/>
      <c r="D822" s="1"/>
    </row>
    <row r="823" spans="1:4" ht="12.75" customHeight="1" x14ac:dyDescent="0.2">
      <c r="A823" s="107"/>
      <c r="B823" s="132"/>
      <c r="C823" s="133"/>
      <c r="D823" s="1"/>
    </row>
    <row r="824" spans="1:4" ht="12.75" customHeight="1" x14ac:dyDescent="0.2">
      <c r="A824" s="107"/>
      <c r="B824" s="132"/>
      <c r="C824" s="133"/>
      <c r="D824" s="1"/>
    </row>
    <row r="825" spans="1:4" ht="12.75" customHeight="1" x14ac:dyDescent="0.2">
      <c r="A825" s="107"/>
      <c r="B825" s="132"/>
      <c r="C825" s="133"/>
      <c r="D825" s="1"/>
    </row>
    <row r="826" spans="1:4" ht="12.75" customHeight="1" x14ac:dyDescent="0.2">
      <c r="A826" s="107"/>
      <c r="B826" s="132"/>
      <c r="C826" s="133"/>
      <c r="D826" s="1"/>
    </row>
    <row r="827" spans="1:4" ht="12.75" customHeight="1" x14ac:dyDescent="0.2">
      <c r="A827" s="107"/>
      <c r="B827" s="132"/>
      <c r="C827" s="133"/>
      <c r="D827" s="1"/>
    </row>
    <row r="828" spans="1:4" ht="12.75" customHeight="1" x14ac:dyDescent="0.2">
      <c r="A828" s="107"/>
      <c r="B828" s="132"/>
      <c r="C828" s="133"/>
      <c r="D828" s="1"/>
    </row>
    <row r="829" spans="1:4" ht="12.75" customHeight="1" x14ac:dyDescent="0.2">
      <c r="A829" s="107"/>
      <c r="B829" s="132"/>
      <c r="C829" s="133"/>
      <c r="D829" s="1"/>
    </row>
    <row r="830" spans="1:4" ht="12.75" customHeight="1" x14ac:dyDescent="0.2">
      <c r="A830" s="107"/>
      <c r="B830" s="132"/>
      <c r="C830" s="133"/>
      <c r="D830" s="1"/>
    </row>
    <row r="831" spans="1:4" ht="12.75" customHeight="1" x14ac:dyDescent="0.2">
      <c r="A831" s="107"/>
      <c r="B831" s="132"/>
      <c r="C831" s="133"/>
      <c r="D831" s="1"/>
    </row>
    <row r="832" spans="1:4" ht="12.75" customHeight="1" x14ac:dyDescent="0.2">
      <c r="A832" s="107"/>
      <c r="B832" s="132"/>
      <c r="C832" s="133"/>
      <c r="D832" s="1"/>
    </row>
    <row r="833" spans="1:4" ht="12.75" customHeight="1" x14ac:dyDescent="0.2">
      <c r="A833" s="107"/>
      <c r="B833" s="132"/>
      <c r="C833" s="133"/>
      <c r="D833" s="1"/>
    </row>
    <row r="834" spans="1:4" ht="12.75" customHeight="1" x14ac:dyDescent="0.2">
      <c r="A834" s="107"/>
      <c r="B834" s="132"/>
      <c r="C834" s="133"/>
      <c r="D834" s="1"/>
    </row>
    <row r="835" spans="1:4" ht="12.75" customHeight="1" x14ac:dyDescent="0.2">
      <c r="A835" s="107"/>
      <c r="B835" s="132"/>
      <c r="C835" s="133"/>
      <c r="D835" s="1"/>
    </row>
    <row r="836" spans="1:4" ht="12.75" customHeight="1" x14ac:dyDescent="0.2">
      <c r="A836" s="107"/>
      <c r="B836" s="132"/>
      <c r="C836" s="133"/>
      <c r="D836" s="1"/>
    </row>
    <row r="837" spans="1:4" ht="12.75" customHeight="1" x14ac:dyDescent="0.2">
      <c r="A837" s="107"/>
      <c r="B837" s="132"/>
      <c r="C837" s="133"/>
      <c r="D837" s="1"/>
    </row>
    <row r="838" spans="1:4" ht="12.75" customHeight="1" x14ac:dyDescent="0.2">
      <c r="A838" s="107"/>
      <c r="B838" s="132"/>
      <c r="C838" s="133"/>
      <c r="D838" s="1"/>
    </row>
    <row r="839" spans="1:4" ht="12.75" customHeight="1" x14ac:dyDescent="0.2">
      <c r="A839" s="107"/>
      <c r="B839" s="132"/>
      <c r="C839" s="133"/>
      <c r="D839" s="1"/>
    </row>
    <row r="840" spans="1:4" ht="12.75" customHeight="1" x14ac:dyDescent="0.2">
      <c r="A840" s="107"/>
      <c r="B840" s="132"/>
      <c r="C840" s="133"/>
      <c r="D840" s="1"/>
    </row>
    <row r="841" spans="1:4" ht="12.75" customHeight="1" x14ac:dyDescent="0.2">
      <c r="A841" s="107"/>
      <c r="B841" s="132"/>
      <c r="C841" s="133"/>
      <c r="D841" s="1"/>
    </row>
    <row r="842" spans="1:4" ht="12.75" customHeight="1" x14ac:dyDescent="0.2">
      <c r="A842" s="107"/>
      <c r="B842" s="132"/>
      <c r="C842" s="133"/>
      <c r="D842" s="1"/>
    </row>
    <row r="843" spans="1:4" ht="12.75" customHeight="1" x14ac:dyDescent="0.2">
      <c r="A843" s="107"/>
      <c r="B843" s="132"/>
      <c r="C843" s="133"/>
      <c r="D843" s="1"/>
    </row>
    <row r="844" spans="1:4" ht="12.75" customHeight="1" x14ac:dyDescent="0.2">
      <c r="A844" s="107"/>
      <c r="B844" s="132"/>
      <c r="C844" s="133"/>
      <c r="D844" s="1"/>
    </row>
    <row r="845" spans="1:4" ht="12.75" customHeight="1" x14ac:dyDescent="0.2">
      <c r="A845" s="107"/>
      <c r="B845" s="132"/>
      <c r="C845" s="133"/>
      <c r="D845" s="1"/>
    </row>
    <row r="846" spans="1:4" ht="12.75" customHeight="1" x14ac:dyDescent="0.2">
      <c r="A846" s="107"/>
      <c r="B846" s="132"/>
      <c r="C846" s="133"/>
      <c r="D846" s="1"/>
    </row>
    <row r="847" spans="1:4" ht="12.75" customHeight="1" x14ac:dyDescent="0.2">
      <c r="A847" s="107"/>
      <c r="B847" s="132"/>
      <c r="C847" s="133"/>
      <c r="D847" s="1"/>
    </row>
    <row r="848" spans="1:4" ht="12.75" customHeight="1" x14ac:dyDescent="0.2">
      <c r="A848" s="107"/>
      <c r="B848" s="132"/>
      <c r="C848" s="133"/>
      <c r="D848" s="1"/>
    </row>
    <row r="849" spans="1:4" ht="12.75" customHeight="1" x14ac:dyDescent="0.2">
      <c r="A849" s="107"/>
      <c r="B849" s="132"/>
      <c r="C849" s="133"/>
      <c r="D849" s="1"/>
    </row>
    <row r="850" spans="1:4" ht="12.75" customHeight="1" x14ac:dyDescent="0.2">
      <c r="A850" s="107"/>
      <c r="B850" s="132"/>
      <c r="C850" s="133"/>
      <c r="D850" s="1"/>
    </row>
    <row r="851" spans="1:4" ht="12.75" customHeight="1" x14ac:dyDescent="0.2">
      <c r="A851" s="107"/>
      <c r="B851" s="132"/>
      <c r="C851" s="133"/>
      <c r="D851" s="1"/>
    </row>
    <row r="852" spans="1:4" ht="12.75" customHeight="1" x14ac:dyDescent="0.2">
      <c r="A852" s="107"/>
      <c r="B852" s="132"/>
      <c r="C852" s="133"/>
      <c r="D852" s="1"/>
    </row>
    <row r="853" spans="1:4" ht="12.75" customHeight="1" x14ac:dyDescent="0.2">
      <c r="A853" s="107"/>
      <c r="B853" s="132"/>
      <c r="C853" s="133"/>
      <c r="D853" s="1"/>
    </row>
    <row r="854" spans="1:4" ht="12.75" customHeight="1" x14ac:dyDescent="0.2">
      <c r="A854" s="107"/>
      <c r="B854" s="132"/>
      <c r="C854" s="133"/>
      <c r="D854" s="1"/>
    </row>
    <row r="855" spans="1:4" ht="12.75" customHeight="1" x14ac:dyDescent="0.2">
      <c r="A855" s="107"/>
      <c r="B855" s="132"/>
      <c r="C855" s="133"/>
      <c r="D855" s="1"/>
    </row>
    <row r="856" spans="1:4" ht="12.75" customHeight="1" x14ac:dyDescent="0.2">
      <c r="A856" s="107"/>
      <c r="B856" s="132"/>
      <c r="C856" s="133"/>
      <c r="D856" s="1"/>
    </row>
    <row r="857" spans="1:4" ht="12.75" customHeight="1" x14ac:dyDescent="0.2">
      <c r="A857" s="107"/>
      <c r="B857" s="132"/>
      <c r="C857" s="133"/>
      <c r="D857" s="1"/>
    </row>
    <row r="858" spans="1:4" ht="12.75" customHeight="1" x14ac:dyDescent="0.2">
      <c r="A858" s="107"/>
      <c r="B858" s="132"/>
      <c r="C858" s="133"/>
      <c r="D858" s="1"/>
    </row>
    <row r="859" spans="1:4" ht="12.75" customHeight="1" x14ac:dyDescent="0.2">
      <c r="A859" s="107"/>
      <c r="B859" s="132"/>
      <c r="C859" s="133"/>
      <c r="D859" s="1"/>
    </row>
    <row r="860" spans="1:4" ht="12.75" customHeight="1" x14ac:dyDescent="0.2">
      <c r="A860" s="107"/>
      <c r="B860" s="132"/>
      <c r="C860" s="133"/>
      <c r="D860" s="1"/>
    </row>
    <row r="861" spans="1:4" ht="12.75" customHeight="1" x14ac:dyDescent="0.2">
      <c r="A861" s="107"/>
      <c r="B861" s="132"/>
      <c r="C861" s="133"/>
      <c r="D861" s="1"/>
    </row>
    <row r="862" spans="1:4" ht="12.75" customHeight="1" x14ac:dyDescent="0.2">
      <c r="A862" s="107"/>
      <c r="B862" s="132"/>
      <c r="C862" s="133"/>
      <c r="D862" s="1"/>
    </row>
    <row r="863" spans="1:4" ht="12.75" customHeight="1" x14ac:dyDescent="0.2">
      <c r="A863" s="107"/>
      <c r="B863" s="132"/>
      <c r="C863" s="133"/>
      <c r="D863" s="1"/>
    </row>
    <row r="864" spans="1:4" ht="12.75" customHeight="1" x14ac:dyDescent="0.2">
      <c r="A864" s="107"/>
      <c r="B864" s="132"/>
      <c r="C864" s="133"/>
      <c r="D864" s="1"/>
    </row>
    <row r="865" spans="1:4" ht="12.75" customHeight="1" x14ac:dyDescent="0.2">
      <c r="A865" s="107"/>
      <c r="B865" s="132"/>
      <c r="C865" s="133"/>
      <c r="D865" s="1"/>
    </row>
    <row r="866" spans="1:4" ht="12.75" customHeight="1" x14ac:dyDescent="0.2">
      <c r="A866" s="107"/>
      <c r="B866" s="132"/>
      <c r="C866" s="133"/>
      <c r="D866" s="1"/>
    </row>
    <row r="867" spans="1:4" ht="12.75" customHeight="1" x14ac:dyDescent="0.2">
      <c r="A867" s="107"/>
      <c r="B867" s="132"/>
      <c r="C867" s="133"/>
      <c r="D867" s="1"/>
    </row>
    <row r="868" spans="1:4" ht="12.75" customHeight="1" x14ac:dyDescent="0.2">
      <c r="A868" s="107"/>
      <c r="B868" s="132"/>
      <c r="C868" s="133"/>
      <c r="D868" s="1"/>
    </row>
    <row r="869" spans="1:4" ht="12.75" customHeight="1" x14ac:dyDescent="0.2">
      <c r="A869" s="107"/>
      <c r="B869" s="132"/>
      <c r="C869" s="133"/>
      <c r="D869" s="1"/>
    </row>
    <row r="870" spans="1:4" ht="12.75" customHeight="1" x14ac:dyDescent="0.2">
      <c r="A870" s="107"/>
      <c r="B870" s="132"/>
      <c r="C870" s="133"/>
      <c r="D870" s="1"/>
    </row>
    <row r="871" spans="1:4" ht="12.75" customHeight="1" x14ac:dyDescent="0.2">
      <c r="A871" s="107"/>
      <c r="B871" s="132"/>
      <c r="C871" s="133"/>
      <c r="D871" s="1"/>
    </row>
    <row r="872" spans="1:4" ht="12.75" customHeight="1" x14ac:dyDescent="0.2">
      <c r="A872" s="107"/>
      <c r="B872" s="132"/>
      <c r="C872" s="133"/>
      <c r="D872" s="1"/>
    </row>
    <row r="873" spans="1:4" ht="12.75" customHeight="1" x14ac:dyDescent="0.2">
      <c r="A873" s="107"/>
      <c r="B873" s="132"/>
      <c r="C873" s="133"/>
      <c r="D873" s="1"/>
    </row>
    <row r="874" spans="1:4" ht="12.75" customHeight="1" x14ac:dyDescent="0.2">
      <c r="A874" s="107"/>
      <c r="B874" s="132"/>
      <c r="C874" s="133"/>
      <c r="D874" s="1"/>
    </row>
    <row r="875" spans="1:4" ht="12.75" customHeight="1" x14ac:dyDescent="0.2">
      <c r="A875" s="107"/>
      <c r="B875" s="132"/>
      <c r="C875" s="133"/>
      <c r="D875" s="1"/>
    </row>
    <row r="876" spans="1:4" ht="12.75" customHeight="1" x14ac:dyDescent="0.2">
      <c r="A876" s="107"/>
      <c r="B876" s="132"/>
      <c r="C876" s="133"/>
      <c r="D876" s="1"/>
    </row>
    <row r="877" spans="1:4" ht="12.75" customHeight="1" x14ac:dyDescent="0.2">
      <c r="A877" s="107"/>
      <c r="B877" s="132"/>
      <c r="C877" s="133"/>
      <c r="D877" s="1"/>
    </row>
    <row r="878" spans="1:4" ht="12.75" customHeight="1" x14ac:dyDescent="0.2">
      <c r="A878" s="107"/>
      <c r="B878" s="132"/>
      <c r="C878" s="133"/>
      <c r="D878" s="1"/>
    </row>
    <row r="879" spans="1:4" ht="12.75" customHeight="1" x14ac:dyDescent="0.2">
      <c r="A879" s="107"/>
      <c r="B879" s="132"/>
      <c r="C879" s="133"/>
      <c r="D879" s="1"/>
    </row>
    <row r="880" spans="1:4" ht="12.75" customHeight="1" x14ac:dyDescent="0.2">
      <c r="A880" s="107"/>
      <c r="B880" s="132"/>
      <c r="C880" s="133"/>
      <c r="D880" s="1"/>
    </row>
    <row r="881" spans="1:4" ht="12.75" customHeight="1" x14ac:dyDescent="0.2">
      <c r="A881" s="107"/>
      <c r="B881" s="132"/>
      <c r="C881" s="133"/>
      <c r="D881" s="1"/>
    </row>
    <row r="882" spans="1:4" ht="12.75" customHeight="1" x14ac:dyDescent="0.2">
      <c r="A882" s="107"/>
      <c r="B882" s="132"/>
      <c r="C882" s="133"/>
      <c r="D882" s="1"/>
    </row>
    <row r="883" spans="1:4" ht="12.75" customHeight="1" x14ac:dyDescent="0.2">
      <c r="A883" s="107"/>
      <c r="B883" s="132"/>
      <c r="C883" s="133"/>
      <c r="D883" s="1"/>
    </row>
    <row r="884" spans="1:4" ht="12.75" customHeight="1" x14ac:dyDescent="0.2">
      <c r="A884" s="107"/>
      <c r="B884" s="132"/>
      <c r="C884" s="133"/>
      <c r="D884" s="1"/>
    </row>
    <row r="885" spans="1:4" ht="12.75" customHeight="1" x14ac:dyDescent="0.2">
      <c r="A885" s="107"/>
      <c r="B885" s="132"/>
      <c r="C885" s="133"/>
      <c r="D885" s="1"/>
    </row>
    <row r="886" spans="1:4" ht="12.75" customHeight="1" x14ac:dyDescent="0.2">
      <c r="A886" s="107"/>
      <c r="B886" s="132"/>
      <c r="C886" s="133"/>
      <c r="D886" s="1"/>
    </row>
    <row r="887" spans="1:4" ht="12.75" customHeight="1" x14ac:dyDescent="0.2">
      <c r="A887" s="107"/>
      <c r="B887" s="132"/>
      <c r="C887" s="133"/>
      <c r="D887" s="1"/>
    </row>
    <row r="888" spans="1:4" ht="12.75" customHeight="1" x14ac:dyDescent="0.2">
      <c r="A888" s="107"/>
      <c r="B888" s="132"/>
      <c r="C888" s="133"/>
      <c r="D888" s="1"/>
    </row>
    <row r="889" spans="1:4" ht="12.75" customHeight="1" x14ac:dyDescent="0.2">
      <c r="A889" s="107"/>
      <c r="B889" s="132"/>
      <c r="C889" s="133"/>
      <c r="D889" s="1"/>
    </row>
    <row r="890" spans="1:4" ht="12.75" customHeight="1" x14ac:dyDescent="0.2">
      <c r="A890" s="107"/>
      <c r="B890" s="132"/>
      <c r="C890" s="133"/>
      <c r="D890" s="1"/>
    </row>
    <row r="891" spans="1:4" ht="12.75" customHeight="1" x14ac:dyDescent="0.2">
      <c r="A891" s="107"/>
      <c r="B891" s="132"/>
      <c r="C891" s="133"/>
      <c r="D891" s="1"/>
    </row>
    <row r="892" spans="1:4" ht="12.75" customHeight="1" x14ac:dyDescent="0.2">
      <c r="A892" s="107"/>
      <c r="B892" s="132"/>
      <c r="C892" s="133"/>
      <c r="D892" s="1"/>
    </row>
    <row r="893" spans="1:4" ht="12.75" customHeight="1" x14ac:dyDescent="0.2">
      <c r="A893" s="107"/>
      <c r="B893" s="132"/>
      <c r="C893" s="133"/>
      <c r="D893" s="1"/>
    </row>
    <row r="894" spans="1:4" ht="12.75" customHeight="1" x14ac:dyDescent="0.2">
      <c r="A894" s="107"/>
      <c r="B894" s="132"/>
      <c r="C894" s="133"/>
      <c r="D894" s="1"/>
    </row>
    <row r="895" spans="1:4" ht="12.75" customHeight="1" x14ac:dyDescent="0.2">
      <c r="A895" s="107"/>
      <c r="B895" s="132"/>
      <c r="C895" s="133"/>
      <c r="D895" s="1"/>
    </row>
    <row r="896" spans="1:4" ht="12.75" customHeight="1" x14ac:dyDescent="0.2">
      <c r="A896" s="107"/>
      <c r="B896" s="132"/>
      <c r="C896" s="133"/>
      <c r="D896" s="1"/>
    </row>
    <row r="897" spans="1:4" ht="12.75" customHeight="1" x14ac:dyDescent="0.2">
      <c r="A897" s="107"/>
      <c r="B897" s="132"/>
      <c r="C897" s="133"/>
      <c r="D897" s="1"/>
    </row>
    <row r="898" spans="1:4" ht="12.75" customHeight="1" x14ac:dyDescent="0.2">
      <c r="A898" s="107"/>
      <c r="B898" s="132"/>
      <c r="C898" s="133"/>
      <c r="D898" s="1"/>
    </row>
    <row r="899" spans="1:4" ht="12.75" customHeight="1" x14ac:dyDescent="0.2">
      <c r="A899" s="107"/>
      <c r="B899" s="132"/>
      <c r="C899" s="133"/>
      <c r="D899" s="1"/>
    </row>
    <row r="900" spans="1:4" ht="12.75" customHeight="1" x14ac:dyDescent="0.2">
      <c r="A900" s="107"/>
      <c r="B900" s="132"/>
      <c r="C900" s="133"/>
      <c r="D900" s="1"/>
    </row>
    <row r="901" spans="1:4" ht="12.75" customHeight="1" x14ac:dyDescent="0.2">
      <c r="A901" s="107"/>
      <c r="B901" s="132"/>
      <c r="C901" s="133"/>
      <c r="D901" s="1"/>
    </row>
    <row r="902" spans="1:4" ht="12.75" customHeight="1" x14ac:dyDescent="0.2">
      <c r="A902" s="107"/>
      <c r="B902" s="132"/>
      <c r="C902" s="133"/>
      <c r="D902" s="1"/>
    </row>
    <row r="903" spans="1:4" ht="12.75" customHeight="1" x14ac:dyDescent="0.2">
      <c r="A903" s="107"/>
      <c r="B903" s="132"/>
      <c r="C903" s="133"/>
      <c r="D903" s="1"/>
    </row>
    <row r="904" spans="1:4" ht="12.75" customHeight="1" x14ac:dyDescent="0.2">
      <c r="A904" s="107"/>
      <c r="B904" s="132"/>
      <c r="C904" s="133"/>
      <c r="D904" s="1"/>
    </row>
    <row r="905" spans="1:4" ht="12.75" customHeight="1" x14ac:dyDescent="0.2">
      <c r="A905" s="107"/>
      <c r="B905" s="132"/>
      <c r="C905" s="133"/>
      <c r="D905" s="1"/>
    </row>
    <row r="906" spans="1:4" ht="12.75" customHeight="1" x14ac:dyDescent="0.2">
      <c r="A906" s="107"/>
      <c r="B906" s="132"/>
      <c r="C906" s="133"/>
      <c r="D906" s="1"/>
    </row>
    <row r="907" spans="1:4" ht="12.75" customHeight="1" x14ac:dyDescent="0.2">
      <c r="A907" s="107"/>
      <c r="B907" s="132"/>
      <c r="C907" s="133"/>
      <c r="D907" s="1"/>
    </row>
    <row r="908" spans="1:4" ht="12.75" customHeight="1" x14ac:dyDescent="0.2">
      <c r="A908" s="107"/>
      <c r="B908" s="132"/>
      <c r="C908" s="133"/>
      <c r="D908" s="1"/>
    </row>
    <row r="909" spans="1:4" ht="12.75" customHeight="1" x14ac:dyDescent="0.2">
      <c r="A909" s="107"/>
      <c r="B909" s="132"/>
      <c r="C909" s="133"/>
      <c r="D909" s="1"/>
    </row>
    <row r="910" spans="1:4" ht="12.75" customHeight="1" x14ac:dyDescent="0.2">
      <c r="A910" s="107"/>
      <c r="B910" s="132"/>
      <c r="C910" s="133"/>
      <c r="D910" s="1"/>
    </row>
    <row r="911" spans="1:4" ht="12.75" customHeight="1" x14ac:dyDescent="0.2">
      <c r="A911" s="107"/>
      <c r="B911" s="132"/>
      <c r="C911" s="133"/>
      <c r="D911" s="1"/>
    </row>
    <row r="912" spans="1:4" ht="12.75" customHeight="1" x14ac:dyDescent="0.2">
      <c r="A912" s="107"/>
      <c r="B912" s="132"/>
      <c r="C912" s="133"/>
      <c r="D912" s="1"/>
    </row>
    <row r="913" spans="1:4" ht="12.75" customHeight="1" x14ac:dyDescent="0.2">
      <c r="A913" s="107"/>
      <c r="B913" s="132"/>
      <c r="C913" s="133"/>
      <c r="D913" s="1"/>
    </row>
    <row r="914" spans="1:4" ht="12.75" customHeight="1" x14ac:dyDescent="0.2">
      <c r="A914" s="107"/>
      <c r="B914" s="132"/>
      <c r="C914" s="133"/>
      <c r="D914" s="1"/>
    </row>
    <row r="915" spans="1:4" ht="12.75" customHeight="1" x14ac:dyDescent="0.2">
      <c r="A915" s="107"/>
      <c r="B915" s="132"/>
      <c r="C915" s="133"/>
      <c r="D915" s="1"/>
    </row>
    <row r="916" spans="1:4" ht="12.75" customHeight="1" x14ac:dyDescent="0.2">
      <c r="A916" s="107"/>
      <c r="B916" s="132"/>
      <c r="C916" s="133"/>
      <c r="D916" s="1"/>
    </row>
    <row r="917" spans="1:4" ht="12.75" customHeight="1" x14ac:dyDescent="0.2">
      <c r="A917" s="107"/>
      <c r="B917" s="132"/>
      <c r="C917" s="133"/>
      <c r="D917" s="1"/>
    </row>
    <row r="918" spans="1:4" ht="12.75" customHeight="1" x14ac:dyDescent="0.2">
      <c r="A918" s="107"/>
      <c r="B918" s="132"/>
      <c r="C918" s="133"/>
      <c r="D918" s="1"/>
    </row>
    <row r="919" spans="1:4" ht="12.75" customHeight="1" x14ac:dyDescent="0.2">
      <c r="A919" s="107"/>
      <c r="B919" s="132"/>
      <c r="C919" s="133"/>
      <c r="D919" s="1"/>
    </row>
    <row r="920" spans="1:4" ht="12.75" customHeight="1" x14ac:dyDescent="0.2">
      <c r="A920" s="107"/>
      <c r="B920" s="132"/>
      <c r="C920" s="133"/>
      <c r="D920" s="1"/>
    </row>
    <row r="921" spans="1:4" ht="12.75" customHeight="1" x14ac:dyDescent="0.2">
      <c r="A921" s="107"/>
      <c r="B921" s="132"/>
      <c r="C921" s="133"/>
      <c r="D921" s="1"/>
    </row>
    <row r="922" spans="1:4" ht="12.75" customHeight="1" x14ac:dyDescent="0.2">
      <c r="A922" s="107"/>
      <c r="B922" s="132"/>
      <c r="C922" s="133"/>
      <c r="D922" s="1"/>
    </row>
    <row r="923" spans="1:4" ht="12.75" customHeight="1" x14ac:dyDescent="0.2">
      <c r="A923" s="107"/>
      <c r="B923" s="132"/>
      <c r="C923" s="133"/>
      <c r="D923" s="1"/>
    </row>
    <row r="924" spans="1:4" ht="12.75" customHeight="1" x14ac:dyDescent="0.2">
      <c r="A924" s="107"/>
      <c r="B924" s="132"/>
      <c r="C924" s="133"/>
      <c r="D924" s="1"/>
    </row>
    <row r="925" spans="1:4" ht="12.75" customHeight="1" x14ac:dyDescent="0.2">
      <c r="A925" s="107"/>
      <c r="B925" s="132"/>
      <c r="C925" s="133"/>
      <c r="D925" s="1"/>
    </row>
    <row r="926" spans="1:4" ht="12.75" customHeight="1" x14ac:dyDescent="0.2">
      <c r="A926" s="107"/>
      <c r="B926" s="132"/>
      <c r="C926" s="133"/>
      <c r="D926" s="1"/>
    </row>
    <row r="927" spans="1:4" ht="12.75" customHeight="1" x14ac:dyDescent="0.2">
      <c r="A927" s="107"/>
      <c r="B927" s="132"/>
      <c r="C927" s="133"/>
      <c r="D927" s="1"/>
    </row>
    <row r="928" spans="1:4" ht="12.75" customHeight="1" x14ac:dyDescent="0.2">
      <c r="A928" s="107"/>
      <c r="B928" s="132"/>
      <c r="C928" s="133"/>
      <c r="D928" s="1"/>
    </row>
    <row r="929" spans="1:4" ht="12.75" customHeight="1" x14ac:dyDescent="0.2">
      <c r="A929" s="107"/>
      <c r="B929" s="132"/>
      <c r="C929" s="133"/>
      <c r="D929" s="1"/>
    </row>
    <row r="930" spans="1:4" ht="12.75" customHeight="1" x14ac:dyDescent="0.2">
      <c r="A930" s="107"/>
      <c r="B930" s="132"/>
      <c r="C930" s="133"/>
      <c r="D930" s="1"/>
    </row>
    <row r="931" spans="1:4" ht="12.75" customHeight="1" x14ac:dyDescent="0.2">
      <c r="A931" s="107"/>
      <c r="B931" s="132"/>
      <c r="C931" s="133"/>
      <c r="D931" s="1"/>
    </row>
    <row r="932" spans="1:4" ht="12.75" customHeight="1" x14ac:dyDescent="0.2">
      <c r="A932" s="107"/>
      <c r="B932" s="132"/>
      <c r="C932" s="133"/>
      <c r="D932" s="1"/>
    </row>
    <row r="933" spans="1:4" ht="12.75" customHeight="1" x14ac:dyDescent="0.2">
      <c r="A933" s="107"/>
      <c r="B933" s="132"/>
      <c r="C933" s="133"/>
      <c r="D933" s="1"/>
    </row>
    <row r="934" spans="1:4" ht="12.75" customHeight="1" x14ac:dyDescent="0.2">
      <c r="A934" s="107"/>
      <c r="B934" s="132"/>
      <c r="C934" s="133"/>
      <c r="D934" s="1"/>
    </row>
    <row r="935" spans="1:4" ht="12.75" customHeight="1" x14ac:dyDescent="0.2">
      <c r="A935" s="107"/>
      <c r="B935" s="132"/>
      <c r="C935" s="133"/>
      <c r="D935" s="1"/>
    </row>
    <row r="936" spans="1:4" ht="12.75" customHeight="1" x14ac:dyDescent="0.2">
      <c r="A936" s="107"/>
      <c r="B936" s="132"/>
      <c r="C936" s="133"/>
      <c r="D936" s="1"/>
    </row>
    <row r="937" spans="1:4" ht="12.75" customHeight="1" x14ac:dyDescent="0.2">
      <c r="A937" s="107"/>
      <c r="B937" s="132"/>
      <c r="C937" s="133"/>
      <c r="D937" s="1"/>
    </row>
    <row r="938" spans="1:4" ht="12.75" customHeight="1" x14ac:dyDescent="0.2">
      <c r="A938" s="107"/>
      <c r="B938" s="132"/>
      <c r="C938" s="133"/>
      <c r="D938" s="1"/>
    </row>
    <row r="939" spans="1:4" ht="12.75" customHeight="1" x14ac:dyDescent="0.2">
      <c r="A939" s="107"/>
      <c r="B939" s="132"/>
      <c r="C939" s="133"/>
      <c r="D939" s="1"/>
    </row>
    <row r="940" spans="1:4" ht="12.75" customHeight="1" x14ac:dyDescent="0.2">
      <c r="A940" s="107"/>
      <c r="B940" s="132"/>
      <c r="C940" s="133"/>
      <c r="D940" s="1"/>
    </row>
    <row r="941" spans="1:4" ht="12.75" customHeight="1" x14ac:dyDescent="0.2">
      <c r="A941" s="107"/>
      <c r="B941" s="132"/>
      <c r="C941" s="133"/>
      <c r="D941" s="1"/>
    </row>
    <row r="942" spans="1:4" ht="12.75" customHeight="1" x14ac:dyDescent="0.2">
      <c r="A942" s="107"/>
      <c r="B942" s="132"/>
      <c r="C942" s="133"/>
      <c r="D942" s="1"/>
    </row>
    <row r="943" spans="1:4" ht="12.75" customHeight="1" x14ac:dyDescent="0.2">
      <c r="A943" s="107"/>
      <c r="B943" s="132"/>
      <c r="C943" s="133"/>
      <c r="D943" s="1"/>
    </row>
    <row r="944" spans="1:4" ht="12.75" customHeight="1" x14ac:dyDescent="0.2">
      <c r="A944" s="107"/>
      <c r="B944" s="132"/>
      <c r="C944" s="133"/>
      <c r="D944" s="1"/>
    </row>
    <row r="945" spans="1:4" ht="12.75" customHeight="1" x14ac:dyDescent="0.2">
      <c r="A945" s="107"/>
      <c r="B945" s="132"/>
      <c r="C945" s="133"/>
      <c r="D945" s="1"/>
    </row>
    <row r="946" spans="1:4" ht="12.75" customHeight="1" x14ac:dyDescent="0.2">
      <c r="A946" s="107"/>
      <c r="B946" s="132"/>
      <c r="C946" s="133"/>
      <c r="D946" s="1"/>
    </row>
    <row r="947" spans="1:4" ht="12.75" customHeight="1" x14ac:dyDescent="0.2">
      <c r="A947" s="107"/>
      <c r="B947" s="132"/>
      <c r="C947" s="133"/>
      <c r="D947" s="1"/>
    </row>
    <row r="948" spans="1:4" ht="12.75" customHeight="1" x14ac:dyDescent="0.2">
      <c r="A948" s="107"/>
      <c r="B948" s="132"/>
      <c r="C948" s="133"/>
      <c r="D948" s="1"/>
    </row>
    <row r="949" spans="1:4" ht="12.75" customHeight="1" x14ac:dyDescent="0.2">
      <c r="A949" s="107"/>
      <c r="B949" s="132"/>
      <c r="C949" s="133"/>
      <c r="D949" s="1"/>
    </row>
    <row r="950" spans="1:4" ht="12.75" customHeight="1" x14ac:dyDescent="0.2">
      <c r="A950" s="107"/>
      <c r="B950" s="132"/>
      <c r="C950" s="133"/>
      <c r="D950" s="1"/>
    </row>
    <row r="951" spans="1:4" ht="12.75" customHeight="1" x14ac:dyDescent="0.2">
      <c r="A951" s="107"/>
      <c r="B951" s="132"/>
      <c r="C951" s="133"/>
      <c r="D951" s="1"/>
    </row>
    <row r="952" spans="1:4" ht="12.75" customHeight="1" x14ac:dyDescent="0.2">
      <c r="A952" s="107"/>
      <c r="B952" s="132"/>
      <c r="C952" s="133"/>
      <c r="D952" s="1"/>
    </row>
    <row r="953" spans="1:4" ht="12.75" customHeight="1" x14ac:dyDescent="0.2">
      <c r="A953" s="107"/>
      <c r="B953" s="132"/>
      <c r="C953" s="133"/>
      <c r="D953" s="1"/>
    </row>
    <row r="954" spans="1:4" ht="12.75" customHeight="1" x14ac:dyDescent="0.2">
      <c r="A954" s="107"/>
      <c r="B954" s="132"/>
      <c r="C954" s="133"/>
      <c r="D954" s="1"/>
    </row>
    <row r="955" spans="1:4" ht="12.75" customHeight="1" x14ac:dyDescent="0.2">
      <c r="A955" s="107"/>
      <c r="B955" s="132"/>
      <c r="C955" s="133"/>
      <c r="D955" s="1"/>
    </row>
    <row r="956" spans="1:4" ht="12.75" customHeight="1" x14ac:dyDescent="0.2">
      <c r="A956" s="107"/>
      <c r="B956" s="132"/>
      <c r="C956" s="133"/>
      <c r="D956" s="1"/>
    </row>
    <row r="957" spans="1:4" ht="12.75" customHeight="1" x14ac:dyDescent="0.2">
      <c r="A957" s="107"/>
      <c r="B957" s="132"/>
      <c r="C957" s="133"/>
      <c r="D957" s="1"/>
    </row>
    <row r="958" spans="1:4" ht="12.75" customHeight="1" x14ac:dyDescent="0.2">
      <c r="A958" s="107"/>
      <c r="B958" s="132"/>
      <c r="C958" s="133"/>
      <c r="D958" s="1"/>
    </row>
    <row r="959" spans="1:4" ht="12.75" customHeight="1" x14ac:dyDescent="0.2">
      <c r="A959" s="107"/>
      <c r="B959" s="132"/>
      <c r="C959" s="133"/>
      <c r="D959" s="1"/>
    </row>
    <row r="960" spans="1:4" ht="12.75" customHeight="1" x14ac:dyDescent="0.2">
      <c r="A960" s="107"/>
      <c r="B960" s="132"/>
      <c r="C960" s="133"/>
      <c r="D960" s="1"/>
    </row>
    <row r="961" spans="1:4" ht="12.75" customHeight="1" x14ac:dyDescent="0.2">
      <c r="A961" s="107"/>
      <c r="B961" s="132"/>
      <c r="C961" s="133"/>
      <c r="D961" s="1"/>
    </row>
    <row r="962" spans="1:4" ht="12.75" customHeight="1" x14ac:dyDescent="0.2">
      <c r="A962" s="107"/>
      <c r="B962" s="132"/>
      <c r="C962" s="133"/>
      <c r="D962" s="1"/>
    </row>
    <row r="963" spans="1:4" ht="12.75" customHeight="1" x14ac:dyDescent="0.2">
      <c r="A963" s="107"/>
      <c r="B963" s="132"/>
      <c r="C963" s="133"/>
      <c r="D963" s="1"/>
    </row>
    <row r="964" spans="1:4" ht="12.75" customHeight="1" x14ac:dyDescent="0.2">
      <c r="A964" s="107"/>
      <c r="B964" s="132"/>
      <c r="C964" s="133"/>
      <c r="D964" s="1"/>
    </row>
    <row r="965" spans="1:4" ht="12.75" customHeight="1" x14ac:dyDescent="0.2">
      <c r="A965" s="107"/>
      <c r="B965" s="132"/>
      <c r="C965" s="133"/>
      <c r="D965" s="1"/>
    </row>
    <row r="966" spans="1:4" ht="12.75" customHeight="1" x14ac:dyDescent="0.2">
      <c r="A966" s="107"/>
      <c r="B966" s="132"/>
      <c r="C966" s="133"/>
      <c r="D966" s="1"/>
    </row>
    <row r="967" spans="1:4" ht="12.75" customHeight="1" x14ac:dyDescent="0.2">
      <c r="A967" s="107"/>
      <c r="B967" s="132"/>
      <c r="C967" s="133"/>
      <c r="D967" s="1"/>
    </row>
    <row r="968" spans="1:4" ht="12.75" customHeight="1" x14ac:dyDescent="0.2">
      <c r="A968" s="107"/>
      <c r="B968" s="132"/>
      <c r="C968" s="133"/>
      <c r="D968" s="1"/>
    </row>
    <row r="969" spans="1:4" ht="12.75" customHeight="1" x14ac:dyDescent="0.2">
      <c r="A969" s="107"/>
      <c r="B969" s="132"/>
      <c r="C969" s="133"/>
      <c r="D969" s="1"/>
    </row>
    <row r="970" spans="1:4" ht="12.75" customHeight="1" x14ac:dyDescent="0.2">
      <c r="A970" s="107"/>
      <c r="B970" s="132"/>
      <c r="C970" s="133"/>
      <c r="D970" s="1"/>
    </row>
    <row r="971" spans="1:4" ht="12.75" customHeight="1" x14ac:dyDescent="0.2">
      <c r="A971" s="107"/>
      <c r="B971" s="132"/>
      <c r="C971" s="133"/>
      <c r="D971" s="1"/>
    </row>
    <row r="972" spans="1:4" ht="12.75" customHeight="1" x14ac:dyDescent="0.2">
      <c r="A972" s="107"/>
      <c r="B972" s="132"/>
      <c r="C972" s="133"/>
      <c r="D972" s="1"/>
    </row>
    <row r="973" spans="1:4" ht="12.75" customHeight="1" x14ac:dyDescent="0.2">
      <c r="A973" s="107"/>
      <c r="B973" s="132"/>
      <c r="C973" s="133"/>
      <c r="D973" s="1"/>
    </row>
    <row r="974" spans="1:4" ht="12.75" customHeight="1" x14ac:dyDescent="0.2">
      <c r="A974" s="107"/>
      <c r="B974" s="132"/>
      <c r="C974" s="133"/>
      <c r="D974" s="1"/>
    </row>
    <row r="975" spans="1:4" ht="12.75" customHeight="1" x14ac:dyDescent="0.2">
      <c r="A975" s="107"/>
      <c r="B975" s="132"/>
      <c r="C975" s="133"/>
      <c r="D975" s="1"/>
    </row>
    <row r="976" spans="1:4" ht="12.75" customHeight="1" x14ac:dyDescent="0.2">
      <c r="A976" s="107"/>
      <c r="B976" s="132"/>
      <c r="C976" s="133"/>
      <c r="D976" s="1"/>
    </row>
    <row r="977" spans="1:4" ht="12.75" customHeight="1" x14ac:dyDescent="0.2">
      <c r="A977" s="107"/>
      <c r="B977" s="132"/>
      <c r="C977" s="133"/>
      <c r="D977" s="1"/>
    </row>
    <row r="978" spans="1:4" ht="12.75" customHeight="1" x14ac:dyDescent="0.2">
      <c r="A978" s="107"/>
      <c r="B978" s="132"/>
      <c r="C978" s="133"/>
      <c r="D978" s="1"/>
    </row>
    <row r="979" spans="1:4" ht="12.75" customHeight="1" x14ac:dyDescent="0.2">
      <c r="A979" s="107"/>
      <c r="B979" s="132"/>
      <c r="C979" s="133"/>
      <c r="D979" s="1"/>
    </row>
    <row r="980" spans="1:4" ht="12.75" customHeight="1" x14ac:dyDescent="0.2">
      <c r="A980" s="107"/>
      <c r="B980" s="132"/>
      <c r="C980" s="133"/>
      <c r="D980" s="1"/>
    </row>
    <row r="981" spans="1:4" ht="12.75" customHeight="1" x14ac:dyDescent="0.2">
      <c r="A981" s="107"/>
      <c r="B981" s="132"/>
      <c r="C981" s="133"/>
      <c r="D981" s="1"/>
    </row>
    <row r="982" spans="1:4" ht="12.75" customHeight="1" x14ac:dyDescent="0.2">
      <c r="A982" s="107"/>
      <c r="B982" s="132"/>
      <c r="C982" s="133"/>
      <c r="D982" s="1"/>
    </row>
    <row r="983" spans="1:4" ht="12.75" customHeight="1" x14ac:dyDescent="0.2">
      <c r="A983" s="107"/>
      <c r="B983" s="132"/>
      <c r="C983" s="133"/>
      <c r="D983" s="1"/>
    </row>
    <row r="984" spans="1:4" ht="12.75" customHeight="1" x14ac:dyDescent="0.2">
      <c r="A984" s="107"/>
      <c r="B984" s="132"/>
      <c r="C984" s="133"/>
      <c r="D984" s="1"/>
    </row>
    <row r="985" spans="1:4" ht="12.75" customHeight="1" x14ac:dyDescent="0.2">
      <c r="A985" s="107"/>
      <c r="B985" s="132"/>
      <c r="C985" s="133"/>
      <c r="D985" s="1"/>
    </row>
    <row r="986" spans="1:4" ht="12.75" customHeight="1" x14ac:dyDescent="0.2">
      <c r="A986" s="107"/>
      <c r="B986" s="132"/>
      <c r="C986" s="133"/>
      <c r="D986" s="1"/>
    </row>
    <row r="987" spans="1:4" ht="12.75" customHeight="1" x14ac:dyDescent="0.2">
      <c r="A987" s="107"/>
      <c r="B987" s="132"/>
      <c r="C987" s="133"/>
      <c r="D987" s="1"/>
    </row>
    <row r="988" spans="1:4" ht="12.75" customHeight="1" x14ac:dyDescent="0.2">
      <c r="A988" s="107"/>
      <c r="B988" s="132"/>
      <c r="C988" s="133"/>
      <c r="D988" s="1"/>
    </row>
    <row r="989" spans="1:4" ht="12.75" customHeight="1" x14ac:dyDescent="0.2">
      <c r="A989" s="107"/>
      <c r="B989" s="132"/>
      <c r="C989" s="133"/>
      <c r="D989" s="1"/>
    </row>
    <row r="990" spans="1:4" ht="12.75" customHeight="1" x14ac:dyDescent="0.2">
      <c r="A990" s="107"/>
      <c r="B990" s="132"/>
      <c r="C990" s="133"/>
      <c r="D990" s="1"/>
    </row>
    <row r="991" spans="1:4" ht="12.75" customHeight="1" x14ac:dyDescent="0.2">
      <c r="A991" s="107"/>
      <c r="B991" s="132"/>
      <c r="C991" s="133"/>
      <c r="D991" s="1"/>
    </row>
    <row r="992" spans="1:4" ht="12.75" customHeight="1" x14ac:dyDescent="0.2">
      <c r="A992" s="107"/>
      <c r="B992" s="132"/>
      <c r="C992" s="133"/>
      <c r="D992" s="1"/>
    </row>
    <row r="993" spans="1:4" ht="12.75" customHeight="1" x14ac:dyDescent="0.2">
      <c r="A993" s="107"/>
      <c r="B993" s="132"/>
      <c r="C993" s="133"/>
      <c r="D993" s="1"/>
    </row>
    <row r="994" spans="1:4" ht="12.75" customHeight="1" x14ac:dyDescent="0.2">
      <c r="A994" s="107"/>
      <c r="B994" s="132"/>
      <c r="C994" s="133"/>
      <c r="D994" s="1"/>
    </row>
    <row r="995" spans="1:4" ht="12.75" customHeight="1" x14ac:dyDescent="0.2">
      <c r="A995" s="107"/>
      <c r="B995" s="132"/>
      <c r="C995" s="133"/>
      <c r="D995" s="1"/>
    </row>
    <row r="996" spans="1:4" ht="12.75" customHeight="1" x14ac:dyDescent="0.2">
      <c r="A996" s="107"/>
      <c r="B996" s="132"/>
      <c r="C996" s="133"/>
      <c r="D996" s="1"/>
    </row>
    <row r="997" spans="1:4" ht="12.75" customHeight="1" x14ac:dyDescent="0.2">
      <c r="A997" s="107"/>
      <c r="B997" s="132"/>
      <c r="C997" s="133"/>
      <c r="D997" s="1"/>
    </row>
    <row r="998" spans="1:4" ht="12.75" customHeight="1" x14ac:dyDescent="0.2">
      <c r="A998" s="107"/>
      <c r="B998" s="132"/>
      <c r="C998" s="133"/>
      <c r="D998" s="1"/>
    </row>
    <row r="999" spans="1:4" ht="12.75" customHeight="1" x14ac:dyDescent="0.2">
      <c r="A999" s="107"/>
      <c r="B999" s="132"/>
      <c r="C999" s="133"/>
      <c r="D999" s="1"/>
    </row>
    <row r="1000" spans="1:4" ht="12.75" customHeight="1" x14ac:dyDescent="0.2">
      <c r="A1000" s="107"/>
      <c r="B1000" s="132"/>
      <c r="C1000" s="133"/>
      <c r="D1000" s="1"/>
    </row>
  </sheetData>
  <customSheetViews>
    <customSheetView guid="{A1062AEC-4503-4894-A1CA-D2E6C43956FD}" filter="1" showAutoFilter="1">
      <pageMargins left="0" right="0" top="0" bottom="0" header="0" footer="0"/>
      <autoFilter ref="B1:D1" xr:uid="{EED0D6B7-E7D2-4750-B6AD-AE554A7788CC}"/>
      <extLst>
        <ext uri="GoogleSheetsCustomDataVersion1">
          <go:sheetsCustomData xmlns:go="http://customooxmlschemas.google.com/" filterViewId="1480946828"/>
        </ext>
      </extLst>
    </customSheetView>
  </customSheetView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baseColWidth="10" defaultColWidth="12.5703125" defaultRowHeight="15" customHeight="1" x14ac:dyDescent="0.2"/>
  <cols>
    <col min="1" max="1" width="39.28515625" customWidth="1"/>
    <col min="2" max="4" width="11.42578125" customWidth="1"/>
    <col min="5" max="5" width="24.140625" customWidth="1"/>
    <col min="6" max="6" width="11.42578125" customWidth="1"/>
    <col min="7" max="26" width="10.7109375" customWidth="1"/>
  </cols>
  <sheetData>
    <row r="1" spans="1:26" ht="12.75" customHeight="1" x14ac:dyDescent="0.2">
      <c r="A1" s="184" t="s">
        <v>276</v>
      </c>
      <c r="B1" s="135"/>
      <c r="C1" s="135"/>
      <c r="D1" s="135"/>
      <c r="E1" s="136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</row>
    <row r="2" spans="1:26" ht="33.75" customHeight="1" x14ac:dyDescent="0.2">
      <c r="A2" s="66"/>
      <c r="B2" s="98" t="s">
        <v>277</v>
      </c>
      <c r="C2" s="99" t="s">
        <v>278</v>
      </c>
      <c r="D2" s="98" t="s">
        <v>279</v>
      </c>
      <c r="E2" s="66" t="s">
        <v>280</v>
      </c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</row>
    <row r="3" spans="1:26" ht="12.75" customHeight="1" x14ac:dyDescent="0.2">
      <c r="A3" s="100" t="s">
        <v>281</v>
      </c>
      <c r="B3" s="101" t="s">
        <v>103</v>
      </c>
      <c r="C3" s="66">
        <v>1900</v>
      </c>
      <c r="D3" s="66">
        <v>450</v>
      </c>
      <c r="E3" s="66">
        <f t="shared" ref="E3:E30" si="0">C3*D3</f>
        <v>855000</v>
      </c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</row>
    <row r="4" spans="1:26" ht="12.75" customHeight="1" x14ac:dyDescent="0.2">
      <c r="A4" s="100" t="s">
        <v>282</v>
      </c>
      <c r="B4" s="101" t="s">
        <v>103</v>
      </c>
      <c r="C4" s="66">
        <v>1380</v>
      </c>
      <c r="D4" s="66">
        <v>100</v>
      </c>
      <c r="E4" s="66">
        <f t="shared" si="0"/>
        <v>138000</v>
      </c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</row>
    <row r="5" spans="1:26" ht="12.75" customHeight="1" x14ac:dyDescent="0.2">
      <c r="A5" s="100" t="s">
        <v>283</v>
      </c>
      <c r="B5" s="102" t="s">
        <v>284</v>
      </c>
      <c r="C5" s="66">
        <v>9860</v>
      </c>
      <c r="D5" s="66">
        <v>20</v>
      </c>
      <c r="E5" s="66">
        <f t="shared" si="0"/>
        <v>197200</v>
      </c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</row>
    <row r="6" spans="1:26" ht="12.75" customHeight="1" x14ac:dyDescent="0.2">
      <c r="A6" s="100" t="s">
        <v>285</v>
      </c>
      <c r="B6" s="102" t="s">
        <v>284</v>
      </c>
      <c r="C6" s="66">
        <v>10500</v>
      </c>
      <c r="D6" s="66">
        <v>20</v>
      </c>
      <c r="E6" s="66">
        <f t="shared" si="0"/>
        <v>210000</v>
      </c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</row>
    <row r="7" spans="1:26" ht="12.75" customHeight="1" x14ac:dyDescent="0.2">
      <c r="A7" s="100" t="s">
        <v>286</v>
      </c>
      <c r="B7" s="102" t="s">
        <v>284</v>
      </c>
      <c r="C7" s="66">
        <v>5800</v>
      </c>
      <c r="D7" s="66">
        <v>20</v>
      </c>
      <c r="E7" s="66">
        <f t="shared" si="0"/>
        <v>116000</v>
      </c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</row>
    <row r="8" spans="1:26" ht="12.75" customHeight="1" x14ac:dyDescent="0.2">
      <c r="A8" s="100" t="s">
        <v>287</v>
      </c>
      <c r="B8" s="102" t="s">
        <v>284</v>
      </c>
      <c r="C8" s="66">
        <v>27840</v>
      </c>
      <c r="D8" s="66">
        <v>10</v>
      </c>
      <c r="E8" s="66">
        <f t="shared" si="0"/>
        <v>278400</v>
      </c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</row>
    <row r="9" spans="1:26" ht="12.75" customHeight="1" x14ac:dyDescent="0.2">
      <c r="A9" s="100" t="s">
        <v>288</v>
      </c>
      <c r="B9" s="102" t="s">
        <v>289</v>
      </c>
      <c r="C9" s="66">
        <v>406</v>
      </c>
      <c r="D9" s="66">
        <v>500</v>
      </c>
      <c r="E9" s="66">
        <f t="shared" si="0"/>
        <v>203000</v>
      </c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</row>
    <row r="10" spans="1:26" ht="12.75" customHeight="1" x14ac:dyDescent="0.2">
      <c r="A10" s="100" t="s">
        <v>290</v>
      </c>
      <c r="B10" s="103" t="s">
        <v>291</v>
      </c>
      <c r="C10" s="66">
        <v>34.799999999999997</v>
      </c>
      <c r="D10" s="66">
        <v>500</v>
      </c>
      <c r="E10" s="66">
        <f t="shared" si="0"/>
        <v>17400</v>
      </c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</row>
    <row r="11" spans="1:26" ht="12.75" customHeight="1" x14ac:dyDescent="0.2">
      <c r="A11" s="100" t="s">
        <v>292</v>
      </c>
      <c r="B11" s="102" t="s">
        <v>293</v>
      </c>
      <c r="C11" s="66">
        <v>1774.8</v>
      </c>
      <c r="D11" s="66">
        <v>150</v>
      </c>
      <c r="E11" s="66">
        <f t="shared" si="0"/>
        <v>266220</v>
      </c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</row>
    <row r="12" spans="1:26" ht="12.75" customHeight="1" x14ac:dyDescent="0.2">
      <c r="A12" s="100" t="s">
        <v>294</v>
      </c>
      <c r="B12" s="102" t="s">
        <v>295</v>
      </c>
      <c r="C12" s="66">
        <v>17840.669999999998</v>
      </c>
      <c r="D12" s="66">
        <v>12</v>
      </c>
      <c r="E12" s="66">
        <f t="shared" si="0"/>
        <v>214088.03999999998</v>
      </c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</row>
    <row r="13" spans="1:26" ht="12.75" customHeight="1" x14ac:dyDescent="0.2">
      <c r="A13" s="100" t="s">
        <v>296</v>
      </c>
      <c r="B13" s="102" t="s">
        <v>295</v>
      </c>
      <c r="C13" s="66">
        <v>22573.599999999999</v>
      </c>
      <c r="D13" s="66">
        <v>24</v>
      </c>
      <c r="E13" s="66">
        <f t="shared" si="0"/>
        <v>541766.39999999991</v>
      </c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</row>
    <row r="14" spans="1:26" ht="12.75" customHeight="1" x14ac:dyDescent="0.2">
      <c r="A14" s="100" t="s">
        <v>297</v>
      </c>
      <c r="B14" s="102" t="s">
        <v>295</v>
      </c>
      <c r="C14" s="66">
        <v>11321.6</v>
      </c>
      <c r="D14" s="66">
        <v>24</v>
      </c>
      <c r="E14" s="66">
        <f t="shared" si="0"/>
        <v>271718.40000000002</v>
      </c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</row>
    <row r="15" spans="1:26" ht="12.75" customHeight="1" x14ac:dyDescent="0.2">
      <c r="A15" s="100" t="s">
        <v>298</v>
      </c>
      <c r="B15" s="101" t="s">
        <v>103</v>
      </c>
      <c r="C15" s="66">
        <v>4988</v>
      </c>
      <c r="D15" s="66">
        <v>200</v>
      </c>
      <c r="E15" s="66">
        <f t="shared" si="0"/>
        <v>997600</v>
      </c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</row>
    <row r="16" spans="1:26" ht="12.75" customHeight="1" x14ac:dyDescent="0.2">
      <c r="A16" s="100" t="s">
        <v>299</v>
      </c>
      <c r="B16" s="104" t="s">
        <v>114</v>
      </c>
      <c r="C16" s="66">
        <v>2900</v>
      </c>
      <c r="D16" s="66">
        <v>200</v>
      </c>
      <c r="E16" s="66">
        <f t="shared" si="0"/>
        <v>580000</v>
      </c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</row>
    <row r="17" spans="1:26" ht="12.75" customHeight="1" x14ac:dyDescent="0.2">
      <c r="A17" s="100" t="s">
        <v>300</v>
      </c>
      <c r="B17" s="101" t="s">
        <v>103</v>
      </c>
      <c r="C17" s="66">
        <v>812</v>
      </c>
      <c r="D17" s="66">
        <v>600</v>
      </c>
      <c r="E17" s="66">
        <f t="shared" si="0"/>
        <v>487200</v>
      </c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</row>
    <row r="18" spans="1:26" ht="12.75" customHeight="1" x14ac:dyDescent="0.2">
      <c r="A18" s="100" t="s">
        <v>301</v>
      </c>
      <c r="B18" s="101" t="s">
        <v>103</v>
      </c>
      <c r="C18" s="66">
        <v>9000</v>
      </c>
      <c r="D18" s="66">
        <v>200</v>
      </c>
      <c r="E18" s="66">
        <f t="shared" si="0"/>
        <v>1800000</v>
      </c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</row>
    <row r="19" spans="1:26" ht="12.75" customHeight="1" x14ac:dyDescent="0.2">
      <c r="A19" s="100" t="s">
        <v>302</v>
      </c>
      <c r="B19" s="105" t="s">
        <v>303</v>
      </c>
      <c r="C19" s="66">
        <v>7000</v>
      </c>
      <c r="D19" s="66">
        <v>1</v>
      </c>
      <c r="E19" s="66">
        <f t="shared" si="0"/>
        <v>7000</v>
      </c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</row>
    <row r="20" spans="1:26" ht="12.75" customHeight="1" x14ac:dyDescent="0.2">
      <c r="A20" s="100" t="s">
        <v>304</v>
      </c>
      <c r="B20" s="105" t="s">
        <v>303</v>
      </c>
      <c r="C20" s="66">
        <v>6700</v>
      </c>
      <c r="D20" s="66">
        <v>1</v>
      </c>
      <c r="E20" s="66">
        <f t="shared" si="0"/>
        <v>6700</v>
      </c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</row>
    <row r="21" spans="1:26" ht="12.75" customHeight="1" x14ac:dyDescent="0.2">
      <c r="A21" s="100" t="s">
        <v>305</v>
      </c>
      <c r="B21" s="105" t="s">
        <v>303</v>
      </c>
      <c r="C21" s="66">
        <v>6400</v>
      </c>
      <c r="D21" s="66">
        <v>1</v>
      </c>
      <c r="E21" s="66">
        <f t="shared" si="0"/>
        <v>6400</v>
      </c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</row>
    <row r="22" spans="1:26" ht="12.75" customHeight="1" x14ac:dyDescent="0.2">
      <c r="A22" s="100" t="s">
        <v>306</v>
      </c>
      <c r="B22" s="105" t="s">
        <v>303</v>
      </c>
      <c r="C22" s="66">
        <v>7000</v>
      </c>
      <c r="D22" s="66">
        <v>1</v>
      </c>
      <c r="E22" s="66">
        <f t="shared" si="0"/>
        <v>7000</v>
      </c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</row>
    <row r="23" spans="1:26" ht="12.75" customHeight="1" x14ac:dyDescent="0.2">
      <c r="A23" s="100" t="s">
        <v>307</v>
      </c>
      <c r="B23" s="105" t="s">
        <v>303</v>
      </c>
      <c r="C23" s="66">
        <v>6700</v>
      </c>
      <c r="D23" s="66">
        <v>1</v>
      </c>
      <c r="E23" s="66">
        <f t="shared" si="0"/>
        <v>6700</v>
      </c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</row>
    <row r="24" spans="1:26" ht="12.75" customHeight="1" x14ac:dyDescent="0.2">
      <c r="A24" s="100" t="s">
        <v>308</v>
      </c>
      <c r="B24" s="105" t="s">
        <v>303</v>
      </c>
      <c r="C24" s="66">
        <v>6400</v>
      </c>
      <c r="D24" s="66">
        <v>1</v>
      </c>
      <c r="E24" s="66">
        <f t="shared" si="0"/>
        <v>6400</v>
      </c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</row>
    <row r="25" spans="1:26" ht="12.75" customHeight="1" x14ac:dyDescent="0.2">
      <c r="A25" s="100" t="s">
        <v>309</v>
      </c>
      <c r="B25" s="105" t="s">
        <v>303</v>
      </c>
      <c r="C25" s="66">
        <v>22000</v>
      </c>
      <c r="D25" s="66">
        <v>1</v>
      </c>
      <c r="E25" s="66">
        <f t="shared" si="0"/>
        <v>22000</v>
      </c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</row>
    <row r="26" spans="1:26" ht="12.75" customHeight="1" x14ac:dyDescent="0.2">
      <c r="A26" s="100" t="s">
        <v>310</v>
      </c>
      <c r="B26" s="105" t="s">
        <v>303</v>
      </c>
      <c r="C26" s="66">
        <v>18000</v>
      </c>
      <c r="D26" s="66">
        <v>1</v>
      </c>
      <c r="E26" s="66">
        <f t="shared" si="0"/>
        <v>18000</v>
      </c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</row>
    <row r="27" spans="1:26" ht="12.75" customHeight="1" x14ac:dyDescent="0.2">
      <c r="A27" s="100" t="s">
        <v>311</v>
      </c>
      <c r="B27" s="105" t="s">
        <v>303</v>
      </c>
      <c r="C27" s="66">
        <v>20000</v>
      </c>
      <c r="D27" s="66">
        <v>1</v>
      </c>
      <c r="E27" s="66">
        <f t="shared" si="0"/>
        <v>20000</v>
      </c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</row>
    <row r="28" spans="1:26" ht="12.75" customHeight="1" x14ac:dyDescent="0.2">
      <c r="A28" s="100" t="s">
        <v>312</v>
      </c>
      <c r="B28" s="105" t="s">
        <v>303</v>
      </c>
      <c r="C28" s="66">
        <v>22000</v>
      </c>
      <c r="D28" s="66">
        <v>1</v>
      </c>
      <c r="E28" s="66">
        <f t="shared" si="0"/>
        <v>22000</v>
      </c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</row>
    <row r="29" spans="1:26" ht="12.75" customHeight="1" x14ac:dyDescent="0.2">
      <c r="A29" s="100" t="s">
        <v>313</v>
      </c>
      <c r="B29" s="105" t="s">
        <v>303</v>
      </c>
      <c r="C29" s="66">
        <v>20000</v>
      </c>
      <c r="D29" s="66">
        <v>1</v>
      </c>
      <c r="E29" s="66">
        <f t="shared" si="0"/>
        <v>20000</v>
      </c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</row>
    <row r="30" spans="1:26" ht="12.75" customHeight="1" x14ac:dyDescent="0.2">
      <c r="A30" s="100" t="s">
        <v>310</v>
      </c>
      <c r="B30" s="105" t="s">
        <v>303</v>
      </c>
      <c r="C30" s="66">
        <v>18000</v>
      </c>
      <c r="D30" s="66">
        <v>1</v>
      </c>
      <c r="E30" s="66">
        <f t="shared" si="0"/>
        <v>18000</v>
      </c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</row>
    <row r="31" spans="1:26" ht="32.25" customHeight="1" x14ac:dyDescent="0.3">
      <c r="A31" s="107"/>
      <c r="B31" s="185" t="s">
        <v>280</v>
      </c>
      <c r="C31" s="178"/>
      <c r="D31" s="158"/>
      <c r="E31" s="106">
        <f>SUM(E3:E30)</f>
        <v>7333792.8399999999</v>
      </c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</row>
    <row r="32" spans="1:26" ht="12.75" customHeight="1" x14ac:dyDescent="0.2">
      <c r="A32" s="107"/>
      <c r="B32" s="107"/>
      <c r="C32" s="107"/>
      <c r="D32" s="107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</row>
    <row r="33" spans="1:26" ht="12.75" customHeight="1" x14ac:dyDescent="0.2">
      <c r="A33" s="107"/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</row>
    <row r="34" spans="1:26" ht="12.75" customHeight="1" x14ac:dyDescent="0.2">
      <c r="A34" s="186" t="s">
        <v>314</v>
      </c>
      <c r="B34" s="140"/>
      <c r="C34" s="140"/>
      <c r="D34" s="140"/>
      <c r="E34" s="140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</row>
    <row r="35" spans="1:26" ht="12.75" customHeight="1" x14ac:dyDescent="0.2">
      <c r="A35" s="140"/>
      <c r="B35" s="146"/>
      <c r="C35" s="146"/>
      <c r="D35" s="146"/>
      <c r="E35" s="140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</row>
    <row r="36" spans="1:26" ht="12.75" customHeight="1" x14ac:dyDescent="0.2">
      <c r="A36" s="140"/>
      <c r="B36" s="140"/>
      <c r="C36" s="140"/>
      <c r="D36" s="140"/>
      <c r="E36" s="140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</row>
    <row r="37" spans="1:26" ht="12.75" customHeight="1" x14ac:dyDescent="0.2">
      <c r="A37" s="107"/>
      <c r="B37" s="107"/>
      <c r="C37" s="107"/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</row>
    <row r="38" spans="1:26" ht="12.75" customHeight="1" x14ac:dyDescent="0.2">
      <c r="A38" s="107"/>
      <c r="B38" s="107"/>
      <c r="C38" s="107"/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</row>
    <row r="39" spans="1:26" ht="12.75" customHeight="1" x14ac:dyDescent="0.2">
      <c r="A39" s="107"/>
      <c r="B39" s="107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</row>
    <row r="40" spans="1:26" ht="12.75" customHeight="1" x14ac:dyDescent="0.2">
      <c r="A40" s="107"/>
      <c r="B40" s="107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</row>
    <row r="41" spans="1:26" ht="12.75" customHeight="1" x14ac:dyDescent="0.2">
      <c r="A41" s="107"/>
      <c r="B41" s="107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</row>
    <row r="42" spans="1:26" ht="12.75" customHeight="1" x14ac:dyDescent="0.2">
      <c r="A42" s="107"/>
      <c r="B42" s="107"/>
      <c r="C42" s="107"/>
      <c r="D42" s="107"/>
      <c r="E42" s="107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</row>
    <row r="43" spans="1:26" ht="12.75" customHeight="1" x14ac:dyDescent="0.2">
      <c r="A43" s="107"/>
      <c r="B43" s="107"/>
      <c r="C43" s="107"/>
      <c r="D43" s="107"/>
      <c r="E43" s="107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</row>
    <row r="44" spans="1:26" ht="12.75" customHeight="1" x14ac:dyDescent="0.2">
      <c r="A44" s="107"/>
      <c r="B44" s="107"/>
      <c r="C44" s="107"/>
      <c r="D44" s="107"/>
      <c r="E44" s="107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</row>
    <row r="45" spans="1:26" ht="12.75" customHeight="1" x14ac:dyDescent="0.2">
      <c r="A45" s="107"/>
      <c r="B45" s="107"/>
      <c r="C45" s="107"/>
      <c r="D45" s="107"/>
      <c r="E45" s="107"/>
      <c r="F45" s="107"/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</row>
    <row r="46" spans="1:26" ht="12.75" customHeight="1" x14ac:dyDescent="0.2">
      <c r="A46" s="107"/>
      <c r="B46" s="107"/>
      <c r="C46" s="107"/>
      <c r="D46" s="107"/>
      <c r="E46" s="107"/>
      <c r="F46" s="107"/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</row>
    <row r="47" spans="1:26" ht="12.75" customHeight="1" x14ac:dyDescent="0.2">
      <c r="A47" s="107"/>
      <c r="B47" s="107"/>
      <c r="C47" s="107"/>
      <c r="D47" s="107"/>
      <c r="E47" s="107"/>
      <c r="F47" s="107"/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</row>
    <row r="48" spans="1:26" ht="12.75" customHeight="1" x14ac:dyDescent="0.2">
      <c r="A48" s="107"/>
      <c r="B48" s="107"/>
      <c r="C48" s="107"/>
      <c r="D48" s="107"/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</row>
    <row r="49" spans="1:26" ht="12.75" customHeight="1" x14ac:dyDescent="0.2">
      <c r="A49" s="107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</row>
    <row r="50" spans="1:26" ht="12.75" customHeight="1" x14ac:dyDescent="0.2">
      <c r="A50" s="107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</row>
    <row r="51" spans="1:26" ht="12.75" customHeight="1" x14ac:dyDescent="0.2">
      <c r="A51" s="107"/>
      <c r="B51" s="107"/>
      <c r="C51" s="107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</row>
    <row r="52" spans="1:26" ht="12.75" customHeight="1" x14ac:dyDescent="0.2">
      <c r="A52" s="107"/>
      <c r="B52" s="107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</row>
    <row r="53" spans="1:26" ht="12.75" customHeight="1" x14ac:dyDescent="0.2">
      <c r="A53" s="107"/>
      <c r="B53" s="107"/>
      <c r="C53" s="107"/>
      <c r="D53" s="107"/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</row>
    <row r="54" spans="1:26" ht="12.75" customHeight="1" x14ac:dyDescent="0.2">
      <c r="A54" s="107"/>
      <c r="B54" s="107"/>
      <c r="C54" s="107"/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</row>
    <row r="55" spans="1:26" ht="12.75" customHeight="1" x14ac:dyDescent="0.2">
      <c r="A55" s="107"/>
      <c r="B55" s="107"/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</row>
    <row r="56" spans="1:26" ht="12.75" customHeight="1" x14ac:dyDescent="0.2">
      <c r="A56" s="107"/>
      <c r="B56" s="107"/>
      <c r="C56" s="107"/>
      <c r="D56" s="107"/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</row>
    <row r="57" spans="1:26" ht="12.75" customHeight="1" x14ac:dyDescent="0.2">
      <c r="A57" s="107"/>
      <c r="B57" s="107"/>
      <c r="C57" s="107"/>
      <c r="D57" s="107"/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</row>
    <row r="58" spans="1:26" ht="12.75" customHeight="1" x14ac:dyDescent="0.2">
      <c r="A58" s="107"/>
      <c r="B58" s="107"/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</row>
    <row r="59" spans="1:26" ht="12.75" customHeight="1" x14ac:dyDescent="0.2">
      <c r="A59" s="107"/>
      <c r="B59" s="107"/>
      <c r="C59" s="107"/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</row>
    <row r="60" spans="1:26" ht="12.75" customHeight="1" x14ac:dyDescent="0.2">
      <c r="A60" s="107"/>
      <c r="B60" s="107"/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</row>
    <row r="61" spans="1:26" ht="12.75" customHeight="1" x14ac:dyDescent="0.2">
      <c r="A61" s="107"/>
      <c r="B61" s="107"/>
      <c r="C61" s="107"/>
      <c r="D61" s="107"/>
      <c r="E61" s="107"/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</row>
    <row r="62" spans="1:26" ht="12.75" customHeight="1" x14ac:dyDescent="0.2">
      <c r="A62" s="107"/>
      <c r="B62" s="107"/>
      <c r="C62" s="107"/>
      <c r="D62" s="107"/>
      <c r="E62" s="107"/>
      <c r="F62" s="107"/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</row>
    <row r="63" spans="1:26" ht="12.75" customHeight="1" x14ac:dyDescent="0.2">
      <c r="A63" s="107"/>
      <c r="B63" s="107"/>
      <c r="C63" s="107"/>
      <c r="D63" s="107"/>
      <c r="E63" s="107"/>
      <c r="F63" s="107"/>
      <c r="G63" s="107"/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</row>
    <row r="64" spans="1:26" ht="12.75" customHeight="1" x14ac:dyDescent="0.2">
      <c r="A64" s="107"/>
      <c r="B64" s="107"/>
      <c r="C64" s="107"/>
      <c r="D64" s="107"/>
      <c r="E64" s="107"/>
      <c r="F64" s="107"/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</row>
    <row r="65" spans="1:26" ht="12.75" customHeight="1" x14ac:dyDescent="0.2">
      <c r="A65" s="107"/>
      <c r="B65" s="107"/>
      <c r="C65" s="107"/>
      <c r="D65" s="107"/>
      <c r="E65" s="107"/>
      <c r="F65" s="107"/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</row>
    <row r="66" spans="1:26" ht="12.75" customHeight="1" x14ac:dyDescent="0.2">
      <c r="A66" s="107"/>
      <c r="B66" s="107"/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</row>
    <row r="67" spans="1:26" ht="12.75" customHeight="1" x14ac:dyDescent="0.2">
      <c r="A67" s="107"/>
      <c r="B67" s="107"/>
      <c r="C67" s="107"/>
      <c r="D67" s="107"/>
      <c r="E67" s="107"/>
      <c r="F67" s="107"/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</row>
    <row r="68" spans="1:26" ht="12.75" customHeight="1" x14ac:dyDescent="0.2">
      <c r="A68" s="107"/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</row>
    <row r="69" spans="1:26" ht="12.75" customHeight="1" x14ac:dyDescent="0.2">
      <c r="A69" s="107"/>
      <c r="B69" s="107"/>
      <c r="C69" s="107"/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</row>
    <row r="70" spans="1:26" ht="12.75" customHeight="1" x14ac:dyDescent="0.2">
      <c r="A70" s="107"/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</row>
    <row r="71" spans="1:26" ht="12.75" customHeight="1" x14ac:dyDescent="0.2">
      <c r="A71" s="107"/>
      <c r="B71" s="107"/>
      <c r="C71" s="107"/>
      <c r="D71" s="107"/>
      <c r="E71" s="107"/>
      <c r="F71" s="107"/>
      <c r="G71" s="107"/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</row>
    <row r="72" spans="1:26" ht="12.75" customHeight="1" x14ac:dyDescent="0.2">
      <c r="A72" s="107"/>
      <c r="B72" s="107"/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</row>
    <row r="73" spans="1:26" ht="12.75" customHeight="1" x14ac:dyDescent="0.2">
      <c r="A73" s="107"/>
      <c r="B73" s="107"/>
      <c r="C73" s="107"/>
      <c r="D73" s="107"/>
      <c r="E73" s="107"/>
      <c r="F73" s="107"/>
      <c r="G73" s="107"/>
      <c r="H73" s="107"/>
      <c r="I73" s="107"/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</row>
    <row r="74" spans="1:26" ht="12.75" customHeight="1" x14ac:dyDescent="0.2">
      <c r="A74" s="107"/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/>
    </row>
    <row r="75" spans="1:26" ht="12.75" customHeight="1" x14ac:dyDescent="0.2">
      <c r="A75" s="107"/>
      <c r="B75" s="107"/>
      <c r="C75" s="107"/>
      <c r="D75" s="107"/>
      <c r="E75" s="107"/>
      <c r="F75" s="107"/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/>
    </row>
    <row r="76" spans="1:26" ht="12.75" customHeight="1" x14ac:dyDescent="0.2">
      <c r="A76" s="107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</row>
    <row r="77" spans="1:26" ht="12.75" customHeight="1" x14ac:dyDescent="0.2">
      <c r="A77" s="107"/>
      <c r="B77" s="107"/>
      <c r="C77" s="107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</row>
    <row r="78" spans="1:26" ht="12.75" customHeight="1" x14ac:dyDescent="0.2">
      <c r="A78" s="107"/>
      <c r="B78" s="107"/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</row>
    <row r="79" spans="1:26" ht="12.75" customHeight="1" x14ac:dyDescent="0.2">
      <c r="A79" s="107"/>
      <c r="B79" s="107"/>
      <c r="C79" s="107"/>
      <c r="D79" s="107"/>
      <c r="E79" s="107"/>
      <c r="F79" s="107"/>
      <c r="G79" s="107"/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</row>
    <row r="80" spans="1:26" ht="12.75" customHeight="1" x14ac:dyDescent="0.2">
      <c r="A80" s="107"/>
      <c r="B80" s="107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</row>
    <row r="81" spans="1:26" ht="12.75" customHeight="1" x14ac:dyDescent="0.2">
      <c r="A81" s="107"/>
      <c r="B81" s="107"/>
      <c r="C81" s="107"/>
      <c r="D81" s="107"/>
      <c r="E81" s="107"/>
      <c r="F81" s="107"/>
      <c r="G81" s="107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7"/>
      <c r="Z81" s="107"/>
    </row>
    <row r="82" spans="1:26" ht="12.75" customHeight="1" x14ac:dyDescent="0.2">
      <c r="A82" s="107"/>
      <c r="B82" s="107"/>
      <c r="C82" s="107"/>
      <c r="D82" s="107"/>
      <c r="E82" s="107"/>
      <c r="F82" s="107"/>
      <c r="G82" s="107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</row>
    <row r="83" spans="1:26" ht="12.75" customHeight="1" x14ac:dyDescent="0.2">
      <c r="A83" s="107"/>
      <c r="B83" s="107"/>
      <c r="C83" s="107"/>
      <c r="D83" s="107"/>
      <c r="E83" s="107"/>
      <c r="F83" s="107"/>
      <c r="G83" s="107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</row>
    <row r="84" spans="1:26" ht="12.75" customHeight="1" x14ac:dyDescent="0.2">
      <c r="A84" s="107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</row>
    <row r="85" spans="1:26" ht="12.75" customHeight="1" x14ac:dyDescent="0.2">
      <c r="A85" s="107"/>
      <c r="B85" s="107"/>
      <c r="C85" s="107"/>
      <c r="D85" s="107"/>
      <c r="E85" s="107"/>
      <c r="F85" s="107"/>
      <c r="G85" s="107"/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</row>
    <row r="86" spans="1:26" ht="12.75" customHeight="1" x14ac:dyDescent="0.2">
      <c r="A86" s="107"/>
      <c r="B86" s="107"/>
      <c r="C86" s="107"/>
      <c r="D86" s="107"/>
      <c r="E86" s="107"/>
      <c r="F86" s="107"/>
      <c r="G86" s="107"/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</row>
    <row r="87" spans="1:26" ht="12.75" customHeight="1" x14ac:dyDescent="0.2">
      <c r="A87" s="107"/>
      <c r="B87" s="107"/>
      <c r="C87" s="107"/>
      <c r="D87" s="107"/>
      <c r="E87" s="107"/>
      <c r="F87" s="107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</row>
    <row r="88" spans="1:26" ht="12.75" customHeight="1" x14ac:dyDescent="0.2">
      <c r="A88" s="107"/>
      <c r="B88" s="107"/>
      <c r="C88" s="107"/>
      <c r="D88" s="107"/>
      <c r="E88" s="107"/>
      <c r="F88" s="107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</row>
    <row r="89" spans="1:26" ht="12.75" customHeight="1" x14ac:dyDescent="0.2">
      <c r="A89" s="107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</row>
    <row r="90" spans="1:26" ht="12.75" customHeight="1" x14ac:dyDescent="0.2">
      <c r="A90" s="107"/>
      <c r="B90" s="107"/>
      <c r="C90" s="107"/>
      <c r="D90" s="107"/>
      <c r="E90" s="107"/>
      <c r="F90" s="107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107"/>
    </row>
    <row r="91" spans="1:26" ht="12.75" customHeight="1" x14ac:dyDescent="0.2">
      <c r="A91" s="107"/>
      <c r="B91" s="107"/>
      <c r="C91" s="107"/>
      <c r="D91" s="107"/>
      <c r="E91" s="107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</row>
    <row r="92" spans="1:26" ht="12.75" customHeight="1" x14ac:dyDescent="0.2">
      <c r="A92" s="107"/>
      <c r="B92" s="107"/>
      <c r="C92" s="107"/>
      <c r="D92" s="107"/>
      <c r="E92" s="107"/>
      <c r="F92" s="107"/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107"/>
    </row>
    <row r="93" spans="1:26" ht="12.75" customHeight="1" x14ac:dyDescent="0.2">
      <c r="A93" s="107"/>
      <c r="B93" s="107"/>
      <c r="C93" s="107"/>
      <c r="D93" s="107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</row>
    <row r="94" spans="1:26" ht="12.75" customHeight="1" x14ac:dyDescent="0.2">
      <c r="A94" s="107"/>
      <c r="B94" s="107"/>
      <c r="C94" s="107"/>
      <c r="D94" s="107"/>
      <c r="E94" s="107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</row>
    <row r="95" spans="1:26" ht="12.75" customHeight="1" x14ac:dyDescent="0.2">
      <c r="A95" s="107"/>
      <c r="B95" s="107"/>
      <c r="C95" s="107"/>
      <c r="D95" s="107"/>
      <c r="E95" s="107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7"/>
    </row>
    <row r="96" spans="1:26" ht="12.75" customHeight="1" x14ac:dyDescent="0.2">
      <c r="A96" s="107"/>
      <c r="B96" s="107"/>
      <c r="C96" s="107"/>
      <c r="D96" s="107"/>
      <c r="E96" s="107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107"/>
    </row>
    <row r="97" spans="1:26" ht="12.75" customHeight="1" x14ac:dyDescent="0.2">
      <c r="A97" s="107"/>
      <c r="B97" s="107"/>
      <c r="C97" s="107"/>
      <c r="D97" s="107"/>
      <c r="E97" s="107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</row>
    <row r="98" spans="1:26" ht="12.75" customHeight="1" x14ac:dyDescent="0.2">
      <c r="A98" s="107"/>
      <c r="B98" s="107"/>
      <c r="C98" s="107"/>
      <c r="D98" s="107"/>
      <c r="E98" s="107"/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</row>
    <row r="99" spans="1:26" ht="12.75" customHeight="1" x14ac:dyDescent="0.2">
      <c r="A99" s="107"/>
      <c r="B99" s="107"/>
      <c r="C99" s="107"/>
      <c r="D99" s="107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</row>
    <row r="100" spans="1:26" ht="12.75" customHeight="1" x14ac:dyDescent="0.2">
      <c r="A100" s="107"/>
      <c r="B100" s="107"/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</row>
    <row r="101" spans="1:26" ht="12.75" customHeight="1" x14ac:dyDescent="0.2">
      <c r="A101" s="107"/>
      <c r="B101" s="107"/>
      <c r="C101" s="107"/>
      <c r="D101" s="107"/>
      <c r="E101" s="107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</row>
    <row r="102" spans="1:26" ht="12.75" customHeight="1" x14ac:dyDescent="0.2">
      <c r="A102" s="107"/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</row>
    <row r="103" spans="1:26" ht="12.75" customHeight="1" x14ac:dyDescent="0.2">
      <c r="A103" s="107"/>
      <c r="B103" s="107"/>
      <c r="C103" s="107"/>
      <c r="D103" s="107"/>
      <c r="E103" s="107"/>
      <c r="F103" s="107"/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</row>
    <row r="104" spans="1:26" ht="12.75" customHeight="1" x14ac:dyDescent="0.2">
      <c r="A104" s="107"/>
      <c r="B104" s="107"/>
      <c r="C104" s="107"/>
      <c r="D104" s="107"/>
      <c r="E104" s="107"/>
      <c r="F104" s="107"/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</row>
    <row r="105" spans="1:26" ht="12.75" customHeight="1" x14ac:dyDescent="0.2">
      <c r="A105" s="107"/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</row>
    <row r="106" spans="1:26" ht="12.75" customHeight="1" x14ac:dyDescent="0.2">
      <c r="A106" s="107"/>
      <c r="B106" s="107"/>
      <c r="C106" s="107"/>
      <c r="D106" s="107"/>
      <c r="E106" s="107"/>
      <c r="F106" s="107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</row>
    <row r="107" spans="1:26" ht="12.75" customHeight="1" x14ac:dyDescent="0.2">
      <c r="A107" s="107"/>
      <c r="B107" s="107"/>
      <c r="C107" s="10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</row>
    <row r="108" spans="1:26" ht="12.75" customHeight="1" x14ac:dyDescent="0.2">
      <c r="A108" s="107"/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</row>
    <row r="109" spans="1:26" ht="12.75" customHeight="1" x14ac:dyDescent="0.2">
      <c r="A109" s="107"/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</row>
    <row r="110" spans="1:26" ht="12.75" customHeight="1" x14ac:dyDescent="0.2">
      <c r="A110" s="107"/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</row>
    <row r="111" spans="1:26" ht="12.75" customHeight="1" x14ac:dyDescent="0.2">
      <c r="A111" s="107"/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</row>
    <row r="112" spans="1:26" ht="12.75" customHeight="1" x14ac:dyDescent="0.2">
      <c r="A112" s="107"/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</row>
    <row r="113" spans="1:26" ht="12.75" customHeight="1" x14ac:dyDescent="0.2">
      <c r="A113" s="107"/>
      <c r="B113" s="107"/>
      <c r="C113" s="107"/>
      <c r="D113" s="107"/>
      <c r="E113" s="107"/>
      <c r="F113" s="107"/>
      <c r="G113" s="107"/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</row>
    <row r="114" spans="1:26" ht="12.75" customHeight="1" x14ac:dyDescent="0.2">
      <c r="A114" s="107"/>
      <c r="B114" s="107"/>
      <c r="C114" s="107"/>
      <c r="D114" s="107"/>
      <c r="E114" s="107"/>
      <c r="F114" s="107"/>
      <c r="G114" s="107"/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</row>
    <row r="115" spans="1:26" ht="12.75" customHeight="1" x14ac:dyDescent="0.2">
      <c r="A115" s="107"/>
      <c r="B115" s="107"/>
      <c r="C115" s="107"/>
      <c r="D115" s="107"/>
      <c r="E115" s="107"/>
      <c r="F115" s="107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</row>
    <row r="116" spans="1:26" ht="12.75" customHeight="1" x14ac:dyDescent="0.2">
      <c r="A116" s="107"/>
      <c r="B116" s="107"/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</row>
    <row r="117" spans="1:26" ht="12.75" customHeight="1" x14ac:dyDescent="0.2">
      <c r="A117" s="107"/>
      <c r="B117" s="107"/>
      <c r="C117" s="107"/>
      <c r="D117" s="107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</row>
    <row r="118" spans="1:26" ht="12.75" customHeight="1" x14ac:dyDescent="0.2">
      <c r="A118" s="107"/>
      <c r="B118" s="107"/>
      <c r="C118" s="107"/>
      <c r="D118" s="107"/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</row>
    <row r="119" spans="1:26" ht="12.75" customHeight="1" x14ac:dyDescent="0.2">
      <c r="A119" s="107"/>
      <c r="B119" s="107"/>
      <c r="C119" s="107"/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</row>
    <row r="120" spans="1:26" ht="12.75" customHeight="1" x14ac:dyDescent="0.2">
      <c r="A120" s="107"/>
      <c r="B120" s="107"/>
      <c r="C120" s="107"/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07"/>
      <c r="Z120" s="107"/>
    </row>
    <row r="121" spans="1:26" ht="12.75" customHeight="1" x14ac:dyDescent="0.2">
      <c r="A121" s="107"/>
      <c r="B121" s="107"/>
      <c r="C121" s="107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  <c r="Y121" s="107"/>
      <c r="Z121" s="107"/>
    </row>
    <row r="122" spans="1:26" ht="12.75" customHeight="1" x14ac:dyDescent="0.2">
      <c r="A122" s="107"/>
      <c r="B122" s="107"/>
      <c r="C122" s="107"/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  <c r="Y122" s="107"/>
      <c r="Z122" s="107"/>
    </row>
    <row r="123" spans="1:26" ht="12.75" customHeight="1" x14ac:dyDescent="0.2">
      <c r="A123" s="107"/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</row>
    <row r="124" spans="1:26" ht="12.75" customHeight="1" x14ac:dyDescent="0.2">
      <c r="A124" s="107"/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</row>
    <row r="125" spans="1:26" ht="12.75" customHeight="1" x14ac:dyDescent="0.2">
      <c r="A125" s="107"/>
      <c r="B125" s="107"/>
      <c r="C125" s="107"/>
      <c r="D125" s="107"/>
      <c r="E125" s="107"/>
      <c r="F125" s="107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</row>
    <row r="126" spans="1:26" ht="12.75" customHeight="1" x14ac:dyDescent="0.2">
      <c r="A126" s="107"/>
      <c r="B126" s="107"/>
      <c r="C126" s="107"/>
      <c r="D126" s="107"/>
      <c r="E126" s="107"/>
      <c r="F126" s="107"/>
      <c r="G126" s="107"/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</row>
    <row r="127" spans="1:26" ht="12.75" customHeight="1" x14ac:dyDescent="0.2">
      <c r="A127" s="107"/>
      <c r="B127" s="107"/>
      <c r="C127" s="107"/>
      <c r="D127" s="107"/>
      <c r="E127" s="107"/>
      <c r="F127" s="107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</row>
    <row r="128" spans="1:26" ht="12.75" customHeight="1" x14ac:dyDescent="0.2">
      <c r="A128" s="107"/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</row>
    <row r="129" spans="1:26" ht="12.75" customHeight="1" x14ac:dyDescent="0.2">
      <c r="A129" s="107"/>
      <c r="B129" s="107"/>
      <c r="C129" s="107"/>
      <c r="D129" s="107"/>
      <c r="E129" s="107"/>
      <c r="F129" s="107"/>
      <c r="G129" s="107"/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</row>
    <row r="130" spans="1:26" ht="12.75" customHeight="1" x14ac:dyDescent="0.2">
      <c r="A130" s="107"/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</row>
    <row r="131" spans="1:26" ht="12.75" customHeight="1" x14ac:dyDescent="0.2">
      <c r="A131" s="107"/>
      <c r="B131" s="107"/>
      <c r="C131" s="107"/>
      <c r="D131" s="107"/>
      <c r="E131" s="107"/>
      <c r="F131" s="107"/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</row>
    <row r="132" spans="1:26" ht="12.75" customHeight="1" x14ac:dyDescent="0.2">
      <c r="A132" s="107"/>
      <c r="B132" s="107"/>
      <c r="C132" s="107"/>
      <c r="D132" s="107"/>
      <c r="E132" s="107"/>
      <c r="F132" s="107"/>
      <c r="G132" s="107"/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</row>
    <row r="133" spans="1:26" ht="12.75" customHeight="1" x14ac:dyDescent="0.2">
      <c r="A133" s="107"/>
      <c r="B133" s="107"/>
      <c r="C133" s="107"/>
      <c r="D133" s="107"/>
      <c r="E133" s="107"/>
      <c r="F133" s="107"/>
      <c r="G133" s="107"/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</row>
    <row r="134" spans="1:26" ht="12.75" customHeight="1" x14ac:dyDescent="0.2">
      <c r="A134" s="107"/>
      <c r="B134" s="107"/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</row>
    <row r="135" spans="1:26" ht="12.75" customHeight="1" x14ac:dyDescent="0.2">
      <c r="A135" s="107"/>
      <c r="B135" s="107"/>
      <c r="C135" s="107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</row>
    <row r="136" spans="1:26" ht="12.75" customHeight="1" x14ac:dyDescent="0.2">
      <c r="A136" s="107"/>
      <c r="B136" s="107"/>
      <c r="C136" s="107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</row>
    <row r="137" spans="1:26" ht="12.75" customHeight="1" x14ac:dyDescent="0.2">
      <c r="A137" s="107"/>
      <c r="B137" s="107"/>
      <c r="C137" s="107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</row>
    <row r="138" spans="1:26" ht="12.75" customHeight="1" x14ac:dyDescent="0.2">
      <c r="A138" s="107"/>
      <c r="B138" s="107"/>
      <c r="C138" s="107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</row>
    <row r="139" spans="1:26" ht="12.75" customHeight="1" x14ac:dyDescent="0.2">
      <c r="A139" s="107"/>
      <c r="B139" s="107"/>
      <c r="C139" s="107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</row>
    <row r="140" spans="1:26" ht="12.75" customHeight="1" x14ac:dyDescent="0.2">
      <c r="A140" s="107"/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</row>
    <row r="141" spans="1:26" ht="12.75" customHeight="1" x14ac:dyDescent="0.2">
      <c r="A141" s="107"/>
      <c r="B141" s="107"/>
      <c r="C141" s="107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</row>
    <row r="142" spans="1:26" ht="12.75" customHeight="1" x14ac:dyDescent="0.2">
      <c r="A142" s="107"/>
      <c r="B142" s="107"/>
      <c r="C142" s="107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</row>
    <row r="143" spans="1:26" ht="12.75" customHeight="1" x14ac:dyDescent="0.2">
      <c r="A143" s="107"/>
      <c r="B143" s="107"/>
      <c r="C143" s="107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</row>
    <row r="144" spans="1:26" ht="12.75" customHeight="1" x14ac:dyDescent="0.2">
      <c r="A144" s="107"/>
      <c r="B144" s="107"/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</row>
    <row r="145" spans="1:26" ht="12.75" customHeight="1" x14ac:dyDescent="0.2">
      <c r="A145" s="107"/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</row>
    <row r="146" spans="1:26" ht="12.75" customHeight="1" x14ac:dyDescent="0.2">
      <c r="A146" s="107"/>
      <c r="B146" s="107"/>
      <c r="C146" s="107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</row>
    <row r="147" spans="1:26" ht="12.75" customHeight="1" x14ac:dyDescent="0.2">
      <c r="A147" s="107"/>
      <c r="B147" s="107"/>
      <c r="C147" s="107"/>
      <c r="D147" s="107"/>
      <c r="E147" s="107"/>
      <c r="F147" s="107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</row>
    <row r="148" spans="1:26" ht="12.75" customHeight="1" x14ac:dyDescent="0.2">
      <c r="A148" s="107"/>
      <c r="B148" s="107"/>
      <c r="C148" s="107"/>
      <c r="D148" s="107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</row>
    <row r="149" spans="1:26" ht="12.75" customHeight="1" x14ac:dyDescent="0.2">
      <c r="A149" s="107"/>
      <c r="B149" s="107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</row>
    <row r="150" spans="1:26" ht="12.75" customHeight="1" x14ac:dyDescent="0.2">
      <c r="A150" s="107"/>
      <c r="B150" s="107"/>
      <c r="C150" s="107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</row>
    <row r="151" spans="1:26" ht="12.75" customHeight="1" x14ac:dyDescent="0.2">
      <c r="A151" s="107"/>
      <c r="B151" s="107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</row>
    <row r="152" spans="1:26" ht="12.75" customHeight="1" x14ac:dyDescent="0.2">
      <c r="A152" s="107"/>
      <c r="B152" s="107"/>
      <c r="C152" s="107"/>
      <c r="D152" s="107"/>
      <c r="E152" s="107"/>
      <c r="F152" s="107"/>
      <c r="G152" s="107"/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</row>
    <row r="153" spans="1:26" ht="12.75" customHeight="1" x14ac:dyDescent="0.2">
      <c r="A153" s="107"/>
      <c r="B153" s="107"/>
      <c r="C153" s="107"/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</row>
    <row r="154" spans="1:26" ht="12.75" customHeight="1" x14ac:dyDescent="0.2">
      <c r="A154" s="107"/>
      <c r="B154" s="107"/>
      <c r="C154" s="107"/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</row>
    <row r="155" spans="1:26" ht="12.75" customHeight="1" x14ac:dyDescent="0.2">
      <c r="A155" s="107"/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</row>
    <row r="156" spans="1:26" ht="12.75" customHeight="1" x14ac:dyDescent="0.2">
      <c r="A156" s="107"/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</row>
    <row r="157" spans="1:26" ht="12.75" customHeight="1" x14ac:dyDescent="0.2">
      <c r="A157" s="107"/>
      <c r="B157" s="107"/>
      <c r="C157" s="107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</row>
    <row r="158" spans="1:26" ht="12.75" customHeight="1" x14ac:dyDescent="0.2">
      <c r="A158" s="107"/>
      <c r="B158" s="107"/>
      <c r="C158" s="107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</row>
    <row r="159" spans="1:26" ht="12.75" customHeight="1" x14ac:dyDescent="0.2">
      <c r="A159" s="107"/>
      <c r="B159" s="107"/>
      <c r="C159" s="107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</row>
    <row r="160" spans="1:26" ht="12.75" customHeight="1" x14ac:dyDescent="0.2">
      <c r="A160" s="107"/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</row>
    <row r="161" spans="1:26" ht="12.75" customHeight="1" x14ac:dyDescent="0.2">
      <c r="A161" s="107"/>
      <c r="B161" s="107"/>
      <c r="C161" s="107"/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</row>
    <row r="162" spans="1:26" ht="12.75" customHeight="1" x14ac:dyDescent="0.2">
      <c r="A162" s="107"/>
      <c r="B162" s="107"/>
      <c r="C162" s="107"/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</row>
    <row r="163" spans="1:26" ht="12.75" customHeight="1" x14ac:dyDescent="0.2">
      <c r="A163" s="107"/>
      <c r="B163" s="107"/>
      <c r="C163" s="107"/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</row>
    <row r="164" spans="1:26" ht="12.75" customHeight="1" x14ac:dyDescent="0.2">
      <c r="A164" s="107"/>
      <c r="B164" s="107"/>
      <c r="C164" s="107"/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</row>
    <row r="165" spans="1:26" ht="12.75" customHeight="1" x14ac:dyDescent="0.2">
      <c r="A165" s="107"/>
      <c r="B165" s="107"/>
      <c r="C165" s="107"/>
      <c r="D165" s="107"/>
      <c r="E165" s="107"/>
      <c r="F165" s="107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</row>
    <row r="166" spans="1:26" ht="12.75" customHeight="1" x14ac:dyDescent="0.2">
      <c r="A166" s="107"/>
      <c r="B166" s="107"/>
      <c r="C166" s="107"/>
      <c r="D166" s="107"/>
      <c r="E166" s="107"/>
      <c r="F166" s="107"/>
      <c r="G166" s="107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</row>
    <row r="167" spans="1:26" ht="12.75" customHeight="1" x14ac:dyDescent="0.2">
      <c r="A167" s="107"/>
      <c r="B167" s="107"/>
      <c r="C167" s="107"/>
      <c r="D167" s="107"/>
      <c r="E167" s="107"/>
      <c r="F167" s="107"/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</row>
    <row r="168" spans="1:26" ht="12.75" customHeight="1" x14ac:dyDescent="0.2">
      <c r="A168" s="107"/>
      <c r="B168" s="107"/>
      <c r="C168" s="107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</row>
    <row r="169" spans="1:26" ht="12.75" customHeight="1" x14ac:dyDescent="0.2">
      <c r="A169" s="107"/>
      <c r="B169" s="107"/>
      <c r="C169" s="107"/>
      <c r="D169" s="107"/>
      <c r="E169" s="107"/>
      <c r="F169" s="107"/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</row>
    <row r="170" spans="1:26" ht="12.75" customHeight="1" x14ac:dyDescent="0.2">
      <c r="A170" s="107"/>
      <c r="B170" s="107"/>
      <c r="C170" s="107"/>
      <c r="D170" s="107"/>
      <c r="E170" s="107"/>
      <c r="F170" s="107"/>
      <c r="G170" s="107"/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</row>
    <row r="171" spans="1:26" ht="12.75" customHeight="1" x14ac:dyDescent="0.2">
      <c r="A171" s="107"/>
      <c r="B171" s="107"/>
      <c r="C171" s="107"/>
      <c r="D171" s="107"/>
      <c r="E171" s="107"/>
      <c r="F171" s="107"/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</row>
    <row r="172" spans="1:26" ht="12.75" customHeight="1" x14ac:dyDescent="0.2">
      <c r="A172" s="107"/>
      <c r="B172" s="107"/>
      <c r="C172" s="107"/>
      <c r="D172" s="107"/>
      <c r="E172" s="107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</row>
    <row r="173" spans="1:26" ht="12.75" customHeight="1" x14ac:dyDescent="0.2">
      <c r="A173" s="107"/>
      <c r="B173" s="107"/>
      <c r="C173" s="107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</row>
    <row r="174" spans="1:26" ht="12.75" customHeight="1" x14ac:dyDescent="0.2">
      <c r="A174" s="107"/>
      <c r="B174" s="107"/>
      <c r="C174" s="107"/>
      <c r="D174" s="107"/>
      <c r="E174" s="107"/>
      <c r="F174" s="107"/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</row>
    <row r="175" spans="1:26" ht="12.75" customHeight="1" x14ac:dyDescent="0.2">
      <c r="A175" s="107"/>
      <c r="B175" s="107"/>
      <c r="C175" s="107"/>
      <c r="D175" s="107"/>
      <c r="E175" s="107"/>
      <c r="F175" s="107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107"/>
    </row>
    <row r="176" spans="1:26" ht="12.75" customHeight="1" x14ac:dyDescent="0.2">
      <c r="A176" s="107"/>
      <c r="B176" s="107"/>
      <c r="C176" s="107"/>
      <c r="D176" s="107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</row>
    <row r="177" spans="1:26" ht="12.75" customHeight="1" x14ac:dyDescent="0.2">
      <c r="A177" s="107"/>
      <c r="B177" s="107"/>
      <c r="C177" s="107"/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</row>
    <row r="178" spans="1:26" ht="12.75" customHeight="1" x14ac:dyDescent="0.2">
      <c r="A178" s="107"/>
      <c r="B178" s="107"/>
      <c r="C178" s="107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</row>
    <row r="179" spans="1:26" ht="12.75" customHeight="1" x14ac:dyDescent="0.2">
      <c r="A179" s="107"/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</row>
    <row r="180" spans="1:26" ht="12.75" customHeight="1" x14ac:dyDescent="0.2">
      <c r="A180" s="107"/>
      <c r="B180" s="107"/>
      <c r="C180" s="107"/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</row>
    <row r="181" spans="1:26" ht="12.75" customHeight="1" x14ac:dyDescent="0.2">
      <c r="A181" s="107"/>
      <c r="B181" s="107"/>
      <c r="C181" s="107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</row>
    <row r="182" spans="1:26" ht="12.75" customHeight="1" x14ac:dyDescent="0.2">
      <c r="A182" s="107"/>
      <c r="B182" s="107"/>
      <c r="C182" s="107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</row>
    <row r="183" spans="1:26" ht="12.75" customHeight="1" x14ac:dyDescent="0.2">
      <c r="A183" s="107"/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</row>
    <row r="184" spans="1:26" ht="12.75" customHeight="1" x14ac:dyDescent="0.2">
      <c r="A184" s="107"/>
      <c r="B184" s="107"/>
      <c r="C184" s="107"/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</row>
    <row r="185" spans="1:26" ht="12.75" customHeight="1" x14ac:dyDescent="0.2">
      <c r="A185" s="107"/>
      <c r="B185" s="107"/>
      <c r="C185" s="107"/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</row>
    <row r="186" spans="1:26" ht="12.75" customHeight="1" x14ac:dyDescent="0.2">
      <c r="A186" s="107"/>
      <c r="B186" s="107"/>
      <c r="C186" s="107"/>
      <c r="D186" s="107"/>
      <c r="E186" s="107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</row>
    <row r="187" spans="1:26" ht="12.75" customHeight="1" x14ac:dyDescent="0.2">
      <c r="A187" s="107"/>
      <c r="B187" s="107"/>
      <c r="C187" s="107"/>
      <c r="D187" s="107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</row>
    <row r="188" spans="1:26" ht="12.75" customHeight="1" x14ac:dyDescent="0.2">
      <c r="A188" s="107"/>
      <c r="B188" s="107"/>
      <c r="C188" s="107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</row>
    <row r="189" spans="1:26" ht="12.75" customHeight="1" x14ac:dyDescent="0.2">
      <c r="A189" s="107"/>
      <c r="B189" s="107"/>
      <c r="C189" s="107"/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</row>
    <row r="190" spans="1:26" ht="12.75" customHeight="1" x14ac:dyDescent="0.2">
      <c r="A190" s="107"/>
      <c r="B190" s="107"/>
      <c r="C190" s="107"/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</row>
    <row r="191" spans="1:26" ht="12.75" customHeight="1" x14ac:dyDescent="0.2">
      <c r="A191" s="107"/>
      <c r="B191" s="107"/>
      <c r="C191" s="107"/>
      <c r="D191" s="107"/>
      <c r="E191" s="107"/>
      <c r="F191" s="107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</row>
    <row r="192" spans="1:26" ht="12.75" customHeight="1" x14ac:dyDescent="0.2">
      <c r="A192" s="107"/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</row>
    <row r="193" spans="1:26" ht="12.75" customHeight="1" x14ac:dyDescent="0.2">
      <c r="A193" s="107"/>
      <c r="B193" s="107"/>
      <c r="C193" s="107"/>
      <c r="D193" s="107"/>
      <c r="E193" s="107"/>
      <c r="F193" s="107"/>
      <c r="G193" s="107"/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</row>
    <row r="194" spans="1:26" ht="12.75" customHeight="1" x14ac:dyDescent="0.2">
      <c r="A194" s="107"/>
      <c r="B194" s="107"/>
      <c r="C194" s="107"/>
      <c r="D194" s="107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</row>
    <row r="195" spans="1:26" ht="12.75" customHeight="1" x14ac:dyDescent="0.2">
      <c r="A195" s="107"/>
      <c r="B195" s="107"/>
      <c r="C195" s="107"/>
      <c r="D195" s="107"/>
      <c r="E195" s="107"/>
      <c r="F195" s="107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</row>
    <row r="196" spans="1:26" ht="12.75" customHeight="1" x14ac:dyDescent="0.2">
      <c r="A196" s="107"/>
      <c r="B196" s="107"/>
      <c r="C196" s="107"/>
      <c r="D196" s="107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</row>
    <row r="197" spans="1:26" ht="12.75" customHeight="1" x14ac:dyDescent="0.2">
      <c r="A197" s="107"/>
      <c r="B197" s="107"/>
      <c r="C197" s="107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</row>
    <row r="198" spans="1:26" ht="12.75" customHeight="1" x14ac:dyDescent="0.2">
      <c r="A198" s="107"/>
      <c r="B198" s="107"/>
      <c r="C198" s="107"/>
      <c r="D198" s="107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  <c r="Y198" s="107"/>
      <c r="Z198" s="107"/>
    </row>
    <row r="199" spans="1:26" ht="12.75" customHeight="1" x14ac:dyDescent="0.2">
      <c r="A199" s="107"/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</row>
    <row r="200" spans="1:26" ht="12.75" customHeight="1" x14ac:dyDescent="0.2">
      <c r="A200" s="107"/>
      <c r="B200" s="107"/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</row>
    <row r="201" spans="1:26" ht="12.75" customHeight="1" x14ac:dyDescent="0.2">
      <c r="A201" s="107"/>
      <c r="B201" s="107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  <c r="Y201" s="107"/>
      <c r="Z201" s="107"/>
    </row>
    <row r="202" spans="1:26" ht="12.75" customHeight="1" x14ac:dyDescent="0.2">
      <c r="A202" s="107"/>
      <c r="B202" s="107"/>
      <c r="C202" s="107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  <c r="Y202" s="107"/>
      <c r="Z202" s="107"/>
    </row>
    <row r="203" spans="1:26" ht="12.75" customHeight="1" x14ac:dyDescent="0.2">
      <c r="A203" s="107"/>
      <c r="B203" s="107"/>
      <c r="C203" s="107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</row>
    <row r="204" spans="1:26" ht="12.75" customHeight="1" x14ac:dyDescent="0.2">
      <c r="A204" s="107"/>
      <c r="B204" s="107"/>
      <c r="C204" s="107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</row>
    <row r="205" spans="1:26" ht="12.75" customHeight="1" x14ac:dyDescent="0.2">
      <c r="A205" s="107"/>
      <c r="B205" s="107"/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</row>
    <row r="206" spans="1:26" ht="12.75" customHeight="1" x14ac:dyDescent="0.2">
      <c r="A206" s="107"/>
      <c r="B206" s="107"/>
      <c r="C206" s="107"/>
      <c r="D206" s="107"/>
      <c r="E206" s="107"/>
      <c r="F206" s="107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  <c r="Y206" s="107"/>
      <c r="Z206" s="107"/>
    </row>
    <row r="207" spans="1:26" ht="12.75" customHeight="1" x14ac:dyDescent="0.2">
      <c r="A207" s="107"/>
      <c r="B207" s="107"/>
      <c r="C207" s="107"/>
      <c r="D207" s="107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</row>
    <row r="208" spans="1:26" ht="12.75" customHeight="1" x14ac:dyDescent="0.2">
      <c r="A208" s="107"/>
      <c r="B208" s="107"/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</row>
    <row r="209" spans="1:26" ht="12.75" customHeight="1" x14ac:dyDescent="0.2">
      <c r="A209" s="107"/>
      <c r="B209" s="107"/>
      <c r="C209" s="107"/>
      <c r="D209" s="107"/>
      <c r="E209" s="107"/>
      <c r="F209" s="107"/>
      <c r="G209" s="107"/>
      <c r="H209" s="107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  <c r="Y209" s="107"/>
      <c r="Z209" s="107"/>
    </row>
    <row r="210" spans="1:26" ht="12.75" customHeight="1" x14ac:dyDescent="0.2">
      <c r="A210" s="107"/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</row>
    <row r="211" spans="1:26" ht="12.75" customHeight="1" x14ac:dyDescent="0.2">
      <c r="A211" s="107"/>
      <c r="B211" s="107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  <c r="Y211" s="107"/>
      <c r="Z211" s="107"/>
    </row>
    <row r="212" spans="1:26" ht="12.75" customHeight="1" x14ac:dyDescent="0.2">
      <c r="A212" s="107"/>
      <c r="B212" s="107"/>
      <c r="C212" s="107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  <c r="Y212" s="107"/>
      <c r="Z212" s="107"/>
    </row>
    <row r="213" spans="1:26" ht="12.75" customHeight="1" x14ac:dyDescent="0.2">
      <c r="A213" s="107"/>
      <c r="B213" s="107"/>
      <c r="C213" s="107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  <c r="Y213" s="107"/>
      <c r="Z213" s="107"/>
    </row>
    <row r="214" spans="1:26" ht="12.75" customHeight="1" x14ac:dyDescent="0.2">
      <c r="A214" s="107"/>
      <c r="B214" s="107"/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  <c r="Y214" s="107"/>
      <c r="Z214" s="107"/>
    </row>
    <row r="215" spans="1:26" ht="12.75" customHeight="1" x14ac:dyDescent="0.2">
      <c r="A215" s="107"/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</row>
    <row r="216" spans="1:26" ht="12.75" customHeight="1" x14ac:dyDescent="0.2">
      <c r="A216" s="107"/>
      <c r="B216" s="107"/>
      <c r="C216" s="107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  <c r="X216" s="107"/>
      <c r="Y216" s="107"/>
      <c r="Z216" s="107"/>
    </row>
    <row r="217" spans="1:26" ht="12.75" customHeight="1" x14ac:dyDescent="0.2">
      <c r="A217" s="107"/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  <c r="Y217" s="107"/>
      <c r="Z217" s="107"/>
    </row>
    <row r="218" spans="1:26" ht="12.75" customHeight="1" x14ac:dyDescent="0.2">
      <c r="A218" s="107"/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  <c r="Y218" s="107"/>
      <c r="Z218" s="107"/>
    </row>
    <row r="219" spans="1:26" ht="12.75" customHeight="1" x14ac:dyDescent="0.2">
      <c r="A219" s="107"/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  <c r="X219" s="107"/>
      <c r="Y219" s="107"/>
      <c r="Z219" s="107"/>
    </row>
    <row r="220" spans="1:26" ht="12.75" customHeight="1" x14ac:dyDescent="0.2">
      <c r="A220" s="107"/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</row>
    <row r="221" spans="1:26" ht="12.75" customHeight="1" x14ac:dyDescent="0.2">
      <c r="A221" s="107"/>
      <c r="B221" s="107"/>
      <c r="C221" s="107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  <c r="X221" s="107"/>
      <c r="Y221" s="107"/>
      <c r="Z221" s="107"/>
    </row>
    <row r="222" spans="1:26" ht="12.75" customHeight="1" x14ac:dyDescent="0.2">
      <c r="A222" s="107"/>
      <c r="B222" s="107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  <c r="Y222" s="107"/>
      <c r="Z222" s="107"/>
    </row>
    <row r="223" spans="1:26" ht="12.75" customHeight="1" x14ac:dyDescent="0.2">
      <c r="A223" s="107"/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</row>
    <row r="224" spans="1:26" ht="12.75" customHeight="1" x14ac:dyDescent="0.2">
      <c r="A224" s="107"/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  <c r="Y224" s="107"/>
      <c r="Z224" s="107"/>
    </row>
    <row r="225" spans="1:26" ht="12.75" customHeight="1" x14ac:dyDescent="0.2">
      <c r="A225" s="107"/>
      <c r="B225" s="107"/>
      <c r="C225" s="107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  <c r="X225" s="107"/>
      <c r="Y225" s="107"/>
      <c r="Z225" s="107"/>
    </row>
    <row r="226" spans="1:26" ht="12.75" customHeight="1" x14ac:dyDescent="0.2">
      <c r="A226" s="107"/>
      <c r="B226" s="107"/>
      <c r="C226" s="107"/>
      <c r="D226" s="107"/>
      <c r="E226" s="107"/>
      <c r="F226" s="107"/>
      <c r="G226" s="107"/>
      <c r="H226" s="107"/>
      <c r="I226" s="107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  <c r="X226" s="107"/>
      <c r="Y226" s="107"/>
      <c r="Z226" s="107"/>
    </row>
    <row r="227" spans="1:26" ht="12.75" customHeight="1" x14ac:dyDescent="0.2">
      <c r="A227" s="107"/>
      <c r="B227" s="107"/>
      <c r="C227" s="107"/>
      <c r="D227" s="107"/>
      <c r="E227" s="107"/>
      <c r="F227" s="107"/>
      <c r="G227" s="107"/>
      <c r="H227" s="107"/>
      <c r="I227" s="107"/>
      <c r="J227" s="107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  <c r="X227" s="107"/>
      <c r="Y227" s="107"/>
      <c r="Z227" s="107"/>
    </row>
    <row r="228" spans="1:26" ht="12.75" customHeight="1" x14ac:dyDescent="0.2">
      <c r="A228" s="107"/>
      <c r="B228" s="107"/>
      <c r="C228" s="107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  <c r="X228" s="107"/>
      <c r="Y228" s="107"/>
      <c r="Z228" s="107"/>
    </row>
    <row r="229" spans="1:26" ht="12.75" customHeight="1" x14ac:dyDescent="0.2">
      <c r="A229" s="107"/>
      <c r="B229" s="107"/>
      <c r="C229" s="107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  <c r="X229" s="107"/>
      <c r="Y229" s="107"/>
      <c r="Z229" s="107"/>
    </row>
    <row r="230" spans="1:26" ht="12.75" customHeight="1" x14ac:dyDescent="0.2">
      <c r="A230" s="107"/>
      <c r="B230" s="107"/>
      <c r="C230" s="107"/>
      <c r="D230" s="107"/>
      <c r="E230" s="107"/>
      <c r="F230" s="107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  <c r="X230" s="107"/>
      <c r="Y230" s="107"/>
      <c r="Z230" s="107"/>
    </row>
    <row r="231" spans="1:26" ht="12.75" customHeight="1" x14ac:dyDescent="0.2">
      <c r="A231" s="107"/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</row>
    <row r="232" spans="1:26" ht="12.75" customHeight="1" x14ac:dyDescent="0.2">
      <c r="A232" s="107"/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  <c r="Y232" s="107"/>
      <c r="Z232" s="107"/>
    </row>
    <row r="233" spans="1:26" ht="12.75" customHeight="1" x14ac:dyDescent="0.2">
      <c r="A233" s="107"/>
      <c r="B233" s="107"/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  <c r="Y233" s="107"/>
      <c r="Z233" s="107"/>
    </row>
    <row r="234" spans="1:26" ht="12.75" customHeight="1" x14ac:dyDescent="0.2">
      <c r="A234" s="107"/>
      <c r="B234" s="107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  <c r="X234" s="107"/>
      <c r="Y234" s="107"/>
      <c r="Z234" s="107"/>
    </row>
    <row r="235" spans="1:26" ht="12.75" customHeight="1" x14ac:dyDescent="0.2">
      <c r="A235" s="107"/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  <c r="X235" s="107"/>
      <c r="Y235" s="107"/>
      <c r="Z235" s="107"/>
    </row>
    <row r="236" spans="1:26" ht="12.75" customHeight="1" x14ac:dyDescent="0.2">
      <c r="A236" s="107"/>
      <c r="B236" s="107"/>
      <c r="C236" s="107"/>
      <c r="D236" s="107"/>
      <c r="E236" s="107"/>
      <c r="F236" s="107"/>
      <c r="G236" s="107"/>
      <c r="H236" s="107"/>
      <c r="I236" s="107"/>
      <c r="J236" s="107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  <c r="U236" s="107"/>
      <c r="V236" s="107"/>
      <c r="W236" s="107"/>
      <c r="X236" s="107"/>
      <c r="Y236" s="107"/>
      <c r="Z236" s="107"/>
    </row>
    <row r="237" spans="1:26" ht="12.75" customHeight="1" x14ac:dyDescent="0.2">
      <c r="A237" s="107"/>
      <c r="B237" s="107"/>
      <c r="C237" s="107"/>
      <c r="D237" s="107"/>
      <c r="E237" s="107"/>
      <c r="F237" s="107"/>
      <c r="G237" s="107"/>
      <c r="H237" s="107"/>
      <c r="I237" s="107"/>
      <c r="J237" s="107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  <c r="X237" s="107"/>
      <c r="Y237" s="107"/>
      <c r="Z237" s="107"/>
    </row>
    <row r="238" spans="1:26" ht="12.75" customHeight="1" x14ac:dyDescent="0.2">
      <c r="A238" s="107"/>
      <c r="B238" s="107"/>
      <c r="C238" s="107"/>
      <c r="D238" s="107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  <c r="U238" s="107"/>
      <c r="V238" s="107"/>
      <c r="W238" s="107"/>
      <c r="X238" s="107"/>
      <c r="Y238" s="107"/>
      <c r="Z238" s="107"/>
    </row>
    <row r="239" spans="1:26" ht="12.75" customHeight="1" x14ac:dyDescent="0.2">
      <c r="A239" s="107"/>
      <c r="B239" s="107"/>
      <c r="C239" s="107"/>
      <c r="D239" s="107"/>
      <c r="E239" s="107"/>
      <c r="F239" s="107"/>
      <c r="G239" s="107"/>
      <c r="H239" s="107"/>
      <c r="I239" s="107"/>
      <c r="J239" s="107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  <c r="U239" s="107"/>
      <c r="V239" s="107"/>
      <c r="W239" s="107"/>
      <c r="X239" s="107"/>
      <c r="Y239" s="107"/>
      <c r="Z239" s="107"/>
    </row>
    <row r="240" spans="1:26" ht="12.75" customHeight="1" x14ac:dyDescent="0.2">
      <c r="A240" s="107"/>
      <c r="B240" s="107"/>
      <c r="C240" s="107"/>
      <c r="D240" s="107"/>
      <c r="E240" s="107"/>
      <c r="F240" s="107"/>
      <c r="G240" s="107"/>
      <c r="H240" s="107"/>
      <c r="I240" s="107"/>
      <c r="J240" s="107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  <c r="U240" s="107"/>
      <c r="V240" s="107"/>
      <c r="W240" s="107"/>
      <c r="X240" s="107"/>
      <c r="Y240" s="107"/>
      <c r="Z240" s="107"/>
    </row>
    <row r="241" spans="1:26" ht="12.75" customHeight="1" x14ac:dyDescent="0.2">
      <c r="A241" s="107"/>
      <c r="B241" s="107"/>
      <c r="C241" s="107"/>
      <c r="D241" s="107"/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  <c r="Y241" s="107"/>
      <c r="Z241" s="107"/>
    </row>
    <row r="242" spans="1:26" ht="12.75" customHeight="1" x14ac:dyDescent="0.2">
      <c r="A242" s="107"/>
      <c r="B242" s="107"/>
      <c r="C242" s="107"/>
      <c r="D242" s="107"/>
      <c r="E242" s="107"/>
      <c r="F242" s="107"/>
      <c r="G242" s="107"/>
      <c r="H242" s="107"/>
      <c r="I242" s="107"/>
      <c r="J242" s="107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  <c r="Y242" s="107"/>
      <c r="Z242" s="107"/>
    </row>
    <row r="243" spans="1:26" ht="12.75" customHeight="1" x14ac:dyDescent="0.2">
      <c r="A243" s="107"/>
      <c r="B243" s="107"/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</row>
    <row r="244" spans="1:26" ht="12.75" customHeight="1" x14ac:dyDescent="0.2">
      <c r="A244" s="107"/>
      <c r="B244" s="107"/>
      <c r="C244" s="107"/>
      <c r="D244" s="107"/>
      <c r="E244" s="107"/>
      <c r="F244" s="107"/>
      <c r="G244" s="107"/>
      <c r="H244" s="107"/>
      <c r="I244" s="107"/>
      <c r="J244" s="107"/>
      <c r="K244" s="107"/>
      <c r="L244" s="107"/>
      <c r="M244" s="107"/>
      <c r="N244" s="107"/>
      <c r="O244" s="107"/>
      <c r="P244" s="107"/>
      <c r="Q244" s="107"/>
      <c r="R244" s="107"/>
      <c r="S244" s="107"/>
      <c r="T244" s="107"/>
      <c r="U244" s="107"/>
      <c r="V244" s="107"/>
      <c r="W244" s="107"/>
      <c r="X244" s="107"/>
      <c r="Y244" s="107"/>
      <c r="Z244" s="107"/>
    </row>
    <row r="245" spans="1:26" ht="12.75" customHeight="1" x14ac:dyDescent="0.2">
      <c r="A245" s="107"/>
      <c r="B245" s="107"/>
      <c r="C245" s="107"/>
      <c r="D245" s="107"/>
      <c r="E245" s="107"/>
      <c r="F245" s="107"/>
      <c r="G245" s="107"/>
      <c r="H245" s="107"/>
      <c r="I245" s="107"/>
      <c r="J245" s="107"/>
      <c r="K245" s="107"/>
      <c r="L245" s="107"/>
      <c r="M245" s="107"/>
      <c r="N245" s="107"/>
      <c r="O245" s="107"/>
      <c r="P245" s="107"/>
      <c r="Q245" s="107"/>
      <c r="R245" s="107"/>
      <c r="S245" s="107"/>
      <c r="T245" s="107"/>
      <c r="U245" s="107"/>
      <c r="V245" s="107"/>
      <c r="W245" s="107"/>
      <c r="X245" s="107"/>
      <c r="Y245" s="107"/>
      <c r="Z245" s="107"/>
    </row>
    <row r="246" spans="1:26" ht="12.75" customHeight="1" x14ac:dyDescent="0.2">
      <c r="A246" s="107"/>
      <c r="B246" s="107"/>
      <c r="C246" s="107"/>
      <c r="D246" s="107"/>
      <c r="E246" s="107"/>
      <c r="F246" s="107"/>
      <c r="G246" s="107"/>
      <c r="H246" s="107"/>
      <c r="I246" s="107"/>
      <c r="J246" s="107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  <c r="X246" s="107"/>
      <c r="Y246" s="107"/>
      <c r="Z246" s="107"/>
    </row>
    <row r="247" spans="1:26" ht="12.75" customHeight="1" x14ac:dyDescent="0.2">
      <c r="A247" s="107"/>
      <c r="B247" s="107"/>
      <c r="C247" s="107"/>
      <c r="D247" s="107"/>
      <c r="E247" s="107"/>
      <c r="F247" s="107"/>
      <c r="G247" s="107"/>
      <c r="H247" s="107"/>
      <c r="I247" s="107"/>
      <c r="J247" s="107"/>
      <c r="K247" s="107"/>
      <c r="L247" s="107"/>
      <c r="M247" s="107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  <c r="X247" s="107"/>
      <c r="Y247" s="107"/>
      <c r="Z247" s="107"/>
    </row>
    <row r="248" spans="1:26" ht="12.75" customHeight="1" x14ac:dyDescent="0.2">
      <c r="A248" s="107"/>
      <c r="B248" s="107"/>
      <c r="C248" s="107"/>
      <c r="D248" s="107"/>
      <c r="E248" s="107"/>
      <c r="F248" s="107"/>
      <c r="G248" s="107"/>
      <c r="H248" s="107"/>
      <c r="I248" s="107"/>
      <c r="J248" s="107"/>
      <c r="K248" s="107"/>
      <c r="L248" s="107"/>
      <c r="M248" s="107"/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  <c r="X248" s="107"/>
      <c r="Y248" s="107"/>
      <c r="Z248" s="107"/>
    </row>
    <row r="249" spans="1:26" ht="12.75" customHeight="1" x14ac:dyDescent="0.2">
      <c r="A249" s="107"/>
      <c r="B249" s="107"/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</row>
    <row r="250" spans="1:26" ht="12.75" customHeight="1" x14ac:dyDescent="0.2">
      <c r="A250" s="107"/>
      <c r="B250" s="107"/>
      <c r="C250" s="107"/>
      <c r="D250" s="107"/>
      <c r="E250" s="107"/>
      <c r="F250" s="107"/>
      <c r="G250" s="107"/>
      <c r="H250" s="107"/>
      <c r="I250" s="107"/>
      <c r="J250" s="107"/>
      <c r="K250" s="107"/>
      <c r="L250" s="107"/>
      <c r="M250" s="107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  <c r="X250" s="107"/>
      <c r="Y250" s="107"/>
      <c r="Z250" s="107"/>
    </row>
    <row r="251" spans="1:26" ht="12.75" customHeight="1" x14ac:dyDescent="0.2">
      <c r="A251" s="107"/>
      <c r="B251" s="107"/>
      <c r="C251" s="107"/>
      <c r="D251" s="107"/>
      <c r="E251" s="107"/>
      <c r="F251" s="107"/>
      <c r="G251" s="107"/>
      <c r="H251" s="107"/>
      <c r="I251" s="107"/>
      <c r="J251" s="107"/>
      <c r="K251" s="107"/>
      <c r="L251" s="107"/>
      <c r="M251" s="107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  <c r="X251" s="107"/>
      <c r="Y251" s="107"/>
      <c r="Z251" s="107"/>
    </row>
    <row r="252" spans="1:26" ht="12.75" customHeight="1" x14ac:dyDescent="0.2">
      <c r="A252" s="107"/>
      <c r="B252" s="107"/>
      <c r="C252" s="107"/>
      <c r="D252" s="107"/>
      <c r="E252" s="107"/>
      <c r="F252" s="107"/>
      <c r="G252" s="107"/>
      <c r="H252" s="107"/>
      <c r="I252" s="107"/>
      <c r="J252" s="107"/>
      <c r="K252" s="107"/>
      <c r="L252" s="107"/>
      <c r="M252" s="107"/>
      <c r="N252" s="107"/>
      <c r="O252" s="107"/>
      <c r="P252" s="107"/>
      <c r="Q252" s="107"/>
      <c r="R252" s="107"/>
      <c r="S252" s="107"/>
      <c r="T252" s="107"/>
      <c r="U252" s="107"/>
      <c r="V252" s="107"/>
      <c r="W252" s="107"/>
      <c r="X252" s="107"/>
      <c r="Y252" s="107"/>
      <c r="Z252" s="107"/>
    </row>
    <row r="253" spans="1:26" ht="12.75" customHeight="1" x14ac:dyDescent="0.2">
      <c r="A253" s="107"/>
      <c r="B253" s="107"/>
      <c r="C253" s="107"/>
      <c r="D253" s="107"/>
      <c r="E253" s="107"/>
      <c r="F253" s="107"/>
      <c r="G253" s="107"/>
      <c r="H253" s="107"/>
      <c r="I253" s="107"/>
      <c r="J253" s="107"/>
      <c r="K253" s="107"/>
      <c r="L253" s="107"/>
      <c r="M253" s="107"/>
      <c r="N253" s="107"/>
      <c r="O253" s="107"/>
      <c r="P253" s="107"/>
      <c r="Q253" s="107"/>
      <c r="R253" s="107"/>
      <c r="S253" s="107"/>
      <c r="T253" s="107"/>
      <c r="U253" s="107"/>
      <c r="V253" s="107"/>
      <c r="W253" s="107"/>
      <c r="X253" s="107"/>
      <c r="Y253" s="107"/>
      <c r="Z253" s="107"/>
    </row>
    <row r="254" spans="1:26" ht="12.75" customHeight="1" x14ac:dyDescent="0.2">
      <c r="A254" s="107"/>
      <c r="B254" s="107"/>
      <c r="C254" s="107"/>
      <c r="D254" s="107"/>
      <c r="E254" s="107"/>
      <c r="F254" s="107"/>
      <c r="G254" s="107"/>
      <c r="H254" s="107"/>
      <c r="I254" s="107"/>
      <c r="J254" s="107"/>
      <c r="K254" s="107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  <c r="X254" s="107"/>
      <c r="Y254" s="107"/>
      <c r="Z254" s="107"/>
    </row>
    <row r="255" spans="1:26" ht="12.75" customHeight="1" x14ac:dyDescent="0.2">
      <c r="A255" s="107"/>
      <c r="B255" s="107"/>
      <c r="C255" s="107"/>
      <c r="D255" s="107"/>
      <c r="E255" s="107"/>
      <c r="F255" s="107"/>
      <c r="G255" s="107"/>
      <c r="H255" s="107"/>
      <c r="I255" s="107"/>
      <c r="J255" s="107"/>
      <c r="K255" s="107"/>
      <c r="L255" s="107"/>
      <c r="M255" s="107"/>
      <c r="N255" s="107"/>
      <c r="O255" s="107"/>
      <c r="P255" s="107"/>
      <c r="Q255" s="107"/>
      <c r="R255" s="107"/>
      <c r="S255" s="107"/>
      <c r="T255" s="107"/>
      <c r="U255" s="107"/>
      <c r="V255" s="107"/>
      <c r="W255" s="107"/>
      <c r="X255" s="107"/>
      <c r="Y255" s="107"/>
      <c r="Z255" s="107"/>
    </row>
    <row r="256" spans="1:26" ht="12.75" customHeight="1" x14ac:dyDescent="0.2">
      <c r="A256" s="107"/>
      <c r="B256" s="107"/>
      <c r="C256" s="107"/>
      <c r="D256" s="107"/>
      <c r="E256" s="107"/>
      <c r="F256" s="107"/>
      <c r="G256" s="107"/>
      <c r="H256" s="107"/>
      <c r="I256" s="107"/>
      <c r="J256" s="107"/>
      <c r="K256" s="107"/>
      <c r="L256" s="107"/>
      <c r="M256" s="107"/>
      <c r="N256" s="107"/>
      <c r="O256" s="107"/>
      <c r="P256" s="107"/>
      <c r="Q256" s="107"/>
      <c r="R256" s="107"/>
      <c r="S256" s="107"/>
      <c r="T256" s="107"/>
      <c r="U256" s="107"/>
      <c r="V256" s="107"/>
      <c r="W256" s="107"/>
      <c r="X256" s="107"/>
      <c r="Y256" s="107"/>
      <c r="Z256" s="107"/>
    </row>
    <row r="257" spans="1:26" ht="12.75" customHeight="1" x14ac:dyDescent="0.2">
      <c r="A257" s="107"/>
      <c r="B257" s="107"/>
      <c r="C257" s="107"/>
      <c r="D257" s="107"/>
      <c r="E257" s="107"/>
      <c r="F257" s="107"/>
      <c r="G257" s="107"/>
      <c r="H257" s="107"/>
      <c r="I257" s="107"/>
      <c r="J257" s="107"/>
      <c r="K257" s="107"/>
      <c r="L257" s="107"/>
      <c r="M257" s="107"/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  <c r="X257" s="107"/>
      <c r="Y257" s="107"/>
      <c r="Z257" s="107"/>
    </row>
    <row r="258" spans="1:26" ht="12.75" customHeight="1" x14ac:dyDescent="0.2">
      <c r="A258" s="107"/>
      <c r="B258" s="107"/>
      <c r="C258" s="107"/>
      <c r="D258" s="107"/>
      <c r="E258" s="107"/>
      <c r="F258" s="107"/>
      <c r="G258" s="107"/>
      <c r="H258" s="107"/>
      <c r="I258" s="107"/>
      <c r="J258" s="107"/>
      <c r="K258" s="107"/>
      <c r="L258" s="107"/>
      <c r="M258" s="107"/>
      <c r="N258" s="107"/>
      <c r="O258" s="107"/>
      <c r="P258" s="107"/>
      <c r="Q258" s="107"/>
      <c r="R258" s="107"/>
      <c r="S258" s="107"/>
      <c r="T258" s="107"/>
      <c r="U258" s="107"/>
      <c r="V258" s="107"/>
      <c r="W258" s="107"/>
      <c r="X258" s="107"/>
      <c r="Y258" s="107"/>
      <c r="Z258" s="107"/>
    </row>
    <row r="259" spans="1:26" ht="12.75" customHeight="1" x14ac:dyDescent="0.2">
      <c r="A259" s="107"/>
      <c r="B259" s="107"/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  <c r="Y259" s="107"/>
      <c r="Z259" s="107"/>
    </row>
    <row r="260" spans="1:26" ht="12.75" customHeight="1" x14ac:dyDescent="0.2">
      <c r="A260" s="107"/>
      <c r="B260" s="107"/>
      <c r="C260" s="107"/>
      <c r="D260" s="107"/>
      <c r="E260" s="107"/>
      <c r="F260" s="107"/>
      <c r="G260" s="107"/>
      <c r="H260" s="107"/>
      <c r="I260" s="107"/>
      <c r="J260" s="107"/>
      <c r="K260" s="107"/>
      <c r="L260" s="107"/>
      <c r="M260" s="107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  <c r="X260" s="107"/>
      <c r="Y260" s="107"/>
      <c r="Z260" s="107"/>
    </row>
    <row r="261" spans="1:26" ht="12.75" customHeight="1" x14ac:dyDescent="0.2">
      <c r="A261" s="107"/>
      <c r="B261" s="107"/>
      <c r="C261" s="107"/>
      <c r="D261" s="107"/>
      <c r="E261" s="107"/>
      <c r="F261" s="107"/>
      <c r="G261" s="107"/>
      <c r="H261" s="107"/>
      <c r="I261" s="107"/>
      <c r="J261" s="107"/>
      <c r="K261" s="107"/>
      <c r="L261" s="107"/>
      <c r="M261" s="107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  <c r="X261" s="107"/>
      <c r="Y261" s="107"/>
      <c r="Z261" s="107"/>
    </row>
    <row r="262" spans="1:26" ht="12.75" customHeight="1" x14ac:dyDescent="0.2">
      <c r="A262" s="107"/>
      <c r="B262" s="107"/>
      <c r="C262" s="107"/>
      <c r="D262" s="107"/>
      <c r="E262" s="107"/>
      <c r="F262" s="107"/>
      <c r="G262" s="107"/>
      <c r="H262" s="107"/>
      <c r="I262" s="107"/>
      <c r="J262" s="107"/>
      <c r="K262" s="107"/>
      <c r="L262" s="107"/>
      <c r="M262" s="107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  <c r="X262" s="107"/>
      <c r="Y262" s="107"/>
      <c r="Z262" s="107"/>
    </row>
    <row r="263" spans="1:26" ht="12.75" customHeight="1" x14ac:dyDescent="0.2">
      <c r="A263" s="107"/>
      <c r="B263" s="107"/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  <c r="Y263" s="107"/>
      <c r="Z263" s="107"/>
    </row>
    <row r="264" spans="1:26" ht="12.75" customHeight="1" x14ac:dyDescent="0.2">
      <c r="A264" s="107"/>
      <c r="B264" s="107"/>
      <c r="C264" s="107"/>
      <c r="D264" s="107"/>
      <c r="E264" s="107"/>
      <c r="F264" s="107"/>
      <c r="G264" s="107"/>
      <c r="H264" s="107"/>
      <c r="I264" s="107"/>
      <c r="J264" s="107"/>
      <c r="K264" s="107"/>
      <c r="L264" s="107"/>
      <c r="M264" s="107"/>
      <c r="N264" s="107"/>
      <c r="O264" s="107"/>
      <c r="P264" s="107"/>
      <c r="Q264" s="107"/>
      <c r="R264" s="107"/>
      <c r="S264" s="107"/>
      <c r="T264" s="107"/>
      <c r="U264" s="107"/>
      <c r="V264" s="107"/>
      <c r="W264" s="107"/>
      <c r="X264" s="107"/>
      <c r="Y264" s="107"/>
      <c r="Z264" s="107"/>
    </row>
    <row r="265" spans="1:26" ht="12.75" customHeight="1" x14ac:dyDescent="0.2">
      <c r="A265" s="107"/>
      <c r="B265" s="107"/>
      <c r="C265" s="107"/>
      <c r="D265" s="107"/>
      <c r="E265" s="107"/>
      <c r="F265" s="107"/>
      <c r="G265" s="107"/>
      <c r="H265" s="107"/>
      <c r="I265" s="107"/>
      <c r="J265" s="107"/>
      <c r="K265" s="107"/>
      <c r="L265" s="107"/>
      <c r="M265" s="107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  <c r="X265" s="107"/>
      <c r="Y265" s="107"/>
      <c r="Z265" s="107"/>
    </row>
    <row r="266" spans="1:26" ht="12.75" customHeight="1" x14ac:dyDescent="0.2">
      <c r="A266" s="107"/>
      <c r="B266" s="107"/>
      <c r="C266" s="107"/>
      <c r="D266" s="107"/>
      <c r="E266" s="107"/>
      <c r="F266" s="107"/>
      <c r="G266" s="107"/>
      <c r="H266" s="107"/>
      <c r="I266" s="107"/>
      <c r="J266" s="107"/>
      <c r="K266" s="107"/>
      <c r="L266" s="107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  <c r="X266" s="107"/>
      <c r="Y266" s="107"/>
      <c r="Z266" s="107"/>
    </row>
    <row r="267" spans="1:26" ht="12.75" customHeight="1" x14ac:dyDescent="0.2">
      <c r="A267" s="107"/>
      <c r="B267" s="107"/>
      <c r="C267" s="107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  <c r="Y267" s="107"/>
      <c r="Z267" s="107"/>
    </row>
    <row r="268" spans="1:26" ht="12.75" customHeight="1" x14ac:dyDescent="0.2">
      <c r="A268" s="107"/>
      <c r="B268" s="107"/>
      <c r="C268" s="107"/>
      <c r="D268" s="107"/>
      <c r="E268" s="107"/>
      <c r="F268" s="107"/>
      <c r="G268" s="107"/>
      <c r="H268" s="107"/>
      <c r="I268" s="107"/>
      <c r="J268" s="107"/>
      <c r="K268" s="107"/>
      <c r="L268" s="107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  <c r="X268" s="107"/>
      <c r="Y268" s="107"/>
      <c r="Z268" s="107"/>
    </row>
    <row r="269" spans="1:26" ht="12.75" customHeight="1" x14ac:dyDescent="0.2">
      <c r="A269" s="107"/>
      <c r="B269" s="107"/>
      <c r="C269" s="107"/>
      <c r="D269" s="107"/>
      <c r="E269" s="107"/>
      <c r="F269" s="107"/>
      <c r="G269" s="107"/>
      <c r="H269" s="107"/>
      <c r="I269" s="107"/>
      <c r="J269" s="107"/>
      <c r="K269" s="107"/>
      <c r="L269" s="107"/>
      <c r="M269" s="107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  <c r="X269" s="107"/>
      <c r="Y269" s="107"/>
      <c r="Z269" s="107"/>
    </row>
    <row r="270" spans="1:26" ht="12.75" customHeight="1" x14ac:dyDescent="0.2">
      <c r="A270" s="107"/>
      <c r="B270" s="107"/>
      <c r="C270" s="107"/>
      <c r="D270" s="107"/>
      <c r="E270" s="107"/>
      <c r="F270" s="107"/>
      <c r="G270" s="107"/>
      <c r="H270" s="107"/>
      <c r="I270" s="107"/>
      <c r="J270" s="107"/>
      <c r="K270" s="107"/>
      <c r="L270" s="107"/>
      <c r="M270" s="107"/>
      <c r="N270" s="107"/>
      <c r="O270" s="107"/>
      <c r="P270" s="107"/>
      <c r="Q270" s="107"/>
      <c r="R270" s="107"/>
      <c r="S270" s="107"/>
      <c r="T270" s="107"/>
      <c r="U270" s="107"/>
      <c r="V270" s="107"/>
      <c r="W270" s="107"/>
      <c r="X270" s="107"/>
      <c r="Y270" s="107"/>
      <c r="Z270" s="107"/>
    </row>
    <row r="271" spans="1:26" ht="12.75" customHeight="1" x14ac:dyDescent="0.2">
      <c r="A271" s="107"/>
      <c r="B271" s="107"/>
      <c r="C271" s="107"/>
      <c r="D271" s="107"/>
      <c r="E271" s="107"/>
      <c r="F271" s="107"/>
      <c r="G271" s="107"/>
      <c r="H271" s="107"/>
      <c r="I271" s="107"/>
      <c r="J271" s="107"/>
      <c r="K271" s="107"/>
      <c r="L271" s="107"/>
      <c r="M271" s="107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  <c r="X271" s="107"/>
      <c r="Y271" s="107"/>
      <c r="Z271" s="107"/>
    </row>
    <row r="272" spans="1:26" ht="12.75" customHeight="1" x14ac:dyDescent="0.2">
      <c r="A272" s="107"/>
      <c r="B272" s="107"/>
      <c r="C272" s="107"/>
      <c r="D272" s="107"/>
      <c r="E272" s="107"/>
      <c r="F272" s="107"/>
      <c r="G272" s="107"/>
      <c r="H272" s="107"/>
      <c r="I272" s="107"/>
      <c r="J272" s="107"/>
      <c r="K272" s="107"/>
      <c r="L272" s="107"/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  <c r="X272" s="107"/>
      <c r="Y272" s="107"/>
      <c r="Z272" s="107"/>
    </row>
    <row r="273" spans="1:26" ht="12.75" customHeight="1" x14ac:dyDescent="0.2">
      <c r="A273" s="107"/>
      <c r="B273" s="107"/>
      <c r="C273" s="107"/>
      <c r="D273" s="107"/>
      <c r="E273" s="107"/>
      <c r="F273" s="107"/>
      <c r="G273" s="107"/>
      <c r="H273" s="107"/>
      <c r="I273" s="107"/>
      <c r="J273" s="107"/>
      <c r="K273" s="107"/>
      <c r="L273" s="107"/>
      <c r="M273" s="107"/>
      <c r="N273" s="107"/>
      <c r="O273" s="107"/>
      <c r="P273" s="107"/>
      <c r="Q273" s="107"/>
      <c r="R273" s="107"/>
      <c r="S273" s="107"/>
      <c r="T273" s="107"/>
      <c r="U273" s="107"/>
      <c r="V273" s="107"/>
      <c r="W273" s="107"/>
      <c r="X273" s="107"/>
      <c r="Y273" s="107"/>
      <c r="Z273" s="107"/>
    </row>
    <row r="274" spans="1:26" ht="12.75" customHeight="1" x14ac:dyDescent="0.2">
      <c r="A274" s="107"/>
      <c r="B274" s="107"/>
      <c r="C274" s="107"/>
      <c r="D274" s="107"/>
      <c r="E274" s="107"/>
      <c r="F274" s="107"/>
      <c r="G274" s="107"/>
      <c r="H274" s="107"/>
      <c r="I274" s="107"/>
      <c r="J274" s="107"/>
      <c r="K274" s="107"/>
      <c r="L274" s="107"/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  <c r="X274" s="107"/>
      <c r="Y274" s="107"/>
      <c r="Z274" s="107"/>
    </row>
    <row r="275" spans="1:26" ht="12.75" customHeight="1" x14ac:dyDescent="0.2">
      <c r="A275" s="107"/>
      <c r="B275" s="107"/>
      <c r="C275" s="107"/>
      <c r="D275" s="107"/>
      <c r="E275" s="107"/>
      <c r="F275" s="107"/>
      <c r="G275" s="107"/>
      <c r="H275" s="107"/>
      <c r="I275" s="107"/>
      <c r="J275" s="107"/>
      <c r="K275" s="107"/>
      <c r="L275" s="107"/>
      <c r="M275" s="107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  <c r="X275" s="107"/>
      <c r="Y275" s="107"/>
      <c r="Z275" s="107"/>
    </row>
    <row r="276" spans="1:26" ht="12.75" customHeight="1" x14ac:dyDescent="0.2">
      <c r="A276" s="107"/>
      <c r="B276" s="107"/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</row>
    <row r="277" spans="1:26" ht="12.75" customHeight="1" x14ac:dyDescent="0.2">
      <c r="A277" s="107"/>
      <c r="B277" s="107"/>
      <c r="C277" s="107"/>
      <c r="D277" s="107"/>
      <c r="E277" s="107"/>
      <c r="F277" s="107"/>
      <c r="G277" s="107"/>
      <c r="H277" s="107"/>
      <c r="I277" s="107"/>
      <c r="J277" s="107"/>
      <c r="K277" s="107"/>
      <c r="L277" s="107"/>
      <c r="M277" s="107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  <c r="Y277" s="107"/>
      <c r="Z277" s="107"/>
    </row>
    <row r="278" spans="1:26" ht="12.75" customHeight="1" x14ac:dyDescent="0.2">
      <c r="A278" s="107"/>
      <c r="B278" s="107"/>
      <c r="C278" s="107"/>
      <c r="D278" s="107"/>
      <c r="E278" s="107"/>
      <c r="F278" s="107"/>
      <c r="G278" s="107"/>
      <c r="H278" s="107"/>
      <c r="I278" s="107"/>
      <c r="J278" s="107"/>
      <c r="K278" s="107"/>
      <c r="L278" s="107"/>
      <c r="M278" s="107"/>
      <c r="N278" s="107"/>
      <c r="O278" s="107"/>
      <c r="P278" s="107"/>
      <c r="Q278" s="107"/>
      <c r="R278" s="107"/>
      <c r="S278" s="107"/>
      <c r="T278" s="107"/>
      <c r="U278" s="107"/>
      <c r="V278" s="107"/>
      <c r="W278" s="107"/>
      <c r="X278" s="107"/>
      <c r="Y278" s="107"/>
      <c r="Z278" s="107"/>
    </row>
    <row r="279" spans="1:26" ht="12.75" customHeight="1" x14ac:dyDescent="0.2">
      <c r="A279" s="107"/>
      <c r="B279" s="107"/>
      <c r="C279" s="107"/>
      <c r="D279" s="107"/>
      <c r="E279" s="107"/>
      <c r="F279" s="107"/>
      <c r="G279" s="107"/>
      <c r="H279" s="107"/>
      <c r="I279" s="107"/>
      <c r="J279" s="107"/>
      <c r="K279" s="107"/>
      <c r="L279" s="107"/>
      <c r="M279" s="107"/>
      <c r="N279" s="107"/>
      <c r="O279" s="107"/>
      <c r="P279" s="107"/>
      <c r="Q279" s="107"/>
      <c r="R279" s="107"/>
      <c r="S279" s="107"/>
      <c r="T279" s="107"/>
      <c r="U279" s="107"/>
      <c r="V279" s="107"/>
      <c r="W279" s="107"/>
      <c r="X279" s="107"/>
      <c r="Y279" s="107"/>
      <c r="Z279" s="107"/>
    </row>
    <row r="280" spans="1:26" ht="12.75" customHeight="1" x14ac:dyDescent="0.2">
      <c r="A280" s="107"/>
      <c r="B280" s="107"/>
      <c r="C280" s="107"/>
      <c r="D280" s="107"/>
      <c r="E280" s="107"/>
      <c r="F280" s="107"/>
      <c r="G280" s="107"/>
      <c r="H280" s="107"/>
      <c r="I280" s="107"/>
      <c r="J280" s="107"/>
      <c r="K280" s="107"/>
      <c r="L280" s="107"/>
      <c r="M280" s="107"/>
      <c r="N280" s="107"/>
      <c r="O280" s="107"/>
      <c r="P280" s="107"/>
      <c r="Q280" s="107"/>
      <c r="R280" s="107"/>
      <c r="S280" s="107"/>
      <c r="T280" s="107"/>
      <c r="U280" s="107"/>
      <c r="V280" s="107"/>
      <c r="W280" s="107"/>
      <c r="X280" s="107"/>
      <c r="Y280" s="107"/>
      <c r="Z280" s="107"/>
    </row>
    <row r="281" spans="1:26" ht="12.75" customHeight="1" x14ac:dyDescent="0.2">
      <c r="A281" s="107"/>
      <c r="B281" s="107"/>
      <c r="C281" s="107"/>
      <c r="D281" s="107"/>
      <c r="E281" s="107"/>
      <c r="F281" s="107"/>
      <c r="G281" s="107"/>
      <c r="H281" s="107"/>
      <c r="I281" s="107"/>
      <c r="J281" s="107"/>
      <c r="K281" s="107"/>
      <c r="L281" s="107"/>
      <c r="M281" s="107"/>
      <c r="N281" s="107"/>
      <c r="O281" s="107"/>
      <c r="P281" s="107"/>
      <c r="Q281" s="107"/>
      <c r="R281" s="107"/>
      <c r="S281" s="107"/>
      <c r="T281" s="107"/>
      <c r="U281" s="107"/>
      <c r="V281" s="107"/>
      <c r="W281" s="107"/>
      <c r="X281" s="107"/>
      <c r="Y281" s="107"/>
      <c r="Z281" s="107"/>
    </row>
    <row r="282" spans="1:26" ht="12.75" customHeight="1" x14ac:dyDescent="0.2">
      <c r="A282" s="107"/>
      <c r="B282" s="107"/>
      <c r="C282" s="107"/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  <c r="Y282" s="107"/>
      <c r="Z282" s="107"/>
    </row>
    <row r="283" spans="1:26" ht="12.75" customHeight="1" x14ac:dyDescent="0.2">
      <c r="A283" s="107"/>
      <c r="B283" s="107"/>
      <c r="C283" s="107"/>
      <c r="D283" s="107"/>
      <c r="E283" s="107"/>
      <c r="F283" s="107"/>
      <c r="G283" s="107"/>
      <c r="H283" s="107"/>
      <c r="I283" s="107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</row>
    <row r="284" spans="1:26" ht="12.75" customHeight="1" x14ac:dyDescent="0.2">
      <c r="A284" s="107"/>
      <c r="B284" s="107"/>
      <c r="C284" s="107"/>
      <c r="D284" s="107"/>
      <c r="E284" s="107"/>
      <c r="F284" s="107"/>
      <c r="G284" s="107"/>
      <c r="H284" s="107"/>
      <c r="I284" s="107"/>
      <c r="J284" s="107"/>
      <c r="K284" s="107"/>
      <c r="L284" s="107"/>
      <c r="M284" s="107"/>
      <c r="N284" s="107"/>
      <c r="O284" s="107"/>
      <c r="P284" s="107"/>
      <c r="Q284" s="107"/>
      <c r="R284" s="107"/>
      <c r="S284" s="107"/>
      <c r="T284" s="107"/>
      <c r="U284" s="107"/>
      <c r="V284" s="107"/>
      <c r="W284" s="107"/>
      <c r="X284" s="107"/>
      <c r="Y284" s="107"/>
      <c r="Z284" s="107"/>
    </row>
    <row r="285" spans="1:26" ht="12.75" customHeight="1" x14ac:dyDescent="0.2">
      <c r="A285" s="107"/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</row>
    <row r="286" spans="1:26" ht="12.75" customHeight="1" x14ac:dyDescent="0.2">
      <c r="A286" s="107"/>
      <c r="B286" s="107"/>
      <c r="C286" s="107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</row>
    <row r="287" spans="1:26" ht="12.75" customHeight="1" x14ac:dyDescent="0.2">
      <c r="A287" s="107"/>
      <c r="B287" s="107"/>
      <c r="C287" s="107"/>
      <c r="D287" s="107"/>
      <c r="E287" s="107"/>
      <c r="F287" s="107"/>
      <c r="G287" s="107"/>
      <c r="H287" s="107"/>
      <c r="I287" s="107"/>
      <c r="J287" s="107"/>
      <c r="K287" s="107"/>
      <c r="L287" s="107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</row>
    <row r="288" spans="1:26" ht="12.75" customHeight="1" x14ac:dyDescent="0.2">
      <c r="A288" s="107"/>
      <c r="B288" s="107"/>
      <c r="C288" s="107"/>
      <c r="D288" s="107"/>
      <c r="E288" s="107"/>
      <c r="F288" s="107"/>
      <c r="G288" s="107"/>
      <c r="H288" s="107"/>
      <c r="I288" s="107"/>
      <c r="J288" s="107"/>
      <c r="K288" s="107"/>
      <c r="L288" s="107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</row>
    <row r="289" spans="1:26" ht="12.75" customHeight="1" x14ac:dyDescent="0.2">
      <c r="A289" s="107"/>
      <c r="B289" s="107"/>
      <c r="C289" s="107"/>
      <c r="D289" s="107"/>
      <c r="E289" s="107"/>
      <c r="F289" s="107"/>
      <c r="G289" s="107"/>
      <c r="H289" s="107"/>
      <c r="I289" s="107"/>
      <c r="J289" s="107"/>
      <c r="K289" s="107"/>
      <c r="L289" s="107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</row>
    <row r="290" spans="1:26" ht="12.75" customHeight="1" x14ac:dyDescent="0.2">
      <c r="A290" s="107"/>
      <c r="B290" s="107"/>
      <c r="C290" s="107"/>
      <c r="D290" s="107"/>
      <c r="E290" s="107"/>
      <c r="F290" s="107"/>
      <c r="G290" s="107"/>
      <c r="H290" s="107"/>
      <c r="I290" s="107"/>
      <c r="J290" s="107"/>
      <c r="K290" s="107"/>
      <c r="L290" s="107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</row>
    <row r="291" spans="1:26" ht="12.75" customHeight="1" x14ac:dyDescent="0.2">
      <c r="A291" s="107"/>
      <c r="B291" s="107"/>
      <c r="C291" s="107"/>
      <c r="D291" s="107"/>
      <c r="E291" s="107"/>
      <c r="F291" s="107"/>
      <c r="G291" s="107"/>
      <c r="H291" s="107"/>
      <c r="I291" s="107"/>
      <c r="J291" s="107"/>
      <c r="K291" s="107"/>
      <c r="L291" s="107"/>
      <c r="M291" s="107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  <c r="Y291" s="107"/>
      <c r="Z291" s="107"/>
    </row>
    <row r="292" spans="1:26" ht="12.75" customHeight="1" x14ac:dyDescent="0.2">
      <c r="A292" s="107"/>
      <c r="B292" s="107"/>
      <c r="C292" s="107"/>
      <c r="D292" s="107"/>
      <c r="E292" s="107"/>
      <c r="F292" s="107"/>
      <c r="G292" s="107"/>
      <c r="H292" s="107"/>
      <c r="I292" s="107"/>
      <c r="J292" s="107"/>
      <c r="K292" s="107"/>
      <c r="L292" s="107"/>
      <c r="M292" s="107"/>
      <c r="N292" s="107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  <c r="Y292" s="107"/>
      <c r="Z292" s="107"/>
    </row>
    <row r="293" spans="1:26" ht="12.75" customHeight="1" x14ac:dyDescent="0.2">
      <c r="A293" s="107"/>
      <c r="B293" s="107"/>
      <c r="C293" s="107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</row>
    <row r="294" spans="1:26" ht="12.75" customHeight="1" x14ac:dyDescent="0.2">
      <c r="A294" s="107"/>
      <c r="B294" s="107"/>
      <c r="C294" s="107"/>
      <c r="D294" s="107"/>
      <c r="E294" s="107"/>
      <c r="F294" s="107"/>
      <c r="G294" s="107"/>
      <c r="H294" s="107"/>
      <c r="I294" s="107"/>
      <c r="J294" s="107"/>
      <c r="K294" s="107"/>
      <c r="L294" s="107"/>
      <c r="M294" s="107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  <c r="Y294" s="107"/>
      <c r="Z294" s="107"/>
    </row>
    <row r="295" spans="1:26" ht="12.75" customHeight="1" x14ac:dyDescent="0.2">
      <c r="A295" s="107"/>
      <c r="B295" s="107"/>
      <c r="C295" s="107"/>
      <c r="D295" s="107"/>
      <c r="E295" s="107"/>
      <c r="F295" s="107"/>
      <c r="G295" s="107"/>
      <c r="H295" s="107"/>
      <c r="I295" s="107"/>
      <c r="J295" s="107"/>
      <c r="K295" s="107"/>
      <c r="L295" s="107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</row>
    <row r="296" spans="1:26" ht="12.75" customHeight="1" x14ac:dyDescent="0.2">
      <c r="A296" s="107"/>
      <c r="B296" s="107"/>
      <c r="C296" s="107"/>
      <c r="D296" s="107"/>
      <c r="E296" s="107"/>
      <c r="F296" s="107"/>
      <c r="G296" s="107"/>
      <c r="H296" s="107"/>
      <c r="I296" s="107"/>
      <c r="J296" s="107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</row>
    <row r="297" spans="1:26" ht="12.75" customHeight="1" x14ac:dyDescent="0.2">
      <c r="A297" s="107"/>
      <c r="B297" s="107"/>
      <c r="C297" s="107"/>
      <c r="D297" s="107"/>
      <c r="E297" s="107"/>
      <c r="F297" s="107"/>
      <c r="G297" s="107"/>
      <c r="H297" s="107"/>
      <c r="I297" s="107"/>
      <c r="J297" s="107"/>
      <c r="K297" s="107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</row>
    <row r="298" spans="1:26" ht="12.75" customHeight="1" x14ac:dyDescent="0.2">
      <c r="A298" s="107"/>
      <c r="B298" s="107"/>
      <c r="C298" s="107"/>
      <c r="D298" s="107"/>
      <c r="E298" s="107"/>
      <c r="F298" s="107"/>
      <c r="G298" s="107"/>
      <c r="H298" s="107"/>
      <c r="I298" s="107"/>
      <c r="J298" s="107"/>
      <c r="K298" s="107"/>
      <c r="L298" s="107"/>
      <c r="M298" s="107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  <c r="Y298" s="107"/>
      <c r="Z298" s="107"/>
    </row>
    <row r="299" spans="1:26" ht="12.75" customHeight="1" x14ac:dyDescent="0.2">
      <c r="A299" s="107"/>
      <c r="B299" s="107"/>
      <c r="C299" s="107"/>
      <c r="D299" s="107"/>
      <c r="E299" s="107"/>
      <c r="F299" s="107"/>
      <c r="G299" s="107"/>
      <c r="H299" s="107"/>
      <c r="I299" s="107"/>
      <c r="J299" s="107"/>
      <c r="K299" s="107"/>
      <c r="L299" s="107"/>
      <c r="M299" s="107"/>
      <c r="N299" s="107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  <c r="Y299" s="107"/>
      <c r="Z299" s="107"/>
    </row>
    <row r="300" spans="1:26" ht="12.75" customHeight="1" x14ac:dyDescent="0.2">
      <c r="A300" s="107"/>
      <c r="B300" s="107"/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</row>
    <row r="301" spans="1:26" ht="12.75" customHeight="1" x14ac:dyDescent="0.2">
      <c r="A301" s="107"/>
      <c r="B301" s="107"/>
      <c r="C301" s="107"/>
      <c r="D301" s="107"/>
      <c r="E301" s="107"/>
      <c r="F301" s="107"/>
      <c r="G301" s="107"/>
      <c r="H301" s="107"/>
      <c r="I301" s="107"/>
      <c r="J301" s="107"/>
      <c r="K301" s="107"/>
      <c r="L301" s="107"/>
      <c r="M301" s="107"/>
      <c r="N301" s="107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  <c r="Y301" s="107"/>
      <c r="Z301" s="107"/>
    </row>
    <row r="302" spans="1:26" ht="12.75" customHeight="1" x14ac:dyDescent="0.2">
      <c r="A302" s="107"/>
      <c r="B302" s="107"/>
      <c r="C302" s="107"/>
      <c r="D302" s="107"/>
      <c r="E302" s="107"/>
      <c r="F302" s="107"/>
      <c r="G302" s="107"/>
      <c r="H302" s="107"/>
      <c r="I302" s="107"/>
      <c r="J302" s="107"/>
      <c r="K302" s="107"/>
      <c r="L302" s="107"/>
      <c r="M302" s="107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  <c r="Y302" s="107"/>
      <c r="Z302" s="107"/>
    </row>
    <row r="303" spans="1:26" ht="12.75" customHeight="1" x14ac:dyDescent="0.2">
      <c r="A303" s="107"/>
      <c r="B303" s="107"/>
      <c r="C303" s="107"/>
      <c r="D303" s="107"/>
      <c r="E303" s="107"/>
      <c r="F303" s="107"/>
      <c r="G303" s="107"/>
      <c r="H303" s="107"/>
      <c r="I303" s="107"/>
      <c r="J303" s="107"/>
      <c r="K303" s="107"/>
      <c r="L303" s="107"/>
      <c r="M303" s="107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  <c r="Y303" s="107"/>
      <c r="Z303" s="107"/>
    </row>
    <row r="304" spans="1:26" ht="12.75" customHeight="1" x14ac:dyDescent="0.2">
      <c r="A304" s="107"/>
      <c r="B304" s="107"/>
      <c r="C304" s="107"/>
      <c r="D304" s="107"/>
      <c r="E304" s="107"/>
      <c r="F304" s="107"/>
      <c r="G304" s="107"/>
      <c r="H304" s="107"/>
      <c r="I304" s="107"/>
      <c r="J304" s="107"/>
      <c r="K304" s="107"/>
      <c r="L304" s="107"/>
      <c r="M304" s="107"/>
      <c r="N304" s="107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  <c r="Y304" s="107"/>
      <c r="Z304" s="107"/>
    </row>
    <row r="305" spans="1:26" ht="12.75" customHeight="1" x14ac:dyDescent="0.2">
      <c r="A305" s="107"/>
      <c r="B305" s="107"/>
      <c r="C305" s="107"/>
      <c r="D305" s="107"/>
      <c r="E305" s="107"/>
      <c r="F305" s="107"/>
      <c r="G305" s="107"/>
      <c r="H305" s="107"/>
      <c r="I305" s="107"/>
      <c r="J305" s="107"/>
      <c r="K305" s="107"/>
      <c r="L305" s="107"/>
      <c r="M305" s="107"/>
      <c r="N305" s="107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  <c r="Y305" s="107"/>
      <c r="Z305" s="107"/>
    </row>
    <row r="306" spans="1:26" ht="12.75" customHeight="1" x14ac:dyDescent="0.2">
      <c r="A306" s="107"/>
      <c r="B306" s="107"/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</row>
    <row r="307" spans="1:26" ht="12.75" customHeight="1" x14ac:dyDescent="0.2">
      <c r="A307" s="107"/>
      <c r="B307" s="107"/>
      <c r="C307" s="107"/>
      <c r="D307" s="107"/>
      <c r="E307" s="107"/>
      <c r="F307" s="107"/>
      <c r="G307" s="107"/>
      <c r="H307" s="107"/>
      <c r="I307" s="107"/>
      <c r="J307" s="107"/>
      <c r="K307" s="107"/>
      <c r="L307" s="107"/>
      <c r="M307" s="107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  <c r="Y307" s="107"/>
      <c r="Z307" s="107"/>
    </row>
    <row r="308" spans="1:26" ht="12.75" customHeight="1" x14ac:dyDescent="0.2">
      <c r="A308" s="107"/>
      <c r="B308" s="107"/>
      <c r="C308" s="107"/>
      <c r="D308" s="107"/>
      <c r="E308" s="107"/>
      <c r="F308" s="107"/>
      <c r="G308" s="107"/>
      <c r="H308" s="107"/>
      <c r="I308" s="107"/>
      <c r="J308" s="107"/>
      <c r="K308" s="107"/>
      <c r="L308" s="107"/>
      <c r="M308" s="107"/>
      <c r="N308" s="107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  <c r="Y308" s="107"/>
      <c r="Z308" s="107"/>
    </row>
    <row r="309" spans="1:26" ht="12.75" customHeight="1" x14ac:dyDescent="0.2">
      <c r="A309" s="107"/>
      <c r="B309" s="107"/>
      <c r="C309" s="107"/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  <c r="Y309" s="107"/>
      <c r="Z309" s="107"/>
    </row>
    <row r="310" spans="1:26" ht="12.75" customHeight="1" x14ac:dyDescent="0.2">
      <c r="A310" s="107"/>
      <c r="B310" s="107"/>
      <c r="C310" s="107"/>
      <c r="D310" s="107"/>
      <c r="E310" s="107"/>
      <c r="F310" s="107"/>
      <c r="G310" s="107"/>
      <c r="H310" s="107"/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  <c r="Y310" s="107"/>
      <c r="Z310" s="107"/>
    </row>
    <row r="311" spans="1:26" ht="12.75" customHeight="1" x14ac:dyDescent="0.2">
      <c r="A311" s="107"/>
      <c r="B311" s="107"/>
      <c r="C311" s="107"/>
      <c r="D311" s="107"/>
      <c r="E311" s="107"/>
      <c r="F311" s="107"/>
      <c r="G311" s="107"/>
      <c r="H311" s="107"/>
      <c r="I311" s="107"/>
      <c r="J311" s="107"/>
      <c r="K311" s="107"/>
      <c r="L311" s="107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</row>
    <row r="312" spans="1:26" ht="12.75" customHeight="1" x14ac:dyDescent="0.2">
      <c r="A312" s="107"/>
      <c r="B312" s="107"/>
      <c r="C312" s="107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</row>
    <row r="313" spans="1:26" ht="12.75" customHeight="1" x14ac:dyDescent="0.2">
      <c r="A313" s="107"/>
      <c r="B313" s="107"/>
      <c r="C313" s="107"/>
      <c r="D313" s="107"/>
      <c r="E313" s="107"/>
      <c r="F313" s="107"/>
      <c r="G313" s="107"/>
      <c r="H313" s="107"/>
      <c r="I313" s="107"/>
      <c r="J313" s="107"/>
      <c r="K313" s="107"/>
      <c r="L313" s="107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</row>
    <row r="314" spans="1:26" ht="12.75" customHeight="1" x14ac:dyDescent="0.2">
      <c r="A314" s="107"/>
      <c r="B314" s="107"/>
      <c r="C314" s="107"/>
      <c r="D314" s="107"/>
      <c r="E314" s="107"/>
      <c r="F314" s="107"/>
      <c r="G314" s="107"/>
      <c r="H314" s="107"/>
      <c r="I314" s="107"/>
      <c r="J314" s="107"/>
      <c r="K314" s="107"/>
      <c r="L314" s="107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</row>
    <row r="315" spans="1:26" ht="12.75" customHeight="1" x14ac:dyDescent="0.2">
      <c r="A315" s="107"/>
      <c r="B315" s="107"/>
      <c r="C315" s="107"/>
      <c r="D315" s="107"/>
      <c r="E315" s="107"/>
      <c r="F315" s="107"/>
      <c r="G315" s="107"/>
      <c r="H315" s="107"/>
      <c r="I315" s="107"/>
      <c r="J315" s="107"/>
      <c r="K315" s="107"/>
      <c r="L315" s="107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</row>
    <row r="316" spans="1:26" ht="12.75" customHeight="1" x14ac:dyDescent="0.2">
      <c r="A316" s="107"/>
      <c r="B316" s="107"/>
      <c r="C316" s="107"/>
      <c r="D316" s="107"/>
      <c r="E316" s="107"/>
      <c r="F316" s="107"/>
      <c r="G316" s="107"/>
      <c r="H316" s="107"/>
      <c r="I316" s="107"/>
      <c r="J316" s="107"/>
      <c r="K316" s="107"/>
      <c r="L316" s="107"/>
      <c r="M316" s="107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  <c r="Y316" s="107"/>
      <c r="Z316" s="107"/>
    </row>
    <row r="317" spans="1:26" ht="12.75" customHeight="1" x14ac:dyDescent="0.2">
      <c r="A317" s="107"/>
      <c r="B317" s="107"/>
      <c r="C317" s="107"/>
      <c r="D317" s="107"/>
      <c r="E317" s="107"/>
      <c r="F317" s="107"/>
      <c r="G317" s="107"/>
      <c r="H317" s="107"/>
      <c r="I317" s="107"/>
      <c r="J317" s="107"/>
      <c r="K317" s="107"/>
      <c r="L317" s="107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</row>
    <row r="318" spans="1:26" ht="12.75" customHeight="1" x14ac:dyDescent="0.2">
      <c r="A318" s="107"/>
      <c r="B318" s="107"/>
      <c r="C318" s="107"/>
      <c r="D318" s="107"/>
      <c r="E318" s="107"/>
      <c r="F318" s="107"/>
      <c r="G318" s="107"/>
      <c r="H318" s="107"/>
      <c r="I318" s="107"/>
      <c r="J318" s="107"/>
      <c r="K318" s="107"/>
      <c r="L318" s="107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</row>
    <row r="319" spans="1:26" ht="12.75" customHeight="1" x14ac:dyDescent="0.2">
      <c r="A319" s="107"/>
      <c r="B319" s="107"/>
      <c r="C319" s="107"/>
      <c r="D319" s="107"/>
      <c r="E319" s="107"/>
      <c r="F319" s="107"/>
      <c r="G319" s="107"/>
      <c r="H319" s="107"/>
      <c r="I319" s="107"/>
      <c r="J319" s="107"/>
      <c r="K319" s="107"/>
      <c r="L319" s="107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</row>
    <row r="320" spans="1:26" ht="12.75" customHeight="1" x14ac:dyDescent="0.2">
      <c r="A320" s="107"/>
      <c r="B320" s="107"/>
      <c r="C320" s="107"/>
      <c r="D320" s="107"/>
      <c r="E320" s="107"/>
      <c r="F320" s="107"/>
      <c r="G320" s="107"/>
      <c r="H320" s="107"/>
      <c r="I320" s="107"/>
      <c r="J320" s="107"/>
      <c r="K320" s="107"/>
      <c r="L320" s="107"/>
      <c r="M320" s="107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</row>
    <row r="321" spans="1:26" ht="12.75" customHeight="1" x14ac:dyDescent="0.2">
      <c r="A321" s="107"/>
      <c r="B321" s="107"/>
      <c r="C321" s="107"/>
      <c r="D321" s="107"/>
      <c r="E321" s="107"/>
      <c r="F321" s="107"/>
      <c r="G321" s="107"/>
      <c r="H321" s="107"/>
      <c r="I321" s="107"/>
      <c r="J321" s="107"/>
      <c r="K321" s="107"/>
      <c r="L321" s="107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</row>
    <row r="322" spans="1:26" ht="12.75" customHeight="1" x14ac:dyDescent="0.2">
      <c r="A322" s="107"/>
      <c r="B322" s="107"/>
      <c r="C322" s="107"/>
      <c r="D322" s="107"/>
      <c r="E322" s="107"/>
      <c r="F322" s="107"/>
      <c r="G322" s="107"/>
      <c r="H322" s="107"/>
      <c r="I322" s="107"/>
      <c r="J322" s="107"/>
      <c r="K322" s="107"/>
      <c r="L322" s="107"/>
      <c r="M322" s="107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  <c r="Y322" s="107"/>
      <c r="Z322" s="107"/>
    </row>
    <row r="323" spans="1:26" ht="12.75" customHeight="1" x14ac:dyDescent="0.2">
      <c r="A323" s="107"/>
      <c r="B323" s="107"/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</row>
    <row r="324" spans="1:26" ht="12.75" customHeight="1" x14ac:dyDescent="0.2">
      <c r="A324" s="107"/>
      <c r="B324" s="107"/>
      <c r="C324" s="107"/>
      <c r="D324" s="107"/>
      <c r="E324" s="107"/>
      <c r="F324" s="107"/>
      <c r="G324" s="107"/>
      <c r="H324" s="107"/>
      <c r="I324" s="107"/>
      <c r="J324" s="107"/>
      <c r="K324" s="107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</row>
    <row r="325" spans="1:26" ht="12.75" customHeight="1" x14ac:dyDescent="0.2">
      <c r="A325" s="107"/>
      <c r="B325" s="107"/>
      <c r="C325" s="107"/>
      <c r="D325" s="107"/>
      <c r="E325" s="107"/>
      <c r="F325" s="107"/>
      <c r="G325" s="107"/>
      <c r="H325" s="107"/>
      <c r="I325" s="107"/>
      <c r="J325" s="107"/>
      <c r="K325" s="107"/>
      <c r="L325" s="107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</row>
    <row r="326" spans="1:26" ht="12.75" customHeight="1" x14ac:dyDescent="0.2">
      <c r="A326" s="107"/>
      <c r="B326" s="107"/>
      <c r="C326" s="107"/>
      <c r="D326" s="107"/>
      <c r="E326" s="107"/>
      <c r="F326" s="107"/>
      <c r="G326" s="107"/>
      <c r="H326" s="107"/>
      <c r="I326" s="107"/>
      <c r="J326" s="107"/>
      <c r="K326" s="107"/>
      <c r="L326" s="107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</row>
    <row r="327" spans="1:26" ht="12.75" customHeight="1" x14ac:dyDescent="0.2">
      <c r="A327" s="107"/>
      <c r="B327" s="107"/>
      <c r="C327" s="107"/>
      <c r="D327" s="107"/>
      <c r="E327" s="107"/>
      <c r="F327" s="107"/>
      <c r="G327" s="107"/>
      <c r="H327" s="107"/>
      <c r="I327" s="107"/>
      <c r="J327" s="107"/>
      <c r="K327" s="107"/>
      <c r="L327" s="107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</row>
    <row r="328" spans="1:26" ht="12.75" customHeight="1" x14ac:dyDescent="0.2">
      <c r="A328" s="107"/>
      <c r="B328" s="107"/>
      <c r="C328" s="107"/>
      <c r="D328" s="107"/>
      <c r="E328" s="107"/>
      <c r="F328" s="107"/>
      <c r="G328" s="107"/>
      <c r="H328" s="107"/>
      <c r="I328" s="107"/>
      <c r="J328" s="107"/>
      <c r="K328" s="107"/>
      <c r="L328" s="107"/>
      <c r="M328" s="107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  <c r="Y328" s="107"/>
      <c r="Z328" s="107"/>
    </row>
    <row r="329" spans="1:26" ht="12.75" customHeight="1" x14ac:dyDescent="0.2">
      <c r="A329" s="107"/>
      <c r="B329" s="107"/>
      <c r="C329" s="107"/>
      <c r="D329" s="107"/>
      <c r="E329" s="107"/>
      <c r="F329" s="107"/>
      <c r="G329" s="107"/>
      <c r="H329" s="107"/>
      <c r="I329" s="107"/>
      <c r="J329" s="107"/>
      <c r="K329" s="107"/>
      <c r="L329" s="107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</row>
    <row r="330" spans="1:26" ht="12.75" customHeight="1" x14ac:dyDescent="0.2">
      <c r="A330" s="107"/>
      <c r="B330" s="107"/>
      <c r="C330" s="107"/>
      <c r="D330" s="107"/>
      <c r="E330" s="107"/>
      <c r="F330" s="107"/>
      <c r="G330" s="107"/>
      <c r="H330" s="107"/>
      <c r="I330" s="107"/>
      <c r="J330" s="107"/>
      <c r="K330" s="107"/>
      <c r="L330" s="107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</row>
    <row r="331" spans="1:26" ht="12.75" customHeight="1" x14ac:dyDescent="0.2">
      <c r="A331" s="107"/>
      <c r="B331" s="107"/>
      <c r="C331" s="107"/>
      <c r="D331" s="107"/>
      <c r="E331" s="107"/>
      <c r="F331" s="107"/>
      <c r="G331" s="107"/>
      <c r="H331" s="107"/>
      <c r="I331" s="107"/>
      <c r="J331" s="107"/>
      <c r="K331" s="107"/>
      <c r="L331" s="107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</row>
    <row r="332" spans="1:26" ht="12.75" customHeight="1" x14ac:dyDescent="0.2">
      <c r="A332" s="107"/>
      <c r="B332" s="107"/>
      <c r="C332" s="107"/>
      <c r="D332" s="107"/>
      <c r="E332" s="107"/>
      <c r="F332" s="107"/>
      <c r="G332" s="107"/>
      <c r="H332" s="107"/>
      <c r="I332" s="107"/>
      <c r="J332" s="107"/>
      <c r="K332" s="107"/>
      <c r="L332" s="107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</row>
    <row r="333" spans="1:26" ht="12.75" customHeight="1" x14ac:dyDescent="0.2">
      <c r="A333" s="107"/>
      <c r="B333" s="107"/>
      <c r="C333" s="107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</row>
    <row r="334" spans="1:26" ht="12.75" customHeight="1" x14ac:dyDescent="0.2">
      <c r="A334" s="107"/>
      <c r="B334" s="107"/>
      <c r="C334" s="107"/>
      <c r="D334" s="107"/>
      <c r="E334" s="107"/>
      <c r="F334" s="107"/>
      <c r="G334" s="107"/>
      <c r="H334" s="107"/>
      <c r="I334" s="107"/>
      <c r="J334" s="107"/>
      <c r="K334" s="107"/>
      <c r="L334" s="107"/>
      <c r="M334" s="107"/>
      <c r="N334" s="107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  <c r="Y334" s="107"/>
      <c r="Z334" s="107"/>
    </row>
    <row r="335" spans="1:26" ht="12.75" customHeight="1" x14ac:dyDescent="0.2">
      <c r="A335" s="107"/>
      <c r="B335" s="107"/>
      <c r="C335" s="107"/>
      <c r="D335" s="107"/>
      <c r="E335" s="107"/>
      <c r="F335" s="107"/>
      <c r="G335" s="107"/>
      <c r="H335" s="107"/>
      <c r="I335" s="107"/>
      <c r="J335" s="107"/>
      <c r="K335" s="107"/>
      <c r="L335" s="107"/>
      <c r="M335" s="107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  <c r="Y335" s="107"/>
      <c r="Z335" s="107"/>
    </row>
    <row r="336" spans="1:26" ht="12.75" customHeight="1" x14ac:dyDescent="0.2">
      <c r="A336" s="107"/>
      <c r="B336" s="107"/>
      <c r="C336" s="107"/>
      <c r="D336" s="107"/>
      <c r="E336" s="107"/>
      <c r="F336" s="107"/>
      <c r="G336" s="107"/>
      <c r="H336" s="107"/>
      <c r="I336" s="107"/>
      <c r="J336" s="107"/>
      <c r="K336" s="107"/>
      <c r="L336" s="107"/>
      <c r="M336" s="107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  <c r="Y336" s="107"/>
      <c r="Z336" s="107"/>
    </row>
    <row r="337" spans="1:26" ht="12.75" customHeight="1" x14ac:dyDescent="0.2">
      <c r="A337" s="107"/>
      <c r="B337" s="107"/>
      <c r="C337" s="107"/>
      <c r="D337" s="107"/>
      <c r="E337" s="107"/>
      <c r="F337" s="107"/>
      <c r="G337" s="107"/>
      <c r="H337" s="107"/>
      <c r="I337" s="107"/>
      <c r="J337" s="107"/>
      <c r="K337" s="107"/>
      <c r="L337" s="107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</row>
    <row r="338" spans="1:26" ht="12.75" customHeight="1" x14ac:dyDescent="0.2">
      <c r="A338" s="107"/>
      <c r="B338" s="107"/>
      <c r="C338" s="107"/>
      <c r="D338" s="107"/>
      <c r="E338" s="107"/>
      <c r="F338" s="107"/>
      <c r="G338" s="107"/>
      <c r="H338" s="107"/>
      <c r="I338" s="107"/>
      <c r="J338" s="107"/>
      <c r="K338" s="107"/>
      <c r="L338" s="107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</row>
    <row r="339" spans="1:26" ht="12.75" customHeight="1" x14ac:dyDescent="0.2">
      <c r="A339" s="107"/>
      <c r="B339" s="107"/>
      <c r="C339" s="107"/>
      <c r="D339" s="107"/>
      <c r="E339" s="107"/>
      <c r="F339" s="107"/>
      <c r="G339" s="107"/>
      <c r="H339" s="107"/>
      <c r="I339" s="107"/>
      <c r="J339" s="107"/>
      <c r="K339" s="107"/>
      <c r="L339" s="107"/>
      <c r="M339" s="10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</row>
    <row r="340" spans="1:26" ht="12.75" customHeight="1" x14ac:dyDescent="0.2">
      <c r="A340" s="107"/>
      <c r="B340" s="107"/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</row>
    <row r="341" spans="1:26" ht="12.75" customHeight="1" x14ac:dyDescent="0.2">
      <c r="A341" s="107"/>
      <c r="B341" s="107"/>
      <c r="C341" s="107"/>
      <c r="D341" s="107"/>
      <c r="E341" s="107"/>
      <c r="F341" s="107"/>
      <c r="G341" s="107"/>
      <c r="H341" s="107"/>
      <c r="I341" s="107"/>
      <c r="J341" s="107"/>
      <c r="K341" s="107"/>
      <c r="L341" s="107"/>
      <c r="M341" s="107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</row>
    <row r="342" spans="1:26" ht="12.75" customHeight="1" x14ac:dyDescent="0.2">
      <c r="A342" s="107"/>
      <c r="B342" s="107"/>
      <c r="C342" s="107"/>
      <c r="D342" s="107"/>
      <c r="E342" s="107"/>
      <c r="F342" s="107"/>
      <c r="G342" s="107"/>
      <c r="H342" s="107"/>
      <c r="I342" s="107"/>
      <c r="J342" s="107"/>
      <c r="K342" s="107"/>
      <c r="L342" s="107"/>
      <c r="M342" s="107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</row>
    <row r="343" spans="1:26" ht="12.75" customHeight="1" x14ac:dyDescent="0.2">
      <c r="A343" s="107"/>
      <c r="B343" s="107"/>
      <c r="C343" s="107"/>
      <c r="D343" s="107"/>
      <c r="E343" s="107"/>
      <c r="F343" s="107"/>
      <c r="G343" s="107"/>
      <c r="H343" s="107"/>
      <c r="I343" s="107"/>
      <c r="J343" s="107"/>
      <c r="K343" s="107"/>
      <c r="L343" s="107"/>
      <c r="M343" s="107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</row>
    <row r="344" spans="1:26" ht="12.75" customHeight="1" x14ac:dyDescent="0.2">
      <c r="A344" s="107"/>
      <c r="B344" s="107"/>
      <c r="C344" s="107"/>
      <c r="D344" s="107"/>
      <c r="E344" s="107"/>
      <c r="F344" s="107"/>
      <c r="G344" s="107"/>
      <c r="H344" s="107"/>
      <c r="I344" s="107"/>
      <c r="J344" s="107"/>
      <c r="K344" s="107"/>
      <c r="L344" s="107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</row>
    <row r="345" spans="1:26" ht="12.75" customHeight="1" x14ac:dyDescent="0.2">
      <c r="A345" s="107"/>
      <c r="B345" s="107"/>
      <c r="C345" s="107"/>
      <c r="D345" s="107"/>
      <c r="E345" s="107"/>
      <c r="F345" s="107"/>
      <c r="G345" s="107"/>
      <c r="H345" s="107"/>
      <c r="I345" s="107"/>
      <c r="J345" s="107"/>
      <c r="K345" s="107"/>
      <c r="L345" s="107"/>
      <c r="M345" s="107"/>
      <c r="N345" s="107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  <c r="Y345" s="107"/>
      <c r="Z345" s="107"/>
    </row>
    <row r="346" spans="1:26" ht="12.75" customHeight="1" x14ac:dyDescent="0.2">
      <c r="A346" s="107"/>
      <c r="B346" s="107"/>
      <c r="C346" s="107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</row>
    <row r="347" spans="1:26" ht="12.75" customHeight="1" x14ac:dyDescent="0.2">
      <c r="A347" s="107"/>
      <c r="B347" s="107"/>
      <c r="C347" s="107"/>
      <c r="D347" s="107"/>
      <c r="E347" s="107"/>
      <c r="F347" s="107"/>
      <c r="G347" s="107"/>
      <c r="H347" s="107"/>
      <c r="I347" s="107"/>
      <c r="J347" s="107"/>
      <c r="K347" s="107"/>
      <c r="L347" s="107"/>
      <c r="M347" s="107"/>
      <c r="N347" s="107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  <c r="Y347" s="107"/>
      <c r="Z347" s="107"/>
    </row>
    <row r="348" spans="1:26" ht="12.75" customHeight="1" x14ac:dyDescent="0.2">
      <c r="A348" s="107"/>
      <c r="B348" s="107"/>
      <c r="C348" s="107"/>
      <c r="D348" s="107"/>
      <c r="E348" s="107"/>
      <c r="F348" s="107"/>
      <c r="G348" s="107"/>
      <c r="H348" s="107"/>
      <c r="I348" s="107"/>
      <c r="J348" s="107"/>
      <c r="K348" s="107"/>
      <c r="L348" s="107"/>
      <c r="M348" s="107"/>
      <c r="N348" s="107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  <c r="Y348" s="107"/>
      <c r="Z348" s="107"/>
    </row>
    <row r="349" spans="1:26" ht="12.75" customHeight="1" x14ac:dyDescent="0.2">
      <c r="A349" s="107"/>
      <c r="B349" s="107"/>
      <c r="C349" s="107"/>
      <c r="D349" s="107"/>
      <c r="E349" s="107"/>
      <c r="F349" s="107"/>
      <c r="G349" s="107"/>
      <c r="H349" s="107"/>
      <c r="I349" s="107"/>
      <c r="J349" s="107"/>
      <c r="K349" s="107"/>
      <c r="L349" s="107"/>
      <c r="M349" s="107"/>
      <c r="N349" s="107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  <c r="Y349" s="107"/>
      <c r="Z349" s="107"/>
    </row>
    <row r="350" spans="1:26" ht="12.75" customHeight="1" x14ac:dyDescent="0.2">
      <c r="A350" s="107"/>
      <c r="B350" s="107"/>
      <c r="C350" s="107"/>
      <c r="D350" s="107"/>
      <c r="E350" s="107"/>
      <c r="F350" s="107"/>
      <c r="G350" s="107"/>
      <c r="H350" s="107"/>
      <c r="I350" s="107"/>
      <c r="J350" s="107"/>
      <c r="K350" s="107"/>
      <c r="L350" s="107"/>
      <c r="M350" s="107"/>
      <c r="N350" s="107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  <c r="Y350" s="107"/>
      <c r="Z350" s="107"/>
    </row>
    <row r="351" spans="1:26" ht="12.75" customHeight="1" x14ac:dyDescent="0.2">
      <c r="A351" s="107"/>
      <c r="B351" s="107"/>
      <c r="C351" s="107"/>
      <c r="D351" s="107"/>
      <c r="E351" s="107"/>
      <c r="F351" s="107"/>
      <c r="G351" s="107"/>
      <c r="H351" s="107"/>
      <c r="I351" s="107"/>
      <c r="J351" s="107"/>
      <c r="K351" s="107"/>
      <c r="L351" s="107"/>
      <c r="M351" s="107"/>
      <c r="N351" s="107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  <c r="Y351" s="107"/>
      <c r="Z351" s="107"/>
    </row>
    <row r="352" spans="1:26" ht="12.75" customHeight="1" x14ac:dyDescent="0.2">
      <c r="A352" s="107"/>
      <c r="B352" s="107"/>
      <c r="C352" s="107"/>
      <c r="D352" s="107"/>
      <c r="E352" s="107"/>
      <c r="F352" s="107"/>
      <c r="G352" s="107"/>
      <c r="H352" s="107"/>
      <c r="I352" s="107"/>
      <c r="J352" s="107"/>
      <c r="K352" s="107"/>
      <c r="L352" s="107"/>
      <c r="M352" s="107"/>
      <c r="N352" s="107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  <c r="Y352" s="107"/>
      <c r="Z352" s="107"/>
    </row>
    <row r="353" spans="1:26" ht="12.75" customHeight="1" x14ac:dyDescent="0.2">
      <c r="A353" s="107"/>
      <c r="B353" s="107"/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</row>
    <row r="354" spans="1:26" ht="12.75" customHeight="1" x14ac:dyDescent="0.2">
      <c r="A354" s="107"/>
      <c r="B354" s="107"/>
      <c r="C354" s="107"/>
      <c r="D354" s="107"/>
      <c r="E354" s="107"/>
      <c r="F354" s="107"/>
      <c r="G354" s="107"/>
      <c r="H354" s="107"/>
      <c r="I354" s="107"/>
      <c r="J354" s="107"/>
      <c r="K354" s="107"/>
      <c r="L354" s="107"/>
      <c r="M354" s="107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</row>
    <row r="355" spans="1:26" ht="12.75" customHeight="1" x14ac:dyDescent="0.2">
      <c r="A355" s="107"/>
      <c r="B355" s="107"/>
      <c r="C355" s="107"/>
      <c r="D355" s="107"/>
      <c r="E355" s="107"/>
      <c r="F355" s="107"/>
      <c r="G355" s="107"/>
      <c r="H355" s="107"/>
      <c r="I355" s="107"/>
      <c r="J355" s="107"/>
      <c r="K355" s="107"/>
      <c r="L355" s="107"/>
      <c r="M355" s="107"/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</row>
    <row r="356" spans="1:26" ht="12.75" customHeight="1" x14ac:dyDescent="0.2">
      <c r="A356" s="107"/>
      <c r="B356" s="107"/>
      <c r="C356" s="107"/>
      <c r="D356" s="107"/>
      <c r="E356" s="107"/>
      <c r="F356" s="107"/>
      <c r="G356" s="107"/>
      <c r="H356" s="107"/>
      <c r="I356" s="107"/>
      <c r="J356" s="107"/>
      <c r="K356" s="107"/>
      <c r="L356" s="107"/>
      <c r="M356" s="107"/>
      <c r="N356" s="107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  <c r="Y356" s="107"/>
      <c r="Z356" s="107"/>
    </row>
    <row r="357" spans="1:26" ht="12.75" customHeight="1" x14ac:dyDescent="0.2">
      <c r="A357" s="107"/>
      <c r="B357" s="107"/>
      <c r="C357" s="107"/>
      <c r="D357" s="107"/>
      <c r="E357" s="107"/>
      <c r="F357" s="107"/>
      <c r="G357" s="107"/>
      <c r="H357" s="107"/>
      <c r="I357" s="107"/>
      <c r="J357" s="107"/>
      <c r="K357" s="107"/>
      <c r="L357" s="107"/>
      <c r="M357" s="107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</row>
    <row r="358" spans="1:26" ht="12.75" customHeight="1" x14ac:dyDescent="0.2">
      <c r="A358" s="107"/>
      <c r="B358" s="107"/>
      <c r="C358" s="107"/>
      <c r="D358" s="107"/>
      <c r="E358" s="107"/>
      <c r="F358" s="107"/>
      <c r="G358" s="107"/>
      <c r="H358" s="107"/>
      <c r="I358" s="107"/>
      <c r="J358" s="107"/>
      <c r="K358" s="107"/>
      <c r="L358" s="107"/>
      <c r="M358" s="107"/>
      <c r="N358" s="107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</row>
    <row r="359" spans="1:26" ht="12.75" customHeight="1" x14ac:dyDescent="0.2">
      <c r="A359" s="107"/>
      <c r="B359" s="107"/>
      <c r="C359" s="107"/>
      <c r="D359" s="107"/>
      <c r="E359" s="107"/>
      <c r="F359" s="107"/>
      <c r="G359" s="107"/>
      <c r="H359" s="107"/>
      <c r="I359" s="107"/>
      <c r="J359" s="107"/>
      <c r="K359" s="107"/>
      <c r="L359" s="107"/>
      <c r="M359" s="107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</row>
    <row r="360" spans="1:26" ht="12.75" customHeight="1" x14ac:dyDescent="0.2">
      <c r="A360" s="107"/>
      <c r="B360" s="107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</row>
    <row r="361" spans="1:26" ht="12.75" customHeight="1" x14ac:dyDescent="0.2">
      <c r="A361" s="107"/>
      <c r="B361" s="107"/>
      <c r="C361" s="107"/>
      <c r="D361" s="107"/>
      <c r="E361" s="107"/>
      <c r="F361" s="107"/>
      <c r="G361" s="107"/>
      <c r="H361" s="107"/>
      <c r="I361" s="107"/>
      <c r="J361" s="107"/>
      <c r="K361" s="107"/>
      <c r="L361" s="107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</row>
    <row r="362" spans="1:26" ht="12.75" customHeight="1" x14ac:dyDescent="0.2">
      <c r="A362" s="107"/>
      <c r="B362" s="107"/>
      <c r="C362" s="107"/>
      <c r="D362" s="107"/>
      <c r="E362" s="107"/>
      <c r="F362" s="107"/>
      <c r="G362" s="107"/>
      <c r="H362" s="107"/>
      <c r="I362" s="107"/>
      <c r="J362" s="107"/>
      <c r="K362" s="107"/>
      <c r="L362" s="107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</row>
    <row r="363" spans="1:26" ht="12.75" customHeight="1" x14ac:dyDescent="0.2">
      <c r="A363" s="107"/>
      <c r="B363" s="107"/>
      <c r="C363" s="107"/>
      <c r="D363" s="107"/>
      <c r="E363" s="107"/>
      <c r="F363" s="107"/>
      <c r="G363" s="107"/>
      <c r="H363" s="107"/>
      <c r="I363" s="107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</row>
    <row r="364" spans="1:26" ht="12.75" customHeight="1" x14ac:dyDescent="0.2">
      <c r="A364" s="107"/>
      <c r="B364" s="107"/>
      <c r="C364" s="107"/>
      <c r="D364" s="107"/>
      <c r="E364" s="107"/>
      <c r="F364" s="107"/>
      <c r="G364" s="107"/>
      <c r="H364" s="107"/>
      <c r="I364" s="107"/>
      <c r="J364" s="107"/>
      <c r="K364" s="107"/>
      <c r="L364" s="107"/>
      <c r="M364" s="107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  <c r="Y364" s="107"/>
      <c r="Z364" s="107"/>
    </row>
    <row r="365" spans="1:26" ht="12.75" customHeight="1" x14ac:dyDescent="0.2">
      <c r="A365" s="107"/>
      <c r="B365" s="107"/>
      <c r="C365" s="107"/>
      <c r="D365" s="107"/>
      <c r="E365" s="107"/>
      <c r="F365" s="107"/>
      <c r="G365" s="107"/>
      <c r="H365" s="107"/>
      <c r="I365" s="107"/>
      <c r="J365" s="107"/>
      <c r="K365" s="107"/>
      <c r="L365" s="107"/>
      <c r="M365" s="107"/>
      <c r="N365" s="107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  <c r="Y365" s="107"/>
      <c r="Z365" s="107"/>
    </row>
    <row r="366" spans="1:26" ht="12.75" customHeight="1" x14ac:dyDescent="0.2">
      <c r="A366" s="107"/>
      <c r="B366" s="107"/>
      <c r="C366" s="107"/>
      <c r="D366" s="107"/>
      <c r="E366" s="107"/>
      <c r="F366" s="107"/>
      <c r="G366" s="107"/>
      <c r="H366" s="107"/>
      <c r="I366" s="107"/>
      <c r="J366" s="107"/>
      <c r="K366" s="107"/>
      <c r="L366" s="107"/>
      <c r="M366" s="107"/>
      <c r="N366" s="107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  <c r="Y366" s="107"/>
      <c r="Z366" s="107"/>
    </row>
    <row r="367" spans="1:26" ht="12.75" customHeight="1" x14ac:dyDescent="0.2">
      <c r="A367" s="107"/>
      <c r="B367" s="107"/>
      <c r="C367" s="107"/>
      <c r="D367" s="107"/>
      <c r="E367" s="107"/>
      <c r="F367" s="107"/>
      <c r="G367" s="107"/>
      <c r="H367" s="107"/>
      <c r="I367" s="107"/>
      <c r="J367" s="107"/>
      <c r="K367" s="107"/>
      <c r="L367" s="107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</row>
    <row r="368" spans="1:26" ht="12.75" customHeight="1" x14ac:dyDescent="0.2">
      <c r="A368" s="107"/>
      <c r="B368" s="107"/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</row>
    <row r="369" spans="1:26" ht="12.75" customHeight="1" x14ac:dyDescent="0.2">
      <c r="A369" s="107"/>
      <c r="B369" s="107"/>
      <c r="C369" s="107"/>
      <c r="D369" s="107"/>
      <c r="E369" s="107"/>
      <c r="F369" s="107"/>
      <c r="G369" s="107"/>
      <c r="H369" s="107"/>
      <c r="I369" s="107"/>
      <c r="J369" s="107"/>
      <c r="K369" s="107"/>
      <c r="L369" s="107"/>
      <c r="M369" s="107"/>
      <c r="N369" s="107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  <c r="Y369" s="107"/>
      <c r="Z369" s="107"/>
    </row>
    <row r="370" spans="1:26" ht="12.75" customHeight="1" x14ac:dyDescent="0.2">
      <c r="A370" s="107"/>
      <c r="B370" s="107"/>
      <c r="C370" s="107"/>
      <c r="D370" s="107"/>
      <c r="E370" s="107"/>
      <c r="F370" s="107"/>
      <c r="G370" s="107"/>
      <c r="H370" s="107"/>
      <c r="I370" s="107"/>
      <c r="J370" s="107"/>
      <c r="K370" s="107"/>
      <c r="L370" s="107"/>
      <c r="M370" s="107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</row>
    <row r="371" spans="1:26" ht="12.75" customHeight="1" x14ac:dyDescent="0.2">
      <c r="A371" s="107"/>
      <c r="B371" s="107"/>
      <c r="C371" s="107"/>
      <c r="D371" s="107"/>
      <c r="E371" s="107"/>
      <c r="F371" s="107"/>
      <c r="G371" s="107"/>
      <c r="H371" s="107"/>
      <c r="I371" s="107"/>
      <c r="J371" s="107"/>
      <c r="K371" s="107"/>
      <c r="L371" s="107"/>
      <c r="M371" s="107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</row>
    <row r="372" spans="1:26" ht="12.75" customHeight="1" x14ac:dyDescent="0.2">
      <c r="A372" s="107"/>
      <c r="B372" s="107"/>
      <c r="C372" s="107"/>
      <c r="D372" s="107"/>
      <c r="E372" s="107"/>
      <c r="F372" s="107"/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</row>
    <row r="373" spans="1:26" ht="12.75" customHeight="1" x14ac:dyDescent="0.2">
      <c r="A373" s="107"/>
      <c r="B373" s="107"/>
      <c r="C373" s="107"/>
      <c r="D373" s="107"/>
      <c r="E373" s="107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</row>
    <row r="374" spans="1:26" ht="12.75" customHeight="1" x14ac:dyDescent="0.2">
      <c r="A374" s="107"/>
      <c r="B374" s="107"/>
      <c r="C374" s="107"/>
      <c r="D374" s="107"/>
      <c r="E374" s="107"/>
      <c r="F374" s="107"/>
      <c r="G374" s="107"/>
      <c r="H374" s="107"/>
      <c r="I374" s="107"/>
      <c r="J374" s="107"/>
      <c r="K374" s="107"/>
      <c r="L374" s="107"/>
      <c r="M374" s="107"/>
      <c r="N374" s="107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  <c r="Y374" s="107"/>
      <c r="Z374" s="107"/>
    </row>
    <row r="375" spans="1:26" ht="12.75" customHeight="1" x14ac:dyDescent="0.2">
      <c r="A375" s="107"/>
      <c r="B375" s="107"/>
      <c r="C375" s="107"/>
      <c r="D375" s="107"/>
      <c r="E375" s="107"/>
      <c r="F375" s="107"/>
      <c r="G375" s="107"/>
      <c r="H375" s="107"/>
      <c r="I375" s="107"/>
      <c r="J375" s="107"/>
      <c r="K375" s="107"/>
      <c r="L375" s="107"/>
      <c r="M375" s="107"/>
      <c r="N375" s="107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  <c r="Y375" s="107"/>
      <c r="Z375" s="107"/>
    </row>
    <row r="376" spans="1:26" ht="12.75" customHeight="1" x14ac:dyDescent="0.2">
      <c r="A376" s="107"/>
      <c r="B376" s="107"/>
      <c r="C376" s="107"/>
      <c r="D376" s="107"/>
      <c r="E376" s="107"/>
      <c r="F376" s="107"/>
      <c r="G376" s="107"/>
      <c r="H376" s="107"/>
      <c r="I376" s="107"/>
      <c r="J376" s="107"/>
      <c r="K376" s="107"/>
      <c r="L376" s="107"/>
      <c r="M376" s="107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</row>
    <row r="377" spans="1:26" ht="12.75" customHeight="1" x14ac:dyDescent="0.2">
      <c r="A377" s="107"/>
      <c r="B377" s="107"/>
      <c r="C377" s="107"/>
      <c r="D377" s="107"/>
      <c r="E377" s="107"/>
      <c r="F377" s="107"/>
      <c r="G377" s="107"/>
      <c r="H377" s="107"/>
      <c r="I377" s="107"/>
      <c r="J377" s="107"/>
      <c r="K377" s="107"/>
      <c r="L377" s="107"/>
      <c r="M377" s="107"/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  <c r="Y377" s="107"/>
      <c r="Z377" s="107"/>
    </row>
    <row r="378" spans="1:26" ht="12.75" customHeight="1" x14ac:dyDescent="0.2">
      <c r="A378" s="107"/>
      <c r="B378" s="107"/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</row>
    <row r="379" spans="1:26" ht="12.75" customHeight="1" x14ac:dyDescent="0.2">
      <c r="A379" s="107"/>
      <c r="B379" s="107"/>
      <c r="C379" s="107"/>
      <c r="D379" s="107"/>
      <c r="E379" s="107"/>
      <c r="F379" s="107"/>
      <c r="G379" s="107"/>
      <c r="H379" s="107"/>
      <c r="I379" s="107"/>
      <c r="J379" s="107"/>
      <c r="K379" s="107"/>
      <c r="L379" s="107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</row>
    <row r="380" spans="1:26" ht="12.75" customHeight="1" x14ac:dyDescent="0.2">
      <c r="A380" s="107"/>
      <c r="B380" s="107"/>
      <c r="C380" s="107"/>
      <c r="D380" s="107"/>
      <c r="E380" s="107"/>
      <c r="F380" s="107"/>
      <c r="G380" s="107"/>
      <c r="H380" s="107"/>
      <c r="I380" s="107"/>
      <c r="J380" s="107"/>
      <c r="K380" s="107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</row>
    <row r="381" spans="1:26" ht="12.75" customHeight="1" x14ac:dyDescent="0.2">
      <c r="A381" s="107"/>
      <c r="B381" s="107"/>
      <c r="C381" s="107"/>
      <c r="D381" s="107"/>
      <c r="E381" s="107"/>
      <c r="F381" s="107"/>
      <c r="G381" s="107"/>
      <c r="H381" s="107"/>
      <c r="I381" s="107"/>
      <c r="J381" s="107"/>
      <c r="K381" s="107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</row>
    <row r="382" spans="1:26" ht="12.75" customHeight="1" x14ac:dyDescent="0.2">
      <c r="A382" s="107"/>
      <c r="B382" s="107"/>
      <c r="C382" s="107"/>
      <c r="D382" s="107"/>
      <c r="E382" s="107"/>
      <c r="F382" s="107"/>
      <c r="G382" s="107"/>
      <c r="H382" s="107"/>
      <c r="I382" s="107"/>
      <c r="J382" s="107"/>
      <c r="K382" s="107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</row>
    <row r="383" spans="1:26" ht="12.75" customHeight="1" x14ac:dyDescent="0.2">
      <c r="A383" s="107"/>
      <c r="B383" s="107"/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</row>
    <row r="384" spans="1:26" ht="12.75" customHeight="1" x14ac:dyDescent="0.2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</row>
    <row r="385" spans="1:26" ht="12.75" customHeight="1" x14ac:dyDescent="0.2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</row>
    <row r="386" spans="1:26" ht="12.75" customHeight="1" x14ac:dyDescent="0.2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</row>
    <row r="387" spans="1:26" ht="12.75" customHeight="1" x14ac:dyDescent="0.2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</row>
    <row r="388" spans="1:26" ht="12.75" customHeight="1" x14ac:dyDescent="0.2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</row>
    <row r="389" spans="1:26" ht="12.75" customHeight="1" x14ac:dyDescent="0.2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</row>
    <row r="390" spans="1:26" ht="12.75" customHeight="1" x14ac:dyDescent="0.2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</row>
    <row r="391" spans="1:26" ht="12.75" customHeight="1" x14ac:dyDescent="0.2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</row>
    <row r="392" spans="1:26" ht="12.75" customHeight="1" x14ac:dyDescent="0.2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</row>
    <row r="393" spans="1:26" ht="12.75" customHeight="1" x14ac:dyDescent="0.2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</row>
    <row r="394" spans="1:26" ht="12.75" customHeight="1" x14ac:dyDescent="0.2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</row>
    <row r="395" spans="1:26" ht="12.75" customHeight="1" x14ac:dyDescent="0.2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</row>
    <row r="396" spans="1:26" ht="12.75" customHeight="1" x14ac:dyDescent="0.2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</row>
    <row r="397" spans="1:26" ht="12.75" customHeight="1" x14ac:dyDescent="0.2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</row>
    <row r="398" spans="1:26" ht="12.75" customHeight="1" x14ac:dyDescent="0.2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</row>
    <row r="399" spans="1:26" ht="12.75" customHeight="1" x14ac:dyDescent="0.2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</row>
    <row r="400" spans="1:26" ht="12.75" customHeight="1" x14ac:dyDescent="0.2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</row>
    <row r="401" spans="1:26" ht="12.75" customHeight="1" x14ac:dyDescent="0.2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</row>
    <row r="402" spans="1:26" ht="12.75" customHeight="1" x14ac:dyDescent="0.2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</row>
    <row r="403" spans="1:26" ht="12.75" customHeight="1" x14ac:dyDescent="0.2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</row>
    <row r="404" spans="1:26" ht="12.75" customHeight="1" x14ac:dyDescent="0.2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</row>
    <row r="405" spans="1:26" ht="12.75" customHeight="1" x14ac:dyDescent="0.2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</row>
    <row r="406" spans="1:26" ht="12.75" customHeight="1" x14ac:dyDescent="0.2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7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</row>
    <row r="407" spans="1:26" ht="12.75" customHeight="1" x14ac:dyDescent="0.2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</row>
    <row r="408" spans="1:26" ht="12.75" customHeight="1" x14ac:dyDescent="0.2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</row>
    <row r="409" spans="1:26" ht="12.75" customHeight="1" x14ac:dyDescent="0.2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</row>
    <row r="410" spans="1:26" ht="12.75" customHeight="1" x14ac:dyDescent="0.2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</row>
    <row r="411" spans="1:26" ht="12.75" customHeight="1" x14ac:dyDescent="0.2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</row>
    <row r="412" spans="1:26" ht="12.75" customHeight="1" x14ac:dyDescent="0.2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</row>
    <row r="413" spans="1:26" ht="12.75" customHeight="1" x14ac:dyDescent="0.2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</row>
    <row r="414" spans="1:26" ht="12.75" customHeight="1" x14ac:dyDescent="0.2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7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</row>
    <row r="415" spans="1:26" ht="12.75" customHeight="1" x14ac:dyDescent="0.2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</row>
    <row r="416" spans="1:26" ht="12.75" customHeight="1" x14ac:dyDescent="0.2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7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</row>
    <row r="417" spans="1:26" ht="12.75" customHeight="1" x14ac:dyDescent="0.2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</row>
    <row r="418" spans="1:26" ht="12.75" customHeight="1" x14ac:dyDescent="0.2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7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</row>
    <row r="419" spans="1:26" ht="12.75" customHeight="1" x14ac:dyDescent="0.2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7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</row>
    <row r="420" spans="1:26" ht="12.75" customHeight="1" x14ac:dyDescent="0.2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</row>
    <row r="421" spans="1:26" ht="12.75" customHeight="1" x14ac:dyDescent="0.2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</row>
    <row r="422" spans="1:26" ht="12.75" customHeight="1" x14ac:dyDescent="0.2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</row>
    <row r="423" spans="1:26" ht="12.75" customHeight="1" x14ac:dyDescent="0.2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7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</row>
    <row r="424" spans="1:26" ht="12.75" customHeight="1" x14ac:dyDescent="0.2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7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</row>
    <row r="425" spans="1:26" ht="12.75" customHeight="1" x14ac:dyDescent="0.2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7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</row>
    <row r="426" spans="1:26" ht="12.75" customHeight="1" x14ac:dyDescent="0.2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7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</row>
    <row r="427" spans="1:26" ht="12.75" customHeight="1" x14ac:dyDescent="0.2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</row>
    <row r="428" spans="1:26" ht="12.75" customHeight="1" x14ac:dyDescent="0.2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</row>
    <row r="429" spans="1:26" ht="12.75" customHeight="1" x14ac:dyDescent="0.2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7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</row>
    <row r="430" spans="1:26" ht="12.75" customHeight="1" x14ac:dyDescent="0.2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7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</row>
    <row r="431" spans="1:26" ht="12.75" customHeight="1" x14ac:dyDescent="0.2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7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</row>
    <row r="432" spans="1:26" ht="12.75" customHeight="1" x14ac:dyDescent="0.2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</row>
    <row r="433" spans="1:26" ht="12.75" customHeight="1" x14ac:dyDescent="0.2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7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</row>
    <row r="434" spans="1:26" ht="12.75" customHeight="1" x14ac:dyDescent="0.2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7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</row>
    <row r="435" spans="1:26" ht="12.75" customHeight="1" x14ac:dyDescent="0.2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7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</row>
    <row r="436" spans="1:26" ht="12.75" customHeight="1" x14ac:dyDescent="0.2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</row>
    <row r="437" spans="1:26" ht="12.75" customHeight="1" x14ac:dyDescent="0.2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</row>
    <row r="438" spans="1:26" ht="12.75" customHeight="1" x14ac:dyDescent="0.2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</row>
    <row r="439" spans="1:26" ht="12.75" customHeight="1" x14ac:dyDescent="0.2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</row>
    <row r="440" spans="1:26" ht="12.75" customHeight="1" x14ac:dyDescent="0.2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7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</row>
    <row r="441" spans="1:26" ht="12.75" customHeight="1" x14ac:dyDescent="0.2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7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</row>
    <row r="442" spans="1:26" ht="12.75" customHeight="1" x14ac:dyDescent="0.2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7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</row>
    <row r="443" spans="1:26" ht="12.75" customHeight="1" x14ac:dyDescent="0.2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</row>
    <row r="444" spans="1:26" ht="12.75" customHeight="1" x14ac:dyDescent="0.2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7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</row>
    <row r="445" spans="1:26" ht="12.75" customHeight="1" x14ac:dyDescent="0.2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</row>
    <row r="446" spans="1:26" ht="12.75" customHeight="1" x14ac:dyDescent="0.2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7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</row>
    <row r="447" spans="1:26" ht="12.75" customHeight="1" x14ac:dyDescent="0.2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7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</row>
    <row r="448" spans="1:26" ht="12.75" customHeight="1" x14ac:dyDescent="0.2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7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</row>
    <row r="449" spans="1:26" ht="12.75" customHeight="1" x14ac:dyDescent="0.2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7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</row>
    <row r="450" spans="1:26" ht="12.75" customHeight="1" x14ac:dyDescent="0.2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7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</row>
    <row r="451" spans="1:26" ht="12.75" customHeight="1" x14ac:dyDescent="0.2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7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</row>
    <row r="452" spans="1:26" ht="12.75" customHeight="1" x14ac:dyDescent="0.2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</row>
    <row r="453" spans="1:26" ht="12.75" customHeight="1" x14ac:dyDescent="0.2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7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</row>
    <row r="454" spans="1:26" ht="12.75" customHeight="1" x14ac:dyDescent="0.2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7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</row>
    <row r="455" spans="1:26" ht="12.75" customHeight="1" x14ac:dyDescent="0.2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7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</row>
    <row r="456" spans="1:26" ht="12.75" customHeight="1" x14ac:dyDescent="0.2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7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</row>
    <row r="457" spans="1:26" ht="12.75" customHeight="1" x14ac:dyDescent="0.2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7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</row>
    <row r="458" spans="1:26" ht="12.75" customHeight="1" x14ac:dyDescent="0.2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7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</row>
    <row r="459" spans="1:26" ht="12.75" customHeight="1" x14ac:dyDescent="0.2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7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</row>
    <row r="460" spans="1:26" ht="12.75" customHeight="1" x14ac:dyDescent="0.2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</row>
    <row r="461" spans="1:26" ht="12.75" customHeight="1" x14ac:dyDescent="0.2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</row>
    <row r="462" spans="1:26" ht="12.75" customHeight="1" x14ac:dyDescent="0.2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7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</row>
    <row r="463" spans="1:26" ht="12.75" customHeight="1" x14ac:dyDescent="0.2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</row>
    <row r="464" spans="1:26" ht="12.75" customHeight="1" x14ac:dyDescent="0.2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</row>
    <row r="465" spans="1:26" ht="12.75" customHeight="1" x14ac:dyDescent="0.2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7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</row>
    <row r="466" spans="1:26" ht="12.75" customHeight="1" x14ac:dyDescent="0.2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</row>
    <row r="467" spans="1:26" ht="12.75" customHeight="1" x14ac:dyDescent="0.2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7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</row>
    <row r="468" spans="1:26" ht="12.75" customHeight="1" x14ac:dyDescent="0.2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</row>
    <row r="469" spans="1:26" ht="12.75" customHeight="1" x14ac:dyDescent="0.2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</row>
    <row r="470" spans="1:26" ht="12.75" customHeight="1" x14ac:dyDescent="0.2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</row>
    <row r="471" spans="1:26" ht="12.75" customHeight="1" x14ac:dyDescent="0.2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7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</row>
    <row r="472" spans="1:26" ht="12.75" customHeight="1" x14ac:dyDescent="0.2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7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</row>
    <row r="473" spans="1:26" ht="12.75" customHeight="1" x14ac:dyDescent="0.2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</row>
    <row r="474" spans="1:26" ht="12.75" customHeight="1" x14ac:dyDescent="0.2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7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</row>
    <row r="475" spans="1:26" ht="12.75" customHeight="1" x14ac:dyDescent="0.2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</row>
    <row r="476" spans="1:26" ht="12.75" customHeight="1" x14ac:dyDescent="0.2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7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</row>
    <row r="477" spans="1:26" ht="12.75" customHeight="1" x14ac:dyDescent="0.2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</row>
    <row r="478" spans="1:26" ht="12.75" customHeight="1" x14ac:dyDescent="0.2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</row>
    <row r="479" spans="1:26" ht="12.75" customHeight="1" x14ac:dyDescent="0.2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7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</row>
    <row r="480" spans="1:26" ht="12.75" customHeight="1" x14ac:dyDescent="0.2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7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</row>
    <row r="481" spans="1:26" ht="12.75" customHeight="1" x14ac:dyDescent="0.2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</row>
    <row r="482" spans="1:26" ht="12.75" customHeight="1" x14ac:dyDescent="0.2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7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</row>
    <row r="483" spans="1:26" ht="12.75" customHeight="1" x14ac:dyDescent="0.2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</row>
    <row r="484" spans="1:26" ht="12.75" customHeight="1" x14ac:dyDescent="0.2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</row>
    <row r="485" spans="1:26" ht="12.75" customHeight="1" x14ac:dyDescent="0.2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7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</row>
    <row r="486" spans="1:26" ht="12.75" customHeight="1" x14ac:dyDescent="0.2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</row>
    <row r="487" spans="1:26" ht="12.75" customHeight="1" x14ac:dyDescent="0.2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</row>
    <row r="488" spans="1:26" ht="12.75" customHeight="1" x14ac:dyDescent="0.2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</row>
    <row r="489" spans="1:26" ht="12.75" customHeight="1" x14ac:dyDescent="0.2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</row>
    <row r="490" spans="1:26" ht="12.75" customHeight="1" x14ac:dyDescent="0.2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7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</row>
    <row r="491" spans="1:26" ht="12.75" customHeight="1" x14ac:dyDescent="0.2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</row>
    <row r="492" spans="1:26" ht="12.75" customHeight="1" x14ac:dyDescent="0.2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</row>
    <row r="493" spans="1:26" ht="12.75" customHeight="1" x14ac:dyDescent="0.2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</row>
    <row r="494" spans="1:26" ht="12.75" customHeight="1" x14ac:dyDescent="0.2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7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</row>
    <row r="495" spans="1:26" ht="12.75" customHeight="1" x14ac:dyDescent="0.2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7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</row>
    <row r="496" spans="1:26" ht="12.75" customHeight="1" x14ac:dyDescent="0.2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</row>
    <row r="497" spans="1:26" ht="12.75" customHeight="1" x14ac:dyDescent="0.2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</row>
    <row r="498" spans="1:26" ht="12.75" customHeight="1" x14ac:dyDescent="0.2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7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</row>
    <row r="499" spans="1:26" ht="12.75" customHeight="1" x14ac:dyDescent="0.2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7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</row>
    <row r="500" spans="1:26" ht="12.75" customHeight="1" x14ac:dyDescent="0.2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7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</row>
    <row r="501" spans="1:26" ht="12.75" customHeight="1" x14ac:dyDescent="0.2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7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</row>
    <row r="502" spans="1:26" ht="12.75" customHeight="1" x14ac:dyDescent="0.2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</row>
    <row r="503" spans="1:26" ht="12.75" customHeight="1" x14ac:dyDescent="0.2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</row>
    <row r="504" spans="1:26" ht="12.75" customHeight="1" x14ac:dyDescent="0.2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</row>
    <row r="505" spans="1:26" ht="12.75" customHeight="1" x14ac:dyDescent="0.2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</row>
    <row r="506" spans="1:26" ht="12.75" customHeight="1" x14ac:dyDescent="0.2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</row>
    <row r="507" spans="1:26" ht="12.75" customHeight="1" x14ac:dyDescent="0.2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</row>
    <row r="508" spans="1:26" ht="12.75" customHeight="1" x14ac:dyDescent="0.2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</row>
    <row r="509" spans="1:26" ht="12.75" customHeight="1" x14ac:dyDescent="0.2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</row>
    <row r="510" spans="1:26" ht="12.75" customHeight="1" x14ac:dyDescent="0.2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</row>
    <row r="511" spans="1:26" ht="12.75" customHeight="1" x14ac:dyDescent="0.2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</row>
    <row r="512" spans="1:26" ht="12.75" customHeight="1" x14ac:dyDescent="0.2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</row>
    <row r="513" spans="1:26" ht="12.75" customHeight="1" x14ac:dyDescent="0.2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</row>
    <row r="514" spans="1:26" ht="12.75" customHeight="1" x14ac:dyDescent="0.2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</row>
    <row r="515" spans="1:26" ht="12.75" customHeight="1" x14ac:dyDescent="0.2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</row>
    <row r="516" spans="1:26" ht="12.75" customHeight="1" x14ac:dyDescent="0.2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</row>
    <row r="517" spans="1:26" ht="12.75" customHeight="1" x14ac:dyDescent="0.2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</row>
    <row r="518" spans="1:26" ht="12.75" customHeight="1" x14ac:dyDescent="0.2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</row>
    <row r="519" spans="1:26" ht="12.75" customHeight="1" x14ac:dyDescent="0.2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</row>
    <row r="520" spans="1:26" ht="12.75" customHeight="1" x14ac:dyDescent="0.2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</row>
    <row r="521" spans="1:26" ht="12.75" customHeight="1" x14ac:dyDescent="0.2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</row>
    <row r="522" spans="1:26" ht="12.75" customHeight="1" x14ac:dyDescent="0.2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</row>
    <row r="523" spans="1:26" ht="12.75" customHeight="1" x14ac:dyDescent="0.2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</row>
    <row r="524" spans="1:26" ht="12.75" customHeight="1" x14ac:dyDescent="0.2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</row>
    <row r="525" spans="1:26" ht="12.75" customHeight="1" x14ac:dyDescent="0.2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</row>
    <row r="526" spans="1:26" ht="12.75" customHeight="1" x14ac:dyDescent="0.2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</row>
    <row r="527" spans="1:26" ht="12.75" customHeight="1" x14ac:dyDescent="0.2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</row>
    <row r="528" spans="1:26" ht="12.75" customHeight="1" x14ac:dyDescent="0.2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</row>
    <row r="529" spans="1:26" ht="12.75" customHeight="1" x14ac:dyDescent="0.2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</row>
    <row r="530" spans="1:26" ht="12.75" customHeight="1" x14ac:dyDescent="0.2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</row>
    <row r="531" spans="1:26" ht="12.75" customHeight="1" x14ac:dyDescent="0.2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</row>
    <row r="532" spans="1:26" ht="12.75" customHeight="1" x14ac:dyDescent="0.2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</row>
    <row r="533" spans="1:26" ht="12.75" customHeight="1" x14ac:dyDescent="0.2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</row>
    <row r="534" spans="1:26" ht="12.75" customHeight="1" x14ac:dyDescent="0.2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</row>
    <row r="535" spans="1:26" ht="12.75" customHeight="1" x14ac:dyDescent="0.2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</row>
    <row r="536" spans="1:26" ht="12.75" customHeight="1" x14ac:dyDescent="0.2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</row>
    <row r="537" spans="1:26" ht="12.75" customHeight="1" x14ac:dyDescent="0.2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</row>
    <row r="538" spans="1:26" ht="12.75" customHeight="1" x14ac:dyDescent="0.2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</row>
    <row r="539" spans="1:26" ht="12.75" customHeight="1" x14ac:dyDescent="0.2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</row>
    <row r="540" spans="1:26" ht="12.75" customHeight="1" x14ac:dyDescent="0.2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</row>
    <row r="541" spans="1:26" ht="12.75" customHeight="1" x14ac:dyDescent="0.2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</row>
    <row r="542" spans="1:26" ht="12.75" customHeight="1" x14ac:dyDescent="0.2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</row>
    <row r="543" spans="1:26" ht="12.75" customHeight="1" x14ac:dyDescent="0.2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</row>
    <row r="544" spans="1:26" ht="12.75" customHeight="1" x14ac:dyDescent="0.2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</row>
    <row r="545" spans="1:26" ht="12.75" customHeight="1" x14ac:dyDescent="0.2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</row>
    <row r="546" spans="1:26" ht="12.75" customHeight="1" x14ac:dyDescent="0.2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</row>
    <row r="547" spans="1:26" ht="12.75" customHeight="1" x14ac:dyDescent="0.2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</row>
    <row r="548" spans="1:26" ht="12.75" customHeight="1" x14ac:dyDescent="0.2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</row>
    <row r="549" spans="1:26" ht="12.75" customHeight="1" x14ac:dyDescent="0.2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</row>
    <row r="550" spans="1:26" ht="12.75" customHeight="1" x14ac:dyDescent="0.2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</row>
    <row r="551" spans="1:26" ht="12.75" customHeight="1" x14ac:dyDescent="0.2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</row>
    <row r="552" spans="1:26" ht="12.75" customHeight="1" x14ac:dyDescent="0.2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</row>
    <row r="553" spans="1:26" ht="12.75" customHeight="1" x14ac:dyDescent="0.2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</row>
    <row r="554" spans="1:26" ht="12.75" customHeight="1" x14ac:dyDescent="0.2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</row>
    <row r="555" spans="1:26" ht="12.75" customHeight="1" x14ac:dyDescent="0.2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</row>
    <row r="556" spans="1:26" ht="12.75" customHeight="1" x14ac:dyDescent="0.2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</row>
    <row r="557" spans="1:26" ht="12.75" customHeight="1" x14ac:dyDescent="0.2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</row>
    <row r="558" spans="1:26" ht="12.75" customHeight="1" x14ac:dyDescent="0.2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</row>
    <row r="559" spans="1:26" ht="12.75" customHeight="1" x14ac:dyDescent="0.2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</row>
    <row r="560" spans="1:26" ht="12.75" customHeight="1" x14ac:dyDescent="0.2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</row>
    <row r="561" spans="1:26" ht="12.75" customHeight="1" x14ac:dyDescent="0.2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</row>
    <row r="562" spans="1:26" ht="12.75" customHeight="1" x14ac:dyDescent="0.2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</row>
    <row r="563" spans="1:26" ht="12.75" customHeight="1" x14ac:dyDescent="0.2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</row>
    <row r="564" spans="1:26" ht="12.75" customHeight="1" x14ac:dyDescent="0.2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</row>
    <row r="565" spans="1:26" ht="12.75" customHeight="1" x14ac:dyDescent="0.2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</row>
    <row r="566" spans="1:26" ht="12.75" customHeight="1" x14ac:dyDescent="0.2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</row>
    <row r="567" spans="1:26" ht="12.75" customHeight="1" x14ac:dyDescent="0.2">
      <c r="A567" s="107"/>
      <c r="B567" s="107"/>
      <c r="C567" s="107"/>
      <c r="D567" s="107"/>
      <c r="E567" s="107"/>
      <c r="F567" s="107"/>
      <c r="G567" s="107"/>
      <c r="H567" s="107"/>
      <c r="I567" s="107"/>
      <c r="J567" s="107"/>
      <c r="K567" s="107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</row>
    <row r="568" spans="1:26" ht="12.75" customHeight="1" x14ac:dyDescent="0.2">
      <c r="A568" s="107"/>
      <c r="B568" s="107"/>
      <c r="C568" s="107"/>
      <c r="D568" s="107"/>
      <c r="E568" s="107"/>
      <c r="F568" s="107"/>
      <c r="G568" s="107"/>
      <c r="H568" s="107"/>
      <c r="I568" s="107"/>
      <c r="J568" s="107"/>
      <c r="K568" s="107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</row>
    <row r="569" spans="1:26" ht="12.75" customHeight="1" x14ac:dyDescent="0.2">
      <c r="A569" s="107"/>
      <c r="B569" s="107"/>
      <c r="C569" s="107"/>
      <c r="D569" s="107"/>
      <c r="E569" s="107"/>
      <c r="F569" s="107"/>
      <c r="G569" s="107"/>
      <c r="H569" s="107"/>
      <c r="I569" s="107"/>
      <c r="J569" s="107"/>
      <c r="K569" s="107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</row>
    <row r="570" spans="1:26" ht="12.75" customHeight="1" x14ac:dyDescent="0.2">
      <c r="A570" s="107"/>
      <c r="B570" s="107"/>
      <c r="C570" s="107"/>
      <c r="D570" s="107"/>
      <c r="E570" s="107"/>
      <c r="F570" s="107"/>
      <c r="G570" s="107"/>
      <c r="H570" s="107"/>
      <c r="I570" s="107"/>
      <c r="J570" s="107"/>
      <c r="K570" s="107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</row>
    <row r="571" spans="1:26" ht="12.75" customHeight="1" x14ac:dyDescent="0.2">
      <c r="A571" s="107"/>
      <c r="B571" s="107"/>
      <c r="C571" s="107"/>
      <c r="D571" s="107"/>
      <c r="E571" s="107"/>
      <c r="F571" s="107"/>
      <c r="G571" s="107"/>
      <c r="H571" s="107"/>
      <c r="I571" s="107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</row>
    <row r="572" spans="1:26" ht="12.75" customHeight="1" x14ac:dyDescent="0.2">
      <c r="A572" s="107"/>
      <c r="B572" s="107"/>
      <c r="C572" s="107"/>
      <c r="D572" s="107"/>
      <c r="E572" s="107"/>
      <c r="F572" s="107"/>
      <c r="G572" s="107"/>
      <c r="H572" s="107"/>
      <c r="I572" s="107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</row>
    <row r="573" spans="1:26" ht="12.75" customHeight="1" x14ac:dyDescent="0.2">
      <c r="A573" s="107"/>
      <c r="B573" s="107"/>
      <c r="C573" s="107"/>
      <c r="D573" s="107"/>
      <c r="E573" s="107"/>
      <c r="F573" s="107"/>
      <c r="G573" s="107"/>
      <c r="H573" s="107"/>
      <c r="I573" s="107"/>
      <c r="J573" s="107"/>
      <c r="K573" s="107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</row>
    <row r="574" spans="1:26" ht="12.75" customHeight="1" x14ac:dyDescent="0.2">
      <c r="A574" s="107"/>
      <c r="B574" s="107"/>
      <c r="C574" s="107"/>
      <c r="D574" s="107"/>
      <c r="E574" s="107"/>
      <c r="F574" s="107"/>
      <c r="G574" s="107"/>
      <c r="H574" s="107"/>
      <c r="I574" s="107"/>
      <c r="J574" s="107"/>
      <c r="K574" s="107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</row>
    <row r="575" spans="1:26" ht="12.75" customHeight="1" x14ac:dyDescent="0.2">
      <c r="A575" s="107"/>
      <c r="B575" s="107"/>
      <c r="C575" s="107"/>
      <c r="D575" s="107"/>
      <c r="E575" s="107"/>
      <c r="F575" s="107"/>
      <c r="G575" s="107"/>
      <c r="H575" s="107"/>
      <c r="I575" s="107"/>
      <c r="J575" s="107"/>
      <c r="K575" s="107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</row>
    <row r="576" spans="1:26" ht="12.75" customHeight="1" x14ac:dyDescent="0.2">
      <c r="A576" s="107"/>
      <c r="B576" s="107"/>
      <c r="C576" s="107"/>
      <c r="D576" s="107"/>
      <c r="E576" s="107"/>
      <c r="F576" s="107"/>
      <c r="G576" s="107"/>
      <c r="H576" s="107"/>
      <c r="I576" s="107"/>
      <c r="J576" s="107"/>
      <c r="K576" s="107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</row>
    <row r="577" spans="1:26" ht="12.75" customHeight="1" x14ac:dyDescent="0.2">
      <c r="A577" s="107"/>
      <c r="B577" s="107"/>
      <c r="C577" s="107"/>
      <c r="D577" s="107"/>
      <c r="E577" s="107"/>
      <c r="F577" s="107"/>
      <c r="G577" s="107"/>
      <c r="H577" s="107"/>
      <c r="I577" s="107"/>
      <c r="J577" s="107"/>
      <c r="K577" s="107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</row>
    <row r="578" spans="1:26" ht="12.75" customHeight="1" x14ac:dyDescent="0.2">
      <c r="A578" s="107"/>
      <c r="B578" s="107"/>
      <c r="C578" s="107"/>
      <c r="D578" s="107"/>
      <c r="E578" s="107"/>
      <c r="F578" s="107"/>
      <c r="G578" s="107"/>
      <c r="H578" s="107"/>
      <c r="I578" s="107"/>
      <c r="J578" s="107"/>
      <c r="K578" s="107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</row>
    <row r="579" spans="1:26" ht="12.75" customHeight="1" x14ac:dyDescent="0.2">
      <c r="A579" s="107"/>
      <c r="B579" s="107"/>
      <c r="C579" s="107"/>
      <c r="D579" s="107"/>
      <c r="E579" s="107"/>
      <c r="F579" s="107"/>
      <c r="G579" s="107"/>
      <c r="H579" s="107"/>
      <c r="I579" s="107"/>
      <c r="J579" s="107"/>
      <c r="K579" s="107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</row>
    <row r="580" spans="1:26" ht="12.75" customHeight="1" x14ac:dyDescent="0.2">
      <c r="A580" s="107"/>
      <c r="B580" s="107"/>
      <c r="C580" s="107"/>
      <c r="D580" s="107"/>
      <c r="E580" s="107"/>
      <c r="F580" s="107"/>
      <c r="G580" s="107"/>
      <c r="H580" s="107"/>
      <c r="I580" s="107"/>
      <c r="J580" s="107"/>
      <c r="K580" s="107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</row>
    <row r="581" spans="1:26" ht="12.75" customHeight="1" x14ac:dyDescent="0.2">
      <c r="A581" s="107"/>
      <c r="B581" s="107"/>
      <c r="C581" s="107"/>
      <c r="D581" s="107"/>
      <c r="E581" s="107"/>
      <c r="F581" s="107"/>
      <c r="G581" s="107"/>
      <c r="H581" s="107"/>
      <c r="I581" s="107"/>
      <c r="J581" s="107"/>
      <c r="K581" s="107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</row>
    <row r="582" spans="1:26" ht="12.75" customHeight="1" x14ac:dyDescent="0.2">
      <c r="A582" s="107"/>
      <c r="B582" s="107"/>
      <c r="C582" s="107"/>
      <c r="D582" s="107"/>
      <c r="E582" s="107"/>
      <c r="F582" s="107"/>
      <c r="G582" s="107"/>
      <c r="H582" s="107"/>
      <c r="I582" s="107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</row>
    <row r="583" spans="1:26" ht="12.75" customHeight="1" x14ac:dyDescent="0.2">
      <c r="A583" s="107"/>
      <c r="B583" s="107"/>
      <c r="C583" s="107"/>
      <c r="D583" s="107"/>
      <c r="E583" s="107"/>
      <c r="F583" s="107"/>
      <c r="G583" s="107"/>
      <c r="H583" s="107"/>
      <c r="I583" s="107"/>
      <c r="J583" s="107"/>
      <c r="K583" s="107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</row>
    <row r="584" spans="1:26" ht="12.75" customHeight="1" x14ac:dyDescent="0.2">
      <c r="A584" s="107"/>
      <c r="B584" s="107"/>
      <c r="C584" s="107"/>
      <c r="D584" s="107"/>
      <c r="E584" s="107"/>
      <c r="F584" s="107"/>
      <c r="G584" s="107"/>
      <c r="H584" s="107"/>
      <c r="I584" s="107"/>
      <c r="J584" s="107"/>
      <c r="K584" s="107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</row>
    <row r="585" spans="1:26" ht="12.75" customHeight="1" x14ac:dyDescent="0.2">
      <c r="A585" s="107"/>
      <c r="B585" s="107"/>
      <c r="C585" s="107"/>
      <c r="D585" s="107"/>
      <c r="E585" s="107"/>
      <c r="F585" s="107"/>
      <c r="G585" s="107"/>
      <c r="H585" s="107"/>
      <c r="I585" s="107"/>
      <c r="J585" s="107"/>
      <c r="K585" s="107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</row>
    <row r="586" spans="1:26" ht="12.75" customHeight="1" x14ac:dyDescent="0.2">
      <c r="A586" s="107"/>
      <c r="B586" s="107"/>
      <c r="C586" s="107"/>
      <c r="D586" s="107"/>
      <c r="E586" s="107"/>
      <c r="F586" s="107"/>
      <c r="G586" s="107"/>
      <c r="H586" s="107"/>
      <c r="I586" s="107"/>
      <c r="J586" s="107"/>
      <c r="K586" s="107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</row>
    <row r="587" spans="1:26" ht="12.75" customHeight="1" x14ac:dyDescent="0.2">
      <c r="A587" s="107"/>
      <c r="B587" s="107"/>
      <c r="C587" s="107"/>
      <c r="D587" s="107"/>
      <c r="E587" s="107"/>
      <c r="F587" s="107"/>
      <c r="G587" s="107"/>
      <c r="H587" s="107"/>
      <c r="I587" s="107"/>
      <c r="J587" s="107"/>
      <c r="K587" s="107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</row>
    <row r="588" spans="1:26" ht="12.75" customHeight="1" x14ac:dyDescent="0.2">
      <c r="A588" s="107"/>
      <c r="B588" s="107"/>
      <c r="C588" s="107"/>
      <c r="D588" s="107"/>
      <c r="E588" s="107"/>
      <c r="F588" s="107"/>
      <c r="G588" s="107"/>
      <c r="H588" s="107"/>
      <c r="I588" s="107"/>
      <c r="J588" s="107"/>
      <c r="K588" s="107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</row>
    <row r="589" spans="1:26" ht="12.75" customHeight="1" x14ac:dyDescent="0.2">
      <c r="A589" s="107"/>
      <c r="B589" s="107"/>
      <c r="C589" s="107"/>
      <c r="D589" s="107"/>
      <c r="E589" s="107"/>
      <c r="F589" s="107"/>
      <c r="G589" s="107"/>
      <c r="H589" s="107"/>
      <c r="I589" s="107"/>
      <c r="J589" s="107"/>
      <c r="K589" s="107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</row>
    <row r="590" spans="1:26" ht="12.75" customHeight="1" x14ac:dyDescent="0.2">
      <c r="A590" s="107"/>
      <c r="B590" s="107"/>
      <c r="C590" s="107"/>
      <c r="D590" s="107"/>
      <c r="E590" s="107"/>
      <c r="F590" s="107"/>
      <c r="G590" s="107"/>
      <c r="H590" s="107"/>
      <c r="I590" s="107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</row>
    <row r="591" spans="1:26" ht="12.75" customHeight="1" x14ac:dyDescent="0.2">
      <c r="A591" s="107"/>
      <c r="B591" s="107"/>
      <c r="C591" s="107"/>
      <c r="D591" s="107"/>
      <c r="E591" s="107"/>
      <c r="F591" s="107"/>
      <c r="G591" s="107"/>
      <c r="H591" s="107"/>
      <c r="I591" s="107"/>
      <c r="J591" s="107"/>
      <c r="K591" s="107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</row>
    <row r="592" spans="1:26" ht="12.75" customHeight="1" x14ac:dyDescent="0.2">
      <c r="A592" s="107"/>
      <c r="B592" s="107"/>
      <c r="C592" s="107"/>
      <c r="D592" s="107"/>
      <c r="E592" s="107"/>
      <c r="F592" s="107"/>
      <c r="G592" s="107"/>
      <c r="H592" s="107"/>
      <c r="I592" s="107"/>
      <c r="J592" s="107"/>
      <c r="K592" s="107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</row>
    <row r="593" spans="1:26" ht="12.75" customHeight="1" x14ac:dyDescent="0.2">
      <c r="A593" s="107"/>
      <c r="B593" s="107"/>
      <c r="C593" s="107"/>
      <c r="D593" s="107"/>
      <c r="E593" s="107"/>
      <c r="F593" s="107"/>
      <c r="G593" s="107"/>
      <c r="H593" s="107"/>
      <c r="I593" s="107"/>
      <c r="J593" s="107"/>
      <c r="K593" s="107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</row>
    <row r="594" spans="1:26" ht="12.75" customHeight="1" x14ac:dyDescent="0.2">
      <c r="A594" s="107"/>
      <c r="B594" s="107"/>
      <c r="C594" s="107"/>
      <c r="D594" s="107"/>
      <c r="E594" s="107"/>
      <c r="F594" s="107"/>
      <c r="G594" s="107"/>
      <c r="H594" s="107"/>
      <c r="I594" s="107"/>
      <c r="J594" s="107"/>
      <c r="K594" s="107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</row>
    <row r="595" spans="1:26" ht="12.75" customHeight="1" x14ac:dyDescent="0.2">
      <c r="A595" s="107"/>
      <c r="B595" s="107"/>
      <c r="C595" s="107"/>
      <c r="D595" s="107"/>
      <c r="E595" s="107"/>
      <c r="F595" s="107"/>
      <c r="G595" s="107"/>
      <c r="H595" s="107"/>
      <c r="I595" s="107"/>
      <c r="J595" s="107"/>
      <c r="K595" s="107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</row>
    <row r="596" spans="1:26" ht="12.75" customHeight="1" x14ac:dyDescent="0.2">
      <c r="A596" s="107"/>
      <c r="B596" s="107"/>
      <c r="C596" s="107"/>
      <c r="D596" s="107"/>
      <c r="E596" s="107"/>
      <c r="F596" s="107"/>
      <c r="G596" s="107"/>
      <c r="H596" s="107"/>
      <c r="I596" s="107"/>
      <c r="J596" s="107"/>
      <c r="K596" s="107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</row>
    <row r="597" spans="1:26" ht="12.75" customHeight="1" x14ac:dyDescent="0.2">
      <c r="A597" s="107"/>
      <c r="B597" s="107"/>
      <c r="C597" s="107"/>
      <c r="D597" s="107"/>
      <c r="E597" s="107"/>
      <c r="F597" s="107"/>
      <c r="G597" s="107"/>
      <c r="H597" s="107"/>
      <c r="I597" s="107"/>
      <c r="J597" s="107"/>
      <c r="K597" s="107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</row>
    <row r="598" spans="1:26" ht="12.75" customHeight="1" x14ac:dyDescent="0.2">
      <c r="A598" s="107"/>
      <c r="B598" s="107"/>
      <c r="C598" s="107"/>
      <c r="D598" s="107"/>
      <c r="E598" s="107"/>
      <c r="F598" s="107"/>
      <c r="G598" s="107"/>
      <c r="H598" s="107"/>
      <c r="I598" s="107"/>
      <c r="J598" s="107"/>
      <c r="K598" s="107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</row>
    <row r="599" spans="1:26" ht="12.75" customHeight="1" x14ac:dyDescent="0.2">
      <c r="A599" s="107"/>
      <c r="B599" s="107"/>
      <c r="C599" s="107"/>
      <c r="D599" s="107"/>
      <c r="E599" s="107"/>
      <c r="F599" s="107"/>
      <c r="G599" s="107"/>
      <c r="H599" s="107"/>
      <c r="I599" s="107"/>
      <c r="J599" s="107"/>
      <c r="K599" s="107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</row>
    <row r="600" spans="1:26" ht="12.75" customHeight="1" x14ac:dyDescent="0.2">
      <c r="A600" s="107"/>
      <c r="B600" s="107"/>
      <c r="C600" s="107"/>
      <c r="D600" s="107"/>
      <c r="E600" s="107"/>
      <c r="F600" s="107"/>
      <c r="G600" s="107"/>
      <c r="H600" s="107"/>
      <c r="I600" s="107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</row>
    <row r="601" spans="1:26" ht="12.75" customHeight="1" x14ac:dyDescent="0.2">
      <c r="A601" s="107"/>
      <c r="B601" s="107"/>
      <c r="C601" s="107"/>
      <c r="D601" s="107"/>
      <c r="E601" s="107"/>
      <c r="F601" s="107"/>
      <c r="G601" s="107"/>
      <c r="H601" s="107"/>
      <c r="I601" s="107"/>
      <c r="J601" s="107"/>
      <c r="K601" s="107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</row>
    <row r="602" spans="1:26" ht="12.75" customHeight="1" x14ac:dyDescent="0.2">
      <c r="A602" s="107"/>
      <c r="B602" s="107"/>
      <c r="C602" s="107"/>
      <c r="D602" s="107"/>
      <c r="E602" s="107"/>
      <c r="F602" s="107"/>
      <c r="G602" s="107"/>
      <c r="H602" s="107"/>
      <c r="I602" s="107"/>
      <c r="J602" s="107"/>
      <c r="K602" s="107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</row>
    <row r="603" spans="1:26" ht="12.75" customHeight="1" x14ac:dyDescent="0.2">
      <c r="A603" s="107"/>
      <c r="B603" s="107"/>
      <c r="C603" s="107"/>
      <c r="D603" s="107"/>
      <c r="E603" s="107"/>
      <c r="F603" s="107"/>
      <c r="G603" s="107"/>
      <c r="H603" s="107"/>
      <c r="I603" s="107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</row>
    <row r="604" spans="1:26" ht="12.75" customHeight="1" x14ac:dyDescent="0.2">
      <c r="A604" s="107"/>
      <c r="B604" s="107"/>
      <c r="C604" s="107"/>
      <c r="D604" s="107"/>
      <c r="E604" s="107"/>
      <c r="F604" s="107"/>
      <c r="G604" s="107"/>
      <c r="H604" s="107"/>
      <c r="I604" s="107"/>
      <c r="J604" s="107"/>
      <c r="K604" s="107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</row>
    <row r="605" spans="1:26" ht="12.75" customHeight="1" x14ac:dyDescent="0.2">
      <c r="A605" s="107"/>
      <c r="B605" s="107"/>
      <c r="C605" s="107"/>
      <c r="D605" s="107"/>
      <c r="E605" s="107"/>
      <c r="F605" s="107"/>
      <c r="G605" s="107"/>
      <c r="H605" s="107"/>
      <c r="I605" s="107"/>
      <c r="J605" s="107"/>
      <c r="K605" s="107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</row>
    <row r="606" spans="1:26" ht="12.75" customHeight="1" x14ac:dyDescent="0.2">
      <c r="A606" s="107"/>
      <c r="B606" s="107"/>
      <c r="C606" s="107"/>
      <c r="D606" s="107"/>
      <c r="E606" s="107"/>
      <c r="F606" s="107"/>
      <c r="G606" s="107"/>
      <c r="H606" s="107"/>
      <c r="I606" s="107"/>
      <c r="J606" s="107"/>
      <c r="K606" s="107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</row>
    <row r="607" spans="1:26" ht="12.75" customHeight="1" x14ac:dyDescent="0.2">
      <c r="A607" s="107"/>
      <c r="B607" s="107"/>
      <c r="C607" s="107"/>
      <c r="D607" s="107"/>
      <c r="E607" s="107"/>
      <c r="F607" s="107"/>
      <c r="G607" s="107"/>
      <c r="H607" s="107"/>
      <c r="I607" s="107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</row>
    <row r="608" spans="1:26" ht="12.75" customHeight="1" x14ac:dyDescent="0.2">
      <c r="A608" s="107"/>
      <c r="B608" s="107"/>
      <c r="C608" s="107"/>
      <c r="D608" s="107"/>
      <c r="E608" s="107"/>
      <c r="F608" s="107"/>
      <c r="G608" s="107"/>
      <c r="H608" s="107"/>
      <c r="I608" s="107"/>
      <c r="J608" s="107"/>
      <c r="K608" s="107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</row>
    <row r="609" spans="1:26" ht="12.75" customHeight="1" x14ac:dyDescent="0.2">
      <c r="A609" s="107"/>
      <c r="B609" s="107"/>
      <c r="C609" s="107"/>
      <c r="D609" s="107"/>
      <c r="E609" s="107"/>
      <c r="F609" s="107"/>
      <c r="G609" s="107"/>
      <c r="H609" s="107"/>
      <c r="I609" s="107"/>
      <c r="J609" s="107"/>
      <c r="K609" s="107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</row>
    <row r="610" spans="1:26" ht="12.75" customHeight="1" x14ac:dyDescent="0.2">
      <c r="A610" s="107"/>
      <c r="B610" s="107"/>
      <c r="C610" s="107"/>
      <c r="D610" s="107"/>
      <c r="E610" s="107"/>
      <c r="F610" s="107"/>
      <c r="G610" s="107"/>
      <c r="H610" s="107"/>
      <c r="I610" s="107"/>
      <c r="J610" s="107"/>
      <c r="K610" s="107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</row>
    <row r="611" spans="1:26" ht="12.75" customHeight="1" x14ac:dyDescent="0.2">
      <c r="A611" s="107"/>
      <c r="B611" s="107"/>
      <c r="C611" s="107"/>
      <c r="D611" s="107"/>
      <c r="E611" s="107"/>
      <c r="F611" s="107"/>
      <c r="G611" s="107"/>
      <c r="H611" s="107"/>
      <c r="I611" s="107"/>
      <c r="J611" s="107"/>
      <c r="K611" s="107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</row>
    <row r="612" spans="1:26" ht="12.75" customHeight="1" x14ac:dyDescent="0.2">
      <c r="A612" s="107"/>
      <c r="B612" s="107"/>
      <c r="C612" s="107"/>
      <c r="D612" s="107"/>
      <c r="E612" s="107"/>
      <c r="F612" s="107"/>
      <c r="G612" s="107"/>
      <c r="H612" s="107"/>
      <c r="I612" s="107"/>
      <c r="J612" s="107"/>
      <c r="K612" s="107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</row>
    <row r="613" spans="1:26" ht="12.75" customHeight="1" x14ac:dyDescent="0.2">
      <c r="A613" s="107"/>
      <c r="B613" s="107"/>
      <c r="C613" s="107"/>
      <c r="D613" s="107"/>
      <c r="E613" s="107"/>
      <c r="F613" s="107"/>
      <c r="G613" s="107"/>
      <c r="H613" s="107"/>
      <c r="I613" s="107"/>
      <c r="J613" s="107"/>
      <c r="K613" s="107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</row>
    <row r="614" spans="1:26" ht="12.75" customHeight="1" x14ac:dyDescent="0.2">
      <c r="A614" s="107"/>
      <c r="B614" s="107"/>
      <c r="C614" s="107"/>
      <c r="D614" s="107"/>
      <c r="E614" s="107"/>
      <c r="F614" s="107"/>
      <c r="G614" s="107"/>
      <c r="H614" s="107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</row>
    <row r="615" spans="1:26" ht="12.75" customHeight="1" x14ac:dyDescent="0.2">
      <c r="A615" s="107"/>
      <c r="B615" s="107"/>
      <c r="C615" s="107"/>
      <c r="D615" s="107"/>
      <c r="E615" s="107"/>
      <c r="F615" s="107"/>
      <c r="G615" s="107"/>
      <c r="H615" s="107"/>
      <c r="I615" s="107"/>
      <c r="J615" s="107"/>
      <c r="K615" s="107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</row>
    <row r="616" spans="1:26" ht="12.75" customHeight="1" x14ac:dyDescent="0.2">
      <c r="A616" s="107"/>
      <c r="B616" s="107"/>
      <c r="C616" s="107"/>
      <c r="D616" s="107"/>
      <c r="E616" s="107"/>
      <c r="F616" s="107"/>
      <c r="G616" s="107"/>
      <c r="H616" s="107"/>
      <c r="I616" s="107"/>
      <c r="J616" s="107"/>
      <c r="K616" s="107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</row>
    <row r="617" spans="1:26" ht="12.75" customHeight="1" x14ac:dyDescent="0.2">
      <c r="A617" s="107"/>
      <c r="B617" s="107"/>
      <c r="C617" s="107"/>
      <c r="D617" s="107"/>
      <c r="E617" s="107"/>
      <c r="F617" s="107"/>
      <c r="G617" s="107"/>
      <c r="H617" s="107"/>
      <c r="I617" s="107"/>
      <c r="J617" s="107"/>
      <c r="K617" s="107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</row>
    <row r="618" spans="1:26" ht="12.75" customHeight="1" x14ac:dyDescent="0.2">
      <c r="A618" s="107"/>
      <c r="B618" s="107"/>
      <c r="C618" s="107"/>
      <c r="D618" s="107"/>
      <c r="E618" s="107"/>
      <c r="F618" s="107"/>
      <c r="G618" s="107"/>
      <c r="H618" s="107"/>
      <c r="I618" s="107"/>
      <c r="J618" s="107"/>
      <c r="K618" s="107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</row>
    <row r="619" spans="1:26" ht="12.75" customHeight="1" x14ac:dyDescent="0.2">
      <c r="A619" s="107"/>
      <c r="B619" s="107"/>
      <c r="C619" s="107"/>
      <c r="D619" s="107"/>
      <c r="E619" s="107"/>
      <c r="F619" s="107"/>
      <c r="G619" s="107"/>
      <c r="H619" s="107"/>
      <c r="I619" s="107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</row>
    <row r="620" spans="1:26" ht="12.75" customHeight="1" x14ac:dyDescent="0.2">
      <c r="A620" s="107"/>
      <c r="B620" s="107"/>
      <c r="C620" s="107"/>
      <c r="D620" s="107"/>
      <c r="E620" s="107"/>
      <c r="F620" s="107"/>
      <c r="G620" s="107"/>
      <c r="H620" s="107"/>
      <c r="I620" s="107"/>
      <c r="J620" s="107"/>
      <c r="K620" s="107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</row>
    <row r="621" spans="1:26" ht="12.75" customHeight="1" x14ac:dyDescent="0.2">
      <c r="A621" s="107"/>
      <c r="B621" s="107"/>
      <c r="C621" s="107"/>
      <c r="D621" s="107"/>
      <c r="E621" s="107"/>
      <c r="F621" s="107"/>
      <c r="G621" s="107"/>
      <c r="H621" s="107"/>
      <c r="I621" s="107"/>
      <c r="J621" s="107"/>
      <c r="K621" s="107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</row>
    <row r="622" spans="1:26" ht="12.75" customHeight="1" x14ac:dyDescent="0.2">
      <c r="A622" s="107"/>
      <c r="B622" s="107"/>
      <c r="C622" s="107"/>
      <c r="D622" s="107"/>
      <c r="E622" s="107"/>
      <c r="F622" s="107"/>
      <c r="G622" s="107"/>
      <c r="H622" s="107"/>
      <c r="I622" s="107"/>
      <c r="J622" s="107"/>
      <c r="K622" s="107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</row>
    <row r="623" spans="1:26" ht="12.75" customHeight="1" x14ac:dyDescent="0.2">
      <c r="A623" s="107"/>
      <c r="B623" s="107"/>
      <c r="C623" s="107"/>
      <c r="D623" s="107"/>
      <c r="E623" s="107"/>
      <c r="F623" s="107"/>
      <c r="G623" s="107"/>
      <c r="H623" s="107"/>
      <c r="I623" s="107"/>
      <c r="J623" s="107"/>
      <c r="K623" s="107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</row>
    <row r="624" spans="1:26" ht="12.75" customHeight="1" x14ac:dyDescent="0.2">
      <c r="A624" s="107"/>
      <c r="B624" s="107"/>
      <c r="C624" s="107"/>
      <c r="D624" s="107"/>
      <c r="E624" s="107"/>
      <c r="F624" s="107"/>
      <c r="G624" s="107"/>
      <c r="H624" s="107"/>
      <c r="I624" s="107"/>
      <c r="J624" s="107"/>
      <c r="K624" s="107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</row>
    <row r="625" spans="1:26" ht="12.75" customHeight="1" x14ac:dyDescent="0.2">
      <c r="A625" s="107"/>
      <c r="B625" s="107"/>
      <c r="C625" s="107"/>
      <c r="D625" s="107"/>
      <c r="E625" s="107"/>
      <c r="F625" s="107"/>
      <c r="G625" s="107"/>
      <c r="H625" s="107"/>
      <c r="I625" s="107"/>
      <c r="J625" s="107"/>
      <c r="K625" s="107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</row>
    <row r="626" spans="1:26" ht="12.75" customHeight="1" x14ac:dyDescent="0.2">
      <c r="A626" s="107"/>
      <c r="B626" s="107"/>
      <c r="C626" s="107"/>
      <c r="D626" s="107"/>
      <c r="E626" s="107"/>
      <c r="F626" s="107"/>
      <c r="G626" s="107"/>
      <c r="H626" s="107"/>
      <c r="I626" s="107"/>
      <c r="J626" s="107"/>
      <c r="K626" s="107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</row>
    <row r="627" spans="1:26" ht="12.75" customHeight="1" x14ac:dyDescent="0.2">
      <c r="A627" s="107"/>
      <c r="B627" s="107"/>
      <c r="C627" s="107"/>
      <c r="D627" s="107"/>
      <c r="E627" s="107"/>
      <c r="F627" s="107"/>
      <c r="G627" s="107"/>
      <c r="H627" s="107"/>
      <c r="I627" s="107"/>
      <c r="J627" s="107"/>
      <c r="K627" s="107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</row>
    <row r="628" spans="1:26" ht="12.75" customHeight="1" x14ac:dyDescent="0.2">
      <c r="A628" s="107"/>
      <c r="B628" s="107"/>
      <c r="C628" s="107"/>
      <c r="D628" s="107"/>
      <c r="E628" s="107"/>
      <c r="F628" s="107"/>
      <c r="G628" s="107"/>
      <c r="H628" s="107"/>
      <c r="I628" s="107"/>
      <c r="J628" s="107"/>
      <c r="K628" s="107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</row>
    <row r="629" spans="1:26" ht="12.75" customHeight="1" x14ac:dyDescent="0.2">
      <c r="A629" s="107"/>
      <c r="B629" s="107"/>
      <c r="C629" s="107"/>
      <c r="D629" s="107"/>
      <c r="E629" s="107"/>
      <c r="F629" s="107"/>
      <c r="G629" s="107"/>
      <c r="H629" s="107"/>
      <c r="I629" s="107"/>
      <c r="J629" s="107"/>
      <c r="K629" s="107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</row>
    <row r="630" spans="1:26" ht="12.75" customHeight="1" x14ac:dyDescent="0.2">
      <c r="A630" s="107"/>
      <c r="B630" s="107"/>
      <c r="C630" s="107"/>
      <c r="D630" s="107"/>
      <c r="E630" s="107"/>
      <c r="F630" s="107"/>
      <c r="G630" s="107"/>
      <c r="H630" s="107"/>
      <c r="I630" s="107"/>
      <c r="J630" s="107"/>
      <c r="K630" s="107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</row>
    <row r="631" spans="1:26" ht="12.75" customHeight="1" x14ac:dyDescent="0.2">
      <c r="A631" s="107"/>
      <c r="B631" s="107"/>
      <c r="C631" s="107"/>
      <c r="D631" s="107"/>
      <c r="E631" s="107"/>
      <c r="F631" s="107"/>
      <c r="G631" s="107"/>
      <c r="H631" s="107"/>
      <c r="I631" s="107"/>
      <c r="J631" s="107"/>
      <c r="K631" s="107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</row>
    <row r="632" spans="1:26" ht="12.75" customHeight="1" x14ac:dyDescent="0.2">
      <c r="A632" s="107"/>
      <c r="B632" s="107"/>
      <c r="C632" s="107"/>
      <c r="D632" s="107"/>
      <c r="E632" s="107"/>
      <c r="F632" s="107"/>
      <c r="G632" s="107"/>
      <c r="H632" s="107"/>
      <c r="I632" s="107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</row>
    <row r="633" spans="1:26" ht="12.75" customHeight="1" x14ac:dyDescent="0.2">
      <c r="A633" s="107"/>
      <c r="B633" s="107"/>
      <c r="C633" s="107"/>
      <c r="D633" s="107"/>
      <c r="E633" s="107"/>
      <c r="F633" s="107"/>
      <c r="G633" s="107"/>
      <c r="H633" s="107"/>
      <c r="I633" s="107"/>
      <c r="J633" s="107"/>
      <c r="K633" s="107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</row>
    <row r="634" spans="1:26" ht="12.75" customHeight="1" x14ac:dyDescent="0.2">
      <c r="A634" s="107"/>
      <c r="B634" s="107"/>
      <c r="C634" s="107"/>
      <c r="D634" s="107"/>
      <c r="E634" s="107"/>
      <c r="F634" s="107"/>
      <c r="G634" s="107"/>
      <c r="H634" s="107"/>
      <c r="I634" s="107"/>
      <c r="J634" s="107"/>
      <c r="K634" s="107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</row>
    <row r="635" spans="1:26" ht="12.75" customHeight="1" x14ac:dyDescent="0.2">
      <c r="A635" s="107"/>
      <c r="B635" s="107"/>
      <c r="C635" s="107"/>
      <c r="D635" s="107"/>
      <c r="E635" s="107"/>
      <c r="F635" s="107"/>
      <c r="G635" s="107"/>
      <c r="H635" s="107"/>
      <c r="I635" s="107"/>
      <c r="J635" s="107"/>
      <c r="K635" s="107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</row>
    <row r="636" spans="1:26" ht="12.75" customHeight="1" x14ac:dyDescent="0.2">
      <c r="A636" s="107"/>
      <c r="B636" s="107"/>
      <c r="C636" s="107"/>
      <c r="D636" s="107"/>
      <c r="E636" s="107"/>
      <c r="F636" s="107"/>
      <c r="G636" s="107"/>
      <c r="H636" s="107"/>
      <c r="I636" s="107"/>
      <c r="J636" s="107"/>
      <c r="K636" s="107"/>
      <c r="L636" s="107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</row>
    <row r="637" spans="1:26" ht="12.75" customHeight="1" x14ac:dyDescent="0.2">
      <c r="A637" s="107"/>
      <c r="B637" s="107"/>
      <c r="C637" s="107"/>
      <c r="D637" s="107"/>
      <c r="E637" s="107"/>
      <c r="F637" s="107"/>
      <c r="G637" s="107"/>
      <c r="H637" s="107"/>
      <c r="I637" s="107"/>
      <c r="J637" s="107"/>
      <c r="K637" s="107"/>
      <c r="L637" s="107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</row>
    <row r="638" spans="1:26" ht="12.75" customHeight="1" x14ac:dyDescent="0.2">
      <c r="A638" s="107"/>
      <c r="B638" s="107"/>
      <c r="C638" s="107"/>
      <c r="D638" s="107"/>
      <c r="E638" s="107"/>
      <c r="F638" s="107"/>
      <c r="G638" s="107"/>
      <c r="H638" s="107"/>
      <c r="I638" s="107"/>
      <c r="J638" s="107"/>
      <c r="K638" s="107"/>
      <c r="L638" s="107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</row>
    <row r="639" spans="1:26" ht="12.75" customHeight="1" x14ac:dyDescent="0.2">
      <c r="A639" s="107"/>
      <c r="B639" s="107"/>
      <c r="C639" s="107"/>
      <c r="D639" s="107"/>
      <c r="E639" s="107"/>
      <c r="F639" s="107"/>
      <c r="G639" s="107"/>
      <c r="H639" s="107"/>
      <c r="I639" s="107"/>
      <c r="J639" s="107"/>
      <c r="K639" s="107"/>
      <c r="L639" s="107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</row>
    <row r="640" spans="1:26" ht="12.75" customHeight="1" x14ac:dyDescent="0.2">
      <c r="A640" s="107"/>
      <c r="B640" s="107"/>
      <c r="C640" s="107"/>
      <c r="D640" s="107"/>
      <c r="E640" s="107"/>
      <c r="F640" s="107"/>
      <c r="G640" s="107"/>
      <c r="H640" s="107"/>
      <c r="I640" s="107"/>
      <c r="J640" s="107"/>
      <c r="K640" s="107"/>
      <c r="L640" s="107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</row>
    <row r="641" spans="1:26" ht="12.75" customHeight="1" x14ac:dyDescent="0.2">
      <c r="A641" s="107"/>
      <c r="B641" s="107"/>
      <c r="C641" s="107"/>
      <c r="D641" s="107"/>
      <c r="E641" s="107"/>
      <c r="F641" s="107"/>
      <c r="G641" s="107"/>
      <c r="H641" s="107"/>
      <c r="I641" s="107"/>
      <c r="J641" s="107"/>
      <c r="K641" s="107"/>
      <c r="L641" s="107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</row>
    <row r="642" spans="1:26" ht="12.75" customHeight="1" x14ac:dyDescent="0.2">
      <c r="A642" s="107"/>
      <c r="B642" s="107"/>
      <c r="C642" s="107"/>
      <c r="D642" s="107"/>
      <c r="E642" s="107"/>
      <c r="F642" s="107"/>
      <c r="G642" s="107"/>
      <c r="H642" s="107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</row>
    <row r="643" spans="1:26" ht="12.75" customHeight="1" x14ac:dyDescent="0.2">
      <c r="A643" s="107"/>
      <c r="B643" s="107"/>
      <c r="C643" s="107"/>
      <c r="D643" s="107"/>
      <c r="E643" s="107"/>
      <c r="F643" s="107"/>
      <c r="G643" s="107"/>
      <c r="H643" s="107"/>
      <c r="I643" s="107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</row>
    <row r="644" spans="1:26" ht="12.75" customHeight="1" x14ac:dyDescent="0.2">
      <c r="A644" s="107"/>
      <c r="B644" s="107"/>
      <c r="C644" s="107"/>
      <c r="D644" s="107"/>
      <c r="E644" s="107"/>
      <c r="F644" s="107"/>
      <c r="G644" s="107"/>
      <c r="H644" s="107"/>
      <c r="I644" s="107"/>
      <c r="J644" s="107"/>
      <c r="K644" s="107"/>
      <c r="L644" s="107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</row>
    <row r="645" spans="1:26" ht="12.75" customHeight="1" x14ac:dyDescent="0.2">
      <c r="A645" s="107"/>
      <c r="B645" s="107"/>
      <c r="C645" s="107"/>
      <c r="D645" s="107"/>
      <c r="E645" s="107"/>
      <c r="F645" s="107"/>
      <c r="G645" s="107"/>
      <c r="H645" s="107"/>
      <c r="I645" s="107"/>
      <c r="J645" s="107"/>
      <c r="K645" s="107"/>
      <c r="L645" s="107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</row>
    <row r="646" spans="1:26" ht="12.75" customHeight="1" x14ac:dyDescent="0.2">
      <c r="A646" s="107"/>
      <c r="B646" s="107"/>
      <c r="C646" s="107"/>
      <c r="D646" s="107"/>
      <c r="E646" s="107"/>
      <c r="F646" s="107"/>
      <c r="G646" s="107"/>
      <c r="H646" s="107"/>
      <c r="I646" s="107"/>
      <c r="J646" s="107"/>
      <c r="K646" s="107"/>
      <c r="L646" s="107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</row>
    <row r="647" spans="1:26" ht="12.75" customHeight="1" x14ac:dyDescent="0.2">
      <c r="A647" s="107"/>
      <c r="B647" s="107"/>
      <c r="C647" s="107"/>
      <c r="D647" s="107"/>
      <c r="E647" s="107"/>
      <c r="F647" s="107"/>
      <c r="G647" s="107"/>
      <c r="H647" s="107"/>
      <c r="I647" s="107"/>
      <c r="J647" s="107"/>
      <c r="K647" s="107"/>
      <c r="L647" s="107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</row>
    <row r="648" spans="1:26" ht="12.75" customHeight="1" x14ac:dyDescent="0.2">
      <c r="A648" s="107"/>
      <c r="B648" s="107"/>
      <c r="C648" s="107"/>
      <c r="D648" s="107"/>
      <c r="E648" s="107"/>
      <c r="F648" s="107"/>
      <c r="G648" s="107"/>
      <c r="H648" s="107"/>
      <c r="I648" s="107"/>
      <c r="J648" s="107"/>
      <c r="K648" s="107"/>
      <c r="L648" s="107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</row>
    <row r="649" spans="1:26" ht="12.75" customHeight="1" x14ac:dyDescent="0.2">
      <c r="A649" s="107"/>
      <c r="B649" s="107"/>
      <c r="C649" s="107"/>
      <c r="D649" s="107"/>
      <c r="E649" s="107"/>
      <c r="F649" s="107"/>
      <c r="G649" s="107"/>
      <c r="H649" s="107"/>
      <c r="I649" s="107"/>
      <c r="J649" s="107"/>
      <c r="K649" s="107"/>
      <c r="L649" s="107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</row>
    <row r="650" spans="1:26" ht="12.75" customHeight="1" x14ac:dyDescent="0.2">
      <c r="A650" s="107"/>
      <c r="B650" s="107"/>
      <c r="C650" s="107"/>
      <c r="D650" s="107"/>
      <c r="E650" s="107"/>
      <c r="F650" s="107"/>
      <c r="G650" s="107"/>
      <c r="H650" s="107"/>
      <c r="I650" s="107"/>
      <c r="J650" s="107"/>
      <c r="K650" s="107"/>
      <c r="L650" s="107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</row>
    <row r="651" spans="1:26" ht="12.75" customHeight="1" x14ac:dyDescent="0.2">
      <c r="A651" s="107"/>
      <c r="B651" s="107"/>
      <c r="C651" s="107"/>
      <c r="D651" s="107"/>
      <c r="E651" s="107"/>
      <c r="F651" s="107"/>
      <c r="G651" s="107"/>
      <c r="H651" s="107"/>
      <c r="I651" s="107"/>
      <c r="J651" s="107"/>
      <c r="K651" s="107"/>
      <c r="L651" s="107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</row>
    <row r="652" spans="1:26" ht="12.75" customHeight="1" x14ac:dyDescent="0.2">
      <c r="A652" s="107"/>
      <c r="B652" s="107"/>
      <c r="C652" s="107"/>
      <c r="D652" s="107"/>
      <c r="E652" s="107"/>
      <c r="F652" s="107"/>
      <c r="G652" s="107"/>
      <c r="H652" s="107"/>
      <c r="I652" s="107"/>
      <c r="J652" s="107"/>
      <c r="K652" s="107"/>
      <c r="L652" s="107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</row>
    <row r="653" spans="1:26" ht="12.75" customHeight="1" x14ac:dyDescent="0.2">
      <c r="A653" s="107"/>
      <c r="B653" s="107"/>
      <c r="C653" s="107"/>
      <c r="D653" s="107"/>
      <c r="E653" s="107"/>
      <c r="F653" s="107"/>
      <c r="G653" s="107"/>
      <c r="H653" s="107"/>
      <c r="I653" s="107"/>
      <c r="J653" s="107"/>
      <c r="K653" s="107"/>
      <c r="L653" s="107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</row>
    <row r="654" spans="1:26" ht="12.75" customHeight="1" x14ac:dyDescent="0.2">
      <c r="A654" s="107"/>
      <c r="B654" s="107"/>
      <c r="C654" s="107"/>
      <c r="D654" s="107"/>
      <c r="E654" s="107"/>
      <c r="F654" s="107"/>
      <c r="G654" s="107"/>
      <c r="H654" s="107"/>
      <c r="I654" s="107"/>
      <c r="J654" s="107"/>
      <c r="K654" s="107"/>
      <c r="L654" s="107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</row>
    <row r="655" spans="1:26" ht="12.75" customHeight="1" x14ac:dyDescent="0.2">
      <c r="A655" s="107"/>
      <c r="B655" s="107"/>
      <c r="C655" s="107"/>
      <c r="D655" s="107"/>
      <c r="E655" s="107"/>
      <c r="F655" s="107"/>
      <c r="G655" s="107"/>
      <c r="H655" s="107"/>
      <c r="I655" s="107"/>
      <c r="J655" s="107"/>
      <c r="K655" s="107"/>
      <c r="L655" s="107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</row>
    <row r="656" spans="1:26" ht="12.75" customHeight="1" x14ac:dyDescent="0.2">
      <c r="A656" s="107"/>
      <c r="B656" s="107"/>
      <c r="C656" s="107"/>
      <c r="D656" s="107"/>
      <c r="E656" s="107"/>
      <c r="F656" s="107"/>
      <c r="G656" s="107"/>
      <c r="H656" s="107"/>
      <c r="I656" s="107"/>
      <c r="J656" s="107"/>
      <c r="K656" s="107"/>
      <c r="L656" s="107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</row>
    <row r="657" spans="1:26" ht="12.75" customHeight="1" x14ac:dyDescent="0.2">
      <c r="A657" s="107"/>
      <c r="B657" s="107"/>
      <c r="C657" s="107"/>
      <c r="D657" s="107"/>
      <c r="E657" s="107"/>
      <c r="F657" s="107"/>
      <c r="G657" s="107"/>
      <c r="H657" s="107"/>
      <c r="I657" s="107"/>
      <c r="J657" s="107"/>
      <c r="K657" s="107"/>
      <c r="L657" s="107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</row>
    <row r="658" spans="1:26" ht="12.75" customHeight="1" x14ac:dyDescent="0.2">
      <c r="A658" s="107"/>
      <c r="B658" s="107"/>
      <c r="C658" s="107"/>
      <c r="D658" s="107"/>
      <c r="E658" s="107"/>
      <c r="F658" s="107"/>
      <c r="G658" s="107"/>
      <c r="H658" s="107"/>
      <c r="I658" s="107"/>
      <c r="J658" s="107"/>
      <c r="K658" s="107"/>
      <c r="L658" s="107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</row>
    <row r="659" spans="1:26" ht="12.75" customHeight="1" x14ac:dyDescent="0.2">
      <c r="A659" s="107"/>
      <c r="B659" s="107"/>
      <c r="C659" s="107"/>
      <c r="D659" s="107"/>
      <c r="E659" s="107"/>
      <c r="F659" s="107"/>
      <c r="G659" s="107"/>
      <c r="H659" s="107"/>
      <c r="I659" s="107"/>
      <c r="J659" s="107"/>
      <c r="K659" s="107"/>
      <c r="L659" s="107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</row>
    <row r="660" spans="1:26" ht="12.75" customHeight="1" x14ac:dyDescent="0.2">
      <c r="A660" s="107"/>
      <c r="B660" s="107"/>
      <c r="C660" s="107"/>
      <c r="D660" s="107"/>
      <c r="E660" s="107"/>
      <c r="F660" s="107"/>
      <c r="G660" s="107"/>
      <c r="H660" s="107"/>
      <c r="I660" s="107"/>
      <c r="J660" s="107"/>
      <c r="K660" s="107"/>
      <c r="L660" s="107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</row>
    <row r="661" spans="1:26" ht="12.75" customHeight="1" x14ac:dyDescent="0.2">
      <c r="A661" s="107"/>
      <c r="B661" s="107"/>
      <c r="C661" s="107"/>
      <c r="D661" s="107"/>
      <c r="E661" s="107"/>
      <c r="F661" s="107"/>
      <c r="G661" s="107"/>
      <c r="H661" s="107"/>
      <c r="I661" s="107"/>
      <c r="J661" s="107"/>
      <c r="K661" s="107"/>
      <c r="L661" s="107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</row>
    <row r="662" spans="1:26" ht="12.75" customHeight="1" x14ac:dyDescent="0.2">
      <c r="A662" s="107"/>
      <c r="B662" s="107"/>
      <c r="C662" s="107"/>
      <c r="D662" s="107"/>
      <c r="E662" s="107"/>
      <c r="F662" s="107"/>
      <c r="G662" s="107"/>
      <c r="H662" s="107"/>
      <c r="I662" s="107"/>
      <c r="J662" s="107"/>
      <c r="K662" s="107"/>
      <c r="L662" s="107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</row>
    <row r="663" spans="1:26" ht="12.75" customHeight="1" x14ac:dyDescent="0.2">
      <c r="A663" s="107"/>
      <c r="B663" s="107"/>
      <c r="C663" s="107"/>
      <c r="D663" s="107"/>
      <c r="E663" s="107"/>
      <c r="F663" s="107"/>
      <c r="G663" s="107"/>
      <c r="H663" s="107"/>
      <c r="I663" s="107"/>
      <c r="J663" s="107"/>
      <c r="K663" s="107"/>
      <c r="L663" s="107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</row>
    <row r="664" spans="1:26" ht="12.75" customHeight="1" x14ac:dyDescent="0.2">
      <c r="A664" s="107"/>
      <c r="B664" s="107"/>
      <c r="C664" s="107"/>
      <c r="D664" s="107"/>
      <c r="E664" s="107"/>
      <c r="F664" s="107"/>
      <c r="G664" s="107"/>
      <c r="H664" s="107"/>
      <c r="I664" s="107"/>
      <c r="J664" s="107"/>
      <c r="K664" s="107"/>
      <c r="L664" s="107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</row>
    <row r="665" spans="1:26" ht="12.75" customHeight="1" x14ac:dyDescent="0.2">
      <c r="A665" s="107"/>
      <c r="B665" s="107"/>
      <c r="C665" s="107"/>
      <c r="D665" s="107"/>
      <c r="E665" s="107"/>
      <c r="F665" s="107"/>
      <c r="G665" s="107"/>
      <c r="H665" s="107"/>
      <c r="I665" s="107"/>
      <c r="J665" s="107"/>
      <c r="K665" s="107"/>
      <c r="L665" s="107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</row>
    <row r="666" spans="1:26" ht="12.75" customHeight="1" x14ac:dyDescent="0.2">
      <c r="A666" s="107"/>
      <c r="B666" s="107"/>
      <c r="C666" s="107"/>
      <c r="D666" s="107"/>
      <c r="E666" s="107"/>
      <c r="F666" s="107"/>
      <c r="G666" s="107"/>
      <c r="H666" s="107"/>
      <c r="I666" s="107"/>
      <c r="J666" s="107"/>
      <c r="K666" s="107"/>
      <c r="L666" s="107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</row>
    <row r="667" spans="1:26" ht="12.75" customHeight="1" x14ac:dyDescent="0.2">
      <c r="A667" s="107"/>
      <c r="B667" s="107"/>
      <c r="C667" s="107"/>
      <c r="D667" s="107"/>
      <c r="E667" s="107"/>
      <c r="F667" s="107"/>
      <c r="G667" s="107"/>
      <c r="H667" s="107"/>
      <c r="I667" s="107"/>
      <c r="J667" s="107"/>
      <c r="K667" s="107"/>
      <c r="L667" s="107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</row>
    <row r="668" spans="1:26" ht="12.75" customHeight="1" x14ac:dyDescent="0.2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</row>
    <row r="669" spans="1:26" ht="12.75" customHeight="1" x14ac:dyDescent="0.2">
      <c r="A669" s="107"/>
      <c r="B669" s="107"/>
      <c r="C669" s="107"/>
      <c r="D669" s="107"/>
      <c r="E669" s="107"/>
      <c r="F669" s="107"/>
      <c r="G669" s="107"/>
      <c r="H669" s="107"/>
      <c r="I669" s="107"/>
      <c r="J669" s="107"/>
      <c r="K669" s="107"/>
      <c r="L669" s="107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</row>
    <row r="670" spans="1:26" ht="12.75" customHeight="1" x14ac:dyDescent="0.2">
      <c r="A670" s="107"/>
      <c r="B670" s="107"/>
      <c r="C670" s="107"/>
      <c r="D670" s="107"/>
      <c r="E670" s="107"/>
      <c r="F670" s="107"/>
      <c r="G670" s="107"/>
      <c r="H670" s="107"/>
      <c r="I670" s="107"/>
      <c r="J670" s="107"/>
      <c r="K670" s="107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</row>
    <row r="671" spans="1:26" ht="12.75" customHeight="1" x14ac:dyDescent="0.2">
      <c r="A671" s="107"/>
      <c r="B671" s="107"/>
      <c r="C671" s="107"/>
      <c r="D671" s="107"/>
      <c r="E671" s="107"/>
      <c r="F671" s="107"/>
      <c r="G671" s="107"/>
      <c r="H671" s="107"/>
      <c r="I671" s="107"/>
      <c r="J671" s="107"/>
      <c r="K671" s="107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</row>
    <row r="672" spans="1:26" ht="12.75" customHeight="1" x14ac:dyDescent="0.2">
      <c r="A672" s="107"/>
      <c r="B672" s="107"/>
      <c r="C672" s="107"/>
      <c r="D672" s="107"/>
      <c r="E672" s="107"/>
      <c r="F672" s="107"/>
      <c r="G672" s="107"/>
      <c r="H672" s="107"/>
      <c r="I672" s="107"/>
      <c r="J672" s="107"/>
      <c r="K672" s="107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</row>
    <row r="673" spans="1:26" ht="12.75" customHeight="1" x14ac:dyDescent="0.2">
      <c r="A673" s="107"/>
      <c r="B673" s="107"/>
      <c r="C673" s="107"/>
      <c r="D673" s="107"/>
      <c r="E673" s="107"/>
      <c r="F673" s="107"/>
      <c r="G673" s="107"/>
      <c r="H673" s="107"/>
      <c r="I673" s="107"/>
      <c r="J673" s="107"/>
      <c r="K673" s="107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</row>
    <row r="674" spans="1:26" ht="12.75" customHeight="1" x14ac:dyDescent="0.2">
      <c r="A674" s="107"/>
      <c r="B674" s="107"/>
      <c r="C674" s="107"/>
      <c r="D674" s="107"/>
      <c r="E674" s="107"/>
      <c r="F674" s="107"/>
      <c r="G674" s="107"/>
      <c r="H674" s="107"/>
      <c r="I674" s="107"/>
      <c r="J674" s="107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</row>
    <row r="675" spans="1:26" ht="12.75" customHeight="1" x14ac:dyDescent="0.2">
      <c r="A675" s="107"/>
      <c r="B675" s="107"/>
      <c r="C675" s="107"/>
      <c r="D675" s="107"/>
      <c r="E675" s="107"/>
      <c r="F675" s="107"/>
      <c r="G675" s="107"/>
      <c r="H675" s="107"/>
      <c r="I675" s="107"/>
      <c r="J675" s="107"/>
      <c r="K675" s="107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</row>
    <row r="676" spans="1:26" ht="12.75" customHeight="1" x14ac:dyDescent="0.2">
      <c r="A676" s="107"/>
      <c r="B676" s="107"/>
      <c r="C676" s="107"/>
      <c r="D676" s="107"/>
      <c r="E676" s="107"/>
      <c r="F676" s="107"/>
      <c r="G676" s="107"/>
      <c r="H676" s="107"/>
      <c r="I676" s="107"/>
      <c r="J676" s="107"/>
      <c r="K676" s="107"/>
      <c r="L676" s="107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</row>
    <row r="677" spans="1:26" ht="12.75" customHeight="1" x14ac:dyDescent="0.2">
      <c r="A677" s="107"/>
      <c r="B677" s="107"/>
      <c r="C677" s="107"/>
      <c r="D677" s="107"/>
      <c r="E677" s="107"/>
      <c r="F677" s="107"/>
      <c r="G677" s="107"/>
      <c r="H677" s="107"/>
      <c r="I677" s="107"/>
      <c r="J677" s="107"/>
      <c r="K677" s="107"/>
      <c r="L677" s="107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</row>
    <row r="678" spans="1:26" ht="12.75" customHeight="1" x14ac:dyDescent="0.2">
      <c r="A678" s="107"/>
      <c r="B678" s="107"/>
      <c r="C678" s="107"/>
      <c r="D678" s="107"/>
      <c r="E678" s="107"/>
      <c r="F678" s="107"/>
      <c r="G678" s="107"/>
      <c r="H678" s="107"/>
      <c r="I678" s="107"/>
      <c r="J678" s="107"/>
      <c r="K678" s="107"/>
      <c r="L678" s="107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</row>
    <row r="679" spans="1:26" ht="12.75" customHeight="1" x14ac:dyDescent="0.2">
      <c r="A679" s="107"/>
      <c r="B679" s="107"/>
      <c r="C679" s="107"/>
      <c r="D679" s="107"/>
      <c r="E679" s="107"/>
      <c r="F679" s="107"/>
      <c r="G679" s="107"/>
      <c r="H679" s="107"/>
      <c r="I679" s="107"/>
      <c r="J679" s="107"/>
      <c r="K679" s="107"/>
      <c r="L679" s="107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</row>
    <row r="680" spans="1:26" ht="12.75" customHeight="1" x14ac:dyDescent="0.2">
      <c r="A680" s="107"/>
      <c r="B680" s="107"/>
      <c r="C680" s="107"/>
      <c r="D680" s="107"/>
      <c r="E680" s="107"/>
      <c r="F680" s="107"/>
      <c r="G680" s="107"/>
      <c r="H680" s="107"/>
      <c r="I680" s="107"/>
      <c r="J680" s="107"/>
      <c r="K680" s="107"/>
      <c r="L680" s="107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</row>
    <row r="681" spans="1:26" ht="12.75" customHeight="1" x14ac:dyDescent="0.2">
      <c r="A681" s="107"/>
      <c r="B681" s="107"/>
      <c r="C681" s="107"/>
      <c r="D681" s="107"/>
      <c r="E681" s="107"/>
      <c r="F681" s="107"/>
      <c r="G681" s="107"/>
      <c r="H681" s="107"/>
      <c r="I681" s="107"/>
      <c r="J681" s="107"/>
      <c r="K681" s="107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</row>
    <row r="682" spans="1:26" ht="12.75" customHeight="1" x14ac:dyDescent="0.2">
      <c r="A682" s="107"/>
      <c r="B682" s="107"/>
      <c r="C682" s="107"/>
      <c r="D682" s="107"/>
      <c r="E682" s="107"/>
      <c r="F682" s="107"/>
      <c r="G682" s="107"/>
      <c r="H682" s="107"/>
      <c r="I682" s="107"/>
      <c r="J682" s="107"/>
      <c r="K682" s="107"/>
      <c r="L682" s="107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</row>
    <row r="683" spans="1:26" ht="12.75" customHeight="1" x14ac:dyDescent="0.2">
      <c r="A683" s="107"/>
      <c r="B683" s="107"/>
      <c r="C683" s="107"/>
      <c r="D683" s="107"/>
      <c r="E683" s="107"/>
      <c r="F683" s="107"/>
      <c r="G683" s="107"/>
      <c r="H683" s="107"/>
      <c r="I683" s="107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</row>
    <row r="684" spans="1:26" ht="12.75" customHeight="1" x14ac:dyDescent="0.2">
      <c r="A684" s="107"/>
      <c r="B684" s="107"/>
      <c r="C684" s="107"/>
      <c r="D684" s="107"/>
      <c r="E684" s="107"/>
      <c r="F684" s="107"/>
      <c r="G684" s="107"/>
      <c r="H684" s="107"/>
      <c r="I684" s="107"/>
      <c r="J684" s="107"/>
      <c r="K684" s="107"/>
      <c r="L684" s="107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</row>
    <row r="685" spans="1:26" ht="12.75" customHeight="1" x14ac:dyDescent="0.2">
      <c r="A685" s="107"/>
      <c r="B685" s="107"/>
      <c r="C685" s="107"/>
      <c r="D685" s="107"/>
      <c r="E685" s="107"/>
      <c r="F685" s="107"/>
      <c r="G685" s="107"/>
      <c r="H685" s="107"/>
      <c r="I685" s="107"/>
      <c r="J685" s="107"/>
      <c r="K685" s="107"/>
      <c r="L685" s="107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</row>
    <row r="686" spans="1:26" ht="12.75" customHeight="1" x14ac:dyDescent="0.2">
      <c r="A686" s="107"/>
      <c r="B686" s="107"/>
      <c r="C686" s="107"/>
      <c r="D686" s="107"/>
      <c r="E686" s="107"/>
      <c r="F686" s="107"/>
      <c r="G686" s="107"/>
      <c r="H686" s="107"/>
      <c r="I686" s="107"/>
      <c r="J686" s="107"/>
      <c r="K686" s="107"/>
      <c r="L686" s="107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</row>
    <row r="687" spans="1:26" ht="12.75" customHeight="1" x14ac:dyDescent="0.2">
      <c r="A687" s="107"/>
      <c r="B687" s="107"/>
      <c r="C687" s="107"/>
      <c r="D687" s="107"/>
      <c r="E687" s="107"/>
      <c r="F687" s="107"/>
      <c r="G687" s="107"/>
      <c r="H687" s="107"/>
      <c r="I687" s="107"/>
      <c r="J687" s="107"/>
      <c r="K687" s="107"/>
      <c r="L687" s="107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</row>
    <row r="688" spans="1:26" ht="12.75" customHeight="1" x14ac:dyDescent="0.2">
      <c r="A688" s="107"/>
      <c r="B688" s="107"/>
      <c r="C688" s="107"/>
      <c r="D688" s="107"/>
      <c r="E688" s="107"/>
      <c r="F688" s="107"/>
      <c r="G688" s="107"/>
      <c r="H688" s="107"/>
      <c r="I688" s="107"/>
      <c r="J688" s="107"/>
      <c r="K688" s="107"/>
      <c r="L688" s="107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</row>
    <row r="689" spans="1:26" ht="12.75" customHeight="1" x14ac:dyDescent="0.2">
      <c r="A689" s="107"/>
      <c r="B689" s="107"/>
      <c r="C689" s="107"/>
      <c r="D689" s="107"/>
      <c r="E689" s="107"/>
      <c r="F689" s="107"/>
      <c r="G689" s="107"/>
      <c r="H689" s="107"/>
      <c r="I689" s="107"/>
      <c r="J689" s="107"/>
      <c r="K689" s="107"/>
      <c r="L689" s="107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</row>
    <row r="690" spans="1:26" ht="12.75" customHeight="1" x14ac:dyDescent="0.2">
      <c r="A690" s="107"/>
      <c r="B690" s="107"/>
      <c r="C690" s="107"/>
      <c r="D690" s="107"/>
      <c r="E690" s="107"/>
      <c r="F690" s="107"/>
      <c r="G690" s="107"/>
      <c r="H690" s="107"/>
      <c r="I690" s="107"/>
      <c r="J690" s="107"/>
      <c r="K690" s="107"/>
      <c r="L690" s="107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</row>
    <row r="691" spans="1:26" ht="12.75" customHeight="1" x14ac:dyDescent="0.2">
      <c r="A691" s="107"/>
      <c r="B691" s="107"/>
      <c r="C691" s="107"/>
      <c r="D691" s="107"/>
      <c r="E691" s="107"/>
      <c r="F691" s="107"/>
      <c r="G691" s="107"/>
      <c r="H691" s="107"/>
      <c r="I691" s="107"/>
      <c r="J691" s="107"/>
      <c r="K691" s="107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</row>
    <row r="692" spans="1:26" ht="12.75" customHeight="1" x14ac:dyDescent="0.2">
      <c r="A692" s="107"/>
      <c r="B692" s="107"/>
      <c r="C692" s="107"/>
      <c r="D692" s="107"/>
      <c r="E692" s="107"/>
      <c r="F692" s="107"/>
      <c r="G692" s="107"/>
      <c r="H692" s="107"/>
      <c r="I692" s="107"/>
      <c r="J692" s="107"/>
      <c r="K692" s="107"/>
      <c r="L692" s="107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</row>
    <row r="693" spans="1:26" ht="12.75" customHeight="1" x14ac:dyDescent="0.2">
      <c r="A693" s="107"/>
      <c r="B693" s="107"/>
      <c r="C693" s="107"/>
      <c r="D693" s="107"/>
      <c r="E693" s="107"/>
      <c r="F693" s="107"/>
      <c r="G693" s="107"/>
      <c r="H693" s="107"/>
      <c r="I693" s="107"/>
      <c r="J693" s="107"/>
      <c r="K693" s="107"/>
      <c r="L693" s="107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</row>
    <row r="694" spans="1:26" ht="12.75" customHeight="1" x14ac:dyDescent="0.2">
      <c r="A694" s="107"/>
      <c r="B694" s="107"/>
      <c r="C694" s="107"/>
      <c r="D694" s="107"/>
      <c r="E694" s="107"/>
      <c r="F694" s="107"/>
      <c r="G694" s="107"/>
      <c r="H694" s="107"/>
      <c r="I694" s="107"/>
      <c r="J694" s="107"/>
      <c r="K694" s="107"/>
      <c r="L694" s="107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</row>
    <row r="695" spans="1:26" ht="12.75" customHeight="1" x14ac:dyDescent="0.2">
      <c r="A695" s="107"/>
      <c r="B695" s="107"/>
      <c r="C695" s="107"/>
      <c r="D695" s="107"/>
      <c r="E695" s="107"/>
      <c r="F695" s="107"/>
      <c r="G695" s="107"/>
      <c r="H695" s="107"/>
      <c r="I695" s="107"/>
      <c r="J695" s="107"/>
      <c r="K695" s="107"/>
      <c r="L695" s="107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</row>
    <row r="696" spans="1:26" ht="12.75" customHeight="1" x14ac:dyDescent="0.2">
      <c r="A696" s="107"/>
      <c r="B696" s="107"/>
      <c r="C696" s="107"/>
      <c r="D696" s="107"/>
      <c r="E696" s="107"/>
      <c r="F696" s="107"/>
      <c r="G696" s="107"/>
      <c r="H696" s="107"/>
      <c r="I696" s="107"/>
      <c r="J696" s="107"/>
      <c r="K696" s="107"/>
      <c r="L696" s="107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</row>
    <row r="697" spans="1:26" ht="12.75" customHeight="1" x14ac:dyDescent="0.2">
      <c r="A697" s="107"/>
      <c r="B697" s="107"/>
      <c r="C697" s="107"/>
      <c r="D697" s="107"/>
      <c r="E697" s="107"/>
      <c r="F697" s="107"/>
      <c r="G697" s="107"/>
      <c r="H697" s="107"/>
      <c r="I697" s="107"/>
      <c r="J697" s="107"/>
      <c r="K697" s="107"/>
      <c r="L697" s="107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</row>
    <row r="698" spans="1:26" ht="12.75" customHeight="1" x14ac:dyDescent="0.2">
      <c r="A698" s="107"/>
      <c r="B698" s="107"/>
      <c r="C698" s="107"/>
      <c r="D698" s="107"/>
      <c r="E698" s="107"/>
      <c r="F698" s="107"/>
      <c r="G698" s="107"/>
      <c r="H698" s="107"/>
      <c r="I698" s="107"/>
      <c r="J698" s="107"/>
      <c r="K698" s="107"/>
      <c r="L698" s="107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</row>
    <row r="699" spans="1:26" ht="12.75" customHeight="1" x14ac:dyDescent="0.2">
      <c r="A699" s="107"/>
      <c r="B699" s="107"/>
      <c r="C699" s="107"/>
      <c r="D699" s="107"/>
      <c r="E699" s="107"/>
      <c r="F699" s="107"/>
      <c r="G699" s="107"/>
      <c r="H699" s="107"/>
      <c r="I699" s="107"/>
      <c r="J699" s="107"/>
      <c r="K699" s="107"/>
      <c r="L699" s="107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</row>
    <row r="700" spans="1:26" ht="12.75" customHeight="1" x14ac:dyDescent="0.2">
      <c r="A700" s="107"/>
      <c r="B700" s="107"/>
      <c r="C700" s="107"/>
      <c r="D700" s="107"/>
      <c r="E700" s="107"/>
      <c r="F700" s="107"/>
      <c r="G700" s="107"/>
      <c r="H700" s="107"/>
      <c r="I700" s="107"/>
      <c r="J700" s="107"/>
      <c r="K700" s="107"/>
      <c r="L700" s="107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</row>
    <row r="701" spans="1:26" ht="12.75" customHeight="1" x14ac:dyDescent="0.2">
      <c r="A701" s="107"/>
      <c r="B701" s="107"/>
      <c r="C701" s="107"/>
      <c r="D701" s="107"/>
      <c r="E701" s="107"/>
      <c r="F701" s="107"/>
      <c r="G701" s="107"/>
      <c r="H701" s="107"/>
      <c r="I701" s="107"/>
      <c r="J701" s="107"/>
      <c r="K701" s="107"/>
      <c r="L701" s="107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</row>
    <row r="702" spans="1:26" ht="12.75" customHeight="1" x14ac:dyDescent="0.2">
      <c r="A702" s="107"/>
      <c r="B702" s="107"/>
      <c r="C702" s="107"/>
      <c r="D702" s="107"/>
      <c r="E702" s="107"/>
      <c r="F702" s="107"/>
      <c r="G702" s="107"/>
      <c r="H702" s="107"/>
      <c r="I702" s="107"/>
      <c r="J702" s="107"/>
      <c r="K702" s="107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</row>
    <row r="703" spans="1:26" ht="12.75" customHeight="1" x14ac:dyDescent="0.2">
      <c r="A703" s="107"/>
      <c r="B703" s="107"/>
      <c r="C703" s="107"/>
      <c r="D703" s="107"/>
      <c r="E703" s="107"/>
      <c r="F703" s="107"/>
      <c r="G703" s="107"/>
      <c r="H703" s="107"/>
      <c r="I703" s="107"/>
      <c r="J703" s="107"/>
      <c r="K703" s="107"/>
      <c r="L703" s="107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</row>
    <row r="704" spans="1:26" ht="12.75" customHeight="1" x14ac:dyDescent="0.2">
      <c r="A704" s="107"/>
      <c r="B704" s="107"/>
      <c r="C704" s="107"/>
      <c r="D704" s="107"/>
      <c r="E704" s="107"/>
      <c r="F704" s="107"/>
      <c r="G704" s="107"/>
      <c r="H704" s="107"/>
      <c r="I704" s="107"/>
      <c r="J704" s="107"/>
      <c r="K704" s="107"/>
      <c r="L704" s="107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</row>
    <row r="705" spans="1:26" ht="12.75" customHeight="1" x14ac:dyDescent="0.2">
      <c r="A705" s="107"/>
      <c r="B705" s="107"/>
      <c r="C705" s="107"/>
      <c r="D705" s="107"/>
      <c r="E705" s="107"/>
      <c r="F705" s="107"/>
      <c r="G705" s="107"/>
      <c r="H705" s="107"/>
      <c r="I705" s="107"/>
      <c r="J705" s="107"/>
      <c r="K705" s="107"/>
      <c r="L705" s="107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</row>
    <row r="706" spans="1:26" ht="12.75" customHeight="1" x14ac:dyDescent="0.2">
      <c r="A706" s="107"/>
      <c r="B706" s="107"/>
      <c r="C706" s="107"/>
      <c r="D706" s="107"/>
      <c r="E706" s="107"/>
      <c r="F706" s="107"/>
      <c r="G706" s="107"/>
      <c r="H706" s="107"/>
      <c r="I706" s="107"/>
      <c r="J706" s="107"/>
      <c r="K706" s="107"/>
      <c r="L706" s="107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</row>
    <row r="707" spans="1:26" ht="12.75" customHeight="1" x14ac:dyDescent="0.2">
      <c r="A707" s="107"/>
      <c r="B707" s="107"/>
      <c r="C707" s="107"/>
      <c r="D707" s="107"/>
      <c r="E707" s="107"/>
      <c r="F707" s="107"/>
      <c r="G707" s="107"/>
      <c r="H707" s="107"/>
      <c r="I707" s="107"/>
      <c r="J707" s="107"/>
      <c r="K707" s="107"/>
      <c r="L707" s="107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</row>
    <row r="708" spans="1:26" ht="12.75" customHeight="1" x14ac:dyDescent="0.2">
      <c r="A708" s="107"/>
      <c r="B708" s="107"/>
      <c r="C708" s="107"/>
      <c r="D708" s="107"/>
      <c r="E708" s="107"/>
      <c r="F708" s="107"/>
      <c r="G708" s="107"/>
      <c r="H708" s="107"/>
      <c r="I708" s="107"/>
      <c r="J708" s="107"/>
      <c r="K708" s="107"/>
      <c r="L708" s="107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</row>
    <row r="709" spans="1:26" ht="12.75" customHeight="1" x14ac:dyDescent="0.2">
      <c r="A709" s="107"/>
      <c r="B709" s="107"/>
      <c r="C709" s="107"/>
      <c r="D709" s="107"/>
      <c r="E709" s="107"/>
      <c r="F709" s="107"/>
      <c r="G709" s="107"/>
      <c r="H709" s="107"/>
      <c r="I709" s="107"/>
      <c r="J709" s="107"/>
      <c r="K709" s="107"/>
      <c r="L709" s="107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</row>
    <row r="710" spans="1:26" ht="12.75" customHeight="1" x14ac:dyDescent="0.2">
      <c r="A710" s="107"/>
      <c r="B710" s="107"/>
      <c r="C710" s="107"/>
      <c r="D710" s="107"/>
      <c r="E710" s="107"/>
      <c r="F710" s="107"/>
      <c r="G710" s="107"/>
      <c r="H710" s="107"/>
      <c r="I710" s="107"/>
      <c r="J710" s="107"/>
      <c r="K710" s="107"/>
      <c r="L710" s="107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</row>
    <row r="711" spans="1:26" ht="12.75" customHeight="1" x14ac:dyDescent="0.2">
      <c r="A711" s="107"/>
      <c r="B711" s="107"/>
      <c r="C711" s="107"/>
      <c r="D711" s="107"/>
      <c r="E711" s="107"/>
      <c r="F711" s="107"/>
      <c r="G711" s="107"/>
      <c r="H711" s="107"/>
      <c r="I711" s="107"/>
      <c r="J711" s="107"/>
      <c r="K711" s="107"/>
      <c r="L711" s="107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</row>
    <row r="712" spans="1:26" ht="12.75" customHeight="1" x14ac:dyDescent="0.2">
      <c r="A712" s="107"/>
      <c r="B712" s="107"/>
      <c r="C712" s="107"/>
      <c r="D712" s="107"/>
      <c r="E712" s="107"/>
      <c r="F712" s="107"/>
      <c r="G712" s="107"/>
      <c r="H712" s="107"/>
      <c r="I712" s="107"/>
      <c r="J712" s="107"/>
      <c r="K712" s="107"/>
      <c r="L712" s="107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</row>
    <row r="713" spans="1:26" ht="12.75" customHeight="1" x14ac:dyDescent="0.2">
      <c r="A713" s="107"/>
      <c r="B713" s="107"/>
      <c r="C713" s="107"/>
      <c r="D713" s="107"/>
      <c r="E713" s="107"/>
      <c r="F713" s="107"/>
      <c r="G713" s="107"/>
      <c r="H713" s="107"/>
      <c r="I713" s="107"/>
      <c r="J713" s="107"/>
      <c r="K713" s="107"/>
      <c r="L713" s="107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</row>
    <row r="714" spans="1:26" ht="12.75" customHeight="1" x14ac:dyDescent="0.2">
      <c r="A714" s="107"/>
      <c r="B714" s="107"/>
      <c r="C714" s="107"/>
      <c r="D714" s="107"/>
      <c r="E714" s="107"/>
      <c r="F714" s="107"/>
      <c r="G714" s="107"/>
      <c r="H714" s="107"/>
      <c r="I714" s="107"/>
      <c r="J714" s="107"/>
      <c r="K714" s="107"/>
      <c r="L714" s="107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</row>
    <row r="715" spans="1:26" ht="12.75" customHeight="1" x14ac:dyDescent="0.2">
      <c r="A715" s="107"/>
      <c r="B715" s="107"/>
      <c r="C715" s="107"/>
      <c r="D715" s="107"/>
      <c r="E715" s="107"/>
      <c r="F715" s="107"/>
      <c r="G715" s="107"/>
      <c r="H715" s="107"/>
      <c r="I715" s="107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</row>
    <row r="716" spans="1:26" ht="12.75" customHeight="1" x14ac:dyDescent="0.2">
      <c r="A716" s="107"/>
      <c r="B716" s="107"/>
      <c r="C716" s="107"/>
      <c r="D716" s="107"/>
      <c r="E716" s="107"/>
      <c r="F716" s="107"/>
      <c r="G716" s="107"/>
      <c r="H716" s="107"/>
      <c r="I716" s="107"/>
      <c r="J716" s="107"/>
      <c r="K716" s="107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</row>
    <row r="717" spans="1:26" ht="12.75" customHeight="1" x14ac:dyDescent="0.2">
      <c r="A717" s="107"/>
      <c r="B717" s="107"/>
      <c r="C717" s="107"/>
      <c r="D717" s="107"/>
      <c r="E717" s="107"/>
      <c r="F717" s="107"/>
      <c r="G717" s="107"/>
      <c r="H717" s="107"/>
      <c r="I717" s="107"/>
      <c r="J717" s="107"/>
      <c r="K717" s="107"/>
      <c r="L717" s="107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</row>
    <row r="718" spans="1:26" ht="12.75" customHeight="1" x14ac:dyDescent="0.2">
      <c r="A718" s="107"/>
      <c r="B718" s="107"/>
      <c r="C718" s="107"/>
      <c r="D718" s="107"/>
      <c r="E718" s="107"/>
      <c r="F718" s="107"/>
      <c r="G718" s="107"/>
      <c r="H718" s="107"/>
      <c r="I718" s="107"/>
      <c r="J718" s="107"/>
      <c r="K718" s="107"/>
      <c r="L718" s="107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</row>
    <row r="719" spans="1:26" ht="12.75" customHeight="1" x14ac:dyDescent="0.2">
      <c r="A719" s="107"/>
      <c r="B719" s="107"/>
      <c r="C719" s="107"/>
      <c r="D719" s="107"/>
      <c r="E719" s="107"/>
      <c r="F719" s="107"/>
      <c r="G719" s="107"/>
      <c r="H719" s="107"/>
      <c r="I719" s="107"/>
      <c r="J719" s="107"/>
      <c r="K719" s="107"/>
      <c r="L719" s="107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</row>
    <row r="720" spans="1:26" ht="12.75" customHeight="1" x14ac:dyDescent="0.2">
      <c r="A720" s="107"/>
      <c r="B720" s="107"/>
      <c r="C720" s="107"/>
      <c r="D720" s="107"/>
      <c r="E720" s="107"/>
      <c r="F720" s="107"/>
      <c r="G720" s="107"/>
      <c r="H720" s="107"/>
      <c r="I720" s="107"/>
      <c r="J720" s="107"/>
      <c r="K720" s="107"/>
      <c r="L720" s="107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</row>
    <row r="721" spans="1:26" ht="12.75" customHeight="1" x14ac:dyDescent="0.2">
      <c r="A721" s="107"/>
      <c r="B721" s="107"/>
      <c r="C721" s="107"/>
      <c r="D721" s="107"/>
      <c r="E721" s="107"/>
      <c r="F721" s="107"/>
      <c r="G721" s="107"/>
      <c r="H721" s="107"/>
      <c r="I721" s="107"/>
      <c r="J721" s="107"/>
      <c r="K721" s="107"/>
      <c r="L721" s="107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</row>
    <row r="722" spans="1:26" ht="12.75" customHeight="1" x14ac:dyDescent="0.2">
      <c r="A722" s="107"/>
      <c r="B722" s="107"/>
      <c r="C722" s="107"/>
      <c r="D722" s="107"/>
      <c r="E722" s="107"/>
      <c r="F722" s="107"/>
      <c r="G722" s="107"/>
      <c r="H722" s="107"/>
      <c r="I722" s="107"/>
      <c r="J722" s="107"/>
      <c r="K722" s="107"/>
      <c r="L722" s="107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</row>
    <row r="723" spans="1:26" ht="12.75" customHeight="1" x14ac:dyDescent="0.2">
      <c r="A723" s="107"/>
      <c r="B723" s="107"/>
      <c r="C723" s="107"/>
      <c r="D723" s="107"/>
      <c r="E723" s="107"/>
      <c r="F723" s="107"/>
      <c r="G723" s="107"/>
      <c r="H723" s="107"/>
      <c r="I723" s="107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</row>
    <row r="724" spans="1:26" ht="12.75" customHeight="1" x14ac:dyDescent="0.2">
      <c r="A724" s="107"/>
      <c r="B724" s="107"/>
      <c r="C724" s="107"/>
      <c r="D724" s="107"/>
      <c r="E724" s="107"/>
      <c r="F724" s="107"/>
      <c r="G724" s="107"/>
      <c r="H724" s="107"/>
      <c r="I724" s="107"/>
      <c r="J724" s="107"/>
      <c r="K724" s="107"/>
      <c r="L724" s="107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</row>
    <row r="725" spans="1:26" ht="12.75" customHeight="1" x14ac:dyDescent="0.2">
      <c r="A725" s="107"/>
      <c r="B725" s="107"/>
      <c r="C725" s="107"/>
      <c r="D725" s="107"/>
      <c r="E725" s="107"/>
      <c r="F725" s="107"/>
      <c r="G725" s="107"/>
      <c r="H725" s="107"/>
      <c r="I725" s="107"/>
      <c r="J725" s="107"/>
      <c r="K725" s="107"/>
      <c r="L725" s="107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</row>
    <row r="726" spans="1:26" ht="12.75" customHeight="1" x14ac:dyDescent="0.2">
      <c r="A726" s="107"/>
      <c r="B726" s="107"/>
      <c r="C726" s="107"/>
      <c r="D726" s="107"/>
      <c r="E726" s="107"/>
      <c r="F726" s="107"/>
      <c r="G726" s="107"/>
      <c r="H726" s="107"/>
      <c r="I726" s="107"/>
      <c r="J726" s="107"/>
      <c r="K726" s="107"/>
      <c r="L726" s="107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</row>
    <row r="727" spans="1:26" ht="12.75" customHeight="1" x14ac:dyDescent="0.2">
      <c r="A727" s="107"/>
      <c r="B727" s="107"/>
      <c r="C727" s="107"/>
      <c r="D727" s="107"/>
      <c r="E727" s="107"/>
      <c r="F727" s="107"/>
      <c r="G727" s="107"/>
      <c r="H727" s="107"/>
      <c r="I727" s="107"/>
      <c r="J727" s="107"/>
      <c r="K727" s="107"/>
      <c r="L727" s="107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</row>
    <row r="728" spans="1:26" ht="12.75" customHeight="1" x14ac:dyDescent="0.2">
      <c r="A728" s="107"/>
      <c r="B728" s="107"/>
      <c r="C728" s="107"/>
      <c r="D728" s="107"/>
      <c r="E728" s="107"/>
      <c r="F728" s="107"/>
      <c r="G728" s="107"/>
      <c r="H728" s="107"/>
      <c r="I728" s="107"/>
      <c r="J728" s="107"/>
      <c r="K728" s="107"/>
      <c r="L728" s="107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</row>
    <row r="729" spans="1:26" ht="12.75" customHeight="1" x14ac:dyDescent="0.2">
      <c r="A729" s="107"/>
      <c r="B729" s="107"/>
      <c r="C729" s="107"/>
      <c r="D729" s="107"/>
      <c r="E729" s="107"/>
      <c r="F729" s="107"/>
      <c r="G729" s="107"/>
      <c r="H729" s="107"/>
      <c r="I729" s="107"/>
      <c r="J729" s="107"/>
      <c r="K729" s="107"/>
      <c r="L729" s="107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</row>
    <row r="730" spans="1:26" ht="12.75" customHeight="1" x14ac:dyDescent="0.2">
      <c r="A730" s="107"/>
      <c r="B730" s="107"/>
      <c r="C730" s="107"/>
      <c r="D730" s="107"/>
      <c r="E730" s="107"/>
      <c r="F730" s="107"/>
      <c r="G730" s="107"/>
      <c r="H730" s="107"/>
      <c r="I730" s="107"/>
      <c r="J730" s="107"/>
      <c r="K730" s="107"/>
      <c r="L730" s="107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</row>
    <row r="731" spans="1:26" ht="12.75" customHeight="1" x14ac:dyDescent="0.2">
      <c r="A731" s="107"/>
      <c r="B731" s="107"/>
      <c r="C731" s="107"/>
      <c r="D731" s="107"/>
      <c r="E731" s="107"/>
      <c r="F731" s="107"/>
      <c r="G731" s="107"/>
      <c r="H731" s="107"/>
      <c r="I731" s="107"/>
      <c r="J731" s="107"/>
      <c r="K731" s="107"/>
      <c r="L731" s="107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</row>
    <row r="732" spans="1:26" ht="12.75" customHeight="1" x14ac:dyDescent="0.2">
      <c r="A732" s="107"/>
      <c r="B732" s="107"/>
      <c r="C732" s="107"/>
      <c r="D732" s="107"/>
      <c r="E732" s="107"/>
      <c r="F732" s="107"/>
      <c r="G732" s="107"/>
      <c r="H732" s="107"/>
      <c r="I732" s="107"/>
      <c r="J732" s="107"/>
      <c r="K732" s="107"/>
      <c r="L732" s="107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</row>
    <row r="733" spans="1:26" ht="12.75" customHeight="1" x14ac:dyDescent="0.2">
      <c r="A733" s="107"/>
      <c r="B733" s="107"/>
      <c r="C733" s="107"/>
      <c r="D733" s="107"/>
      <c r="E733" s="107"/>
      <c r="F733" s="107"/>
      <c r="G733" s="107"/>
      <c r="H733" s="107"/>
      <c r="I733" s="107"/>
      <c r="J733" s="107"/>
      <c r="K733" s="107"/>
      <c r="L733" s="107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</row>
    <row r="734" spans="1:26" ht="12.75" customHeight="1" x14ac:dyDescent="0.2">
      <c r="A734" s="107"/>
      <c r="B734" s="107"/>
      <c r="C734" s="107"/>
      <c r="D734" s="107"/>
      <c r="E734" s="107"/>
      <c r="F734" s="107"/>
      <c r="G734" s="107"/>
      <c r="H734" s="107"/>
      <c r="I734" s="107"/>
      <c r="J734" s="107"/>
      <c r="K734" s="107"/>
      <c r="L734" s="107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</row>
    <row r="735" spans="1:26" ht="12.75" customHeight="1" x14ac:dyDescent="0.2">
      <c r="A735" s="107"/>
      <c r="B735" s="107"/>
      <c r="C735" s="107"/>
      <c r="D735" s="107"/>
      <c r="E735" s="107"/>
      <c r="F735" s="107"/>
      <c r="G735" s="107"/>
      <c r="H735" s="107"/>
      <c r="I735" s="107"/>
      <c r="J735" s="107"/>
      <c r="K735" s="107"/>
      <c r="L735" s="107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</row>
    <row r="736" spans="1:26" ht="12.75" customHeight="1" x14ac:dyDescent="0.2">
      <c r="A736" s="107"/>
      <c r="B736" s="107"/>
      <c r="C736" s="107"/>
      <c r="D736" s="107"/>
      <c r="E736" s="107"/>
      <c r="F736" s="107"/>
      <c r="G736" s="107"/>
      <c r="H736" s="107"/>
      <c r="I736" s="107"/>
      <c r="J736" s="107"/>
      <c r="K736" s="107"/>
      <c r="L736" s="107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</row>
    <row r="737" spans="1:26" ht="12.75" customHeight="1" x14ac:dyDescent="0.2">
      <c r="A737" s="107"/>
      <c r="B737" s="107"/>
      <c r="C737" s="107"/>
      <c r="D737" s="107"/>
      <c r="E737" s="107"/>
      <c r="F737" s="107"/>
      <c r="G737" s="107"/>
      <c r="H737" s="107"/>
      <c r="I737" s="107"/>
      <c r="J737" s="107"/>
      <c r="K737" s="107"/>
      <c r="L737" s="107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</row>
    <row r="738" spans="1:26" ht="12.75" customHeight="1" x14ac:dyDescent="0.2">
      <c r="A738" s="107"/>
      <c r="B738" s="107"/>
      <c r="C738" s="107"/>
      <c r="D738" s="107"/>
      <c r="E738" s="107"/>
      <c r="F738" s="107"/>
      <c r="G738" s="107"/>
      <c r="H738" s="107"/>
      <c r="I738" s="107"/>
      <c r="J738" s="107"/>
      <c r="K738" s="107"/>
      <c r="L738" s="107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</row>
    <row r="739" spans="1:26" ht="12.75" customHeight="1" x14ac:dyDescent="0.2">
      <c r="A739" s="107"/>
      <c r="B739" s="107"/>
      <c r="C739" s="107"/>
      <c r="D739" s="107"/>
      <c r="E739" s="107"/>
      <c r="F739" s="107"/>
      <c r="G739" s="107"/>
      <c r="H739" s="107"/>
      <c r="I739" s="107"/>
      <c r="J739" s="107"/>
      <c r="K739" s="107"/>
      <c r="L739" s="107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</row>
    <row r="740" spans="1:26" ht="12.75" customHeight="1" x14ac:dyDescent="0.2">
      <c r="A740" s="107"/>
      <c r="B740" s="107"/>
      <c r="C740" s="107"/>
      <c r="D740" s="107"/>
      <c r="E740" s="107"/>
      <c r="F740" s="107"/>
      <c r="G740" s="107"/>
      <c r="H740" s="107"/>
      <c r="I740" s="107"/>
      <c r="J740" s="107"/>
      <c r="K740" s="107"/>
      <c r="L740" s="107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</row>
    <row r="741" spans="1:26" ht="12.75" customHeight="1" x14ac:dyDescent="0.2">
      <c r="A741" s="107"/>
      <c r="B741" s="107"/>
      <c r="C741" s="107"/>
      <c r="D741" s="107"/>
      <c r="E741" s="107"/>
      <c r="F741" s="107"/>
      <c r="G741" s="107"/>
      <c r="H741" s="107"/>
      <c r="I741" s="107"/>
      <c r="J741" s="107"/>
      <c r="K741" s="107"/>
      <c r="L741" s="107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</row>
    <row r="742" spans="1:26" ht="12.75" customHeight="1" x14ac:dyDescent="0.2">
      <c r="A742" s="107"/>
      <c r="B742" s="107"/>
      <c r="C742" s="107"/>
      <c r="D742" s="107"/>
      <c r="E742" s="107"/>
      <c r="F742" s="107"/>
      <c r="G742" s="107"/>
      <c r="H742" s="107"/>
      <c r="I742" s="107"/>
      <c r="J742" s="107"/>
      <c r="K742" s="107"/>
      <c r="L742" s="107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</row>
    <row r="743" spans="1:26" ht="12.75" customHeight="1" x14ac:dyDescent="0.2">
      <c r="A743" s="107"/>
      <c r="B743" s="107"/>
      <c r="C743" s="107"/>
      <c r="D743" s="107"/>
      <c r="E743" s="107"/>
      <c r="F743" s="107"/>
      <c r="G743" s="107"/>
      <c r="H743" s="107"/>
      <c r="I743" s="107"/>
      <c r="J743" s="107"/>
      <c r="K743" s="107"/>
      <c r="L743" s="107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</row>
    <row r="744" spans="1:26" ht="12.75" customHeight="1" x14ac:dyDescent="0.2">
      <c r="A744" s="107"/>
      <c r="B744" s="107"/>
      <c r="C744" s="107"/>
      <c r="D744" s="107"/>
      <c r="E744" s="107"/>
      <c r="F744" s="107"/>
      <c r="G744" s="107"/>
      <c r="H744" s="107"/>
      <c r="I744" s="107"/>
      <c r="J744" s="107"/>
      <c r="K744" s="107"/>
      <c r="L744" s="107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</row>
    <row r="745" spans="1:26" ht="12.75" customHeight="1" x14ac:dyDescent="0.2">
      <c r="A745" s="107"/>
      <c r="B745" s="107"/>
      <c r="C745" s="107"/>
      <c r="D745" s="107"/>
      <c r="E745" s="107"/>
      <c r="F745" s="107"/>
      <c r="G745" s="107"/>
      <c r="H745" s="107"/>
      <c r="I745" s="107"/>
      <c r="J745" s="107"/>
      <c r="K745" s="107"/>
      <c r="L745" s="107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</row>
    <row r="746" spans="1:26" ht="12.75" customHeight="1" x14ac:dyDescent="0.2">
      <c r="A746" s="107"/>
      <c r="B746" s="107"/>
      <c r="C746" s="107"/>
      <c r="D746" s="107"/>
      <c r="E746" s="107"/>
      <c r="F746" s="107"/>
      <c r="G746" s="107"/>
      <c r="H746" s="107"/>
      <c r="I746" s="107"/>
      <c r="J746" s="107"/>
      <c r="K746" s="107"/>
      <c r="L746" s="107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</row>
    <row r="747" spans="1:26" ht="12.75" customHeight="1" x14ac:dyDescent="0.2">
      <c r="A747" s="107"/>
      <c r="B747" s="107"/>
      <c r="C747" s="107"/>
      <c r="D747" s="107"/>
      <c r="E747" s="107"/>
      <c r="F747" s="107"/>
      <c r="G747" s="107"/>
      <c r="H747" s="107"/>
      <c r="I747" s="107"/>
      <c r="J747" s="107"/>
      <c r="K747" s="107"/>
      <c r="L747" s="107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</row>
    <row r="748" spans="1:26" ht="12.75" customHeight="1" x14ac:dyDescent="0.2">
      <c r="A748" s="107"/>
      <c r="B748" s="107"/>
      <c r="C748" s="107"/>
      <c r="D748" s="107"/>
      <c r="E748" s="107"/>
      <c r="F748" s="107"/>
      <c r="G748" s="107"/>
      <c r="H748" s="107"/>
      <c r="I748" s="107"/>
      <c r="J748" s="107"/>
      <c r="K748" s="107"/>
      <c r="L748" s="107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</row>
    <row r="749" spans="1:26" ht="12.75" customHeight="1" x14ac:dyDescent="0.2">
      <c r="A749" s="107"/>
      <c r="B749" s="107"/>
      <c r="C749" s="107"/>
      <c r="D749" s="107"/>
      <c r="E749" s="107"/>
      <c r="F749" s="107"/>
      <c r="G749" s="107"/>
      <c r="H749" s="107"/>
      <c r="I749" s="107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</row>
    <row r="750" spans="1:26" ht="12.75" customHeight="1" x14ac:dyDescent="0.2">
      <c r="A750" s="107"/>
      <c r="B750" s="107"/>
      <c r="C750" s="107"/>
      <c r="D750" s="107"/>
      <c r="E750" s="107"/>
      <c r="F750" s="107"/>
      <c r="G750" s="107"/>
      <c r="H750" s="107"/>
      <c r="I750" s="107"/>
      <c r="J750" s="107"/>
      <c r="K750" s="107"/>
      <c r="L750" s="107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</row>
    <row r="751" spans="1:26" ht="12.75" customHeight="1" x14ac:dyDescent="0.2">
      <c r="A751" s="107"/>
      <c r="B751" s="107"/>
      <c r="C751" s="107"/>
      <c r="D751" s="107"/>
      <c r="E751" s="107"/>
      <c r="F751" s="107"/>
      <c r="G751" s="107"/>
      <c r="H751" s="107"/>
      <c r="I751" s="107"/>
      <c r="J751" s="107"/>
      <c r="K751" s="107"/>
      <c r="L751" s="107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</row>
    <row r="752" spans="1:26" ht="12.75" customHeight="1" x14ac:dyDescent="0.2">
      <c r="A752" s="107"/>
      <c r="B752" s="107"/>
      <c r="C752" s="107"/>
      <c r="D752" s="107"/>
      <c r="E752" s="107"/>
      <c r="F752" s="107"/>
      <c r="G752" s="107"/>
      <c r="H752" s="107"/>
      <c r="I752" s="107"/>
      <c r="J752" s="107"/>
      <c r="K752" s="107"/>
      <c r="L752" s="107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</row>
    <row r="753" spans="1:26" ht="12.75" customHeight="1" x14ac:dyDescent="0.2">
      <c r="A753" s="107"/>
      <c r="B753" s="107"/>
      <c r="C753" s="107"/>
      <c r="D753" s="107"/>
      <c r="E753" s="107"/>
      <c r="F753" s="107"/>
      <c r="G753" s="107"/>
      <c r="H753" s="107"/>
      <c r="I753" s="107"/>
      <c r="J753" s="107"/>
      <c r="K753" s="107"/>
      <c r="L753" s="107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</row>
    <row r="754" spans="1:26" ht="12.75" customHeight="1" x14ac:dyDescent="0.2">
      <c r="A754" s="107"/>
      <c r="B754" s="107"/>
      <c r="C754" s="107"/>
      <c r="D754" s="107"/>
      <c r="E754" s="107"/>
      <c r="F754" s="107"/>
      <c r="G754" s="107"/>
      <c r="H754" s="107"/>
      <c r="I754" s="107"/>
      <c r="J754" s="107"/>
      <c r="K754" s="107"/>
      <c r="L754" s="107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</row>
    <row r="755" spans="1:26" ht="12.75" customHeight="1" x14ac:dyDescent="0.2">
      <c r="A755" s="107"/>
      <c r="B755" s="107"/>
      <c r="C755" s="107"/>
      <c r="D755" s="107"/>
      <c r="E755" s="107"/>
      <c r="F755" s="107"/>
      <c r="G755" s="107"/>
      <c r="H755" s="107"/>
      <c r="I755" s="107"/>
      <c r="J755" s="107"/>
      <c r="K755" s="107"/>
      <c r="L755" s="107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</row>
    <row r="756" spans="1:26" ht="12.75" customHeight="1" x14ac:dyDescent="0.2">
      <c r="A756" s="107"/>
      <c r="B756" s="107"/>
      <c r="C756" s="107"/>
      <c r="D756" s="107"/>
      <c r="E756" s="107"/>
      <c r="F756" s="107"/>
      <c r="G756" s="107"/>
      <c r="H756" s="107"/>
      <c r="I756" s="107"/>
      <c r="J756" s="107"/>
      <c r="K756" s="107"/>
      <c r="L756" s="107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</row>
    <row r="757" spans="1:26" ht="12.75" customHeight="1" x14ac:dyDescent="0.2">
      <c r="A757" s="107"/>
      <c r="B757" s="107"/>
      <c r="C757" s="107"/>
      <c r="D757" s="107"/>
      <c r="E757" s="107"/>
      <c r="F757" s="107"/>
      <c r="G757" s="107"/>
      <c r="H757" s="107"/>
      <c r="I757" s="107"/>
      <c r="J757" s="107"/>
      <c r="K757" s="107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</row>
    <row r="758" spans="1:26" ht="12.75" customHeight="1" x14ac:dyDescent="0.2">
      <c r="A758" s="107"/>
      <c r="B758" s="107"/>
      <c r="C758" s="107"/>
      <c r="D758" s="107"/>
      <c r="E758" s="107"/>
      <c r="F758" s="107"/>
      <c r="G758" s="107"/>
      <c r="H758" s="107"/>
      <c r="I758" s="107"/>
      <c r="J758" s="107"/>
      <c r="K758" s="107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</row>
    <row r="759" spans="1:26" ht="12.75" customHeight="1" x14ac:dyDescent="0.2">
      <c r="A759" s="107"/>
      <c r="B759" s="107"/>
      <c r="C759" s="107"/>
      <c r="D759" s="107"/>
      <c r="E759" s="107"/>
      <c r="F759" s="107"/>
      <c r="G759" s="107"/>
      <c r="H759" s="107"/>
      <c r="I759" s="107"/>
      <c r="J759" s="107"/>
      <c r="K759" s="107"/>
      <c r="L759" s="107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</row>
    <row r="760" spans="1:26" ht="12.75" customHeight="1" x14ac:dyDescent="0.2">
      <c r="A760" s="107"/>
      <c r="B760" s="107"/>
      <c r="C760" s="107"/>
      <c r="D760" s="107"/>
      <c r="E760" s="107"/>
      <c r="F760" s="107"/>
      <c r="G760" s="107"/>
      <c r="H760" s="107"/>
      <c r="I760" s="107"/>
      <c r="J760" s="107"/>
      <c r="K760" s="107"/>
      <c r="L760" s="107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</row>
    <row r="761" spans="1:26" ht="12.75" customHeight="1" x14ac:dyDescent="0.2">
      <c r="A761" s="107"/>
      <c r="B761" s="107"/>
      <c r="C761" s="107"/>
      <c r="D761" s="107"/>
      <c r="E761" s="107"/>
      <c r="F761" s="107"/>
      <c r="G761" s="107"/>
      <c r="H761" s="107"/>
      <c r="I761" s="107"/>
      <c r="J761" s="107"/>
      <c r="K761" s="107"/>
      <c r="L761" s="107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</row>
    <row r="762" spans="1:26" ht="12.75" customHeight="1" x14ac:dyDescent="0.2">
      <c r="A762" s="107"/>
      <c r="B762" s="107"/>
      <c r="C762" s="107"/>
      <c r="D762" s="107"/>
      <c r="E762" s="107"/>
      <c r="F762" s="107"/>
      <c r="G762" s="107"/>
      <c r="H762" s="107"/>
      <c r="I762" s="107"/>
      <c r="J762" s="107"/>
      <c r="K762" s="107"/>
      <c r="L762" s="107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</row>
    <row r="763" spans="1:26" ht="12.75" customHeight="1" x14ac:dyDescent="0.2">
      <c r="A763" s="107"/>
      <c r="B763" s="107"/>
      <c r="C763" s="107"/>
      <c r="D763" s="107"/>
      <c r="E763" s="107"/>
      <c r="F763" s="107"/>
      <c r="G763" s="107"/>
      <c r="H763" s="107"/>
      <c r="I763" s="107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</row>
    <row r="764" spans="1:26" ht="12.75" customHeight="1" x14ac:dyDescent="0.2">
      <c r="A764" s="107"/>
      <c r="B764" s="107"/>
      <c r="C764" s="107"/>
      <c r="D764" s="107"/>
      <c r="E764" s="107"/>
      <c r="F764" s="107"/>
      <c r="G764" s="107"/>
      <c r="H764" s="107"/>
      <c r="I764" s="107"/>
      <c r="J764" s="107"/>
      <c r="K764" s="107"/>
      <c r="L764" s="107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</row>
    <row r="765" spans="1:26" ht="12.75" customHeight="1" x14ac:dyDescent="0.2">
      <c r="A765" s="107"/>
      <c r="B765" s="107"/>
      <c r="C765" s="107"/>
      <c r="D765" s="107"/>
      <c r="E765" s="107"/>
      <c r="F765" s="107"/>
      <c r="G765" s="107"/>
      <c r="H765" s="107"/>
      <c r="I765" s="107"/>
      <c r="J765" s="107"/>
      <c r="K765" s="107"/>
      <c r="L765" s="107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</row>
    <row r="766" spans="1:26" ht="12.75" customHeight="1" x14ac:dyDescent="0.2">
      <c r="A766" s="107"/>
      <c r="B766" s="107"/>
      <c r="C766" s="107"/>
      <c r="D766" s="107"/>
      <c r="E766" s="107"/>
      <c r="F766" s="107"/>
      <c r="G766" s="107"/>
      <c r="H766" s="107"/>
      <c r="I766" s="107"/>
      <c r="J766" s="107"/>
      <c r="K766" s="107"/>
      <c r="L766" s="107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</row>
    <row r="767" spans="1:26" ht="12.75" customHeight="1" x14ac:dyDescent="0.2">
      <c r="A767" s="107"/>
      <c r="B767" s="107"/>
      <c r="C767" s="107"/>
      <c r="D767" s="107"/>
      <c r="E767" s="107"/>
      <c r="F767" s="107"/>
      <c r="G767" s="107"/>
      <c r="H767" s="107"/>
      <c r="I767" s="107"/>
      <c r="J767" s="107"/>
      <c r="K767" s="107"/>
      <c r="L767" s="107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</row>
    <row r="768" spans="1:26" ht="12.75" customHeight="1" x14ac:dyDescent="0.2">
      <c r="A768" s="107"/>
      <c r="B768" s="107"/>
      <c r="C768" s="107"/>
      <c r="D768" s="107"/>
      <c r="E768" s="107"/>
      <c r="F768" s="107"/>
      <c r="G768" s="107"/>
      <c r="H768" s="107"/>
      <c r="I768" s="107"/>
      <c r="J768" s="107"/>
      <c r="K768" s="107"/>
      <c r="L768" s="107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</row>
    <row r="769" spans="1:26" ht="12.75" customHeight="1" x14ac:dyDescent="0.2">
      <c r="A769" s="107"/>
      <c r="B769" s="107"/>
      <c r="C769" s="107"/>
      <c r="D769" s="107"/>
      <c r="E769" s="107"/>
      <c r="F769" s="107"/>
      <c r="G769" s="107"/>
      <c r="H769" s="107"/>
      <c r="I769" s="107"/>
      <c r="J769" s="107"/>
      <c r="K769" s="107"/>
      <c r="L769" s="107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</row>
    <row r="770" spans="1:26" ht="12.75" customHeight="1" x14ac:dyDescent="0.2">
      <c r="A770" s="107"/>
      <c r="B770" s="107"/>
      <c r="C770" s="107"/>
      <c r="D770" s="107"/>
      <c r="E770" s="107"/>
      <c r="F770" s="107"/>
      <c r="G770" s="107"/>
      <c r="H770" s="107"/>
      <c r="I770" s="107"/>
      <c r="J770" s="107"/>
      <c r="K770" s="107"/>
      <c r="L770" s="107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</row>
    <row r="771" spans="1:26" ht="12.75" customHeight="1" x14ac:dyDescent="0.2">
      <c r="A771" s="107"/>
      <c r="B771" s="107"/>
      <c r="C771" s="107"/>
      <c r="D771" s="107"/>
      <c r="E771" s="107"/>
      <c r="F771" s="107"/>
      <c r="G771" s="107"/>
      <c r="H771" s="107"/>
      <c r="I771" s="107"/>
      <c r="J771" s="107"/>
      <c r="K771" s="107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</row>
    <row r="772" spans="1:26" ht="12.75" customHeight="1" x14ac:dyDescent="0.2">
      <c r="A772" s="107"/>
      <c r="B772" s="107"/>
      <c r="C772" s="107"/>
      <c r="D772" s="107"/>
      <c r="E772" s="107"/>
      <c r="F772" s="107"/>
      <c r="G772" s="107"/>
      <c r="H772" s="107"/>
      <c r="I772" s="107"/>
      <c r="J772" s="107"/>
      <c r="K772" s="107"/>
      <c r="L772" s="107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</row>
    <row r="773" spans="1:26" ht="12.75" customHeight="1" x14ac:dyDescent="0.2">
      <c r="A773" s="107"/>
      <c r="B773" s="107"/>
      <c r="C773" s="107"/>
      <c r="D773" s="107"/>
      <c r="E773" s="107"/>
      <c r="F773" s="107"/>
      <c r="G773" s="107"/>
      <c r="H773" s="107"/>
      <c r="I773" s="107"/>
      <c r="J773" s="107"/>
      <c r="K773" s="107"/>
      <c r="L773" s="107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</row>
    <row r="774" spans="1:26" ht="12.75" customHeight="1" x14ac:dyDescent="0.2">
      <c r="A774" s="107"/>
      <c r="B774" s="107"/>
      <c r="C774" s="107"/>
      <c r="D774" s="107"/>
      <c r="E774" s="107"/>
      <c r="F774" s="107"/>
      <c r="G774" s="107"/>
      <c r="H774" s="107"/>
      <c r="I774" s="107"/>
      <c r="J774" s="107"/>
      <c r="K774" s="107"/>
      <c r="L774" s="107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</row>
    <row r="775" spans="1:26" ht="12.75" customHeight="1" x14ac:dyDescent="0.2">
      <c r="A775" s="107"/>
      <c r="B775" s="107"/>
      <c r="C775" s="107"/>
      <c r="D775" s="107"/>
      <c r="E775" s="107"/>
      <c r="F775" s="107"/>
      <c r="G775" s="107"/>
      <c r="H775" s="107"/>
      <c r="I775" s="107"/>
      <c r="J775" s="107"/>
      <c r="K775" s="107"/>
      <c r="L775" s="107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</row>
    <row r="776" spans="1:26" ht="12.75" customHeight="1" x14ac:dyDescent="0.2">
      <c r="A776" s="107"/>
      <c r="B776" s="107"/>
      <c r="C776" s="107"/>
      <c r="D776" s="107"/>
      <c r="E776" s="107"/>
      <c r="F776" s="107"/>
      <c r="G776" s="107"/>
      <c r="H776" s="107"/>
      <c r="I776" s="107"/>
      <c r="J776" s="107"/>
      <c r="K776" s="107"/>
      <c r="L776" s="107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</row>
    <row r="777" spans="1:26" ht="12.75" customHeight="1" x14ac:dyDescent="0.2">
      <c r="A777" s="107"/>
      <c r="B777" s="107"/>
      <c r="C777" s="107"/>
      <c r="D777" s="107"/>
      <c r="E777" s="107"/>
      <c r="F777" s="107"/>
      <c r="G777" s="107"/>
      <c r="H777" s="107"/>
      <c r="I777" s="107"/>
      <c r="J777" s="107"/>
      <c r="K777" s="107"/>
      <c r="L777" s="107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</row>
    <row r="778" spans="1:26" ht="12.75" customHeight="1" x14ac:dyDescent="0.2">
      <c r="A778" s="107"/>
      <c r="B778" s="107"/>
      <c r="C778" s="107"/>
      <c r="D778" s="107"/>
      <c r="E778" s="107"/>
      <c r="F778" s="107"/>
      <c r="G778" s="107"/>
      <c r="H778" s="107"/>
      <c r="I778" s="107"/>
      <c r="J778" s="107"/>
      <c r="K778" s="107"/>
      <c r="L778" s="107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</row>
    <row r="779" spans="1:26" ht="12.75" customHeight="1" x14ac:dyDescent="0.2">
      <c r="A779" s="107"/>
      <c r="B779" s="107"/>
      <c r="C779" s="107"/>
      <c r="D779" s="107"/>
      <c r="E779" s="107"/>
      <c r="F779" s="107"/>
      <c r="G779" s="107"/>
      <c r="H779" s="107"/>
      <c r="I779" s="107"/>
      <c r="J779" s="107"/>
      <c r="K779" s="107"/>
      <c r="L779" s="107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</row>
    <row r="780" spans="1:26" ht="12.75" customHeight="1" x14ac:dyDescent="0.2">
      <c r="A780" s="107"/>
      <c r="B780" s="107"/>
      <c r="C780" s="107"/>
      <c r="D780" s="107"/>
      <c r="E780" s="107"/>
      <c r="F780" s="107"/>
      <c r="G780" s="107"/>
      <c r="H780" s="107"/>
      <c r="I780" s="107"/>
      <c r="J780" s="107"/>
      <c r="K780" s="107"/>
      <c r="L780" s="107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</row>
    <row r="781" spans="1:26" ht="12.75" customHeight="1" x14ac:dyDescent="0.2">
      <c r="A781" s="107"/>
      <c r="B781" s="107"/>
      <c r="C781" s="107"/>
      <c r="D781" s="107"/>
      <c r="E781" s="107"/>
      <c r="F781" s="107"/>
      <c r="G781" s="107"/>
      <c r="H781" s="107"/>
      <c r="I781" s="107"/>
      <c r="J781" s="107"/>
      <c r="K781" s="107"/>
      <c r="L781" s="107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</row>
    <row r="782" spans="1:26" ht="12.75" customHeight="1" x14ac:dyDescent="0.2">
      <c r="A782" s="107"/>
      <c r="B782" s="107"/>
      <c r="C782" s="107"/>
      <c r="D782" s="107"/>
      <c r="E782" s="107"/>
      <c r="F782" s="107"/>
      <c r="G782" s="107"/>
      <c r="H782" s="107"/>
      <c r="I782" s="107"/>
      <c r="J782" s="107"/>
      <c r="K782" s="107"/>
      <c r="L782" s="107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</row>
    <row r="783" spans="1:26" ht="12.75" customHeight="1" x14ac:dyDescent="0.2">
      <c r="A783" s="107"/>
      <c r="B783" s="107"/>
      <c r="C783" s="107"/>
      <c r="D783" s="107"/>
      <c r="E783" s="107"/>
      <c r="F783" s="107"/>
      <c r="G783" s="107"/>
      <c r="H783" s="107"/>
      <c r="I783" s="107"/>
      <c r="J783" s="107"/>
      <c r="K783" s="107"/>
      <c r="L783" s="107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</row>
    <row r="784" spans="1:26" ht="12.75" customHeight="1" x14ac:dyDescent="0.2">
      <c r="A784" s="107"/>
      <c r="B784" s="107"/>
      <c r="C784" s="107"/>
      <c r="D784" s="107"/>
      <c r="E784" s="107"/>
      <c r="F784" s="107"/>
      <c r="G784" s="107"/>
      <c r="H784" s="107"/>
      <c r="I784" s="107"/>
      <c r="J784" s="107"/>
      <c r="K784" s="107"/>
      <c r="L784" s="107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</row>
    <row r="785" spans="1:26" ht="12.75" customHeight="1" x14ac:dyDescent="0.2">
      <c r="A785" s="107"/>
      <c r="B785" s="107"/>
      <c r="C785" s="107"/>
      <c r="D785" s="107"/>
      <c r="E785" s="107"/>
      <c r="F785" s="107"/>
      <c r="G785" s="107"/>
      <c r="H785" s="107"/>
      <c r="I785" s="107"/>
      <c r="J785" s="107"/>
      <c r="K785" s="107"/>
      <c r="L785" s="107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</row>
    <row r="786" spans="1:26" ht="12.75" customHeight="1" x14ac:dyDescent="0.2">
      <c r="A786" s="107"/>
      <c r="B786" s="107"/>
      <c r="C786" s="107"/>
      <c r="D786" s="107"/>
      <c r="E786" s="107"/>
      <c r="F786" s="107"/>
      <c r="G786" s="107"/>
      <c r="H786" s="107"/>
      <c r="I786" s="107"/>
      <c r="J786" s="107"/>
      <c r="K786" s="107"/>
      <c r="L786" s="107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</row>
    <row r="787" spans="1:26" ht="12.75" customHeight="1" x14ac:dyDescent="0.2">
      <c r="A787" s="107"/>
      <c r="B787" s="107"/>
      <c r="C787" s="107"/>
      <c r="D787" s="107"/>
      <c r="E787" s="107"/>
      <c r="F787" s="107"/>
      <c r="G787" s="107"/>
      <c r="H787" s="107"/>
      <c r="I787" s="107"/>
      <c r="J787" s="107"/>
      <c r="K787" s="107"/>
      <c r="L787" s="107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</row>
    <row r="788" spans="1:26" ht="12.75" customHeight="1" x14ac:dyDescent="0.2">
      <c r="A788" s="107"/>
      <c r="B788" s="107"/>
      <c r="C788" s="107"/>
      <c r="D788" s="107"/>
      <c r="E788" s="107"/>
      <c r="F788" s="107"/>
      <c r="G788" s="107"/>
      <c r="H788" s="107"/>
      <c r="I788" s="107"/>
      <c r="J788" s="107"/>
      <c r="K788" s="107"/>
      <c r="L788" s="107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</row>
    <row r="789" spans="1:26" ht="12.75" customHeight="1" x14ac:dyDescent="0.2">
      <c r="A789" s="107"/>
      <c r="B789" s="107"/>
      <c r="C789" s="107"/>
      <c r="D789" s="107"/>
      <c r="E789" s="107"/>
      <c r="F789" s="107"/>
      <c r="G789" s="107"/>
      <c r="H789" s="107"/>
      <c r="I789" s="107"/>
      <c r="J789" s="107"/>
      <c r="K789" s="107"/>
      <c r="L789" s="107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</row>
    <row r="790" spans="1:26" ht="12.75" customHeight="1" x14ac:dyDescent="0.2">
      <c r="A790" s="107"/>
      <c r="B790" s="107"/>
      <c r="C790" s="107"/>
      <c r="D790" s="107"/>
      <c r="E790" s="107"/>
      <c r="F790" s="107"/>
      <c r="G790" s="107"/>
      <c r="H790" s="107"/>
      <c r="I790" s="107"/>
      <c r="J790" s="107"/>
      <c r="K790" s="107"/>
      <c r="L790" s="107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</row>
    <row r="791" spans="1:26" ht="12.75" customHeight="1" x14ac:dyDescent="0.2">
      <c r="A791" s="107"/>
      <c r="B791" s="107"/>
      <c r="C791" s="107"/>
      <c r="D791" s="107"/>
      <c r="E791" s="107"/>
      <c r="F791" s="107"/>
      <c r="G791" s="107"/>
      <c r="H791" s="107"/>
      <c r="I791" s="107"/>
      <c r="J791" s="107"/>
      <c r="K791" s="107"/>
      <c r="L791" s="107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</row>
    <row r="792" spans="1:26" ht="12.75" customHeight="1" x14ac:dyDescent="0.2">
      <c r="A792" s="107"/>
      <c r="B792" s="107"/>
      <c r="C792" s="107"/>
      <c r="D792" s="107"/>
      <c r="E792" s="107"/>
      <c r="F792" s="107"/>
      <c r="G792" s="107"/>
      <c r="H792" s="107"/>
      <c r="I792" s="107"/>
      <c r="J792" s="107"/>
      <c r="K792" s="107"/>
      <c r="L792" s="107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</row>
    <row r="793" spans="1:26" ht="12.75" customHeight="1" x14ac:dyDescent="0.2">
      <c r="A793" s="107"/>
      <c r="B793" s="107"/>
      <c r="C793" s="107"/>
      <c r="D793" s="107"/>
      <c r="E793" s="107"/>
      <c r="F793" s="107"/>
      <c r="G793" s="107"/>
      <c r="H793" s="107"/>
      <c r="I793" s="107"/>
      <c r="J793" s="107"/>
      <c r="K793" s="107"/>
      <c r="L793" s="107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</row>
    <row r="794" spans="1:26" ht="12.75" customHeight="1" x14ac:dyDescent="0.2">
      <c r="A794" s="107"/>
      <c r="B794" s="107"/>
      <c r="C794" s="107"/>
      <c r="D794" s="107"/>
      <c r="E794" s="107"/>
      <c r="F794" s="107"/>
      <c r="G794" s="107"/>
      <c r="H794" s="107"/>
      <c r="I794" s="107"/>
      <c r="J794" s="107"/>
      <c r="K794" s="107"/>
      <c r="L794" s="107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</row>
    <row r="795" spans="1:26" ht="12.75" customHeight="1" x14ac:dyDescent="0.2">
      <c r="A795" s="107"/>
      <c r="B795" s="107"/>
      <c r="C795" s="107"/>
      <c r="D795" s="107"/>
      <c r="E795" s="107"/>
      <c r="F795" s="107"/>
      <c r="G795" s="107"/>
      <c r="H795" s="107"/>
      <c r="I795" s="107"/>
      <c r="J795" s="107"/>
      <c r="K795" s="107"/>
      <c r="L795" s="107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</row>
    <row r="796" spans="1:26" ht="12.75" customHeight="1" x14ac:dyDescent="0.2">
      <c r="A796" s="107"/>
      <c r="B796" s="107"/>
      <c r="C796" s="107"/>
      <c r="D796" s="107"/>
      <c r="E796" s="107"/>
      <c r="F796" s="107"/>
      <c r="G796" s="107"/>
      <c r="H796" s="107"/>
      <c r="I796" s="107"/>
      <c r="J796" s="107"/>
      <c r="K796" s="107"/>
      <c r="L796" s="107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</row>
    <row r="797" spans="1:26" ht="12.75" customHeight="1" x14ac:dyDescent="0.2">
      <c r="A797" s="107"/>
      <c r="B797" s="107"/>
      <c r="C797" s="107"/>
      <c r="D797" s="107"/>
      <c r="E797" s="107"/>
      <c r="F797" s="107"/>
      <c r="G797" s="107"/>
      <c r="H797" s="107"/>
      <c r="I797" s="107"/>
      <c r="J797" s="107"/>
      <c r="K797" s="107"/>
      <c r="L797" s="107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</row>
    <row r="798" spans="1:26" ht="12.75" customHeight="1" x14ac:dyDescent="0.2">
      <c r="A798" s="107"/>
      <c r="B798" s="107"/>
      <c r="C798" s="107"/>
      <c r="D798" s="107"/>
      <c r="E798" s="107"/>
      <c r="F798" s="107"/>
      <c r="G798" s="107"/>
      <c r="H798" s="107"/>
      <c r="I798" s="107"/>
      <c r="J798" s="107"/>
      <c r="K798" s="107"/>
      <c r="L798" s="107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</row>
    <row r="799" spans="1:26" ht="12.75" customHeight="1" x14ac:dyDescent="0.2">
      <c r="A799" s="107"/>
      <c r="B799" s="107"/>
      <c r="C799" s="107"/>
      <c r="D799" s="107"/>
      <c r="E799" s="107"/>
      <c r="F799" s="107"/>
      <c r="G799" s="107"/>
      <c r="H799" s="107"/>
      <c r="I799" s="107"/>
      <c r="J799" s="107"/>
      <c r="K799" s="107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</row>
    <row r="800" spans="1:26" ht="12.75" customHeight="1" x14ac:dyDescent="0.2">
      <c r="A800" s="107"/>
      <c r="B800" s="107"/>
      <c r="C800" s="107"/>
      <c r="D800" s="107"/>
      <c r="E800" s="107"/>
      <c r="F800" s="107"/>
      <c r="G800" s="107"/>
      <c r="H800" s="107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</row>
    <row r="801" spans="1:26" ht="12.75" customHeight="1" x14ac:dyDescent="0.2">
      <c r="A801" s="107"/>
      <c r="B801" s="107"/>
      <c r="C801" s="107"/>
      <c r="D801" s="107"/>
      <c r="E801" s="107"/>
      <c r="F801" s="107"/>
      <c r="G801" s="107"/>
      <c r="H801" s="107"/>
      <c r="I801" s="107"/>
      <c r="J801" s="107"/>
      <c r="K801" s="107"/>
      <c r="L801" s="107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</row>
    <row r="802" spans="1:26" ht="12.75" customHeight="1" x14ac:dyDescent="0.2">
      <c r="A802" s="107"/>
      <c r="B802" s="107"/>
      <c r="C802" s="107"/>
      <c r="D802" s="107"/>
      <c r="E802" s="107"/>
      <c r="F802" s="107"/>
      <c r="G802" s="107"/>
      <c r="H802" s="107"/>
      <c r="I802" s="107"/>
      <c r="J802" s="107"/>
      <c r="K802" s="107"/>
      <c r="L802" s="107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</row>
    <row r="803" spans="1:26" ht="12.75" customHeight="1" x14ac:dyDescent="0.2">
      <c r="A803" s="107"/>
      <c r="B803" s="107"/>
      <c r="C803" s="107"/>
      <c r="D803" s="107"/>
      <c r="E803" s="107"/>
      <c r="F803" s="107"/>
      <c r="G803" s="107"/>
      <c r="H803" s="107"/>
      <c r="I803" s="107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</row>
    <row r="804" spans="1:26" ht="12.75" customHeight="1" x14ac:dyDescent="0.2">
      <c r="A804" s="107"/>
      <c r="B804" s="107"/>
      <c r="C804" s="107"/>
      <c r="D804" s="107"/>
      <c r="E804" s="107"/>
      <c r="F804" s="107"/>
      <c r="G804" s="107"/>
      <c r="H804" s="107"/>
      <c r="I804" s="107"/>
      <c r="J804" s="107"/>
      <c r="K804" s="107"/>
      <c r="L804" s="107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</row>
    <row r="805" spans="1:26" ht="12.75" customHeight="1" x14ac:dyDescent="0.2">
      <c r="A805" s="107"/>
      <c r="B805" s="107"/>
      <c r="C805" s="107"/>
      <c r="D805" s="107"/>
      <c r="E805" s="107"/>
      <c r="F805" s="107"/>
      <c r="G805" s="107"/>
      <c r="H805" s="107"/>
      <c r="I805" s="107"/>
      <c r="J805" s="107"/>
      <c r="K805" s="107"/>
      <c r="L805" s="107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</row>
    <row r="806" spans="1:26" ht="12.75" customHeight="1" x14ac:dyDescent="0.2">
      <c r="A806" s="107"/>
      <c r="B806" s="107"/>
      <c r="C806" s="107"/>
      <c r="D806" s="107"/>
      <c r="E806" s="107"/>
      <c r="F806" s="107"/>
      <c r="G806" s="107"/>
      <c r="H806" s="107"/>
      <c r="I806" s="107"/>
      <c r="J806" s="107"/>
      <c r="K806" s="107"/>
      <c r="L806" s="107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</row>
    <row r="807" spans="1:26" ht="12.75" customHeight="1" x14ac:dyDescent="0.2">
      <c r="A807" s="107"/>
      <c r="B807" s="107"/>
      <c r="C807" s="107"/>
      <c r="D807" s="107"/>
      <c r="E807" s="107"/>
      <c r="F807" s="107"/>
      <c r="G807" s="107"/>
      <c r="H807" s="107"/>
      <c r="I807" s="107"/>
      <c r="J807" s="107"/>
      <c r="K807" s="107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</row>
    <row r="808" spans="1:26" ht="12.75" customHeight="1" x14ac:dyDescent="0.2">
      <c r="A808" s="107"/>
      <c r="B808" s="107"/>
      <c r="C808" s="107"/>
      <c r="D808" s="107"/>
      <c r="E808" s="107"/>
      <c r="F808" s="107"/>
      <c r="G808" s="107"/>
      <c r="H808" s="107"/>
      <c r="I808" s="107"/>
      <c r="J808" s="107"/>
      <c r="K808" s="107"/>
      <c r="L808" s="107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</row>
    <row r="809" spans="1:26" ht="12.75" customHeight="1" x14ac:dyDescent="0.2">
      <c r="A809" s="107"/>
      <c r="B809" s="107"/>
      <c r="C809" s="107"/>
      <c r="D809" s="107"/>
      <c r="E809" s="107"/>
      <c r="F809" s="107"/>
      <c r="G809" s="107"/>
      <c r="H809" s="107"/>
      <c r="I809" s="107"/>
      <c r="J809" s="107"/>
      <c r="K809" s="107"/>
      <c r="L809" s="107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</row>
    <row r="810" spans="1:26" ht="12.75" customHeight="1" x14ac:dyDescent="0.2">
      <c r="A810" s="107"/>
      <c r="B810" s="107"/>
      <c r="C810" s="107"/>
      <c r="D810" s="107"/>
      <c r="E810" s="107"/>
      <c r="F810" s="107"/>
      <c r="G810" s="107"/>
      <c r="H810" s="107"/>
      <c r="I810" s="107"/>
      <c r="J810" s="107"/>
      <c r="K810" s="107"/>
      <c r="L810" s="107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</row>
    <row r="811" spans="1:26" ht="12.75" customHeight="1" x14ac:dyDescent="0.2">
      <c r="A811" s="107"/>
      <c r="B811" s="107"/>
      <c r="C811" s="107"/>
      <c r="D811" s="107"/>
      <c r="E811" s="107"/>
      <c r="F811" s="107"/>
      <c r="G811" s="107"/>
      <c r="H811" s="107"/>
      <c r="I811" s="107"/>
      <c r="J811" s="107"/>
      <c r="K811" s="107"/>
      <c r="L811" s="107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</row>
    <row r="812" spans="1:26" ht="12.75" customHeight="1" x14ac:dyDescent="0.2">
      <c r="A812" s="107"/>
      <c r="B812" s="107"/>
      <c r="C812" s="107"/>
      <c r="D812" s="107"/>
      <c r="E812" s="107"/>
      <c r="F812" s="107"/>
      <c r="G812" s="107"/>
      <c r="H812" s="107"/>
      <c r="I812" s="107"/>
      <c r="J812" s="107"/>
      <c r="K812" s="107"/>
      <c r="L812" s="107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</row>
    <row r="813" spans="1:26" ht="12.75" customHeight="1" x14ac:dyDescent="0.2">
      <c r="A813" s="107"/>
      <c r="B813" s="107"/>
      <c r="C813" s="107"/>
      <c r="D813" s="107"/>
      <c r="E813" s="107"/>
      <c r="F813" s="107"/>
      <c r="G813" s="107"/>
      <c r="H813" s="107"/>
      <c r="I813" s="107"/>
      <c r="J813" s="107"/>
      <c r="K813" s="107"/>
      <c r="L813" s="107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</row>
    <row r="814" spans="1:26" ht="12.75" customHeight="1" x14ac:dyDescent="0.2">
      <c r="A814" s="107"/>
      <c r="B814" s="107"/>
      <c r="C814" s="107"/>
      <c r="D814" s="107"/>
      <c r="E814" s="107"/>
      <c r="F814" s="107"/>
      <c r="G814" s="107"/>
      <c r="H814" s="107"/>
      <c r="I814" s="107"/>
      <c r="J814" s="107"/>
      <c r="K814" s="107"/>
      <c r="L814" s="107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</row>
    <row r="815" spans="1:26" ht="12.75" customHeight="1" x14ac:dyDescent="0.2">
      <c r="A815" s="107"/>
      <c r="B815" s="107"/>
      <c r="C815" s="107"/>
      <c r="D815" s="107"/>
      <c r="E815" s="107"/>
      <c r="F815" s="107"/>
      <c r="G815" s="107"/>
      <c r="H815" s="107"/>
      <c r="I815" s="107"/>
      <c r="J815" s="107"/>
      <c r="K815" s="107"/>
      <c r="L815" s="107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</row>
    <row r="816" spans="1:26" ht="12.75" customHeight="1" x14ac:dyDescent="0.2">
      <c r="A816" s="107"/>
      <c r="B816" s="107"/>
      <c r="C816" s="107"/>
      <c r="D816" s="107"/>
      <c r="E816" s="107"/>
      <c r="F816" s="107"/>
      <c r="G816" s="107"/>
      <c r="H816" s="107"/>
      <c r="I816" s="107"/>
      <c r="J816" s="107"/>
      <c r="K816" s="107"/>
      <c r="L816" s="107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</row>
    <row r="817" spans="1:26" ht="12.75" customHeight="1" x14ac:dyDescent="0.2">
      <c r="A817" s="107"/>
      <c r="B817" s="107"/>
      <c r="C817" s="107"/>
      <c r="D817" s="107"/>
      <c r="E817" s="107"/>
      <c r="F817" s="107"/>
      <c r="G817" s="107"/>
      <c r="H817" s="107"/>
      <c r="I817" s="107"/>
      <c r="J817" s="107"/>
      <c r="K817" s="107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</row>
    <row r="818" spans="1:26" ht="12.75" customHeight="1" x14ac:dyDescent="0.2">
      <c r="A818" s="107"/>
      <c r="B818" s="107"/>
      <c r="C818" s="107"/>
      <c r="D818" s="107"/>
      <c r="E818" s="107"/>
      <c r="F818" s="107"/>
      <c r="G818" s="107"/>
      <c r="H818" s="107"/>
      <c r="I818" s="107"/>
      <c r="J818" s="107"/>
      <c r="K818" s="107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</row>
    <row r="819" spans="1:26" ht="12.75" customHeight="1" x14ac:dyDescent="0.2">
      <c r="A819" s="107"/>
      <c r="B819" s="107"/>
      <c r="C819" s="107"/>
      <c r="D819" s="107"/>
      <c r="E819" s="107"/>
      <c r="F819" s="107"/>
      <c r="G819" s="107"/>
      <c r="H819" s="107"/>
      <c r="I819" s="107"/>
      <c r="J819" s="107"/>
      <c r="K819" s="107"/>
      <c r="L819" s="107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</row>
    <row r="820" spans="1:26" ht="12.75" customHeight="1" x14ac:dyDescent="0.2">
      <c r="A820" s="107"/>
      <c r="B820" s="107"/>
      <c r="C820" s="107"/>
      <c r="D820" s="107"/>
      <c r="E820" s="107"/>
      <c r="F820" s="107"/>
      <c r="G820" s="107"/>
      <c r="H820" s="107"/>
      <c r="I820" s="107"/>
      <c r="J820" s="107"/>
      <c r="K820" s="107"/>
      <c r="L820" s="107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</row>
    <row r="821" spans="1:26" ht="12.75" customHeight="1" x14ac:dyDescent="0.2">
      <c r="A821" s="107"/>
      <c r="B821" s="107"/>
      <c r="C821" s="107"/>
      <c r="D821" s="107"/>
      <c r="E821" s="107"/>
      <c r="F821" s="107"/>
      <c r="G821" s="107"/>
      <c r="H821" s="107"/>
      <c r="I821" s="107"/>
      <c r="J821" s="107"/>
      <c r="K821" s="107"/>
      <c r="L821" s="107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</row>
    <row r="822" spans="1:26" ht="12.75" customHeight="1" x14ac:dyDescent="0.2">
      <c r="A822" s="107"/>
      <c r="B822" s="107"/>
      <c r="C822" s="107"/>
      <c r="D822" s="107"/>
      <c r="E822" s="107"/>
      <c r="F822" s="107"/>
      <c r="G822" s="107"/>
      <c r="H822" s="107"/>
      <c r="I822" s="107"/>
      <c r="J822" s="107"/>
      <c r="K822" s="107"/>
      <c r="L822" s="107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</row>
    <row r="823" spans="1:26" ht="12.75" customHeight="1" x14ac:dyDescent="0.2">
      <c r="A823" s="107"/>
      <c r="B823" s="107"/>
      <c r="C823" s="107"/>
      <c r="D823" s="107"/>
      <c r="E823" s="107"/>
      <c r="F823" s="107"/>
      <c r="G823" s="107"/>
      <c r="H823" s="107"/>
      <c r="I823" s="107"/>
      <c r="J823" s="107"/>
      <c r="K823" s="107"/>
      <c r="L823" s="107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</row>
    <row r="824" spans="1:26" ht="12.75" customHeight="1" x14ac:dyDescent="0.2">
      <c r="A824" s="107"/>
      <c r="B824" s="107"/>
      <c r="C824" s="107"/>
      <c r="D824" s="107"/>
      <c r="E824" s="107"/>
      <c r="F824" s="107"/>
      <c r="G824" s="107"/>
      <c r="H824" s="107"/>
      <c r="I824" s="107"/>
      <c r="J824" s="107"/>
      <c r="K824" s="107"/>
      <c r="L824" s="107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</row>
    <row r="825" spans="1:26" ht="12.75" customHeight="1" x14ac:dyDescent="0.2">
      <c r="A825" s="107"/>
      <c r="B825" s="107"/>
      <c r="C825" s="107"/>
      <c r="D825" s="107"/>
      <c r="E825" s="107"/>
      <c r="F825" s="107"/>
      <c r="G825" s="107"/>
      <c r="H825" s="107"/>
      <c r="I825" s="107"/>
      <c r="J825" s="107"/>
      <c r="K825" s="107"/>
      <c r="L825" s="107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</row>
    <row r="826" spans="1:26" ht="12.75" customHeight="1" x14ac:dyDescent="0.2">
      <c r="A826" s="107"/>
      <c r="B826" s="107"/>
      <c r="C826" s="107"/>
      <c r="D826" s="107"/>
      <c r="E826" s="107"/>
      <c r="F826" s="107"/>
      <c r="G826" s="107"/>
      <c r="H826" s="107"/>
      <c r="I826" s="107"/>
      <c r="J826" s="107"/>
      <c r="K826" s="107"/>
      <c r="L826" s="107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</row>
    <row r="827" spans="1:26" ht="12.75" customHeight="1" x14ac:dyDescent="0.2">
      <c r="A827" s="107"/>
      <c r="B827" s="107"/>
      <c r="C827" s="107"/>
      <c r="D827" s="107"/>
      <c r="E827" s="107"/>
      <c r="F827" s="107"/>
      <c r="G827" s="107"/>
      <c r="H827" s="107"/>
      <c r="I827" s="107"/>
      <c r="J827" s="107"/>
      <c r="K827" s="107"/>
      <c r="L827" s="107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</row>
    <row r="828" spans="1:26" ht="12.75" customHeight="1" x14ac:dyDescent="0.2">
      <c r="A828" s="107"/>
      <c r="B828" s="107"/>
      <c r="C828" s="107"/>
      <c r="D828" s="107"/>
      <c r="E828" s="107"/>
      <c r="F828" s="107"/>
      <c r="G828" s="107"/>
      <c r="H828" s="107"/>
      <c r="I828" s="107"/>
      <c r="J828" s="107"/>
      <c r="K828" s="107"/>
      <c r="L828" s="107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</row>
    <row r="829" spans="1:26" ht="12.75" customHeight="1" x14ac:dyDescent="0.2">
      <c r="A829" s="107"/>
      <c r="B829" s="107"/>
      <c r="C829" s="107"/>
      <c r="D829" s="107"/>
      <c r="E829" s="107"/>
      <c r="F829" s="107"/>
      <c r="G829" s="107"/>
      <c r="H829" s="107"/>
      <c r="I829" s="107"/>
      <c r="J829" s="107"/>
      <c r="K829" s="107"/>
      <c r="L829" s="107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</row>
    <row r="830" spans="1:26" ht="12.75" customHeight="1" x14ac:dyDescent="0.2">
      <c r="A830" s="107"/>
      <c r="B830" s="107"/>
      <c r="C830" s="107"/>
      <c r="D830" s="107"/>
      <c r="E830" s="107"/>
      <c r="F830" s="107"/>
      <c r="G830" s="107"/>
      <c r="H830" s="107"/>
      <c r="I830" s="107"/>
      <c r="J830" s="107"/>
      <c r="K830" s="107"/>
      <c r="L830" s="107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</row>
    <row r="831" spans="1:26" ht="12.75" customHeight="1" x14ac:dyDescent="0.2">
      <c r="A831" s="107"/>
      <c r="B831" s="107"/>
      <c r="C831" s="107"/>
      <c r="D831" s="107"/>
      <c r="E831" s="107"/>
      <c r="F831" s="107"/>
      <c r="G831" s="107"/>
      <c r="H831" s="107"/>
      <c r="I831" s="107"/>
      <c r="J831" s="107"/>
      <c r="K831" s="107"/>
      <c r="L831" s="107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</row>
    <row r="832" spans="1:26" ht="12.75" customHeight="1" x14ac:dyDescent="0.2">
      <c r="A832" s="107"/>
      <c r="B832" s="107"/>
      <c r="C832" s="107"/>
      <c r="D832" s="107"/>
      <c r="E832" s="107"/>
      <c r="F832" s="107"/>
      <c r="G832" s="107"/>
      <c r="H832" s="107"/>
      <c r="I832" s="107"/>
      <c r="J832" s="107"/>
      <c r="K832" s="107"/>
      <c r="L832" s="107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</row>
    <row r="833" spans="1:26" ht="12.75" customHeight="1" x14ac:dyDescent="0.2">
      <c r="A833" s="107"/>
      <c r="B833" s="107"/>
      <c r="C833" s="107"/>
      <c r="D833" s="107"/>
      <c r="E833" s="107"/>
      <c r="F833" s="107"/>
      <c r="G833" s="107"/>
      <c r="H833" s="107"/>
      <c r="I833" s="107"/>
      <c r="J833" s="107"/>
      <c r="K833" s="107"/>
      <c r="L833" s="107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</row>
    <row r="834" spans="1:26" ht="12.75" customHeight="1" x14ac:dyDescent="0.2">
      <c r="A834" s="107"/>
      <c r="B834" s="107"/>
      <c r="C834" s="107"/>
      <c r="D834" s="107"/>
      <c r="E834" s="107"/>
      <c r="F834" s="107"/>
      <c r="G834" s="107"/>
      <c r="H834" s="107"/>
      <c r="I834" s="107"/>
      <c r="J834" s="107"/>
      <c r="K834" s="107"/>
      <c r="L834" s="107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</row>
    <row r="835" spans="1:26" ht="12.75" customHeight="1" x14ac:dyDescent="0.2">
      <c r="A835" s="107"/>
      <c r="B835" s="107"/>
      <c r="C835" s="107"/>
      <c r="D835" s="107"/>
      <c r="E835" s="107"/>
      <c r="F835" s="107"/>
      <c r="G835" s="107"/>
      <c r="H835" s="107"/>
      <c r="I835" s="107"/>
      <c r="J835" s="107"/>
      <c r="K835" s="107"/>
      <c r="L835" s="107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</row>
    <row r="836" spans="1:26" ht="12.75" customHeight="1" x14ac:dyDescent="0.2">
      <c r="A836" s="107"/>
      <c r="B836" s="107"/>
      <c r="C836" s="107"/>
      <c r="D836" s="107"/>
      <c r="E836" s="107"/>
      <c r="F836" s="107"/>
      <c r="G836" s="107"/>
      <c r="H836" s="107"/>
      <c r="I836" s="107"/>
      <c r="J836" s="107"/>
      <c r="K836" s="107"/>
      <c r="L836" s="107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</row>
    <row r="837" spans="1:26" ht="12.75" customHeight="1" x14ac:dyDescent="0.2">
      <c r="A837" s="107"/>
      <c r="B837" s="107"/>
      <c r="C837" s="107"/>
      <c r="D837" s="107"/>
      <c r="E837" s="107"/>
      <c r="F837" s="107"/>
      <c r="G837" s="107"/>
      <c r="H837" s="107"/>
      <c r="I837" s="107"/>
      <c r="J837" s="107"/>
      <c r="K837" s="107"/>
      <c r="L837" s="107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</row>
    <row r="838" spans="1:26" ht="12.75" customHeight="1" x14ac:dyDescent="0.2">
      <c r="A838" s="107"/>
      <c r="B838" s="107"/>
      <c r="C838" s="107"/>
      <c r="D838" s="107"/>
      <c r="E838" s="107"/>
      <c r="F838" s="107"/>
      <c r="G838" s="107"/>
      <c r="H838" s="107"/>
      <c r="I838" s="107"/>
      <c r="J838" s="107"/>
      <c r="K838" s="107"/>
      <c r="L838" s="107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</row>
    <row r="839" spans="1:26" ht="12.75" customHeight="1" x14ac:dyDescent="0.2">
      <c r="A839" s="107"/>
      <c r="B839" s="107"/>
      <c r="C839" s="107"/>
      <c r="D839" s="107"/>
      <c r="E839" s="107"/>
      <c r="F839" s="107"/>
      <c r="G839" s="107"/>
      <c r="H839" s="107"/>
      <c r="I839" s="107"/>
      <c r="J839" s="107"/>
      <c r="K839" s="107"/>
      <c r="L839" s="107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</row>
    <row r="840" spans="1:26" ht="12.75" customHeight="1" x14ac:dyDescent="0.2">
      <c r="A840" s="107"/>
      <c r="B840" s="107"/>
      <c r="C840" s="107"/>
      <c r="D840" s="107"/>
      <c r="E840" s="107"/>
      <c r="F840" s="107"/>
      <c r="G840" s="107"/>
      <c r="H840" s="107"/>
      <c r="I840" s="107"/>
      <c r="J840" s="107"/>
      <c r="K840" s="107"/>
      <c r="L840" s="107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</row>
    <row r="841" spans="1:26" ht="12.75" customHeight="1" x14ac:dyDescent="0.2">
      <c r="A841" s="107"/>
      <c r="B841" s="107"/>
      <c r="C841" s="107"/>
      <c r="D841" s="107"/>
      <c r="E841" s="107"/>
      <c r="F841" s="107"/>
      <c r="G841" s="107"/>
      <c r="H841" s="107"/>
      <c r="I841" s="107"/>
      <c r="J841" s="107"/>
      <c r="K841" s="107"/>
      <c r="L841" s="107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</row>
    <row r="842" spans="1:26" ht="12.75" customHeight="1" x14ac:dyDescent="0.2">
      <c r="A842" s="107"/>
      <c r="B842" s="107"/>
      <c r="C842" s="107"/>
      <c r="D842" s="107"/>
      <c r="E842" s="107"/>
      <c r="F842" s="107"/>
      <c r="G842" s="107"/>
      <c r="H842" s="107"/>
      <c r="I842" s="107"/>
      <c r="J842" s="107"/>
      <c r="K842" s="107"/>
      <c r="L842" s="107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</row>
    <row r="843" spans="1:26" ht="12.75" customHeight="1" x14ac:dyDescent="0.2">
      <c r="A843" s="107"/>
      <c r="B843" s="107"/>
      <c r="C843" s="107"/>
      <c r="D843" s="107"/>
      <c r="E843" s="107"/>
      <c r="F843" s="107"/>
      <c r="G843" s="107"/>
      <c r="H843" s="107"/>
      <c r="I843" s="107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</row>
    <row r="844" spans="1:26" ht="12.75" customHeight="1" x14ac:dyDescent="0.2">
      <c r="A844" s="107"/>
      <c r="B844" s="107"/>
      <c r="C844" s="107"/>
      <c r="D844" s="107"/>
      <c r="E844" s="107"/>
      <c r="F844" s="107"/>
      <c r="G844" s="107"/>
      <c r="H844" s="107"/>
      <c r="I844" s="107"/>
      <c r="J844" s="107"/>
      <c r="K844" s="107"/>
      <c r="L844" s="107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</row>
    <row r="845" spans="1:26" ht="12.75" customHeight="1" x14ac:dyDescent="0.2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7"/>
      <c r="L845" s="107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</row>
    <row r="846" spans="1:26" ht="12.75" customHeight="1" x14ac:dyDescent="0.2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7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</row>
    <row r="847" spans="1:26" ht="12.75" customHeight="1" x14ac:dyDescent="0.2">
      <c r="A847" s="107"/>
      <c r="B847" s="107"/>
      <c r="C847" s="107"/>
      <c r="D847" s="107"/>
      <c r="E847" s="107"/>
      <c r="F847" s="107"/>
      <c r="G847" s="107"/>
      <c r="H847" s="107"/>
      <c r="I847" s="107"/>
      <c r="J847" s="107"/>
      <c r="K847" s="107"/>
      <c r="L847" s="107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</row>
    <row r="848" spans="1:26" ht="12.75" customHeight="1" x14ac:dyDescent="0.2">
      <c r="A848" s="107"/>
      <c r="B848" s="107"/>
      <c r="C848" s="107"/>
      <c r="D848" s="107"/>
      <c r="E848" s="107"/>
      <c r="F848" s="107"/>
      <c r="G848" s="107"/>
      <c r="H848" s="107"/>
      <c r="I848" s="107"/>
      <c r="J848" s="107"/>
      <c r="K848" s="107"/>
      <c r="L848" s="107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</row>
    <row r="849" spans="1:26" ht="12.75" customHeight="1" x14ac:dyDescent="0.2">
      <c r="A849" s="107"/>
      <c r="B849" s="107"/>
      <c r="C849" s="107"/>
      <c r="D849" s="107"/>
      <c r="E849" s="107"/>
      <c r="F849" s="107"/>
      <c r="G849" s="107"/>
      <c r="H849" s="107"/>
      <c r="I849" s="107"/>
      <c r="J849" s="107"/>
      <c r="K849" s="107"/>
      <c r="L849" s="107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</row>
    <row r="850" spans="1:26" ht="12.75" customHeight="1" x14ac:dyDescent="0.2">
      <c r="A850" s="107"/>
      <c r="B850" s="107"/>
      <c r="C850" s="107"/>
      <c r="D850" s="107"/>
      <c r="E850" s="107"/>
      <c r="F850" s="107"/>
      <c r="G850" s="107"/>
      <c r="H850" s="107"/>
      <c r="I850" s="107"/>
      <c r="J850" s="107"/>
      <c r="K850" s="107"/>
      <c r="L850" s="107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</row>
    <row r="851" spans="1:26" ht="12.75" customHeight="1" x14ac:dyDescent="0.2">
      <c r="A851" s="107"/>
      <c r="B851" s="107"/>
      <c r="C851" s="107"/>
      <c r="D851" s="107"/>
      <c r="E851" s="107"/>
      <c r="F851" s="107"/>
      <c r="G851" s="107"/>
      <c r="H851" s="107"/>
      <c r="I851" s="107"/>
      <c r="J851" s="107"/>
      <c r="K851" s="107"/>
      <c r="L851" s="107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</row>
    <row r="852" spans="1:26" ht="12.75" customHeight="1" x14ac:dyDescent="0.2">
      <c r="A852" s="107"/>
      <c r="B852" s="107"/>
      <c r="C852" s="107"/>
      <c r="D852" s="107"/>
      <c r="E852" s="107"/>
      <c r="F852" s="107"/>
      <c r="G852" s="107"/>
      <c r="H852" s="107"/>
      <c r="I852" s="107"/>
      <c r="J852" s="107"/>
      <c r="K852" s="107"/>
      <c r="L852" s="107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</row>
    <row r="853" spans="1:26" ht="12.75" customHeight="1" x14ac:dyDescent="0.2">
      <c r="A853" s="107"/>
      <c r="B853" s="107"/>
      <c r="C853" s="107"/>
      <c r="D853" s="107"/>
      <c r="E853" s="107"/>
      <c r="F853" s="107"/>
      <c r="G853" s="107"/>
      <c r="H853" s="107"/>
      <c r="I853" s="107"/>
      <c r="J853" s="107"/>
      <c r="K853" s="107"/>
      <c r="L853" s="107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</row>
    <row r="854" spans="1:26" ht="12.75" customHeight="1" x14ac:dyDescent="0.2">
      <c r="A854" s="107"/>
      <c r="B854" s="107"/>
      <c r="C854" s="107"/>
      <c r="D854" s="107"/>
      <c r="E854" s="107"/>
      <c r="F854" s="107"/>
      <c r="G854" s="107"/>
      <c r="H854" s="107"/>
      <c r="I854" s="107"/>
      <c r="J854" s="107"/>
      <c r="K854" s="107"/>
      <c r="L854" s="107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</row>
    <row r="855" spans="1:26" ht="12.75" customHeight="1" x14ac:dyDescent="0.2">
      <c r="A855" s="107"/>
      <c r="B855" s="107"/>
      <c r="C855" s="107"/>
      <c r="D855" s="107"/>
      <c r="E855" s="107"/>
      <c r="F855" s="107"/>
      <c r="G855" s="107"/>
      <c r="H855" s="107"/>
      <c r="I855" s="107"/>
      <c r="J855" s="107"/>
      <c r="K855" s="107"/>
      <c r="L855" s="107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</row>
    <row r="856" spans="1:26" ht="12.75" customHeight="1" x14ac:dyDescent="0.2">
      <c r="A856" s="107"/>
      <c r="B856" s="107"/>
      <c r="C856" s="107"/>
      <c r="D856" s="107"/>
      <c r="E856" s="107"/>
      <c r="F856" s="107"/>
      <c r="G856" s="107"/>
      <c r="H856" s="107"/>
      <c r="I856" s="107"/>
      <c r="J856" s="107"/>
      <c r="K856" s="107"/>
      <c r="L856" s="107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</row>
    <row r="857" spans="1:26" ht="12.75" customHeight="1" x14ac:dyDescent="0.2">
      <c r="A857" s="107"/>
      <c r="B857" s="107"/>
      <c r="C857" s="107"/>
      <c r="D857" s="107"/>
      <c r="E857" s="107"/>
      <c r="F857" s="107"/>
      <c r="G857" s="107"/>
      <c r="H857" s="107"/>
      <c r="I857" s="107"/>
      <c r="J857" s="107"/>
      <c r="K857" s="107"/>
      <c r="L857" s="107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</row>
    <row r="858" spans="1:26" ht="12.75" customHeight="1" x14ac:dyDescent="0.2">
      <c r="A858" s="107"/>
      <c r="B858" s="107"/>
      <c r="C858" s="107"/>
      <c r="D858" s="107"/>
      <c r="E858" s="107"/>
      <c r="F858" s="107"/>
      <c r="G858" s="107"/>
      <c r="H858" s="107"/>
      <c r="I858" s="107"/>
      <c r="J858" s="107"/>
      <c r="K858" s="107"/>
      <c r="L858" s="107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</row>
    <row r="859" spans="1:26" ht="12.75" customHeight="1" x14ac:dyDescent="0.2">
      <c r="A859" s="107"/>
      <c r="B859" s="107"/>
      <c r="C859" s="107"/>
      <c r="D859" s="107"/>
      <c r="E859" s="107"/>
      <c r="F859" s="107"/>
      <c r="G859" s="107"/>
      <c r="H859" s="107"/>
      <c r="I859" s="107"/>
      <c r="J859" s="107"/>
      <c r="K859" s="107"/>
      <c r="L859" s="107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</row>
    <row r="860" spans="1:26" ht="12.75" customHeight="1" x14ac:dyDescent="0.2">
      <c r="A860" s="107"/>
      <c r="B860" s="107"/>
      <c r="C860" s="107"/>
      <c r="D860" s="107"/>
      <c r="E860" s="107"/>
      <c r="F860" s="107"/>
      <c r="G860" s="107"/>
      <c r="H860" s="107"/>
      <c r="I860" s="107"/>
      <c r="J860" s="107"/>
      <c r="K860" s="107"/>
      <c r="L860" s="107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</row>
    <row r="861" spans="1:26" ht="12.75" customHeight="1" x14ac:dyDescent="0.2">
      <c r="A861" s="107"/>
      <c r="B861" s="107"/>
      <c r="C861" s="107"/>
      <c r="D861" s="107"/>
      <c r="E861" s="107"/>
      <c r="F861" s="107"/>
      <c r="G861" s="107"/>
      <c r="H861" s="107"/>
      <c r="I861" s="107"/>
      <c r="J861" s="107"/>
      <c r="K861" s="107"/>
      <c r="L861" s="107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</row>
    <row r="862" spans="1:26" ht="12.75" customHeight="1" x14ac:dyDescent="0.2">
      <c r="A862" s="107"/>
      <c r="B862" s="107"/>
      <c r="C862" s="107"/>
      <c r="D862" s="107"/>
      <c r="E862" s="107"/>
      <c r="F862" s="107"/>
      <c r="G862" s="107"/>
      <c r="H862" s="107"/>
      <c r="I862" s="107"/>
      <c r="J862" s="107"/>
      <c r="K862" s="107"/>
      <c r="L862" s="107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</row>
    <row r="863" spans="1:26" ht="12.75" customHeight="1" x14ac:dyDescent="0.2">
      <c r="A863" s="107"/>
      <c r="B863" s="107"/>
      <c r="C863" s="107"/>
      <c r="D863" s="107"/>
      <c r="E863" s="107"/>
      <c r="F863" s="107"/>
      <c r="G863" s="107"/>
      <c r="H863" s="107"/>
      <c r="I863" s="107"/>
      <c r="J863" s="107"/>
      <c r="K863" s="107"/>
      <c r="L863" s="107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</row>
    <row r="864" spans="1:26" ht="12.75" customHeight="1" x14ac:dyDescent="0.2">
      <c r="A864" s="107"/>
      <c r="B864" s="107"/>
      <c r="C864" s="107"/>
      <c r="D864" s="107"/>
      <c r="E864" s="107"/>
      <c r="F864" s="107"/>
      <c r="G864" s="107"/>
      <c r="H864" s="107"/>
      <c r="I864" s="107"/>
      <c r="J864" s="107"/>
      <c r="K864" s="107"/>
      <c r="L864" s="107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</row>
    <row r="865" spans="1:26" ht="12.75" customHeight="1" x14ac:dyDescent="0.2">
      <c r="A865" s="107"/>
      <c r="B865" s="107"/>
      <c r="C865" s="107"/>
      <c r="D865" s="107"/>
      <c r="E865" s="107"/>
      <c r="F865" s="107"/>
      <c r="G865" s="107"/>
      <c r="H865" s="107"/>
      <c r="I865" s="107"/>
      <c r="J865" s="107"/>
      <c r="K865" s="107"/>
      <c r="L865" s="107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</row>
    <row r="866" spans="1:26" ht="12.75" customHeight="1" x14ac:dyDescent="0.2">
      <c r="A866" s="107"/>
      <c r="B866" s="107"/>
      <c r="C866" s="107"/>
      <c r="D866" s="107"/>
      <c r="E866" s="107"/>
      <c r="F866" s="107"/>
      <c r="G866" s="107"/>
      <c r="H866" s="107"/>
      <c r="I866" s="107"/>
      <c r="J866" s="107"/>
      <c r="K866" s="107"/>
      <c r="L866" s="107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</row>
    <row r="867" spans="1:26" ht="12.75" customHeight="1" x14ac:dyDescent="0.2">
      <c r="A867" s="107"/>
      <c r="B867" s="107"/>
      <c r="C867" s="107"/>
      <c r="D867" s="107"/>
      <c r="E867" s="107"/>
      <c r="F867" s="107"/>
      <c r="G867" s="107"/>
      <c r="H867" s="107"/>
      <c r="I867" s="107"/>
      <c r="J867" s="107"/>
      <c r="K867" s="107"/>
      <c r="L867" s="107"/>
      <c r="M867" s="107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</row>
    <row r="868" spans="1:26" ht="12.75" customHeight="1" x14ac:dyDescent="0.2">
      <c r="A868" s="107"/>
      <c r="B868" s="107"/>
      <c r="C868" s="107"/>
      <c r="D868" s="107"/>
      <c r="E868" s="107"/>
      <c r="F868" s="107"/>
      <c r="G868" s="107"/>
      <c r="H868" s="107"/>
      <c r="I868" s="107"/>
      <c r="J868" s="107"/>
      <c r="K868" s="107"/>
      <c r="L868" s="107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</row>
    <row r="869" spans="1:26" ht="12.75" customHeight="1" x14ac:dyDescent="0.2">
      <c r="A869" s="107"/>
      <c r="B869" s="107"/>
      <c r="C869" s="107"/>
      <c r="D869" s="107"/>
      <c r="E869" s="107"/>
      <c r="F869" s="107"/>
      <c r="G869" s="107"/>
      <c r="H869" s="107"/>
      <c r="I869" s="107"/>
      <c r="J869" s="107"/>
      <c r="K869" s="107"/>
      <c r="L869" s="107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</row>
    <row r="870" spans="1:26" ht="12.75" customHeight="1" x14ac:dyDescent="0.2">
      <c r="A870" s="107"/>
      <c r="B870" s="107"/>
      <c r="C870" s="107"/>
      <c r="D870" s="107"/>
      <c r="E870" s="107"/>
      <c r="F870" s="107"/>
      <c r="G870" s="107"/>
      <c r="H870" s="107"/>
      <c r="I870" s="107"/>
      <c r="J870" s="107"/>
      <c r="K870" s="107"/>
      <c r="L870" s="107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</row>
    <row r="871" spans="1:26" ht="12.75" customHeight="1" x14ac:dyDescent="0.2">
      <c r="A871" s="107"/>
      <c r="B871" s="107"/>
      <c r="C871" s="107"/>
      <c r="D871" s="107"/>
      <c r="E871" s="107"/>
      <c r="F871" s="107"/>
      <c r="G871" s="107"/>
      <c r="H871" s="107"/>
      <c r="I871" s="107"/>
      <c r="J871" s="107"/>
      <c r="K871" s="107"/>
      <c r="L871" s="107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</row>
    <row r="872" spans="1:26" ht="12.75" customHeight="1" x14ac:dyDescent="0.2">
      <c r="A872" s="107"/>
      <c r="B872" s="107"/>
      <c r="C872" s="107"/>
      <c r="D872" s="107"/>
      <c r="E872" s="107"/>
      <c r="F872" s="107"/>
      <c r="G872" s="107"/>
      <c r="H872" s="107"/>
      <c r="I872" s="107"/>
      <c r="J872" s="107"/>
      <c r="K872" s="107"/>
      <c r="L872" s="107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</row>
    <row r="873" spans="1:26" ht="12.75" customHeight="1" x14ac:dyDescent="0.2">
      <c r="A873" s="107"/>
      <c r="B873" s="107"/>
      <c r="C873" s="107"/>
      <c r="D873" s="107"/>
      <c r="E873" s="107"/>
      <c r="F873" s="107"/>
      <c r="G873" s="107"/>
      <c r="H873" s="107"/>
      <c r="I873" s="107"/>
      <c r="J873" s="107"/>
      <c r="K873" s="107"/>
      <c r="L873" s="107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</row>
    <row r="874" spans="1:26" ht="12.75" customHeight="1" x14ac:dyDescent="0.2">
      <c r="A874" s="107"/>
      <c r="B874" s="107"/>
      <c r="C874" s="107"/>
      <c r="D874" s="107"/>
      <c r="E874" s="107"/>
      <c r="F874" s="107"/>
      <c r="G874" s="107"/>
      <c r="H874" s="107"/>
      <c r="I874" s="107"/>
      <c r="J874" s="107"/>
      <c r="K874" s="107"/>
      <c r="L874" s="107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</row>
    <row r="875" spans="1:26" ht="12.75" customHeight="1" x14ac:dyDescent="0.2">
      <c r="A875" s="107"/>
      <c r="B875" s="107"/>
      <c r="C875" s="107"/>
      <c r="D875" s="107"/>
      <c r="E875" s="107"/>
      <c r="F875" s="107"/>
      <c r="G875" s="107"/>
      <c r="H875" s="107"/>
      <c r="I875" s="107"/>
      <c r="J875" s="107"/>
      <c r="K875" s="107"/>
      <c r="L875" s="107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</row>
    <row r="876" spans="1:26" ht="12.75" customHeight="1" x14ac:dyDescent="0.2">
      <c r="A876" s="107"/>
      <c r="B876" s="107"/>
      <c r="C876" s="107"/>
      <c r="D876" s="107"/>
      <c r="E876" s="107"/>
      <c r="F876" s="107"/>
      <c r="G876" s="107"/>
      <c r="H876" s="107"/>
      <c r="I876" s="107"/>
      <c r="J876" s="107"/>
      <c r="K876" s="107"/>
      <c r="L876" s="107"/>
      <c r="M876" s="107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</row>
    <row r="877" spans="1:26" ht="12.75" customHeight="1" x14ac:dyDescent="0.2">
      <c r="A877" s="107"/>
      <c r="B877" s="107"/>
      <c r="C877" s="107"/>
      <c r="D877" s="107"/>
      <c r="E877" s="107"/>
      <c r="F877" s="107"/>
      <c r="G877" s="107"/>
      <c r="H877" s="107"/>
      <c r="I877" s="107"/>
      <c r="J877" s="107"/>
      <c r="K877" s="107"/>
      <c r="L877" s="107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</row>
    <row r="878" spans="1:26" ht="12.75" customHeight="1" x14ac:dyDescent="0.2">
      <c r="A878" s="107"/>
      <c r="B878" s="107"/>
      <c r="C878" s="107"/>
      <c r="D878" s="107"/>
      <c r="E878" s="107"/>
      <c r="F878" s="107"/>
      <c r="G878" s="107"/>
      <c r="H878" s="107"/>
      <c r="I878" s="107"/>
      <c r="J878" s="107"/>
      <c r="K878" s="107"/>
      <c r="L878" s="107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</row>
    <row r="879" spans="1:26" ht="12.75" customHeight="1" x14ac:dyDescent="0.2">
      <c r="A879" s="107"/>
      <c r="B879" s="107"/>
      <c r="C879" s="107"/>
      <c r="D879" s="107"/>
      <c r="E879" s="107"/>
      <c r="F879" s="107"/>
      <c r="G879" s="107"/>
      <c r="H879" s="107"/>
      <c r="I879" s="107"/>
      <c r="J879" s="107"/>
      <c r="K879" s="107"/>
      <c r="L879" s="107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</row>
    <row r="880" spans="1:26" ht="12.75" customHeight="1" x14ac:dyDescent="0.2">
      <c r="A880" s="107"/>
      <c r="B880" s="107"/>
      <c r="C880" s="107"/>
      <c r="D880" s="107"/>
      <c r="E880" s="107"/>
      <c r="F880" s="107"/>
      <c r="G880" s="107"/>
      <c r="H880" s="107"/>
      <c r="I880" s="107"/>
      <c r="J880" s="107"/>
      <c r="K880" s="107"/>
      <c r="L880" s="107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</row>
    <row r="881" spans="1:26" ht="12.75" customHeight="1" x14ac:dyDescent="0.2">
      <c r="A881" s="107"/>
      <c r="B881" s="107"/>
      <c r="C881" s="107"/>
      <c r="D881" s="107"/>
      <c r="E881" s="107"/>
      <c r="F881" s="107"/>
      <c r="G881" s="107"/>
      <c r="H881" s="107"/>
      <c r="I881" s="107"/>
      <c r="J881" s="107"/>
      <c r="K881" s="107"/>
      <c r="L881" s="107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</row>
    <row r="882" spans="1:26" ht="12.75" customHeight="1" x14ac:dyDescent="0.2">
      <c r="A882" s="107"/>
      <c r="B882" s="107"/>
      <c r="C882" s="107"/>
      <c r="D882" s="107"/>
      <c r="E882" s="107"/>
      <c r="F882" s="107"/>
      <c r="G882" s="107"/>
      <c r="H882" s="107"/>
      <c r="I882" s="107"/>
      <c r="J882" s="107"/>
      <c r="K882" s="107"/>
      <c r="L882" s="107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</row>
    <row r="883" spans="1:26" ht="12.75" customHeight="1" x14ac:dyDescent="0.2">
      <c r="A883" s="107"/>
      <c r="B883" s="107"/>
      <c r="C883" s="107"/>
      <c r="D883" s="107"/>
      <c r="E883" s="107"/>
      <c r="F883" s="107"/>
      <c r="G883" s="107"/>
      <c r="H883" s="107"/>
      <c r="I883" s="107"/>
      <c r="J883" s="107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</row>
    <row r="884" spans="1:26" ht="12.75" customHeight="1" x14ac:dyDescent="0.2">
      <c r="A884" s="107"/>
      <c r="B884" s="107"/>
      <c r="C884" s="107"/>
      <c r="D884" s="107"/>
      <c r="E884" s="107"/>
      <c r="F884" s="107"/>
      <c r="G884" s="107"/>
      <c r="H884" s="107"/>
      <c r="I884" s="107"/>
      <c r="J884" s="107"/>
      <c r="K884" s="107"/>
      <c r="L884" s="107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</row>
    <row r="885" spans="1:26" ht="12.75" customHeight="1" x14ac:dyDescent="0.2">
      <c r="A885" s="107"/>
      <c r="B885" s="107"/>
      <c r="C885" s="107"/>
      <c r="D885" s="107"/>
      <c r="E885" s="107"/>
      <c r="F885" s="107"/>
      <c r="G885" s="107"/>
      <c r="H885" s="107"/>
      <c r="I885" s="107"/>
      <c r="J885" s="107"/>
      <c r="K885" s="107"/>
      <c r="L885" s="107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</row>
    <row r="886" spans="1:26" ht="12.75" customHeight="1" x14ac:dyDescent="0.2">
      <c r="A886" s="107"/>
      <c r="B886" s="107"/>
      <c r="C886" s="107"/>
      <c r="D886" s="107"/>
      <c r="E886" s="107"/>
      <c r="F886" s="107"/>
      <c r="G886" s="107"/>
      <c r="H886" s="107"/>
      <c r="I886" s="107"/>
      <c r="J886" s="107"/>
      <c r="K886" s="107"/>
      <c r="L886" s="107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</row>
    <row r="887" spans="1:26" ht="12.75" customHeight="1" x14ac:dyDescent="0.2">
      <c r="A887" s="107"/>
      <c r="B887" s="107"/>
      <c r="C887" s="107"/>
      <c r="D887" s="107"/>
      <c r="E887" s="107"/>
      <c r="F887" s="107"/>
      <c r="G887" s="107"/>
      <c r="H887" s="107"/>
      <c r="I887" s="107"/>
      <c r="J887" s="107"/>
      <c r="K887" s="107"/>
      <c r="L887" s="107"/>
      <c r="M887" s="107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</row>
    <row r="888" spans="1:26" ht="12.75" customHeight="1" x14ac:dyDescent="0.2">
      <c r="A888" s="107"/>
      <c r="B888" s="107"/>
      <c r="C888" s="107"/>
      <c r="D888" s="107"/>
      <c r="E888" s="107"/>
      <c r="F888" s="107"/>
      <c r="G888" s="107"/>
      <c r="H888" s="107"/>
      <c r="I888" s="107"/>
      <c r="J888" s="107"/>
      <c r="K888" s="107"/>
      <c r="L888" s="107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</row>
    <row r="889" spans="1:26" ht="12.75" customHeight="1" x14ac:dyDescent="0.2">
      <c r="A889" s="107"/>
      <c r="B889" s="107"/>
      <c r="C889" s="107"/>
      <c r="D889" s="107"/>
      <c r="E889" s="107"/>
      <c r="F889" s="107"/>
      <c r="G889" s="107"/>
      <c r="H889" s="107"/>
      <c r="I889" s="107"/>
      <c r="J889" s="107"/>
      <c r="K889" s="107"/>
      <c r="L889" s="107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</row>
    <row r="890" spans="1:26" ht="12.75" customHeight="1" x14ac:dyDescent="0.2">
      <c r="A890" s="107"/>
      <c r="B890" s="107"/>
      <c r="C890" s="107"/>
      <c r="D890" s="107"/>
      <c r="E890" s="107"/>
      <c r="F890" s="107"/>
      <c r="G890" s="107"/>
      <c r="H890" s="107"/>
      <c r="I890" s="107"/>
      <c r="J890" s="107"/>
      <c r="K890" s="107"/>
      <c r="L890" s="107"/>
      <c r="M890" s="107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</row>
    <row r="891" spans="1:26" ht="12.75" customHeight="1" x14ac:dyDescent="0.2">
      <c r="A891" s="107"/>
      <c r="B891" s="107"/>
      <c r="C891" s="107"/>
      <c r="D891" s="107"/>
      <c r="E891" s="107"/>
      <c r="F891" s="107"/>
      <c r="G891" s="107"/>
      <c r="H891" s="107"/>
      <c r="I891" s="107"/>
      <c r="J891" s="107"/>
      <c r="K891" s="107"/>
      <c r="L891" s="107"/>
      <c r="M891" s="107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</row>
    <row r="892" spans="1:26" ht="12.75" customHeight="1" x14ac:dyDescent="0.2">
      <c r="A892" s="107"/>
      <c r="B892" s="107"/>
      <c r="C892" s="107"/>
      <c r="D892" s="107"/>
      <c r="E892" s="107"/>
      <c r="F892" s="107"/>
      <c r="G892" s="107"/>
      <c r="H892" s="107"/>
      <c r="I892" s="107"/>
      <c r="J892" s="107"/>
      <c r="K892" s="107"/>
      <c r="L892" s="107"/>
      <c r="M892" s="107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</row>
    <row r="893" spans="1:26" ht="12.75" customHeight="1" x14ac:dyDescent="0.2">
      <c r="A893" s="107"/>
      <c r="B893" s="107"/>
      <c r="C893" s="107"/>
      <c r="D893" s="107"/>
      <c r="E893" s="107"/>
      <c r="F893" s="107"/>
      <c r="G893" s="107"/>
      <c r="H893" s="107"/>
      <c r="I893" s="107"/>
      <c r="J893" s="107"/>
      <c r="K893" s="107"/>
      <c r="L893" s="107"/>
      <c r="M893" s="107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</row>
    <row r="894" spans="1:26" ht="12.75" customHeight="1" x14ac:dyDescent="0.2">
      <c r="A894" s="107"/>
      <c r="B894" s="107"/>
      <c r="C894" s="107"/>
      <c r="D894" s="107"/>
      <c r="E894" s="107"/>
      <c r="F894" s="107"/>
      <c r="G894" s="107"/>
      <c r="H894" s="107"/>
      <c r="I894" s="107"/>
      <c r="J894" s="107"/>
      <c r="K894" s="107"/>
      <c r="L894" s="107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</row>
    <row r="895" spans="1:26" ht="12.75" customHeight="1" x14ac:dyDescent="0.2">
      <c r="A895" s="107"/>
      <c r="B895" s="107"/>
      <c r="C895" s="107"/>
      <c r="D895" s="107"/>
      <c r="E895" s="107"/>
      <c r="F895" s="107"/>
      <c r="G895" s="107"/>
      <c r="H895" s="107"/>
      <c r="I895" s="107"/>
      <c r="J895" s="107"/>
      <c r="K895" s="107"/>
      <c r="L895" s="107"/>
      <c r="M895" s="107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</row>
    <row r="896" spans="1:26" ht="12.75" customHeight="1" x14ac:dyDescent="0.2">
      <c r="A896" s="107"/>
      <c r="B896" s="107"/>
      <c r="C896" s="107"/>
      <c r="D896" s="107"/>
      <c r="E896" s="107"/>
      <c r="F896" s="107"/>
      <c r="G896" s="107"/>
      <c r="H896" s="107"/>
      <c r="I896" s="107"/>
      <c r="J896" s="107"/>
      <c r="K896" s="107"/>
      <c r="L896" s="107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</row>
    <row r="897" spans="1:26" ht="12.75" customHeight="1" x14ac:dyDescent="0.2">
      <c r="A897" s="107"/>
      <c r="B897" s="107"/>
      <c r="C897" s="107"/>
      <c r="D897" s="107"/>
      <c r="E897" s="107"/>
      <c r="F897" s="107"/>
      <c r="G897" s="107"/>
      <c r="H897" s="107"/>
      <c r="I897" s="107"/>
      <c r="J897" s="107"/>
      <c r="K897" s="107"/>
      <c r="L897" s="107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</row>
    <row r="898" spans="1:26" ht="12.75" customHeight="1" x14ac:dyDescent="0.2">
      <c r="A898" s="107"/>
      <c r="B898" s="107"/>
      <c r="C898" s="107"/>
      <c r="D898" s="107"/>
      <c r="E898" s="107"/>
      <c r="F898" s="107"/>
      <c r="G898" s="107"/>
      <c r="H898" s="107"/>
      <c r="I898" s="107"/>
      <c r="J898" s="107"/>
      <c r="K898" s="107"/>
      <c r="L898" s="107"/>
      <c r="M898" s="107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</row>
    <row r="899" spans="1:26" ht="12.75" customHeight="1" x14ac:dyDescent="0.2">
      <c r="A899" s="107"/>
      <c r="B899" s="107"/>
      <c r="C899" s="107"/>
      <c r="D899" s="107"/>
      <c r="E899" s="107"/>
      <c r="F899" s="107"/>
      <c r="G899" s="107"/>
      <c r="H899" s="107"/>
      <c r="I899" s="107"/>
      <c r="J899" s="107"/>
      <c r="K899" s="107"/>
      <c r="L899" s="107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</row>
    <row r="900" spans="1:26" ht="12.75" customHeight="1" x14ac:dyDescent="0.2">
      <c r="A900" s="107"/>
      <c r="B900" s="107"/>
      <c r="C900" s="107"/>
      <c r="D900" s="107"/>
      <c r="E900" s="107"/>
      <c r="F900" s="107"/>
      <c r="G900" s="107"/>
      <c r="H900" s="107"/>
      <c r="I900" s="107"/>
      <c r="J900" s="107"/>
      <c r="K900" s="107"/>
      <c r="L900" s="107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</row>
    <row r="901" spans="1:26" ht="12.75" customHeight="1" x14ac:dyDescent="0.2">
      <c r="A901" s="107"/>
      <c r="B901" s="107"/>
      <c r="C901" s="107"/>
      <c r="D901" s="107"/>
      <c r="E901" s="107"/>
      <c r="F901" s="107"/>
      <c r="G901" s="107"/>
      <c r="H901" s="107"/>
      <c r="I901" s="107"/>
      <c r="J901" s="107"/>
      <c r="K901" s="107"/>
      <c r="L901" s="107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</row>
    <row r="902" spans="1:26" ht="12.75" customHeight="1" x14ac:dyDescent="0.2">
      <c r="A902" s="107"/>
      <c r="B902" s="107"/>
      <c r="C902" s="107"/>
      <c r="D902" s="107"/>
      <c r="E902" s="107"/>
      <c r="F902" s="107"/>
      <c r="G902" s="107"/>
      <c r="H902" s="107"/>
      <c r="I902" s="107"/>
      <c r="J902" s="107"/>
      <c r="K902" s="107"/>
      <c r="L902" s="107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</row>
    <row r="903" spans="1:26" ht="12.75" customHeight="1" x14ac:dyDescent="0.2">
      <c r="A903" s="107"/>
      <c r="B903" s="107"/>
      <c r="C903" s="107"/>
      <c r="D903" s="107"/>
      <c r="E903" s="107"/>
      <c r="F903" s="107"/>
      <c r="G903" s="107"/>
      <c r="H903" s="107"/>
      <c r="I903" s="107"/>
      <c r="J903" s="107"/>
      <c r="K903" s="107"/>
      <c r="L903" s="107"/>
      <c r="M903" s="10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</row>
    <row r="904" spans="1:26" ht="12.75" customHeight="1" x14ac:dyDescent="0.2">
      <c r="A904" s="107"/>
      <c r="B904" s="107"/>
      <c r="C904" s="107"/>
      <c r="D904" s="107"/>
      <c r="E904" s="107"/>
      <c r="F904" s="107"/>
      <c r="G904" s="107"/>
      <c r="H904" s="107"/>
      <c r="I904" s="107"/>
      <c r="J904" s="107"/>
      <c r="K904" s="107"/>
      <c r="L904" s="107"/>
      <c r="M904" s="107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</row>
    <row r="905" spans="1:26" ht="12.75" customHeight="1" x14ac:dyDescent="0.2">
      <c r="A905" s="107"/>
      <c r="B905" s="107"/>
      <c r="C905" s="107"/>
      <c r="D905" s="107"/>
      <c r="E905" s="107"/>
      <c r="F905" s="107"/>
      <c r="G905" s="107"/>
      <c r="H905" s="107"/>
      <c r="I905" s="107"/>
      <c r="J905" s="107"/>
      <c r="K905" s="107"/>
      <c r="L905" s="107"/>
      <c r="M905" s="107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</row>
    <row r="906" spans="1:26" ht="12.75" customHeight="1" x14ac:dyDescent="0.2">
      <c r="A906" s="107"/>
      <c r="B906" s="107"/>
      <c r="C906" s="107"/>
      <c r="D906" s="107"/>
      <c r="E906" s="107"/>
      <c r="F906" s="107"/>
      <c r="G906" s="107"/>
      <c r="H906" s="107"/>
      <c r="I906" s="107"/>
      <c r="J906" s="107"/>
      <c r="K906" s="107"/>
      <c r="L906" s="107"/>
      <c r="M906" s="107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</row>
    <row r="907" spans="1:26" ht="12.75" customHeight="1" x14ac:dyDescent="0.2">
      <c r="A907" s="107"/>
      <c r="B907" s="107"/>
      <c r="C907" s="107"/>
      <c r="D907" s="107"/>
      <c r="E907" s="107"/>
      <c r="F907" s="107"/>
      <c r="G907" s="107"/>
      <c r="H907" s="107"/>
      <c r="I907" s="107"/>
      <c r="J907" s="107"/>
      <c r="K907" s="107"/>
      <c r="L907" s="107"/>
      <c r="M907" s="107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</row>
    <row r="908" spans="1:26" ht="12.75" customHeight="1" x14ac:dyDescent="0.2">
      <c r="A908" s="107"/>
      <c r="B908" s="107"/>
      <c r="C908" s="107"/>
      <c r="D908" s="107"/>
      <c r="E908" s="107"/>
      <c r="F908" s="107"/>
      <c r="G908" s="107"/>
      <c r="H908" s="107"/>
      <c r="I908" s="107"/>
      <c r="J908" s="107"/>
      <c r="K908" s="107"/>
      <c r="L908" s="107"/>
      <c r="M908" s="107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</row>
    <row r="909" spans="1:26" ht="12.75" customHeight="1" x14ac:dyDescent="0.2">
      <c r="A909" s="107"/>
      <c r="B909" s="107"/>
      <c r="C909" s="107"/>
      <c r="D909" s="107"/>
      <c r="E909" s="107"/>
      <c r="F909" s="107"/>
      <c r="G909" s="107"/>
      <c r="H909" s="107"/>
      <c r="I909" s="107"/>
      <c r="J909" s="107"/>
      <c r="K909" s="107"/>
      <c r="L909" s="107"/>
      <c r="M909" s="107"/>
      <c r="N909" s="107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</row>
    <row r="910" spans="1:26" ht="12.75" customHeight="1" x14ac:dyDescent="0.2">
      <c r="A910" s="107"/>
      <c r="B910" s="107"/>
      <c r="C910" s="107"/>
      <c r="D910" s="107"/>
      <c r="E910" s="107"/>
      <c r="F910" s="107"/>
      <c r="G910" s="107"/>
      <c r="H910" s="107"/>
      <c r="I910" s="107"/>
      <c r="J910" s="107"/>
      <c r="K910" s="107"/>
      <c r="L910" s="107"/>
      <c r="M910" s="107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</row>
    <row r="911" spans="1:26" ht="12.75" customHeight="1" x14ac:dyDescent="0.2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/>
      <c r="K911" s="107"/>
      <c r="L911" s="107"/>
      <c r="M911" s="107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</row>
    <row r="912" spans="1:26" ht="12.75" customHeight="1" x14ac:dyDescent="0.2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/>
      <c r="K912" s="107"/>
      <c r="L912" s="107"/>
      <c r="M912" s="107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</row>
    <row r="913" spans="1:26" ht="12.75" customHeight="1" x14ac:dyDescent="0.2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/>
      <c r="K913" s="107"/>
      <c r="L913" s="107"/>
      <c r="M913" s="107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</row>
    <row r="914" spans="1:26" ht="12.75" customHeight="1" x14ac:dyDescent="0.2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/>
      <c r="K914" s="107"/>
      <c r="L914" s="107"/>
      <c r="M914" s="107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</row>
    <row r="915" spans="1:26" ht="12.75" customHeight="1" x14ac:dyDescent="0.2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/>
      <c r="K915" s="107"/>
      <c r="L915" s="107"/>
      <c r="M915" s="107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</row>
    <row r="916" spans="1:26" ht="12.75" customHeight="1" x14ac:dyDescent="0.2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/>
      <c r="K916" s="107"/>
      <c r="L916" s="107"/>
      <c r="M916" s="107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</row>
    <row r="917" spans="1:26" ht="12.75" customHeight="1" x14ac:dyDescent="0.2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/>
      <c r="K917" s="107"/>
      <c r="L917" s="107"/>
      <c r="M917" s="107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</row>
    <row r="918" spans="1:26" ht="12.75" customHeight="1" x14ac:dyDescent="0.2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/>
      <c r="K918" s="107"/>
      <c r="L918" s="107"/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</row>
    <row r="919" spans="1:26" ht="12.75" customHeight="1" x14ac:dyDescent="0.2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/>
      <c r="K919" s="107"/>
      <c r="L919" s="107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</row>
    <row r="920" spans="1:26" ht="12.75" customHeight="1" x14ac:dyDescent="0.2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/>
      <c r="K920" s="107"/>
      <c r="L920" s="107"/>
      <c r="M920" s="107"/>
      <c r="N920" s="107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</row>
    <row r="921" spans="1:26" ht="12.75" customHeight="1" x14ac:dyDescent="0.2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/>
      <c r="K921" s="107"/>
      <c r="L921" s="107"/>
      <c r="M921" s="107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</row>
    <row r="922" spans="1:26" ht="12.75" customHeight="1" x14ac:dyDescent="0.2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/>
      <c r="K922" s="107"/>
      <c r="L922" s="107"/>
      <c r="M922" s="107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</row>
    <row r="923" spans="1:26" ht="12.75" customHeight="1" x14ac:dyDescent="0.2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/>
      <c r="K923" s="107"/>
      <c r="L923" s="107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</row>
    <row r="924" spans="1:26" ht="12.75" customHeight="1" x14ac:dyDescent="0.2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/>
      <c r="K924" s="107"/>
      <c r="L924" s="107"/>
      <c r="M924" s="107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</row>
    <row r="925" spans="1:26" ht="12.75" customHeight="1" x14ac:dyDescent="0.2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/>
      <c r="K925" s="107"/>
      <c r="L925" s="107"/>
      <c r="M925" s="107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</row>
    <row r="926" spans="1:26" ht="12.75" customHeight="1" x14ac:dyDescent="0.2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/>
      <c r="K926" s="107"/>
      <c r="L926" s="107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</row>
    <row r="927" spans="1:26" ht="12.75" customHeight="1" x14ac:dyDescent="0.2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/>
      <c r="K927" s="107"/>
      <c r="L927" s="107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</row>
    <row r="928" spans="1:26" ht="12.75" customHeight="1" x14ac:dyDescent="0.2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/>
      <c r="K928" s="107"/>
      <c r="L928" s="107"/>
      <c r="M928" s="107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</row>
    <row r="929" spans="1:26" ht="12.75" customHeight="1" x14ac:dyDescent="0.2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/>
      <c r="K929" s="107"/>
      <c r="L929" s="107"/>
      <c r="M929" s="107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</row>
    <row r="930" spans="1:26" ht="12.75" customHeight="1" x14ac:dyDescent="0.2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/>
      <c r="K930" s="107"/>
      <c r="L930" s="107"/>
      <c r="M930" s="107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</row>
    <row r="931" spans="1:26" ht="12.75" customHeight="1" x14ac:dyDescent="0.2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/>
      <c r="K931" s="107"/>
      <c r="L931" s="107"/>
      <c r="M931" s="107"/>
      <c r="N931" s="107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</row>
    <row r="932" spans="1:26" ht="12.75" customHeight="1" x14ac:dyDescent="0.2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/>
      <c r="K932" s="107"/>
      <c r="L932" s="107"/>
      <c r="M932" s="107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</row>
    <row r="933" spans="1:26" ht="12.75" customHeight="1" x14ac:dyDescent="0.2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/>
      <c r="K933" s="107"/>
      <c r="L933" s="107"/>
      <c r="M933" s="107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</row>
    <row r="934" spans="1:26" ht="12.75" customHeight="1" x14ac:dyDescent="0.2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/>
      <c r="K934" s="107"/>
      <c r="L934" s="107"/>
      <c r="M934" s="107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</row>
    <row r="935" spans="1:26" ht="12.75" customHeight="1" x14ac:dyDescent="0.2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/>
      <c r="K935" s="107"/>
      <c r="L935" s="107"/>
      <c r="M935" s="107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</row>
    <row r="936" spans="1:26" ht="12.75" customHeight="1" x14ac:dyDescent="0.2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/>
      <c r="K936" s="107"/>
      <c r="L936" s="107"/>
      <c r="M936" s="107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</row>
    <row r="937" spans="1:26" ht="12.75" customHeight="1" x14ac:dyDescent="0.2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/>
      <c r="K937" s="107"/>
      <c r="L937" s="107"/>
      <c r="M937" s="107"/>
      <c r="N937" s="107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</row>
    <row r="938" spans="1:26" ht="12.75" customHeight="1" x14ac:dyDescent="0.2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/>
      <c r="K938" s="107"/>
      <c r="L938" s="107"/>
      <c r="M938" s="107"/>
      <c r="N938" s="107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</row>
    <row r="939" spans="1:26" ht="12.75" customHeight="1" x14ac:dyDescent="0.2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/>
      <c r="K939" s="107"/>
      <c r="L939" s="107"/>
      <c r="M939" s="107"/>
      <c r="N939" s="107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</row>
    <row r="940" spans="1:26" ht="12.75" customHeight="1" x14ac:dyDescent="0.2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/>
      <c r="K940" s="107"/>
      <c r="L940" s="107"/>
      <c r="M940" s="107"/>
      <c r="N940" s="107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</row>
    <row r="941" spans="1:26" ht="12.75" customHeight="1" x14ac:dyDescent="0.2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/>
      <c r="K941" s="107"/>
      <c r="L941" s="107"/>
      <c r="M941" s="107"/>
      <c r="N941" s="107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</row>
    <row r="942" spans="1:26" ht="12.75" customHeight="1" x14ac:dyDescent="0.2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/>
      <c r="K942" s="107"/>
      <c r="L942" s="107"/>
      <c r="M942" s="107"/>
      <c r="N942" s="107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  <c r="Y942" s="107"/>
      <c r="Z942" s="107"/>
    </row>
    <row r="943" spans="1:26" ht="12.75" customHeight="1" x14ac:dyDescent="0.2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/>
      <c r="K943" s="107"/>
      <c r="L943" s="107"/>
      <c r="M943" s="107"/>
      <c r="N943" s="107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</row>
    <row r="944" spans="1:26" ht="12.75" customHeight="1" x14ac:dyDescent="0.2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/>
      <c r="K944" s="107"/>
      <c r="L944" s="107"/>
      <c r="M944" s="107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</row>
    <row r="945" spans="1:26" ht="12.75" customHeight="1" x14ac:dyDescent="0.2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/>
      <c r="K945" s="107"/>
      <c r="L945" s="107"/>
      <c r="M945" s="107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</row>
    <row r="946" spans="1:26" ht="12.75" customHeight="1" x14ac:dyDescent="0.2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/>
      <c r="K946" s="107"/>
      <c r="L946" s="107"/>
      <c r="M946" s="107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</row>
    <row r="947" spans="1:26" ht="12.75" customHeight="1" x14ac:dyDescent="0.2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/>
      <c r="K947" s="107"/>
      <c r="L947" s="107"/>
      <c r="M947" s="10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</row>
    <row r="948" spans="1:26" ht="12.75" customHeight="1" x14ac:dyDescent="0.2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/>
      <c r="K948" s="107"/>
      <c r="L948" s="107"/>
      <c r="M948" s="107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</row>
    <row r="949" spans="1:26" ht="12.75" customHeight="1" x14ac:dyDescent="0.2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/>
      <c r="K949" s="107"/>
      <c r="L949" s="107"/>
      <c r="M949" s="107"/>
      <c r="N949" s="107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</row>
    <row r="950" spans="1:26" ht="12.75" customHeight="1" x14ac:dyDescent="0.2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/>
      <c r="K950" s="107"/>
      <c r="L950" s="107"/>
      <c r="M950" s="107"/>
      <c r="N950" s="107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</row>
    <row r="951" spans="1:26" ht="12.75" customHeight="1" x14ac:dyDescent="0.2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/>
      <c r="K951" s="107"/>
      <c r="L951" s="107"/>
      <c r="M951" s="107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</row>
    <row r="952" spans="1:26" ht="12.75" customHeight="1" x14ac:dyDescent="0.2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/>
      <c r="K952" s="107"/>
      <c r="L952" s="107"/>
      <c r="M952" s="107"/>
      <c r="N952" s="107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</row>
    <row r="953" spans="1:26" ht="12.75" customHeight="1" x14ac:dyDescent="0.2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/>
      <c r="K953" s="107"/>
      <c r="L953" s="107"/>
      <c r="M953" s="107"/>
      <c r="N953" s="107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  <c r="Y953" s="107"/>
      <c r="Z953" s="107"/>
    </row>
    <row r="954" spans="1:26" ht="12.75" customHeight="1" x14ac:dyDescent="0.2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/>
      <c r="K954" s="107"/>
      <c r="L954" s="107"/>
      <c r="M954" s="107"/>
      <c r="N954" s="107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</row>
    <row r="955" spans="1:26" ht="12.75" customHeight="1" x14ac:dyDescent="0.2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/>
      <c r="K955" s="107"/>
      <c r="L955" s="107"/>
      <c r="M955" s="107"/>
      <c r="N955" s="107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</row>
    <row r="956" spans="1:26" ht="12.75" customHeight="1" x14ac:dyDescent="0.2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/>
      <c r="K956" s="107"/>
      <c r="L956" s="107"/>
      <c r="M956" s="107"/>
      <c r="N956" s="107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</row>
    <row r="957" spans="1:26" ht="12.75" customHeight="1" x14ac:dyDescent="0.2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/>
      <c r="K957" s="107"/>
      <c r="L957" s="107"/>
      <c r="M957" s="107"/>
      <c r="N957" s="107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</row>
    <row r="958" spans="1:26" ht="12.75" customHeight="1" x14ac:dyDescent="0.2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/>
      <c r="K958" s="107"/>
      <c r="L958" s="107"/>
      <c r="M958" s="107"/>
      <c r="N958" s="107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  <c r="Y958" s="107"/>
      <c r="Z958" s="107"/>
    </row>
    <row r="959" spans="1:26" ht="12.75" customHeight="1" x14ac:dyDescent="0.2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/>
      <c r="K959" s="107"/>
      <c r="L959" s="107"/>
      <c r="M959" s="107"/>
      <c r="N959" s="107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  <c r="Y959" s="107"/>
      <c r="Z959" s="107"/>
    </row>
    <row r="960" spans="1:26" ht="12.75" customHeight="1" x14ac:dyDescent="0.2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/>
      <c r="K960" s="107"/>
      <c r="L960" s="107"/>
      <c r="M960" s="107"/>
      <c r="N960" s="107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  <c r="Y960" s="107"/>
      <c r="Z960" s="107"/>
    </row>
    <row r="961" spans="1:26" ht="12.75" customHeight="1" x14ac:dyDescent="0.2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/>
      <c r="K961" s="107"/>
      <c r="L961" s="107"/>
      <c r="M961" s="107"/>
      <c r="N961" s="107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  <c r="Y961" s="107"/>
      <c r="Z961" s="107"/>
    </row>
    <row r="962" spans="1:26" ht="12.75" customHeight="1" x14ac:dyDescent="0.2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/>
      <c r="K962" s="107"/>
      <c r="L962" s="107"/>
      <c r="M962" s="107"/>
      <c r="N962" s="107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  <c r="Y962" s="107"/>
      <c r="Z962" s="107"/>
    </row>
    <row r="963" spans="1:26" ht="12.75" customHeight="1" x14ac:dyDescent="0.2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/>
      <c r="K963" s="107"/>
      <c r="L963" s="107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</row>
    <row r="964" spans="1:26" ht="12.75" customHeight="1" x14ac:dyDescent="0.2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/>
      <c r="K964" s="107"/>
      <c r="L964" s="107"/>
      <c r="M964" s="107"/>
      <c r="N964" s="107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  <c r="Y964" s="107"/>
      <c r="Z964" s="107"/>
    </row>
    <row r="965" spans="1:26" ht="12.75" customHeight="1" x14ac:dyDescent="0.2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/>
      <c r="K965" s="107"/>
      <c r="L965" s="107"/>
      <c r="M965" s="107"/>
      <c r="N965" s="107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  <c r="Y965" s="107"/>
      <c r="Z965" s="107"/>
    </row>
    <row r="966" spans="1:26" ht="12.75" customHeight="1" x14ac:dyDescent="0.2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/>
      <c r="K966" s="107"/>
      <c r="L966" s="107"/>
      <c r="M966" s="107"/>
      <c r="N966" s="107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  <c r="Y966" s="107"/>
      <c r="Z966" s="107"/>
    </row>
    <row r="967" spans="1:26" ht="12.75" customHeight="1" x14ac:dyDescent="0.2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/>
      <c r="K967" s="107"/>
      <c r="L967" s="107"/>
      <c r="M967" s="107"/>
      <c r="N967" s="107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  <c r="Y967" s="107"/>
      <c r="Z967" s="107"/>
    </row>
    <row r="968" spans="1:26" ht="12.75" customHeight="1" x14ac:dyDescent="0.2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/>
      <c r="K968" s="107"/>
      <c r="L968" s="107"/>
      <c r="M968" s="107"/>
      <c r="N968" s="107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  <c r="Y968" s="107"/>
      <c r="Z968" s="107"/>
    </row>
    <row r="969" spans="1:26" ht="12.75" customHeight="1" x14ac:dyDescent="0.2">
      <c r="A969" s="107"/>
      <c r="B969" s="107"/>
      <c r="C969" s="107"/>
      <c r="D969" s="107"/>
      <c r="E969" s="107"/>
      <c r="F969" s="107"/>
      <c r="G969" s="107"/>
      <c r="H969" s="107"/>
      <c r="I969" s="107"/>
      <c r="J969" s="107"/>
      <c r="K969" s="107"/>
      <c r="L969" s="107"/>
      <c r="M969" s="107"/>
      <c r="N969" s="107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  <c r="Y969" s="107"/>
      <c r="Z969" s="107"/>
    </row>
    <row r="970" spans="1:26" ht="12.75" customHeight="1" x14ac:dyDescent="0.2">
      <c r="A970" s="107"/>
      <c r="B970" s="107"/>
      <c r="C970" s="107"/>
      <c r="D970" s="107"/>
      <c r="E970" s="107"/>
      <c r="F970" s="107"/>
      <c r="G970" s="107"/>
      <c r="H970" s="107"/>
      <c r="I970" s="107"/>
      <c r="J970" s="107"/>
      <c r="K970" s="107"/>
      <c r="L970" s="107"/>
      <c r="M970" s="107"/>
      <c r="N970" s="107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  <c r="Y970" s="107"/>
      <c r="Z970" s="107"/>
    </row>
    <row r="971" spans="1:26" ht="12.75" customHeight="1" x14ac:dyDescent="0.2">
      <c r="A971" s="107"/>
      <c r="B971" s="107"/>
      <c r="C971" s="107"/>
      <c r="D971" s="107"/>
      <c r="E971" s="107"/>
      <c r="F971" s="107"/>
      <c r="G971" s="107"/>
      <c r="H971" s="107"/>
      <c r="I971" s="107"/>
      <c r="J971" s="107"/>
      <c r="K971" s="107"/>
      <c r="L971" s="107"/>
      <c r="M971" s="107"/>
      <c r="N971" s="107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  <c r="Y971" s="107"/>
      <c r="Z971" s="107"/>
    </row>
    <row r="972" spans="1:26" ht="12.75" customHeight="1" x14ac:dyDescent="0.2">
      <c r="A972" s="107"/>
      <c r="B972" s="107"/>
      <c r="C972" s="107"/>
      <c r="D972" s="107"/>
      <c r="E972" s="107"/>
      <c r="F972" s="107"/>
      <c r="G972" s="107"/>
      <c r="H972" s="107"/>
      <c r="I972" s="107"/>
      <c r="J972" s="107"/>
      <c r="K972" s="107"/>
      <c r="L972" s="107"/>
      <c r="M972" s="107"/>
      <c r="N972" s="107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  <c r="Y972" s="107"/>
      <c r="Z972" s="107"/>
    </row>
    <row r="973" spans="1:26" ht="12.75" customHeight="1" x14ac:dyDescent="0.2">
      <c r="A973" s="107"/>
      <c r="B973" s="107"/>
      <c r="C973" s="107"/>
      <c r="D973" s="107"/>
      <c r="E973" s="107"/>
      <c r="F973" s="107"/>
      <c r="G973" s="107"/>
      <c r="H973" s="107"/>
      <c r="I973" s="107"/>
      <c r="J973" s="107"/>
      <c r="K973" s="107"/>
      <c r="L973" s="107"/>
      <c r="M973" s="107"/>
      <c r="N973" s="107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  <c r="Y973" s="107"/>
      <c r="Z973" s="107"/>
    </row>
    <row r="974" spans="1:26" ht="12.75" customHeight="1" x14ac:dyDescent="0.2">
      <c r="A974" s="107"/>
      <c r="B974" s="107"/>
      <c r="C974" s="107"/>
      <c r="D974" s="107"/>
      <c r="E974" s="107"/>
      <c r="F974" s="107"/>
      <c r="G974" s="107"/>
      <c r="H974" s="107"/>
      <c r="I974" s="107"/>
      <c r="J974" s="107"/>
      <c r="K974" s="107"/>
      <c r="L974" s="107"/>
      <c r="M974" s="107"/>
      <c r="N974" s="107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  <c r="Y974" s="107"/>
      <c r="Z974" s="107"/>
    </row>
    <row r="975" spans="1:26" ht="12.75" customHeight="1" x14ac:dyDescent="0.2">
      <c r="A975" s="107"/>
      <c r="B975" s="107"/>
      <c r="C975" s="107"/>
      <c r="D975" s="107"/>
      <c r="E975" s="107"/>
      <c r="F975" s="107"/>
      <c r="G975" s="107"/>
      <c r="H975" s="107"/>
      <c r="I975" s="107"/>
      <c r="J975" s="107"/>
      <c r="K975" s="107"/>
      <c r="L975" s="107"/>
      <c r="M975" s="107"/>
      <c r="N975" s="107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  <c r="Y975" s="107"/>
      <c r="Z975" s="107"/>
    </row>
    <row r="976" spans="1:26" ht="12.75" customHeight="1" x14ac:dyDescent="0.2">
      <c r="A976" s="107"/>
      <c r="B976" s="107"/>
      <c r="C976" s="107"/>
      <c r="D976" s="107"/>
      <c r="E976" s="107"/>
      <c r="F976" s="107"/>
      <c r="G976" s="107"/>
      <c r="H976" s="107"/>
      <c r="I976" s="107"/>
      <c r="J976" s="107"/>
      <c r="K976" s="107"/>
      <c r="L976" s="107"/>
      <c r="M976" s="107"/>
      <c r="N976" s="107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  <c r="Y976" s="107"/>
      <c r="Z976" s="107"/>
    </row>
    <row r="977" spans="1:26" ht="12.75" customHeight="1" x14ac:dyDescent="0.2">
      <c r="A977" s="107"/>
      <c r="B977" s="107"/>
      <c r="C977" s="107"/>
      <c r="D977" s="107"/>
      <c r="E977" s="107"/>
      <c r="F977" s="107"/>
      <c r="G977" s="107"/>
      <c r="H977" s="107"/>
      <c r="I977" s="107"/>
      <c r="J977" s="107"/>
      <c r="K977" s="107"/>
      <c r="L977" s="107"/>
      <c r="M977" s="107"/>
      <c r="N977" s="107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  <c r="Y977" s="107"/>
      <c r="Z977" s="107"/>
    </row>
    <row r="978" spans="1:26" ht="12.75" customHeight="1" x14ac:dyDescent="0.2">
      <c r="A978" s="107"/>
      <c r="B978" s="107"/>
      <c r="C978" s="107"/>
      <c r="D978" s="107"/>
      <c r="E978" s="107"/>
      <c r="F978" s="107"/>
      <c r="G978" s="107"/>
      <c r="H978" s="107"/>
      <c r="I978" s="107"/>
      <c r="J978" s="107"/>
      <c r="K978" s="107"/>
      <c r="L978" s="107"/>
      <c r="M978" s="107"/>
      <c r="N978" s="107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  <c r="Y978" s="107"/>
      <c r="Z978" s="107"/>
    </row>
    <row r="979" spans="1:26" ht="12.75" customHeight="1" x14ac:dyDescent="0.2">
      <c r="A979" s="107"/>
      <c r="B979" s="107"/>
      <c r="C979" s="107"/>
      <c r="D979" s="107"/>
      <c r="E979" s="107"/>
      <c r="F979" s="107"/>
      <c r="G979" s="107"/>
      <c r="H979" s="107"/>
      <c r="I979" s="107"/>
      <c r="J979" s="107"/>
      <c r="K979" s="107"/>
      <c r="L979" s="107"/>
      <c r="M979" s="107"/>
      <c r="N979" s="107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  <c r="Y979" s="107"/>
      <c r="Z979" s="107"/>
    </row>
    <row r="980" spans="1:26" ht="12.75" customHeight="1" x14ac:dyDescent="0.2">
      <c r="A980" s="107"/>
      <c r="B980" s="107"/>
      <c r="C980" s="107"/>
      <c r="D980" s="107"/>
      <c r="E980" s="107"/>
      <c r="F980" s="107"/>
      <c r="G980" s="107"/>
      <c r="H980" s="107"/>
      <c r="I980" s="107"/>
      <c r="J980" s="107"/>
      <c r="K980" s="107"/>
      <c r="L980" s="107"/>
      <c r="M980" s="107"/>
      <c r="N980" s="107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  <c r="Y980" s="107"/>
      <c r="Z980" s="107"/>
    </row>
    <row r="981" spans="1:26" ht="12.75" customHeight="1" x14ac:dyDescent="0.2">
      <c r="A981" s="107"/>
      <c r="B981" s="107"/>
      <c r="C981" s="107"/>
      <c r="D981" s="107"/>
      <c r="E981" s="107"/>
      <c r="F981" s="107"/>
      <c r="G981" s="107"/>
      <c r="H981" s="107"/>
      <c r="I981" s="107"/>
      <c r="J981" s="107"/>
      <c r="K981" s="107"/>
      <c r="L981" s="107"/>
      <c r="M981" s="107"/>
      <c r="N981" s="107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  <c r="Y981" s="107"/>
      <c r="Z981" s="107"/>
    </row>
    <row r="982" spans="1:26" ht="12.75" customHeight="1" x14ac:dyDescent="0.2">
      <c r="A982" s="107"/>
      <c r="B982" s="107"/>
      <c r="C982" s="107"/>
      <c r="D982" s="107"/>
      <c r="E982" s="107"/>
      <c r="F982" s="107"/>
      <c r="G982" s="107"/>
      <c r="H982" s="107"/>
      <c r="I982" s="107"/>
      <c r="J982" s="107"/>
      <c r="K982" s="107"/>
      <c r="L982" s="107"/>
      <c r="M982" s="107"/>
      <c r="N982" s="107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  <c r="Y982" s="107"/>
      <c r="Z982" s="107"/>
    </row>
    <row r="983" spans="1:26" ht="12.75" customHeight="1" x14ac:dyDescent="0.2">
      <c r="A983" s="107"/>
      <c r="B983" s="107"/>
      <c r="C983" s="107"/>
      <c r="D983" s="107"/>
      <c r="E983" s="107"/>
      <c r="F983" s="107"/>
      <c r="G983" s="107"/>
      <c r="H983" s="107"/>
      <c r="I983" s="107"/>
      <c r="J983" s="107"/>
      <c r="K983" s="107"/>
      <c r="L983" s="107"/>
      <c r="M983" s="107"/>
      <c r="N983" s="107"/>
      <c r="O983" s="107"/>
      <c r="P983" s="107"/>
      <c r="Q983" s="107"/>
      <c r="R983" s="107"/>
      <c r="S983" s="107"/>
      <c r="T983" s="107"/>
      <c r="U983" s="107"/>
      <c r="V983" s="107"/>
      <c r="W983" s="107"/>
      <c r="X983" s="107"/>
      <c r="Y983" s="107"/>
      <c r="Z983" s="107"/>
    </row>
    <row r="984" spans="1:26" ht="12.75" customHeight="1" x14ac:dyDescent="0.2">
      <c r="A984" s="107"/>
      <c r="B984" s="107"/>
      <c r="C984" s="107"/>
      <c r="D984" s="107"/>
      <c r="E984" s="107"/>
      <c r="F984" s="107"/>
      <c r="G984" s="107"/>
      <c r="H984" s="107"/>
      <c r="I984" s="107"/>
      <c r="J984" s="107"/>
      <c r="K984" s="107"/>
      <c r="L984" s="107"/>
      <c r="M984" s="107"/>
      <c r="N984" s="107"/>
      <c r="O984" s="107"/>
      <c r="P984" s="107"/>
      <c r="Q984" s="107"/>
      <c r="R984" s="107"/>
      <c r="S984" s="107"/>
      <c r="T984" s="107"/>
      <c r="U984" s="107"/>
      <c r="V984" s="107"/>
      <c r="W984" s="107"/>
      <c r="X984" s="107"/>
      <c r="Y984" s="107"/>
      <c r="Z984" s="107"/>
    </row>
    <row r="985" spans="1:26" ht="12.75" customHeight="1" x14ac:dyDescent="0.2">
      <c r="A985" s="107"/>
      <c r="B985" s="107"/>
      <c r="C985" s="107"/>
      <c r="D985" s="107"/>
      <c r="E985" s="107"/>
      <c r="F985" s="107"/>
      <c r="G985" s="107"/>
      <c r="H985" s="107"/>
      <c r="I985" s="107"/>
      <c r="J985" s="107"/>
      <c r="K985" s="107"/>
      <c r="L985" s="107"/>
      <c r="M985" s="107"/>
      <c r="N985" s="107"/>
      <c r="O985" s="107"/>
      <c r="P985" s="107"/>
      <c r="Q985" s="107"/>
      <c r="R985" s="107"/>
      <c r="S985" s="107"/>
      <c r="T985" s="107"/>
      <c r="U985" s="107"/>
      <c r="V985" s="107"/>
      <c r="W985" s="107"/>
      <c r="X985" s="107"/>
      <c r="Y985" s="107"/>
      <c r="Z985" s="107"/>
    </row>
    <row r="986" spans="1:26" ht="12.75" customHeight="1" x14ac:dyDescent="0.2">
      <c r="A986" s="107"/>
      <c r="B986" s="107"/>
      <c r="C986" s="107"/>
      <c r="D986" s="107"/>
      <c r="E986" s="107"/>
      <c r="F986" s="107"/>
      <c r="G986" s="107"/>
      <c r="H986" s="107"/>
      <c r="I986" s="107"/>
      <c r="J986" s="107"/>
      <c r="K986" s="107"/>
      <c r="L986" s="107"/>
      <c r="M986" s="107"/>
      <c r="N986" s="107"/>
      <c r="O986" s="107"/>
      <c r="P986" s="107"/>
      <c r="Q986" s="107"/>
      <c r="R986" s="107"/>
      <c r="S986" s="107"/>
      <c r="T986" s="107"/>
      <c r="U986" s="107"/>
      <c r="V986" s="107"/>
      <c r="W986" s="107"/>
      <c r="X986" s="107"/>
      <c r="Y986" s="107"/>
      <c r="Z986" s="107"/>
    </row>
    <row r="987" spans="1:26" ht="12.75" customHeight="1" x14ac:dyDescent="0.2">
      <c r="A987" s="107"/>
      <c r="B987" s="107"/>
      <c r="C987" s="107"/>
      <c r="D987" s="107"/>
      <c r="E987" s="107"/>
      <c r="F987" s="107"/>
      <c r="G987" s="107"/>
      <c r="H987" s="107"/>
      <c r="I987" s="107"/>
      <c r="J987" s="107"/>
      <c r="K987" s="107"/>
      <c r="L987" s="107"/>
      <c r="M987" s="107"/>
      <c r="N987" s="107"/>
      <c r="O987" s="107"/>
      <c r="P987" s="107"/>
      <c r="Q987" s="107"/>
      <c r="R987" s="107"/>
      <c r="S987" s="107"/>
      <c r="T987" s="107"/>
      <c r="U987" s="107"/>
      <c r="V987" s="107"/>
      <c r="W987" s="107"/>
      <c r="X987" s="107"/>
      <c r="Y987" s="107"/>
      <c r="Z987" s="107"/>
    </row>
    <row r="988" spans="1:26" ht="12.75" customHeight="1" x14ac:dyDescent="0.2">
      <c r="A988" s="107"/>
      <c r="B988" s="107"/>
      <c r="C988" s="107"/>
      <c r="D988" s="107"/>
      <c r="E988" s="107"/>
      <c r="F988" s="107"/>
      <c r="G988" s="107"/>
      <c r="H988" s="107"/>
      <c r="I988" s="107"/>
      <c r="J988" s="107"/>
      <c r="K988" s="107"/>
      <c r="L988" s="107"/>
      <c r="M988" s="107"/>
      <c r="N988" s="107"/>
      <c r="O988" s="107"/>
      <c r="P988" s="107"/>
      <c r="Q988" s="107"/>
      <c r="R988" s="107"/>
      <c r="S988" s="107"/>
      <c r="T988" s="107"/>
      <c r="U988" s="107"/>
      <c r="V988" s="107"/>
      <c r="W988" s="107"/>
      <c r="X988" s="107"/>
      <c r="Y988" s="107"/>
      <c r="Z988" s="107"/>
    </row>
    <row r="989" spans="1:26" ht="12.75" customHeight="1" x14ac:dyDescent="0.2">
      <c r="A989" s="107"/>
      <c r="B989" s="107"/>
      <c r="C989" s="107"/>
      <c r="D989" s="107"/>
      <c r="E989" s="107"/>
      <c r="F989" s="107"/>
      <c r="G989" s="107"/>
      <c r="H989" s="107"/>
      <c r="I989" s="107"/>
      <c r="J989" s="107"/>
      <c r="K989" s="107"/>
      <c r="L989" s="107"/>
      <c r="M989" s="107"/>
      <c r="N989" s="107"/>
      <c r="O989" s="107"/>
      <c r="P989" s="107"/>
      <c r="Q989" s="107"/>
      <c r="R989" s="107"/>
      <c r="S989" s="107"/>
      <c r="T989" s="107"/>
      <c r="U989" s="107"/>
      <c r="V989" s="107"/>
      <c r="W989" s="107"/>
      <c r="X989" s="107"/>
      <c r="Y989" s="107"/>
      <c r="Z989" s="107"/>
    </row>
    <row r="990" spans="1:26" ht="12.75" customHeight="1" x14ac:dyDescent="0.2">
      <c r="A990" s="107"/>
      <c r="B990" s="107"/>
      <c r="C990" s="107"/>
      <c r="D990" s="107"/>
      <c r="E990" s="107"/>
      <c r="F990" s="107"/>
      <c r="G990" s="107"/>
      <c r="H990" s="107"/>
      <c r="I990" s="107"/>
      <c r="J990" s="107"/>
      <c r="K990" s="107"/>
      <c r="L990" s="107"/>
      <c r="M990" s="107"/>
      <c r="N990" s="107"/>
      <c r="O990" s="107"/>
      <c r="P990" s="107"/>
      <c r="Q990" s="107"/>
      <c r="R990" s="107"/>
      <c r="S990" s="107"/>
      <c r="T990" s="107"/>
      <c r="U990" s="107"/>
      <c r="V990" s="107"/>
      <c r="W990" s="107"/>
      <c r="X990" s="107"/>
      <c r="Y990" s="107"/>
      <c r="Z990" s="107"/>
    </row>
    <row r="991" spans="1:26" ht="12.75" customHeight="1" x14ac:dyDescent="0.2">
      <c r="A991" s="107"/>
      <c r="B991" s="107"/>
      <c r="C991" s="107"/>
      <c r="D991" s="107"/>
      <c r="E991" s="107"/>
      <c r="F991" s="107"/>
      <c r="G991" s="107"/>
      <c r="H991" s="107"/>
      <c r="I991" s="107"/>
      <c r="J991" s="107"/>
      <c r="K991" s="107"/>
      <c r="L991" s="107"/>
      <c r="M991" s="107"/>
      <c r="N991" s="107"/>
      <c r="O991" s="107"/>
      <c r="P991" s="107"/>
      <c r="Q991" s="107"/>
      <c r="R991" s="107"/>
      <c r="S991" s="107"/>
      <c r="T991" s="107"/>
      <c r="U991" s="107"/>
      <c r="V991" s="107"/>
      <c r="W991" s="107"/>
      <c r="X991" s="107"/>
      <c r="Y991" s="107"/>
      <c r="Z991" s="107"/>
    </row>
    <row r="992" spans="1:26" ht="12.75" customHeight="1" x14ac:dyDescent="0.2">
      <c r="A992" s="107"/>
      <c r="B992" s="107"/>
      <c r="C992" s="107"/>
      <c r="D992" s="107"/>
      <c r="E992" s="107"/>
      <c r="F992" s="107"/>
      <c r="G992" s="107"/>
      <c r="H992" s="107"/>
      <c r="I992" s="107"/>
      <c r="J992" s="107"/>
      <c r="K992" s="107"/>
      <c r="L992" s="107"/>
      <c r="M992" s="107"/>
      <c r="N992" s="107"/>
      <c r="O992" s="107"/>
      <c r="P992" s="107"/>
      <c r="Q992" s="107"/>
      <c r="R992" s="107"/>
      <c r="S992" s="107"/>
      <c r="T992" s="107"/>
      <c r="U992" s="107"/>
      <c r="V992" s="107"/>
      <c r="W992" s="107"/>
      <c r="X992" s="107"/>
      <c r="Y992" s="107"/>
      <c r="Z992" s="107"/>
    </row>
    <row r="993" spans="1:26" ht="12.75" customHeight="1" x14ac:dyDescent="0.2">
      <c r="A993" s="107"/>
      <c r="B993" s="107"/>
      <c r="C993" s="107"/>
      <c r="D993" s="107"/>
      <c r="E993" s="107"/>
      <c r="F993" s="107"/>
      <c r="G993" s="107"/>
      <c r="H993" s="107"/>
      <c r="I993" s="107"/>
      <c r="J993" s="107"/>
      <c r="K993" s="107"/>
      <c r="L993" s="107"/>
      <c r="M993" s="107"/>
      <c r="N993" s="107"/>
      <c r="O993" s="107"/>
      <c r="P993" s="107"/>
      <c r="Q993" s="107"/>
      <c r="R993" s="107"/>
      <c r="S993" s="107"/>
      <c r="T993" s="107"/>
      <c r="U993" s="107"/>
      <c r="V993" s="107"/>
      <c r="W993" s="107"/>
      <c r="X993" s="107"/>
      <c r="Y993" s="107"/>
      <c r="Z993" s="107"/>
    </row>
    <row r="994" spans="1:26" ht="12.75" customHeight="1" x14ac:dyDescent="0.2">
      <c r="A994" s="107"/>
      <c r="B994" s="107"/>
      <c r="C994" s="107"/>
      <c r="D994" s="107"/>
      <c r="E994" s="107"/>
      <c r="F994" s="107"/>
      <c r="G994" s="107"/>
      <c r="H994" s="107"/>
      <c r="I994" s="107"/>
      <c r="J994" s="107"/>
      <c r="K994" s="107"/>
      <c r="L994" s="107"/>
      <c r="M994" s="107"/>
      <c r="N994" s="107"/>
      <c r="O994" s="107"/>
      <c r="P994" s="107"/>
      <c r="Q994" s="107"/>
      <c r="R994" s="107"/>
      <c r="S994" s="107"/>
      <c r="T994" s="107"/>
      <c r="U994" s="107"/>
      <c r="V994" s="107"/>
      <c r="W994" s="107"/>
      <c r="X994" s="107"/>
      <c r="Y994" s="107"/>
      <c r="Z994" s="107"/>
    </row>
    <row r="995" spans="1:26" ht="12.75" customHeight="1" x14ac:dyDescent="0.2">
      <c r="A995" s="107"/>
      <c r="B995" s="107"/>
      <c r="C995" s="107"/>
      <c r="D995" s="107"/>
      <c r="E995" s="107"/>
      <c r="F995" s="107"/>
      <c r="G995" s="107"/>
      <c r="H995" s="107"/>
      <c r="I995" s="107"/>
      <c r="J995" s="107"/>
      <c r="K995" s="107"/>
      <c r="L995" s="107"/>
      <c r="M995" s="107"/>
      <c r="N995" s="107"/>
      <c r="O995" s="107"/>
      <c r="P995" s="107"/>
      <c r="Q995" s="107"/>
      <c r="R995" s="107"/>
      <c r="S995" s="107"/>
      <c r="T995" s="107"/>
      <c r="U995" s="107"/>
      <c r="V995" s="107"/>
      <c r="W995" s="107"/>
      <c r="X995" s="107"/>
      <c r="Y995" s="107"/>
      <c r="Z995" s="107"/>
    </row>
    <row r="996" spans="1:26" ht="12.75" customHeight="1" x14ac:dyDescent="0.2">
      <c r="A996" s="107"/>
      <c r="B996" s="107"/>
      <c r="C996" s="107"/>
      <c r="D996" s="107"/>
      <c r="E996" s="107"/>
      <c r="F996" s="107"/>
      <c r="G996" s="107"/>
      <c r="H996" s="107"/>
      <c r="I996" s="107"/>
      <c r="J996" s="107"/>
      <c r="K996" s="107"/>
      <c r="L996" s="107"/>
      <c r="M996" s="107"/>
      <c r="N996" s="107"/>
      <c r="O996" s="107"/>
      <c r="P996" s="107"/>
      <c r="Q996" s="107"/>
      <c r="R996" s="107"/>
      <c r="S996" s="107"/>
      <c r="T996" s="107"/>
      <c r="U996" s="107"/>
      <c r="V996" s="107"/>
      <c r="W996" s="107"/>
      <c r="X996" s="107"/>
      <c r="Y996" s="107"/>
      <c r="Z996" s="107"/>
    </row>
    <row r="997" spans="1:26" ht="12.75" customHeight="1" x14ac:dyDescent="0.2">
      <c r="A997" s="107"/>
      <c r="B997" s="107"/>
      <c r="C997" s="107"/>
      <c r="D997" s="107"/>
      <c r="E997" s="107"/>
      <c r="F997" s="107"/>
      <c r="G997" s="107"/>
      <c r="H997" s="107"/>
      <c r="I997" s="107"/>
      <c r="J997" s="107"/>
      <c r="K997" s="107"/>
      <c r="L997" s="107"/>
      <c r="M997" s="107"/>
      <c r="N997" s="107"/>
      <c r="O997" s="107"/>
      <c r="P997" s="107"/>
      <c r="Q997" s="107"/>
      <c r="R997" s="107"/>
      <c r="S997" s="107"/>
      <c r="T997" s="107"/>
      <c r="U997" s="107"/>
      <c r="V997" s="107"/>
      <c r="W997" s="107"/>
      <c r="X997" s="107"/>
      <c r="Y997" s="107"/>
      <c r="Z997" s="107"/>
    </row>
    <row r="998" spans="1:26" ht="12.75" customHeight="1" x14ac:dyDescent="0.2">
      <c r="A998" s="107"/>
      <c r="B998" s="107"/>
      <c r="C998" s="107"/>
      <c r="D998" s="107"/>
      <c r="E998" s="107"/>
      <c r="F998" s="107"/>
      <c r="G998" s="107"/>
      <c r="H998" s="107"/>
      <c r="I998" s="107"/>
      <c r="J998" s="107"/>
      <c r="K998" s="107"/>
      <c r="L998" s="107"/>
      <c r="M998" s="107"/>
      <c r="N998" s="107"/>
      <c r="O998" s="107"/>
      <c r="P998" s="107"/>
      <c r="Q998" s="107"/>
      <c r="R998" s="107"/>
      <c r="S998" s="107"/>
      <c r="T998" s="107"/>
      <c r="U998" s="107"/>
      <c r="V998" s="107"/>
      <c r="W998" s="107"/>
      <c r="X998" s="107"/>
      <c r="Y998" s="107"/>
      <c r="Z998" s="107"/>
    </row>
    <row r="999" spans="1:26" ht="12.75" customHeight="1" x14ac:dyDescent="0.2">
      <c r="A999" s="107"/>
      <c r="B999" s="107"/>
      <c r="C999" s="107"/>
      <c r="D999" s="107"/>
      <c r="E999" s="107"/>
      <c r="F999" s="107"/>
      <c r="G999" s="107"/>
      <c r="H999" s="107"/>
      <c r="I999" s="107"/>
      <c r="J999" s="107"/>
      <c r="K999" s="107"/>
      <c r="L999" s="107"/>
      <c r="M999" s="107"/>
      <c r="N999" s="107"/>
      <c r="O999" s="107"/>
      <c r="P999" s="107"/>
      <c r="Q999" s="107"/>
      <c r="R999" s="107"/>
      <c r="S999" s="107"/>
      <c r="T999" s="107"/>
      <c r="U999" s="107"/>
      <c r="V999" s="107"/>
      <c r="W999" s="107"/>
      <c r="X999" s="107"/>
      <c r="Y999" s="107"/>
      <c r="Z999" s="107"/>
    </row>
    <row r="1000" spans="1:26" ht="12.75" customHeight="1" x14ac:dyDescent="0.2">
      <c r="A1000" s="107"/>
      <c r="B1000" s="107"/>
      <c r="C1000" s="107"/>
      <c r="D1000" s="107"/>
      <c r="E1000" s="107"/>
      <c r="F1000" s="107"/>
      <c r="G1000" s="107"/>
      <c r="H1000" s="107"/>
      <c r="I1000" s="107"/>
      <c r="J1000" s="107"/>
      <c r="K1000" s="107"/>
      <c r="L1000" s="107"/>
      <c r="M1000" s="107"/>
      <c r="N1000" s="107"/>
      <c r="O1000" s="107"/>
      <c r="P1000" s="107"/>
      <c r="Q1000" s="107"/>
      <c r="R1000" s="107"/>
      <c r="S1000" s="107"/>
      <c r="T1000" s="107"/>
      <c r="U1000" s="107"/>
      <c r="V1000" s="107"/>
      <c r="W1000" s="107"/>
      <c r="X1000" s="107"/>
      <c r="Y1000" s="107"/>
      <c r="Z1000" s="107"/>
    </row>
  </sheetData>
  <mergeCells count="3">
    <mergeCell ref="A1:E1"/>
    <mergeCell ref="B31:D31"/>
    <mergeCell ref="A34:E36"/>
  </mergeCells>
  <dataValidations count="1">
    <dataValidation type="list" allowBlank="1" showErrorMessage="1" sqref="A3:A6 A8:A18" xr:uid="{00000000-0002-0000-0500-000000000000}">
      <formula1>listo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11</vt:i4>
      </vt:variant>
    </vt:vector>
  </HeadingPairs>
  <TitlesOfParts>
    <vt:vector size="17" baseType="lpstr">
      <vt:lpstr>consumos</vt:lpstr>
      <vt:lpstr>PEDIDO</vt:lpstr>
      <vt:lpstr>lista</vt:lpstr>
      <vt:lpstr>MEDIDAS</vt:lpstr>
      <vt:lpstr>INVENTARIO</vt:lpstr>
      <vt:lpstr>Hoja3</vt:lpstr>
      <vt:lpstr>broche</vt:lpstr>
      <vt:lpstr>COMPRA</vt:lpstr>
      <vt:lpstr>INVENTARIO</vt:lpstr>
      <vt:lpstr>listo</vt:lpstr>
      <vt:lpstr>consumos!materiales</vt:lpstr>
      <vt:lpstr>materiales</vt:lpstr>
      <vt:lpstr>consumos!matriales</vt:lpstr>
      <vt:lpstr>medidas</vt:lpstr>
      <vt:lpstr>metro</vt:lpstr>
      <vt:lpstr>proveedores</vt:lpstr>
      <vt:lpstr>consumos!Z_0F6C7FCE_20BD_4B57_B04C_CA521EC9CEDE_.wvu.Rows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calzadocad</dc:creator>
  <cp:keywords/>
  <dc:description/>
  <cp:lastModifiedBy>Juan Rutelio Pérez Cardona</cp:lastModifiedBy>
  <cp:revision/>
  <dcterms:created xsi:type="dcterms:W3CDTF">2008-09-30T23:12:13Z</dcterms:created>
  <dcterms:modified xsi:type="dcterms:W3CDTF">2023-06-01T15:29:43Z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2023-02-27T12:55:52Z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868bc7b3-03d0-4b9f-8468-c35f18c5512c</vt:lpwstr>
  </property>
  <property fmtid="{D5CDD505-2E9C-101B-9397-08002B2CF9AE}" pid="8" name="MSIP_Label_1299739c-ad3d-4908-806e-4d91151a6e13_ContentBits">
    <vt:lpwstr>0</vt:lpwstr>
  </property>
</Properties>
</file>