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9 ANDES 8 A 12\1 BILLETERA\"/>
    </mc:Choice>
  </mc:AlternateContent>
  <xr:revisionPtr revIDLastSave="0" documentId="13_ncr:1_{F06E98DE-249D-4E35-9F0F-37160363EB7F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<sst xmlns="http://schemas.openxmlformats.org/spreadsheetml/2006/main" count="5039" uniqueCount="1396">
  <si>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</si>
  <si>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</si>
  <si>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</si>
  <si>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</si>
  <si>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</si>
  <si>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</si>
  <si>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</si>
  <si>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</si>
  <si>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</si>
  <si>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</si>
  <si>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</si>
  <si>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</si>
  <si>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</si>
  <si>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</si>
  <si>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</si>
  <si>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</si>
  <si>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</si>
  <si>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</si>
  <si>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</si>
  <si>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</si>
  <si>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</si>
  <si>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</si>
  <si>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</si>
  <si>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</si>
  <si>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</si>
  <si>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</si>
  <si>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</si>
  <si>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</si>
  <si>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</si>
  <si>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</si>
  <si>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</si>
  <si>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</si>
  <si>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</si>
  <si>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</si>
  <si>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</si>
  <si>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</si>
  <si>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</si>
  <si>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</si>
  <si>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</si>
  <si>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</si>
  <si>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</si>
  <si>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</si>
  <si>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</si>
  <si>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</si>
  <si>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</si>
  <si>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</si>
  <si>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</si>
  <si>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</si>
  <si>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</si>
  <si>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</si>
  <si>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</si>
  <si>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</si>
  <si>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</si>
  <si>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</si>
  <si>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</si>
  <si>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</si>
  <si>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</si>
  <si>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</si>
  <si>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</si>
  <si>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</si>
  <si>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</si>
  <si>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</si>
  <si>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</si>
  <si>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</si>
  <si>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</si>
  <si>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</si>
  <si>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</si>
  <si>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</si>
  <si>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</si>
  <si>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</si>
  <si>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</si>
  <si>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</si>
  <si>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</si>
  <si>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</si>
  <si>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</si>
  <si>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</si>
  <si>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</si>
  <si>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</si>
  <si>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</si>
  <si>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</si>
  <si>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</si>
  <si>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</si>
  <si>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</si>
  <si>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</si>
  <si>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</si>
  <si>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</si>
  <si>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</si>
  <si>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</si>
  <si>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</si>
  <si>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</si>
  <si>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</si>
  <si>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</si>
  <si>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</si>
  <si>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</si>
  <si>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</si>
  <si>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</si>
  <si>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</si>
  <si>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</si>
  <si>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</si>
  <si>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</si>
  <si>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</si>
  <si>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</si>
  <si>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</si>
  <si>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</si>
  <si>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</si>
  <si>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</si>
  <si>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</si>
  <si>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</si>
  <si>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</si>
  <si>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</si>
  <si>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</si>
  <si>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</si>
  <si>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</si>
  <si>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</si>
  <si>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</si>
  <si>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</si>
  <si>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</si>
  <si>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</si>
  <si>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</si>
  <si>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</si>
  <si>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</si>
  <si>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</si>
  <si>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</si>
  <si>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</si>
  <si>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</si>
  <si>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</si>
  <si>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</si>
  <si>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</si>
  <si>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</si>
  <si>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</si>
  <si>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</si>
  <si>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</si>
  <si>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</si>
  <si>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</si>
  <si>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</si>
  <si>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</si>
  <si>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</si>
  <si>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</si>
  <si>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</si>
  <si>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</si>
  <si>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</si>
  <si>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</si>
  <si>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</si>
  <si>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</si>
  <si>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</si>
  <si>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</si>
  <si>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</si>
  <si>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</si>
  <si>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</si>
  <si>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</si>
  <si>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</si>
  <si>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</si>
  <si>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</si>
  <si>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</si>
  <si>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</si>
  <si>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</si>
  <si>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</si>
  <si>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</si>
  <si>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</si>
  <si>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</si>
  <si>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</si>
  <si>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</si>
  <si>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</si>
  <si>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</si>
  <si>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</si>
  <si>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</si>
  <si>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</si>
  <si>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</si>
  <si>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</si>
  <si>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</si>
  <si>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</si>
  <si>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</si>
  <si>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</si>
  <si>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</si>
  <si>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</si>
  <si>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</si>
  <si>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</si>
  <si>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</si>
  <si>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</si>
  <si>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</si>
  <si>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</si>
  <si>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</si>
  <si>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</si>
  <si>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</si>
  <si>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</si>
  <si>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</si>
  <si>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</si>
  <si>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</si>
  <si>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</si>
  <si>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</si>
  <si>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</si>
  <si>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</si>
  <si>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</si>
  <si>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</si>
  <si>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</si>
  <si>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</si>
  <si>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</si>
  <si>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</si>
  <si>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</si>
  <si>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</si>
  <si>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</si>
  <si>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</si>
  <si>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</si>
  <si>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</si>
  <si>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</si>
  <si>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</si>
  <si>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</si>
  <si>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</si>
  <si>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</si>
  <si>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</si>
  <si>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</si>
  <si>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</si>
  <si>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</si>
  <si>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</si>
  <si>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</si>
  <si>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</si>
  <si>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</si>
  <si>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</si>
  <si>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</si>
  <si>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</si>
  <si>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</si>
  <si>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</si>
  <si>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</si>
  <si>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</si>
  <si>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</si>
  <si>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</si>
  <si>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</si>
  <si>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</si>
  <si>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</si>
  <si>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</si>
  <si>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</si>
  <si>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</si>
  <si>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</si>
  <si>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</si>
  <si>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</si>
  <si>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</si>
  <si>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</si>
  <si>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</si>
  <si>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</si>
  <si>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</si>
  <si>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</si>
  <si>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</si>
  <si>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</si>
  <si>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</si>
  <si>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</si>
  <si>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</si>
  <si>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</si>
  <si>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</si>
  <si>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</si>
  <si>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</si>
  <si>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</si>
  <si>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</si>
  <si>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</si>
  <si>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</si>
  <si>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</si>
  <si>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</si>
  <si>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</si>
  <si>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</si>
  <si>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</si>
  <si>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</si>
  <si>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</si>
  <si>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</si>
  <si>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</si>
  <si>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</si>
  <si>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</si>
  <si>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</si>
  <si>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</si>
  <si>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</si>
  <si>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</si>
  <si>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</si>
  <si>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</si>
  <si>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</si>
  <si>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</si>
  <si>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</si>
  <si>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</si>
  <si>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</si>
  <si>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</si>
  <si>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</si>
  <si>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</si>
  <si>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</si>
  <si>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</si>
  <si>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</si>
  <si>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</si>
  <si>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</si>
  <si>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</si>
  <si>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</si>
  <si>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</si>
  <si>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</si>
  <si>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</si>
  <si>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</si>
  <si>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</si>
  <si>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</si>
  <si>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</si>
  <si>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</si>
  <si>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</si>
  <si>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</si>
  <si>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</si>
  <si>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</si>
  <si>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</si>
  <si>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</si>
  <si>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</si>
  <si>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</si>
  <si>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</si>
  <si>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</si>
  <si>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</si>
  <si>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</si>
  <si>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</si>
  <si>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</si>
  <si>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</si>
  <si>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</si>
  <si>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</si>
  <si>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</si>
  <si>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</si>
  <si>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</si>
  <si>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</si>
  <si>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</si>
  <si>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</si>
  <si>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</si>
  <si>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</si>
  <si>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</si>
  <si>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</si>
  <si>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</si>
  <si>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</si>
  <si>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</si>
  <si>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</si>
  <si>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</si>
  <si>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</si>
  <si>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</si>
  <si>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</si>
  <si>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</si>
  <si>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</si>
  <si>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</si>
  <si>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</si>
  <si>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</si>
  <si>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</si>
  <si>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</si>
  <si>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</si>
  <si>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</si>
  <si>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</si>
  <si>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</si>
  <si>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</si>
  <si>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</si>
  <si>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</si>
  <si>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</si>
  <si>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</si>
  <si>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</si>
  <si>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</si>
  <si>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</si>
  <si>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</si>
  <si>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</si>
  <si>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</si>
  <si>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</si>
  <si>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</si>
  <si>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</si>
  <si>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</si>
  <si>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</si>
  <si>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</si>
  <si>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</si>
  <si>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</si>
  <si>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</si>
  <si>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</si>
  <si>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</si>
  <si>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</si>
  <si>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</si>
  <si>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</si>
  <si>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</si>
  <si>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</si>
  <si>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</si>
  <si>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</si>
  <si>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</si>
  <si>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</si>
  <si>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</si>
  <si>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</si>
  <si>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</si>
  <si>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</si>
  <si>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</si>
  <si>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</si>
  <si>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</si>
  <si>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</si>
  <si>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</si>
  <si>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</si>
  <si>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</si>
  <si>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</si>
  <si>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</si>
  <si>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</si>
  <si>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</si>
  <si>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</si>
  <si>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</si>
  <si>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</si>
  <si>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</si>
  <si>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</si>
  <si>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</si>
  <si>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</si>
  <si>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</si>
  <si>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</si>
  <si>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</si>
  <si>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</si>
  <si>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</si>
  <si>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</si>
  <si>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</si>
  <si>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</si>
  <si>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</si>
  <si>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</si>
  <si>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</si>
  <si>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</si>
  <si>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</si>
  <si>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</si>
  <si>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</si>
  <si>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</si>
  <si>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</si>
  <si>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</si>
  <si>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</si>
  <si>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</si>
  <si>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</si>
  <si>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</si>
  <si>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</si>
  <si>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</si>
  <si>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</si>
  <si>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</si>
  <si>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</si>
  <si>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</si>
  <si>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</si>
  <si>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</si>
  <si>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</si>
  <si>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</si>
  <si>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</si>
  <si>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</si>
  <si>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</si>
  <si>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</si>
  <si>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</si>
  <si>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</si>
  <si>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</si>
  <si>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</si>
  <si>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</si>
  <si>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</si>
  <si>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</si>
  <si>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</si>
  <si>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</si>
  <si>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</si>
  <si>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</si>
  <si>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</si>
  <si>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</si>
  <si>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</si>
  <si>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</si>
  <si>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</si>
  <si>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</si>
  <si>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</si>
  <si>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</si>
  <si>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</si>
  <si>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</si>
  <si>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</si>
  <si>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</si>
  <si>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</si>
  <si>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</si>
  <si>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</si>
  <si>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</si>
  <si>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</si>
  <si>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</si>
  <si>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</si>
  <si>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</si>
  <si>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</si>
  <si>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</si>
  <si>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</si>
  <si>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</si>
  <si>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</si>
  <si>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</si>
  <si>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</si>
  <si>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</si>
  <si>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</si>
  <si>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</si>
  <si>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</si>
  <si>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</si>
  <si>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</si>
  <si>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</si>
  <si>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</si>
  <si>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</si>
  <si>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</si>
  <si>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</si>
  <si>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</si>
  <si>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</si>
  <si>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</si>
  <si>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</si>
  <si>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</si>
  <si>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</si>
  <si>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</si>
  <si>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</si>
  <si>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</si>
  <si>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</si>
  <si>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</si>
  <si>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</si>
  <si>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</si>
  <si>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</si>
  <si>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</si>
  <si>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</si>
  <si>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</si>
  <si>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</si>
  <si>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</si>
  <si>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</si>
  <si>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</si>
  <si>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</si>
  <si>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</si>
  <si>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</si>
  <si>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</si>
  <si>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</si>
  <si>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</si>
  <si>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</si>
  <si>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</si>
  <si>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</si>
  <si>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</si>
  <si>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</si>
  <si>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</si>
  <si>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</si>
  <si>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</si>
  <si>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</si>
  <si>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</si>
  <si>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</si>
  <si>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</si>
  <si>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</si>
  <si>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</si>
  <si>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</si>
  <si>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</si>
  <si>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</si>
  <si>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</si>
  <si>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</si>
  <si>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</si>
  <si>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</si>
  <si>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</si>
  <si>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</si>
  <si>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</si>
  <si>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</si>
  <si>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</si>
  <si>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</si>
  <si>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</si>
  <si>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</si>
  <si>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</si>
  <si>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</si>
  <si>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</si>
  <si>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</si>
  <si>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</si>
  <si>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</si>
  <si>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</si>
  <si>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</si>
  <si>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</si>
  <si>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</si>
  <si>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</si>
  <si>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</si>
  <si>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</si>
  <si>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</si>
  <si>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</si>
  <si>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</si>
  <si>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</si>
  <si>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</si>
  <si>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</si>
  <si>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</si>
  <si>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</si>
  <si>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</si>
  <si>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</si>
  <si>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</si>
  <si>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</si>
  <si>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</si>
  <si>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</si>
  <si>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</si>
  <si>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</si>
  <si>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</si>
  <si>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</si>
  <si>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</si>
  <si>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</si>
  <si>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</si>
  <si>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</si>
  <si>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</si>
  <si>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</si>
  <si>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</si>
  <si>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</si>
  <si>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</si>
  <si>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</si>
  <si>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</si>
  <si>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</si>
  <si>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</si>
  <si>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</si>
  <si>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</si>
  <si>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</si>
  <si>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</si>
  <si>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</si>
  <si>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</si>
  <si>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</si>
  <si>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</si>
  <si>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</si>
  <si>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</si>
  <si>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</si>
  <si>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</si>
  <si>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</si>
  <si>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</si>
  <si>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</si>
  <si>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</si>
  <si>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</si>
  <si>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</si>
  <si>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</si>
  <si>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</si>
  <si>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</si>
  <si>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</si>
  <si>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</si>
  <si>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</si>
  <si>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</si>
  <si>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</si>
  <si>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</si>
  <si>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</si>
  <si>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</si>
  <si>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</si>
  <si>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</si>
  <si>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</si>
  <si>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</si>
  <si>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</si>
  <si>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</si>
  <si>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</si>
  <si>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</si>
  <si>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</si>
  <si>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</si>
  <si>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</si>
  <si>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</si>
  <si>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</si>
  <si>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</si>
  <si>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</si>
  <si>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</si>
  <si>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</si>
  <si>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</si>
  <si>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</si>
  <si>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</si>
  <si>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</si>
  <si>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</si>
  <si>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</si>
  <si>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</si>
  <si>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</si>
  <si>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</si>
  <si>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</si>
  <si>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</si>
  <si>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</si>
  <si>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</si>
  <si>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</si>
  <si>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</si>
  <si>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</si>
  <si>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</si>
  <si>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</si>
  <si>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</si>
  <si>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</si>
  <si>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</si>
  <si>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</si>
  <si>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</si>
  <si>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</si>
  <si>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</si>
  <si>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</si>
  <si>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</si>
  <si>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</si>
  <si>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</si>
  <si>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</si>
  <si>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</si>
  <si>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</si>
  <si>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</si>
  <si>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</si>
  <si>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</si>
  <si>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</si>
  <si>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</si>
  <si>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</si>
  <si>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</si>
  <si>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</si>
  <si>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</si>
  <si>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</si>
  <si>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</si>
  <si>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</si>
  <si>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</si>
  <si>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</si>
  <si>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</si>
  <si>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</si>
  <si>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</si>
  <si>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</si>
  <si>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</si>
  <si>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</si>
  <si>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</si>
  <si>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</si>
  <si>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</si>
  <si>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</si>
  <si>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</si>
  <si>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</si>
  <si>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</si>
  <si>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</si>
  <si>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</si>
  <si>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</si>
  <si>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</si>
  <si>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</si>
  <si>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</si>
  <si>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</si>
  <si>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</si>
  <si>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</si>
  <si>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</si>
  <si>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</si>
  <si>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</si>
  <si>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</si>
  <si>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</si>
  <si>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</si>
  <si>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</si>
  <si>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</si>
  <si>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</si>
  <si>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</si>
  <si>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</si>
  <si>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</si>
  <si>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</si>
  <si>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</si>
  <si>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</si>
  <si>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</si>
  <si>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</si>
  <si>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</si>
  <si>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</si>
  <si>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</si>
  <si>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</si>
  <si>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</si>
  <si>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</si>
  <si>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</si>
  <si>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</si>
  <si>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</si>
  <si>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</si>
  <si>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</si>
  <si>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</si>
  <si>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</si>
  <si>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</si>
  <si>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</si>
  <si>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</si>
  <si>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</si>
  <si>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</si>
  <si>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</si>
  <si>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</si>
  <si>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</si>
  <si>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</si>
  <si>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</si>
  <si>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</si>
  <si>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</si>
  <si>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</si>
  <si>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</si>
  <si>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</si>
  <si>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</si>
  <si>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</si>
  <si>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</si>
  <si>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</si>
  <si>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</si>
  <si>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</si>
  <si>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</si>
  <si>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</si>
  <si>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</si>
  <si>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</si>
  <si>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</si>
  <si>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</si>
  <si>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</si>
  <si>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</si>
  <si>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</si>
  <si>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</si>
  <si>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</si>
  <si>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</si>
  <si>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</si>
  <si>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</si>
  <si>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</si>
  <si>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</si>
  <si>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</si>
  <si>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</si>
  <si>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</si>
  <si>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</si>
  <si>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</si>
  <si>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</si>
  <si>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</si>
  <si>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</si>
  <si>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</si>
  <si>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</si>
  <si>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</si>
  <si>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</si>
  <si>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</si>
  <si>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</si>
  <si>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</si>
  <si>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</si>
  <si>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</si>
  <si>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</si>
  <si>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</si>
  <si>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</si>
  <si>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</si>
  <si>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</si>
  <si>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</si>
  <si>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</si>
  <si>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</si>
  <si>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</si>
  <si>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</si>
  <si>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</si>
  <si>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</si>
  <si>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</si>
  <si>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</si>
  <si>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</si>
  <si>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</si>
  <si>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</si>
  <si>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</si>
  <si>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</si>
  <si>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</si>
  <si>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</si>
  <si>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</si>
  <si>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</si>
  <si>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</si>
  <si>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</si>
  <si>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</si>
  <si>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</si>
  <si>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</si>
  <si>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</si>
  <si>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</si>
  <si>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</si>
  <si>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</si>
  <si>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</si>
  <si>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</si>
  <si>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</si>
  <si>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</si>
  <si>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</si>
  <si>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</si>
  <si>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</si>
  <si>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</si>
  <si>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</si>
  <si>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</si>
  <si>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</si>
  <si>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</si>
  <si>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</si>
  <si>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</si>
  <si>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</si>
  <si>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</si>
  <si>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</si>
  <si>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</si>
  <si>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</si>
  <si>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</si>
  <si>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</si>
  <si>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</si>
  <si>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</si>
  <si>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</si>
  <si>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</si>
  <si>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</si>
  <si>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</si>
  <si>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</si>
  <si>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</si>
  <si>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</si>
  <si>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</si>
  <si>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</si>
  <si>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</si>
  <si>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</si>
  <si>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</si>
  <si>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</si>
  <si>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</si>
  <si>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</si>
  <si>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</si>
  <si>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</si>
  <si>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</si>
  <si>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</si>
  <si>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</si>
  <si>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</si>
  <si>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</si>
  <si>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</si>
  <si>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</si>
  <si>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</si>
  <si>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</si>
  <si>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</si>
  <si>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</si>
  <si>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</si>
  <si>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</si>
  <si>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</si>
  <si>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</si>
  <si>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</si>
  <si>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</si>
  <si>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</si>
  <si>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</si>
  <si>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</si>
  <si>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</si>
  <si>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</si>
  <si>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</si>
  <si>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</si>
  <si>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</si>
  <si>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</si>
  <si>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</si>
  <si>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</si>
  <si>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</si>
  <si>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</si>
  <si>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</si>
  <si>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</si>
  <si>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</si>
  <si>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</si>
  <si>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</si>
  <si>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</si>
  <si>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</si>
  <si>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</si>
  <si>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</si>
  <si>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</si>
  <si>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</si>
  <si>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</si>
  <si>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</si>
  <si>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</si>
  <si>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</si>
  <si>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</si>
  <si>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</si>
  <si>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</si>
  <si>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</si>
  <si>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</si>
  <si>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</si>
  <si>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</si>
  <si>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</si>
  <si>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</si>
  <si>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</si>
  <si>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</si>
  <si>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</si>
  <si>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</si>
  <si>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</si>
  <si>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</si>
  <si>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</si>
  <si>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</si>
  <si>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</si>
  <si>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</si>
  <si>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</si>
  <si>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</si>
  <si>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</si>
  <si>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</si>
  <si>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</si>
  <si>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</si>
  <si>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</si>
  <si>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</si>
  <si>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</si>
  <si>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</si>
  <si>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</si>
  <si>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</si>
  <si>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</si>
  <si>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</si>
  <si>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</si>
  <si>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</si>
  <si>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</si>
  <si>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</si>
  <si>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</si>
  <si>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</si>
  <si>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</si>
  <si>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</si>
  <si>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</si>
  <si>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</si>
  <si>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</si>
  <si>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</si>
  <si>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</si>
  <si>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</si>
  <si>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</si>
  <si>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</si>
  <si>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</si>
  <si>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</si>
  <si>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</si>
  <si>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</si>
  <si>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</si>
  <si>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</si>
  <si>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</si>
  <si>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</si>
  <si>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</si>
  <si>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</si>
  <si>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</si>
  <si>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</si>
  <si>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</si>
  <si>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</si>
  <si>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</si>
  <si>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</si>
  <si>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</si>
  <si>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</si>
  <si>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</si>
  <si>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</si>
  <si>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</si>
  <si>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</si>
  <si>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</si>
  <si>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</si>
  <si>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</si>
  <si>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</si>
  <si>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</si>
  <si>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</si>
  <si>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</si>
  <si>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</si>
  <si>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</si>
  <si>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</si>
  <si>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</si>
  <si>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</si>
  <si>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</si>
  <si>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</si>
  <si>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</si>
  <si>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</si>
  <si>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</si>
  <si>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</si>
  <si>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</si>
  <si>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</si>
  <si>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</si>
  <si>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</si>
  <si>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</si>
  <si>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</si>
  <si>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</si>
  <si>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</si>
  <si>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</si>
  <si>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</si>
  <si>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</si>
  <si>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</si>
  <si>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</si>
  <si>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</si>
  <si>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</si>
  <si>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</si>
  <si>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</si>
  <si>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</si>
  <si>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</si>
  <si>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</si>
  <si>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</si>
  <si>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</si>
  <si>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</si>
  <si>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</si>
  <si>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</si>
  <si>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</si>
  <si>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</si>
  <si>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</si>
  <si>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</si>
  <si>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</si>
  <si>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</si>
  <si>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</si>
  <si>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</si>
  <si>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</si>
  <si>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</si>
  <si>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</si>
  <si>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</si>
  <si>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</si>
  <si>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</si>
  <si>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</si>
  <si>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</si>
  <si>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</si>
  <si>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</si>
  <si>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</si>
  <si>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</si>
  <si>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</si>
  <si>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</si>
  <si>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</si>
  <si>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</si>
  <si>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</si>
  <si>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</si>
  <si>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</si>
  <si>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</si>
  <si>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</si>
  <si>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</si>
  <si>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</si>
  <si>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</si>
  <si>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</si>
  <si>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</si>
  <si>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</si>
  <si>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</si>
  <si>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</si>
  <si>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</si>
  <si>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</si>
  <si>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</si>
  <si>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</si>
  <si>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</si>
  <si>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</si>
  <si>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</si>
  <si>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</si>
  <si>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</si>
  <si>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</si>
  <si>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</si>
  <si>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</si>
  <si>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</si>
  <si>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</si>
  <si>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</si>
  <si>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</si>
  <si>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</si>
  <si>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</si>
  <si>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</si>
  <si>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</si>
  <si>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</si>
  <si>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</si>
  <si>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</si>
  <si>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</si>
  <si>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</si>
  <si>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</si>
  <si>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</si>
  <si>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</si>
  <si>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</si>
  <si>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</si>
  <si>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</si>
  <si>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</si>
  <si>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</si>
  <si>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</si>
  <si>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</si>
  <si>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</si>
  <si>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</si>
  <si>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</si>
  <si>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</si>
  <si>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</si>
  <si>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</si>
  <si>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</si>
  <si>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</si>
  <si>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</si>
  <si>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</si>
  <si>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</si>
  <si>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</si>
  <si>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</si>
  <si>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</si>
  <si>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</si>
  <si>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</si>
  <si>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</si>
  <si>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</si>
  <si>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</si>
  <si>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</si>
  <si>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</si>
  <si>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</si>
  <si>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</si>
  <si>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</si>
  <si>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</si>
  <si>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</si>
  <si>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</si>
  <si>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</si>
  <si>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</si>
  <si>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</si>
  <si>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</si>
  <si>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</si>
  <si>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</si>
  <si>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</si>
  <si>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</si>
  <si>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</si>
  <si>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</si>
  <si>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</si>
  <si>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</si>
  <si>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</si>
  <si>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</si>
  <si>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</si>
  <si>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</si>
  <si>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</si>
  <si>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</si>
  <si>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</si>
  <si>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</si>
  <si>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</si>
  <si>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</si>
  <si>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</si>
  <si>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</si>
  <si>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</si>
  <si>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</si>
  <si>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</si>
  <si>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</si>
  <si>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</si>
  <si>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</si>
  <si>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</si>
  <si>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</si>
  <si>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</si>
  <si>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</si>
  <si>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</si>
  <si>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</si>
  <si>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</si>
  <si>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</si>
  <si>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</si>
  <si>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</si>
  <si>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</si>
  <si>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</si>
  <si>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</si>
  <si>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</si>
  <si>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</si>
  <si>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</si>
  <si>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</si>
  <si>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</si>
  <si>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</si>
  <si>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</si>
  <si>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</si>
  <si>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</si>
  <si>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</si>
  <si>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</si>
  <si>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</si>
  <si>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</si>
  <si>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</si>
  <si>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</si>
  <si>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</si>
  <si>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</si>
  <si>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</si>
  <si>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</si>
  <si>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</si>
  <si>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</si>
  <si>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</si>
  <si>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</si>
  <si>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</si>
  <si>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</si>
  <si>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</si>
  <si>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</si>
  <si>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</si>
  <si>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</si>
  <si>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</si>
  <si>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</si>
  <si>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</si>
  <si>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</si>
  <si>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</si>
  <si>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</si>
  <si>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</si>
  <si>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</si>
  <si>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</si>
  <si>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</si>
  <si>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</si>
  <si>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</si>
  <si>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</si>
  <si>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</si>
  <si>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</si>
  <si>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</si>
  <si>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</si>
  <si>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</si>
  <si>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</si>
  <si>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</si>
  <si>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</si>
  <si>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</si>
  <si>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</si>
  <si>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</si>
  <si>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</si>
  <si>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</si>
  <si>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</si>
  <si>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</si>
  <si>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</si>
  <si>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</si>
  <si>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</si>
  <si>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</si>
  <si>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</si>
  <si>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</si>
  <si>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</si>
  <si>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</si>
  <si>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</si>
  <si>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</si>
  <si>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</si>
  <si>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</si>
  <si>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</si>
  <si>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</si>
  <si>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</si>
  <si>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</si>
  <si>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</si>
  <si>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</si>
  <si>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</si>
  <si>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</si>
  <si>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</si>
  <si>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</si>
  <si>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</si>
  <si>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</si>
  <si>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</si>
  <si>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</si>
  <si>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</si>
  <si>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</si>
  <si>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</si>
  <si>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</si>
  <si>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</si>
  <si>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</si>
  <si>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</si>
  <si>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</si>
  <si>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</si>
  <si>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</si>
  <si>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</si>
  <si>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</si>
  <si>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</si>
  <si>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</si>
  <si>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</si>
  <si>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</si>
  <si>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</si>
  <si>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</si>
  <si>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</si>
  <si>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</si>
  <si>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</si>
  <si>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</si>
  <si>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</si>
  <si>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</si>
  <si>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</si>
  <si>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</si>
  <si>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</si>
  <si>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</si>
  <si>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</si>
  <si>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</si>
  <si>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</si>
  <si>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</si>
  <si>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</si>
  <si>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</si>
  <si>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</si>
  <si>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</si>
  <si>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</si>
  <si>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</si>
  <si>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</si>
  <si>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</si>
  <si>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</si>
  <si>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</si>
  <si>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</si>
  <si>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</si>
  <si>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</si>
  <si>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</si>
  <si>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</si>
  <si>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</si>
  <si>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</si>
  <si>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</si>
  <si>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</si>
  <si>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</si>
  <si>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</si>
  <si>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</si>
  <si>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</si>
  <si>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</si>
  <si>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</si>
  <si>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</si>
  <si>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</si>
  <si>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</si>
  <si>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</si>
  <si>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</si>
  <si>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</si>
  <si>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</si>
  <si>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</si>
  <si>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</si>
  <si>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</si>
  <si>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</si>
  <si>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</si>
  <si>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</si>
  <si>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</si>
  <si>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</si>
  <si>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</si>
  <si>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</si>
  <si>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</si>
  <si>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</si>
  <si>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</si>
  <si>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</si>
  <si>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</si>
  <si>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</si>
  <si>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</si>
  <si>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</si>
  <si>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</si>
  <si>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</si>
  <si>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</si>
  <si>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</si>
  <si>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</si>
  <si>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</si>
  <si>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</si>
  <si>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</si>
  <si>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</si>
  <si>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</si>
  <si>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</si>
  <si>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</si>
  <si>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</si>
  <si>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</si>
  <si>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</si>
  <si>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</si>
  <si>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</si>
  <si>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</si>
  <si>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</si>
  <si>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</si>
  <si>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</si>
  <si>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</si>
  <si>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</si>
  <si>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</si>
  <si>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</si>
  <si>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</si>
  <si>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</si>
  <si>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</si>
  <si>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</si>
  <si>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</si>
  <si>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</si>
  <si>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</si>
  <si>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</si>
  <si>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</si>
  <si>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</si>
  <si>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</si>
  <si>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</si>
  <si>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</si>
  <si>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</si>
  <si>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</si>
  <si>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</si>
  <si>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</si>
  <si>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</si>
  <si>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</si>
  <si>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</si>
  <si>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</si>
  <si>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</si>
  <si>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</si>
  <si>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</si>
  <si>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</si>
  <si>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</si>
  <si>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</si>
  <si>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</si>
  <si>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</si>
  <si>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</si>
  <si>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</si>
  <si>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</si>
  <si>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</si>
  <si>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</si>
  <si>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</si>
  <si>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</si>
  <si>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</si>
  <si>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</si>
  <si>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</si>
  <si>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</si>
  <si>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</si>
  <si>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</si>
  <si>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</si>
  <si>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</si>
  <si>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</si>
  <si>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</si>
  <si>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</si>
  <si>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</si>
  <si>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</si>
  <si>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</si>
  <si>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</si>
  <si>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</si>
  <si>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</si>
  <si>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</si>
  <si>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</si>
  <si>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</si>
  <si>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>GRUPO 1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</si>
</sst>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GR0207-8</v>
      </c>
      <c r="G1" s="405"/>
      <c r="H1" s="406"/>
      <c r="I1" s="351" t="s">
        <v>1</v>
      </c>
      <c r="J1" s="352"/>
      <c r="K1" s="232">
        <v>8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1395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45</v>
      </c>
      <c r="L5" s="400"/>
      <c r="M5" s="401" t="s">
        <v>17</v>
      </c>
      <c r="N5" s="401"/>
      <c r="O5" s="397">
        <f>IFERROR(IF(K5=0,"",D5*K5),"")</f>
        <v>10528035.350726552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2.2222222222222223E-2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6750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2250</v>
      </c>
      <c r="T11" s="319"/>
      <c r="U11" s="320"/>
      <c r="V11" s="320"/>
      <c r="W11" s="321">
        <f>IFERROR(IF(D11="","",INDEX(Tabla_Completa,MATCH('Soli_citud '!D11,Materiales,0),7)*S11),"")</f>
        <v>693742.5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6750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2475</v>
      </c>
      <c r="T13" s="319"/>
      <c r="U13" s="320"/>
      <c r="V13" s="320"/>
      <c r="W13" s="321">
        <f>IFERROR(IF(D13="","",INDEX(Tabla_Completa,MATCH('Soli_citud '!D13,Materiales,0),7)*S13),"")</f>
        <v>9157500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1305</v>
      </c>
      <c r="T14" s="319"/>
      <c r="U14" s="320"/>
      <c r="V14" s="320"/>
      <c r="W14" s="321">
        <f>IFERROR(IF(D14="","",INDEX(Tabla_Completa,MATCH('Soli_citud '!D14,Materiales,0),7)*S14),"")</f>
        <v>22792.850726552177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450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270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90</v>
      </c>
      <c r="T17" s="319"/>
      <c r="U17" s="320"/>
      <c r="V17" s="320"/>
      <c r="W17" s="321">
        <f>IFERROR(IF(D17="","",INDEX(Tabla_Completa,MATCH('Soli_citud '!D17,Materiales,0),7)*S17),"")</f>
        <v>654000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450</v>
      </c>
      <c r="T18" s="319"/>
      <c r="U18" s="320" t="s">
        <v>1314</v>
      </c>
      <c r="V18" s="320"/>
      <c r="W18" s="321">
        <f>IFERROR(IF(D18="","",INDEX(Tabla_Completa,MATCH('Soli_citud '!D18,Materiales,0),7)*S18),"")</f>
        <v>1287000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90</v>
      </c>
      <c r="T19" s="319"/>
      <c r="U19" s="320" t="s">
        <v>1314</v>
      </c>
      <c r="V19" s="320"/>
      <c r="W19" s="321">
        <f>IFERROR(IF(D19="","",INDEX(Tabla_Completa,MATCH('Soli_citud '!D19,Materiales,0),7)*S19),"")</f>
        <v>7987500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450</v>
      </c>
      <c r="T20" s="319"/>
      <c r="U20" s="320" t="s">
        <v>1314</v>
      </c>
      <c r="V20" s="320"/>
      <c r="W20" s="321">
        <f>IFERROR(IF(D20="","",INDEX(Tabla_Completa,MATCH('Soli_citud '!D20,Materiales,0),7)*S20),"")</f>
        <v>2317500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450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900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450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450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GR0207-8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>GRUPO 1 ANDES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GR0207-8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6750</v>
      </c>
      <c r="I12" s="214"/>
      <c r="J12" s="215"/>
      <c r="K12" s="197" cm="1">
        <f t="array" ref="K12">IFERROR(_xlfn.IFS(H12="","",J12=H12,"Cumplido",J12&lt;H12,H12-J12,J12&gt;H12,"Revisar"),"")</f>
        <v>6750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GR0207-8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2250</v>
      </c>
      <c r="I13" s="214"/>
      <c r="J13" s="216"/>
      <c r="K13" s="197" cm="1">
        <f t="array" ref="K13">IFERROR(_xlfn.IFS(H13="","",J13=H13,"Cumplido",J13&lt;H13,H13-J13,J13&gt;H13,"Revisar"),"")</f>
        <v>2250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GR0207-8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6750</v>
      </c>
      <c r="I14" s="214"/>
      <c r="J14" s="216"/>
      <c r="K14" s="197" cm="1">
        <f t="array" ref="K14">IFERROR(_xlfn.IFS(H14="","",J14=H14,"Cumplido",J14&lt;H14,H14-J14,J14&gt;H14,"Revisar"),"")</f>
        <v>6750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GR0207-8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2475</v>
      </c>
      <c r="I15" s="214"/>
      <c r="J15" s="216"/>
      <c r="K15" s="197" cm="1">
        <f t="array" ref="K15">IFERROR(_xlfn.IFS(H15="","",J15=H15,"Cumplido",J15&lt;H15,H15-J15,J15&gt;H15,"Revisar"),"")</f>
        <v>2475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GR0207-8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1305</v>
      </c>
      <c r="I16" s="214"/>
      <c r="J16" s="216"/>
      <c r="K16" s="197" cm="1">
        <f t="array" ref="K16">IFERROR(_xlfn.IFS(H16="","",J16=H16,"Cumplido",J16&lt;H16,H16-J16,J16&gt;H16,"Revisar"),"")</f>
        <v>1305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GR0207-8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450</v>
      </c>
      <c r="I17" s="214"/>
      <c r="J17" s="216"/>
      <c r="K17" s="197" cm="1">
        <f t="array" ref="K17">IFERROR(_xlfn.IFS(H17="","",J17=H17,"Cumplido",J17&lt;H17,H17-J17,J17&gt;H17,"Revisar"),"")</f>
        <v>450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GR0207-8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270</v>
      </c>
      <c r="I18" s="214"/>
      <c r="J18" s="216"/>
      <c r="K18" s="197" cm="1">
        <f t="array" ref="K18">IFERROR(_xlfn.IFS(H18="","",J18=H18,"Cumplido",J18&lt;H18,H18-J18,J18&gt;H18,"Revisar"),"")</f>
        <v>270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GR0207-8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90</v>
      </c>
      <c r="I19" s="214"/>
      <c r="J19" s="216"/>
      <c r="K19" s="197" cm="1">
        <f t="array" ref="K19">IFERROR(_xlfn.IFS(H19="","",J19=H19,"Cumplido",J19&lt;H19,H19-J19,J19&gt;H19,"Revisar"),"")</f>
        <v>90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GR0207-8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450</v>
      </c>
      <c r="I20" s="214"/>
      <c r="J20" s="216"/>
      <c r="K20" s="197" cm="1">
        <f t="array" ref="K20">IFERROR(_xlfn.IFS(H20="","",J20=H20,"Cumplido",J20&lt;H20,H20-J20,J20&gt;H20,"Revisar"),"")</f>
        <v>450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GR0207-8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90</v>
      </c>
      <c r="I21" s="214"/>
      <c r="J21" s="216"/>
      <c r="K21" s="197" cm="1">
        <f t="array" ref="K21">IFERROR(_xlfn.IFS(H21="","",J21=H21,"Cumplido",J21&lt;H21,H21-J21,J21&gt;H21,"Revisar"),"")</f>
        <v>90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GR0207-8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450</v>
      </c>
      <c r="I22" s="217"/>
      <c r="J22" s="216"/>
      <c r="K22" s="197" cm="1">
        <f t="array" ref="K22">IFERROR(_xlfn.IFS(H22="","",J22=H22,"Cumplido",J22&lt;H22,H22-J22,J22&gt;H22,"Revisar"),"")</f>
        <v>450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GR0207-8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450</v>
      </c>
      <c r="I23" s="217"/>
      <c r="J23" s="216"/>
      <c r="K23" s="197" cm="1">
        <f t="array" ref="K23">IFERROR(_xlfn.IFS(H23="","",J23=H23,"Cumplido",J23&lt;H23,H23-J23,J23&gt;H23,"Revisar"),"")</f>
        <v>450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GR0207-8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900</v>
      </c>
      <c r="I24" s="217"/>
      <c r="J24" s="216"/>
      <c r="K24" s="197" cm="1">
        <f t="array" ref="K24">IFERROR(_xlfn.IFS(H24="","",J24=H24,"Cumplido",J24&lt;H24,H24-J24,J24&gt;H24,"Revisar"),"")</f>
        <v>900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GR0207-8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450</v>
      </c>
      <c r="I25" s="217"/>
      <c r="J25" s="216"/>
      <c r="K25" s="197" cm="1">
        <f t="array" ref="K25">IFERROR(_xlfn.IFS(H25="","",J25=H25,"Cumplido",J25&lt;H25,H25-J25,J25&gt;H25,"Revisar"),"")</f>
        <v>450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GR0207-8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450</v>
      </c>
      <c r="I26" s="217"/>
      <c r="J26" s="216"/>
      <c r="K26" s="197" cm="1">
        <f t="array" ref="K26">IFERROR(_xlfn.IFS(H26="","",J26=H26,"Cumplido",J26&lt;H26,H26-J26,J26&gt;H26,"Revisar"),"")</f>
        <v>450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