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PORTAFOLIO JORGE MARIO 2023\Ficha 2754885  tecnica marroquineria\"/>
    </mc:Choice>
  </mc:AlternateContent>
  <xr:revisionPtr revIDLastSave="9" documentId="8_{8B254A5B-53AE-4872-9C78-893113CF1F30}" xr6:coauthVersionLast="47" xr6:coauthVersionMax="47" xr10:uidLastSave="{81506F67-697B-493E-B338-4D3707D45EE7}"/>
  <bookViews>
    <workbookView showHorizontalScroll="0" showVerticalScroll="0" xWindow="-108" yWindow="-108" windowWidth="16608" windowHeight="8832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<sst xmlns="http://schemas.openxmlformats.org/spreadsheetml/2006/main" count="4121" uniqueCount="1156">
  <si>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</si>
  <si>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</si>
  <si>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</si>
  <si>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</si>
  <si>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</si>
  <si>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</si>
  <si>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Jorge Mario Correa  Castañeda</t>
  </si>
  <si>
    <t>CÉDULA</t>
  </si>
  <si>
    <t>PROGRAMA</t>
  </si>
  <si>
    <t>PRODUCCION MARROQUINERIA</t>
  </si>
  <si>
    <t>FICHA(#)</t>
  </si>
  <si>
    <t>NOMBRE DEL PRODUCTO</t>
  </si>
  <si>
    <t>TECNICA DE MARROQUINERIA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</si>
  <si>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</si>
  <si>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</si>
  <si>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</si>
  <si>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</si>
  <si>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</si>
  <si>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</si>
  <si>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</si>
  <si>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</si>
  <si>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</si>
  <si>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</si>
  <si>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</si>
  <si>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</si>
  <si>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</si>
  <si>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</si>
  <si>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>LLAVE METÁLICA DESLIZADOR   #6 PARA CREMALLERA - PAVÓN</t>
  </si>
  <si>
    <t>HEBILLA BURBUJA  PLÁSTICA 32 MM 1 1/2"</t>
  </si>
  <si>
    <t>SiNTETICOS_TEXTILES</t>
  </si>
  <si>
    <t>LONA HURACAN  LAFAYETTE</t>
  </si>
  <si>
    <t>Negro</t>
  </si>
  <si>
    <t>SEDA 30-100 O SEDA TIFON</t>
  </si>
  <si>
    <t>Colores Surtidos</t>
  </si>
  <si>
    <t>SECUNDARIO_MEDULAR</t>
  </si>
  <si>
    <t>CREMALLERA POLIÉSTER #6</t>
  </si>
  <si>
    <t>TRABILLA 1" NÍQUEL</t>
  </si>
  <si>
    <t>REATA SINTETICA DE 1 ''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</si>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</sst>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141513</xdr:colOff>
      <xdr:row>0</xdr:row>
      <xdr:rowOff>0</xdr:rowOff>
    </xdr:from>
    <xdr:to>
      <xdr:col>25</xdr:col>
      <xdr:colOff>1360</xdr:colOff>
      <xdr:row>6</xdr:row>
      <xdr:rowOff>283028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2974FEE-BEDB-4622-1B50-F5A060638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16200000">
          <a:off x="7968342" y="-468086"/>
          <a:ext cx="2046514" cy="29826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view="pageLayout" zoomScale="85" zoomScaleNormal="69" zoomScalePageLayoutView="85" workbookViewId="0">
      <selection activeCell="Q15" sqref="Q15:R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JM1907-2</v>
      </c>
      <c r="G1" s="331"/>
      <c r="H1" s="332"/>
      <c r="I1" s="333" t="s">
        <v>1</v>
      </c>
      <c r="J1" s="334"/>
      <c r="K1" s="263">
        <v>2</v>
      </c>
      <c r="L1" s="312" t="s">
        <v>2</v>
      </c>
      <c r="M1" s="335"/>
      <c r="N1" s="335"/>
      <c r="O1" s="336">
        <v>45126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16757142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6">
        <v>2754885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10448.827178571428</v>
      </c>
      <c r="E5" s="366"/>
      <c r="F5" s="367"/>
      <c r="G5" s="351" t="s">
        <v>16</v>
      </c>
      <c r="H5" s="368"/>
      <c r="I5" s="368"/>
      <c r="J5" s="352"/>
      <c r="K5" s="326">
        <v>15</v>
      </c>
      <c r="L5" s="326"/>
      <c r="M5" s="327" t="s">
        <v>17</v>
      </c>
      <c r="N5" s="327"/>
      <c r="O5" s="316">
        <f ca="1">IFERROR(IF(K5=0,"",D5*K5),"")</f>
        <v>156732.40767857141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6.6666666666666666E-2</v>
      </c>
      <c r="W8" s="309"/>
      <c r="X8" s="111">
        <v>15</v>
      </c>
      <c r="Y8" s="112">
        <f>IFERROR((V8*X8)," ")</f>
        <v>1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9" t="s">
        <v>26</v>
      </c>
      <c r="B10" s="279"/>
      <c r="C10" s="280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>U</v>
      </c>
      <c r="P10" s="285"/>
      <c r="Q10" s="286">
        <v>3</v>
      </c>
      <c r="R10" s="287"/>
      <c r="S10" s="288">
        <f>IFERROR(IF(Q10="Unidad","1",(Q10*$K$5)),"")</f>
        <v>45</v>
      </c>
      <c r="T10" s="289"/>
      <c r="U10" s="276"/>
      <c r="V10" s="372"/>
      <c r="W10" s="277">
        <f ca="1">IFERROR(IF(D10="","",INDEX(Tabla_Completa,MATCH('Soli_citud '!D10,Materiales,0),7)*S10),"")</f>
        <v>20504.981250000001</v>
      </c>
      <c r="X10" s="277"/>
      <c r="Y10" s="277"/>
      <c r="Z10" s="37"/>
    </row>
    <row r="11" spans="1:28" ht="17.25" customHeight="1">
      <c r="A11" s="278" t="s">
        <v>26</v>
      </c>
      <c r="B11" s="279"/>
      <c r="C11" s="280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U</v>
      </c>
      <c r="P11" s="285"/>
      <c r="Q11" s="286">
        <v>1</v>
      </c>
      <c r="R11" s="287"/>
      <c r="S11" s="288">
        <f t="shared" ref="S11:S31" si="1">IFERROR(IF(Q11="Unidad","1",(Q11*$K$5)),"")</f>
        <v>15</v>
      </c>
      <c r="T11" s="289"/>
      <c r="U11" s="276"/>
      <c r="V11" s="276"/>
      <c r="W11" s="277">
        <f ca="1">IFERROR(IF(D11="","",INDEX(Tabla_Completa,MATCH('Soli_citud '!D11,Materiales,0),7)*S11),"")</f>
        <v>23205</v>
      </c>
      <c r="X11" s="277"/>
      <c r="Y11" s="277"/>
    </row>
    <row r="12" spans="1:28" ht="15.75" customHeight="1">
      <c r="A12" s="278" t="s">
        <v>29</v>
      </c>
      <c r="B12" s="279"/>
      <c r="C12" s="280"/>
      <c r="D12" s="373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>cm2</v>
      </c>
      <c r="P12" s="285"/>
      <c r="Q12" s="286">
        <v>1400</v>
      </c>
      <c r="R12" s="287"/>
      <c r="S12" s="288">
        <f t="shared" si="1"/>
        <v>21000</v>
      </c>
      <c r="T12" s="289"/>
      <c r="U12" s="276" t="s">
        <v>31</v>
      </c>
      <c r="V12" s="276"/>
      <c r="W12" s="277">
        <f ca="1">IFERROR(IF(D12="","",INDEX(Tabla_Completa,MATCH('Soli_citud '!D12,Materiales,0),7)*S12),"")</f>
        <v>59999.205000000002</v>
      </c>
      <c r="X12" s="277"/>
      <c r="Y12" s="277"/>
    </row>
    <row r="13" spans="1:28" ht="15.75" customHeight="1">
      <c r="A13" s="278" t="s">
        <v>29</v>
      </c>
      <c r="B13" s="279"/>
      <c r="C13" s="280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cm2</v>
      </c>
      <c r="P13" s="285"/>
      <c r="Q13" s="286">
        <v>1600</v>
      </c>
      <c r="R13" s="287"/>
      <c r="S13" s="288">
        <f t="shared" si="1"/>
        <v>24000</v>
      </c>
      <c r="T13" s="289"/>
      <c r="U13" s="276" t="s">
        <v>33</v>
      </c>
      <c r="V13" s="276"/>
      <c r="W13" s="277">
        <f ca="1">IFERROR(IF(D13="","",INDEX(Tabla_Completa,MATCH('Soli_citud '!D13,Materiales,0),7)*S13),"")</f>
        <v>11948.571428571428</v>
      </c>
      <c r="X13" s="277"/>
      <c r="Y13" s="277"/>
    </row>
    <row r="14" spans="1:28" ht="17.25" customHeight="1">
      <c r="A14" s="278" t="s">
        <v>34</v>
      </c>
      <c r="B14" s="279"/>
      <c r="C14" s="280"/>
      <c r="D14" s="369" t="s">
        <v>35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>cm</v>
      </c>
      <c r="P14" s="285"/>
      <c r="Q14" s="286">
        <v>70</v>
      </c>
      <c r="R14" s="287"/>
      <c r="S14" s="288">
        <f t="shared" si="1"/>
        <v>1050</v>
      </c>
      <c r="T14" s="289"/>
      <c r="U14" s="276" t="s">
        <v>31</v>
      </c>
      <c r="V14" s="276"/>
      <c r="W14" s="277">
        <f ca="1">IFERROR(IF(D14="","",INDEX(Tabla_Completa,MATCH('Soli_citud '!D14,Materiales,0),7)*S14),"")</f>
        <v>12841.5</v>
      </c>
      <c r="X14" s="277"/>
      <c r="Y14" s="277"/>
    </row>
    <row r="15" spans="1:28" ht="15.75" customHeight="1">
      <c r="A15" s="278" t="s">
        <v>26</v>
      </c>
      <c r="B15" s="279"/>
      <c r="C15" s="280"/>
      <c r="D15" s="369" t="s">
        <v>36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>U</v>
      </c>
      <c r="P15" s="285"/>
      <c r="Q15" s="286">
        <v>1</v>
      </c>
      <c r="R15" s="287"/>
      <c r="S15" s="288">
        <f t="shared" si="1"/>
        <v>15</v>
      </c>
      <c r="T15" s="289"/>
      <c r="U15" s="276" t="s">
        <v>31</v>
      </c>
      <c r="V15" s="276"/>
      <c r="W15" s="277">
        <f ca="1">IFERROR(IF(D15="","",INDEX(Tabla_Completa,MATCH('Soli_citud '!D15,Materiales,0),7)*S15),"")</f>
        <v>14976.15</v>
      </c>
      <c r="X15" s="277"/>
      <c r="Y15" s="277"/>
    </row>
    <row r="16" spans="1:28" ht="15.75" customHeight="1">
      <c r="A16" s="278" t="s">
        <v>34</v>
      </c>
      <c r="B16" s="279"/>
      <c r="C16" s="280"/>
      <c r="D16" s="369" t="s">
        <v>37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>cm</v>
      </c>
      <c r="P16" s="285"/>
      <c r="Q16" s="286">
        <v>60</v>
      </c>
      <c r="R16" s="287"/>
      <c r="S16" s="288">
        <f t="shared" si="1"/>
        <v>900</v>
      </c>
      <c r="T16" s="289"/>
      <c r="U16" s="276" t="s">
        <v>31</v>
      </c>
      <c r="V16" s="276"/>
      <c r="W16" s="277">
        <f ca="1">IFERROR(IF(D16="","",INDEX(Tabla_Completa,MATCH('Soli_citud '!D16,Materiales,0),7)*S16),"")</f>
        <v>13257</v>
      </c>
      <c r="X16" s="277"/>
      <c r="Y16" s="277"/>
    </row>
    <row r="17" spans="1:25" ht="15.75" customHeight="1">
      <c r="A17" s="278"/>
      <c r="B17" s="279"/>
      <c r="C17" s="280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/>
      </c>
      <c r="P17" s="285"/>
      <c r="Q17" s="286"/>
      <c r="R17" s="287"/>
      <c r="S17" s="288">
        <f t="shared" si="1"/>
        <v>0</v>
      </c>
      <c r="T17" s="289"/>
      <c r="U17" s="276"/>
      <c r="V17" s="276"/>
      <c r="W17" s="277" t="str">
        <f ca="1">IFERROR(IF(D17="","",INDEX(Tabla_Completa,MATCH('Soli_citud '!D17,Materiales,0),7)*S17),"")</f>
        <v/>
      </c>
      <c r="X17" s="277"/>
      <c r="Y17" s="277"/>
    </row>
    <row r="18" spans="1:25" ht="15.75" customHeight="1">
      <c r="A18" s="278"/>
      <c r="B18" s="279"/>
      <c r="C18" s="280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/>
      </c>
      <c r="P18" s="285"/>
      <c r="Q18" s="286"/>
      <c r="R18" s="287"/>
      <c r="S18" s="288">
        <f t="shared" si="1"/>
        <v>0</v>
      </c>
      <c r="T18" s="289"/>
      <c r="U18" s="276"/>
      <c r="V18" s="276"/>
      <c r="W18" s="277" t="str">
        <f ca="1">IFERROR(IF(D18="","",INDEX(Tabla_Completa,MATCH('Soli_citud '!D18,Materiales,0),7)*S18),"")</f>
        <v/>
      </c>
      <c r="X18" s="277"/>
      <c r="Y18" s="277"/>
    </row>
    <row r="19" spans="1:25" ht="15.6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 ca="1">IFERROR(IF(D19="","",INDEX(Tabla_Completa,MATCH('Soli_citud '!D19,Materiales,0),7)*S19),"")</f>
        <v/>
      </c>
      <c r="X19" s="277"/>
      <c r="Y19" s="277"/>
    </row>
    <row r="20" spans="1:25" ht="15.6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 ca="1">IFERROR(IF(D20="","",INDEX(Tabla_Completa,MATCH('Soli_citud '!D20,Materiales,0),7)*S20),"")</f>
        <v/>
      </c>
      <c r="X20" s="277"/>
      <c r="Y20" s="277"/>
    </row>
    <row r="21" spans="1:25" ht="15.6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 ca="1">IFERROR(IF(D21="","",INDEX(Tabla_Completa,MATCH('Soli_citud '!D21,Materiales,0),7)*S21),"")</f>
        <v/>
      </c>
      <c r="X21" s="277"/>
      <c r="Y21" s="277"/>
    </row>
    <row r="22" spans="1:25" ht="15.6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 ca="1">IFERROR(IF(D22="","",INDEX(Tabla_Completa,MATCH('Soli_citud '!D22,Materiales,0),7)*S22),"")</f>
        <v/>
      </c>
      <c r="X22" s="277"/>
      <c r="Y22" s="277"/>
    </row>
    <row r="23" spans="1:25" ht="15.6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 ca="1">IFERROR(IF(D23="","",INDEX(Tabla_Completa,MATCH('Soli_citud '!D23,Materiales,0),7)*S23),"")</f>
        <v/>
      </c>
      <c r="X23" s="277"/>
      <c r="Y23" s="277"/>
    </row>
    <row r="24" spans="1:25" ht="15.6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 t="shared" si="1"/>
        <v>0</v>
      </c>
      <c r="T24" s="289"/>
      <c r="U24" s="276"/>
      <c r="V24" s="276"/>
      <c r="W24" s="277" t="str">
        <f ca="1">IFERROR(IF(D24="","",INDEX(Tabla_Completa,MATCH('Soli_citud '!D24,Materiales,0),7)*S24),"")</f>
        <v/>
      </c>
      <c r="X24" s="277"/>
      <c r="Y24" s="277"/>
    </row>
    <row r="25" spans="1:25" ht="15.6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 t="shared" si="1"/>
        <v>0</v>
      </c>
      <c r="T25" s="289"/>
      <c r="U25" s="276"/>
      <c r="V25" s="276"/>
      <c r="W25" s="277" t="str">
        <f ca="1">IFERROR(IF(D25="","",INDEX(Tabla_Completa,MATCH('Soli_citud '!D25,Materiales,0),7)*S25),"")</f>
        <v/>
      </c>
      <c r="X25" s="277"/>
      <c r="Y25" s="277"/>
    </row>
    <row r="26" spans="1:25" ht="15.6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 t="shared" si="1"/>
        <v>0</v>
      </c>
      <c r="T26" s="289"/>
      <c r="U26" s="276"/>
      <c r="V26" s="276"/>
      <c r="W26" s="277" t="str">
        <f ca="1">IFERROR(IF(D26="","",INDEX(Tabla_Completa,MATCH('Soli_citud '!D26,Materiales,0),7)*S26),"")</f>
        <v/>
      </c>
      <c r="X26" s="277"/>
      <c r="Y26" s="277"/>
    </row>
    <row r="27" spans="1:25" ht="15.6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 ca="1">IFERROR(IF(D27="","",INDEX(Tabla_Completa,MATCH('Soli_citud '!D27,Materiales,0),7)*S27),"")</f>
        <v/>
      </c>
      <c r="X27" s="277"/>
      <c r="Y27" s="277"/>
    </row>
    <row r="28" spans="1:25" ht="15.6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6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6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6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6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6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290" t="s">
        <v>38</v>
      </c>
      <c r="B39" s="290"/>
      <c r="C39" s="290"/>
      <c r="D39" s="291" t="s">
        <v>39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 ht="14.45">
      <c r="A40" s="255" t="s">
        <v>40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41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 ht="14.4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 ht="14.4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8">
      <c r="A44" s="301" t="s">
        <v>42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43</v>
      </c>
      <c r="O44" s="303"/>
      <c r="P44" s="303"/>
      <c r="Q44" s="303"/>
      <c r="R44" s="298" t="s">
        <v>44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45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46</v>
      </c>
      <c r="O45" s="303"/>
      <c r="P45" s="303"/>
      <c r="Q45" s="303"/>
      <c r="R45" s="299" t="s">
        <v>47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48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49</v>
      </c>
      <c r="O46" s="303"/>
      <c r="P46" s="303"/>
      <c r="Q46" s="303"/>
      <c r="R46" s="300" t="s">
        <v>50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51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26</v>
      </c>
      <c r="O47" s="303"/>
      <c r="P47" s="303"/>
      <c r="Q47" s="303"/>
      <c r="R47" s="300" t="s">
        <v>52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53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54</v>
      </c>
      <c r="O48" s="303"/>
      <c r="P48" s="303"/>
      <c r="Q48" s="303"/>
      <c r="R48" s="300" t="s">
        <v>55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56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57</v>
      </c>
      <c r="O49" s="304"/>
      <c r="P49" s="304"/>
      <c r="Q49" s="304"/>
      <c r="R49" s="299" t="s">
        <v>58</v>
      </c>
      <c r="S49" s="299"/>
      <c r="T49" s="299"/>
      <c r="U49" s="299"/>
      <c r="V49" s="299"/>
      <c r="W49" s="299"/>
      <c r="X49" s="299"/>
    </row>
    <row r="50" spans="1:24" ht="14.45">
      <c r="A50" s="297"/>
      <c r="B50" s="297"/>
      <c r="C50" s="297"/>
      <c r="D50" s="297"/>
      <c r="N50" s="303" t="s">
        <v>59</v>
      </c>
      <c r="O50" s="303"/>
      <c r="P50" s="303"/>
      <c r="Q50" s="303"/>
      <c r="R50" s="300" t="s">
        <v>60</v>
      </c>
      <c r="S50" s="300"/>
      <c r="T50" s="300"/>
      <c r="U50" s="300"/>
      <c r="V50" s="300"/>
      <c r="W50" s="300"/>
      <c r="X50" s="300"/>
    </row>
    <row r="51" spans="1:24" ht="14.45">
      <c r="N51" s="303" t="s">
        <v>29</v>
      </c>
      <c r="O51" s="303"/>
      <c r="P51" s="303"/>
      <c r="Q51" s="303"/>
      <c r="R51" s="300" t="s">
        <v>61</v>
      </c>
      <c r="S51" s="300"/>
      <c r="T51" s="300"/>
      <c r="U51" s="300"/>
      <c r="V51" s="300"/>
      <c r="W51" s="300"/>
      <c r="X51" s="300"/>
    </row>
    <row r="52" spans="1:24" ht="14.45">
      <c r="N52" s="303" t="s">
        <v>62</v>
      </c>
      <c r="O52" s="303"/>
      <c r="P52" s="303"/>
      <c r="Q52" s="303"/>
      <c r="R52" s="300" t="s">
        <v>52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M22" sqref="M21:M22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63</v>
      </c>
      <c r="D1" s="383"/>
      <c r="E1" s="383"/>
      <c r="F1" s="383"/>
      <c r="G1" s="383"/>
      <c r="H1" s="383"/>
      <c r="I1" s="389" t="s">
        <v>64</v>
      </c>
      <c r="J1" s="390"/>
      <c r="K1" s="390"/>
      <c r="L1" s="391"/>
      <c r="M1" s="384">
        <f>IF('Soli_citud '!O1="","",'Soli_citud '!O1)</f>
        <v>45126</v>
      </c>
      <c r="N1" s="385"/>
      <c r="O1" s="428" t="s">
        <v>65</v>
      </c>
      <c r="P1" s="429"/>
      <c r="Q1" s="424" t="str">
        <f>IF('Soli_citud '!D4="","",'Soli_citud '!D4)</f>
        <v>TECNICA DE MARROQUINERIA</v>
      </c>
      <c r="R1" s="425"/>
      <c r="Z1" s="271" t="s">
        <v>66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67</v>
      </c>
      <c r="J2" s="393"/>
      <c r="K2" s="393"/>
      <c r="L2" s="394"/>
      <c r="M2" s="386" t="str">
        <f>'Soli_citud '!F1</f>
        <v>JM1907-2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68</v>
      </c>
      <c r="J3" s="388"/>
      <c r="K3" s="388"/>
      <c r="L3" s="388"/>
      <c r="M3" s="395">
        <f>IF('Soli_citud '!O3="","",'Soli_citud '!O3)</f>
        <v>2754885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69</v>
      </c>
      <c r="J4" s="377"/>
      <c r="K4" s="377"/>
      <c r="L4" s="378" t="str">
        <f>IF('Soli_citud '!O4="","",'Soli_citud '!O4)</f>
        <v>Calzado Formación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70</v>
      </c>
      <c r="B6" s="380"/>
      <c r="C6" s="380"/>
      <c r="D6" s="397" t="s">
        <v>71</v>
      </c>
      <c r="E6" s="397"/>
      <c r="F6" s="397"/>
      <c r="G6" s="397"/>
      <c r="H6" s="398"/>
      <c r="I6" s="420" t="s">
        <v>72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 ca="1">IFERROR(IF(Q3="","",F9*L10),"")</f>
        <v/>
      </c>
      <c r="R7" s="412"/>
    </row>
    <row r="8" spans="1:26" ht="20.25" customHeight="1">
      <c r="A8" s="381">
        <f ca="1">IF('Soli_citud '!D5&lt;= 0,"",'Soli_citud '!D5)</f>
        <v>10448.827178571428</v>
      </c>
      <c r="B8" s="381"/>
      <c r="C8" s="381"/>
      <c r="D8" s="399" t="s">
        <v>73</v>
      </c>
      <c r="E8" s="400"/>
      <c r="F8" s="400"/>
      <c r="G8" s="400"/>
      <c r="H8" s="401"/>
      <c r="I8" s="422" t="str">
        <f>IF('Soli_citud '!E2="","",'Soli_citud '!E2)</f>
        <v>Jorge Mario Correa  Castañeda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74</v>
      </c>
      <c r="B9" s="406"/>
      <c r="C9" s="402"/>
      <c r="D9" s="408" t="s">
        <v>75</v>
      </c>
      <c r="E9" s="408"/>
      <c r="F9" s="414" t="str">
        <f ca="1"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76</v>
      </c>
      <c r="J10" s="440"/>
      <c r="K10" s="441"/>
      <c r="L10" s="259">
        <f>'Soli_citud '!K5</f>
        <v>15</v>
      </c>
      <c r="M10" s="437" t="s">
        <v>77</v>
      </c>
      <c r="N10" s="438"/>
      <c r="O10" s="432"/>
      <c r="P10" s="433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03" t="s">
        <v>80</v>
      </c>
      <c r="C11" s="404"/>
      <c r="D11" s="404"/>
      <c r="E11" s="405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87" t="s">
        <v>24</v>
      </c>
      <c r="L11" s="439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376" t="str">
        <f>IFERROR(IF('Soli_citud '!D10="","",'Soli_citud '!D10),"")</f>
        <v>LLAVE METÁLICA DESLIZADOR   #6 PARA CREMALLERA - PAVÓN</v>
      </c>
      <c r="C12" s="376"/>
      <c r="D12" s="376"/>
      <c r="E12" s="376"/>
      <c r="F12" s="239" t="str">
        <f ca="1">IF('Soli_citud '!O10="","",'Soli_citud '!O10)</f>
        <v>U</v>
      </c>
      <c r="G12" s="239" cm="1">
        <f t="array" ref="G12">_xlfn.IFS('Soli_citud '!S10="","",'Soli_citud '!S10&lt;=0,"",'Soli_citud '!S10&gt;0,'Soli_citud '!S10)</f>
        <v>45</v>
      </c>
      <c r="H12" s="240">
        <v>45131</v>
      </c>
      <c r="I12" s="241">
        <v>45</v>
      </c>
      <c r="J12" s="215" t="str" cm="1">
        <f t="array" ref="J12">IFERROR(_xlfn.IFS(G12="","",I12=G12,"Cumplido",I12&lt;G12,G12-I12,I12&gt;G12,"Revisar"),"")</f>
        <v>Cumplido</v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HEBILLA BURBUJA  PLÁSTICA 32 MM 1 1/2"</v>
      </c>
      <c r="C13" s="376"/>
      <c r="D13" s="376"/>
      <c r="E13" s="376"/>
      <c r="F13" s="239" t="str">
        <f ca="1">IF('Soli_citud '!O11="","",'Soli_citud '!O11)</f>
        <v>U</v>
      </c>
      <c r="G13" s="239" cm="1">
        <f t="array" ref="G13">_xlfn.IFS('Soli_citud '!S11="","",'Soli_citud '!S11&lt;=0,"",'Soli_citud '!S11&gt;0,'Soli_citud '!S11)</f>
        <v>15</v>
      </c>
      <c r="H13" s="240">
        <v>45131</v>
      </c>
      <c r="I13" s="242">
        <v>15</v>
      </c>
      <c r="J13" s="215" t="str" cm="1">
        <f t="array" ref="J13">IFERROR(_xlfn.IFS(G13="","",I13=G13,"Cumplido",I13&lt;G13,G13-I13,I13&gt;G13,"Revisar"),"")</f>
        <v>Cumplido</v>
      </c>
      <c r="K13" s="374"/>
      <c r="L13" s="375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LONA HURACAN  LAFAYETTE</v>
      </c>
      <c r="C14" s="376"/>
      <c r="D14" s="376"/>
      <c r="E14" s="376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21000</v>
      </c>
      <c r="H14" s="240">
        <v>45131</v>
      </c>
      <c r="I14" s="242">
        <v>21000</v>
      </c>
      <c r="J14" s="215" t="str" cm="1">
        <f t="array" ref="J14">IFERROR(_xlfn.IFS(G14="","",I14=G14,"Cumplido",I14&lt;G14,G14-I14,I14&gt;G14,"Revisar"),"")</f>
        <v>Cumplido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SEDA 30-100 O SEDA TIFON</v>
      </c>
      <c r="C15" s="376"/>
      <c r="D15" s="376"/>
      <c r="E15" s="376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24000</v>
      </c>
      <c r="H15" s="240">
        <v>45131</v>
      </c>
      <c r="I15" s="242">
        <v>24000</v>
      </c>
      <c r="J15" s="215" t="str" cm="1">
        <f t="array" ref="J15">IFERROR(_xlfn.IFS(G15="","",I15=G15,"Cumplido",I15&lt;G15,G15-I15,I15&gt;G15,"Revisar"),"")</f>
        <v>Cumplido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CREMALLERA POLIÉSTER #6</v>
      </c>
      <c r="C16" s="376"/>
      <c r="D16" s="376"/>
      <c r="E16" s="376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1050</v>
      </c>
      <c r="H16" s="240">
        <v>45131</v>
      </c>
      <c r="I16" s="242">
        <v>1050</v>
      </c>
      <c r="J16" s="215" t="str" cm="1">
        <f t="array" ref="J16">IFERROR(_xlfn.IFS(G16="","",I16=G16,"Cumplido",I16&lt;G16,G16-I16,I16&gt;G16,"Revisar"),"")</f>
        <v>Cumplido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>TRABILLA 1" NÍQUEL</v>
      </c>
      <c r="C17" s="376"/>
      <c r="D17" s="376"/>
      <c r="E17" s="376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15</v>
      </c>
      <c r="H17" s="240">
        <v>45131</v>
      </c>
      <c r="I17" s="242">
        <v>15</v>
      </c>
      <c r="J17" s="215" t="str" cm="1">
        <f t="array" ref="J17">IFERROR(_xlfn.IFS(G17="","",I17=G17,"Cumplido",I17&lt;G17,G17-I17,I17&gt;G17,"Revisar"),"")</f>
        <v>Cumplido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>REATA SINTETICA DE 1 ''</v>
      </c>
      <c r="C18" s="376"/>
      <c r="D18" s="376"/>
      <c r="E18" s="376"/>
      <c r="F18" s="239" t="str">
        <f ca="1">IF('Soli_citud '!O16="","",'Soli_citud '!O16)</f>
        <v>cm</v>
      </c>
      <c r="G18" s="239" cm="1">
        <f t="array" ref="G18">_xlfn.IFS('Soli_citud '!S16="","",'Soli_citud '!S16&lt;=0,"",'Soli_citud '!S16&gt;0,'Soli_citud '!S16)</f>
        <v>900</v>
      </c>
      <c r="H18" s="240">
        <v>45131</v>
      </c>
      <c r="I18" s="242">
        <v>900</v>
      </c>
      <c r="J18" s="215" t="str" cm="1">
        <f t="array" ref="J18">IFERROR(_xlfn.IFS(G18="","",I18=G18,"Cumplido",I18&lt;G18,G18-I18,I18&gt;G18,"Revisar"),"")</f>
        <v>Cumplido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/>
      </c>
      <c r="C19" s="376"/>
      <c r="D19" s="376"/>
      <c r="E19" s="376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/>
      </c>
      <c r="C20" s="376"/>
      <c r="D20" s="376"/>
      <c r="E20" s="376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/>
      </c>
      <c r="C21" s="376"/>
      <c r="D21" s="376"/>
      <c r="E21" s="376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D4" sqref="D4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92</v>
      </c>
      <c r="F1" s="450"/>
      <c r="Z1" s="271" t="s">
        <v>66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8"/>
      <c r="D6" s="449"/>
      <c r="H6" s="446" t="s">
        <v>94</v>
      </c>
      <c r="I6" s="446"/>
    </row>
    <row r="7" spans="1:26" ht="46.9">
      <c r="A7" s="76" t="s">
        <v>79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43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43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43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43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43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43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4" t="s">
        <v>43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114</v>
      </c>
      <c r="C15" s="144" t="s">
        <v>43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115</v>
      </c>
      <c r="C16" s="144" t="s">
        <v>43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4" t="s">
        <v>43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117</v>
      </c>
      <c r="C18" s="144" t="s">
        <v>43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118</v>
      </c>
      <c r="C19" s="144" t="s">
        <v>43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79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120</v>
      </c>
      <c r="C34" s="229" t="s">
        <v>121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122</v>
      </c>
      <c r="C35" s="229" t="s">
        <v>121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123</v>
      </c>
      <c r="C36" s="229" t="s">
        <v>121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124</v>
      </c>
      <c r="C37" s="229" t="s">
        <v>121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125</v>
      </c>
      <c r="C38" s="229" t="s">
        <v>121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126</v>
      </c>
      <c r="C39" s="229" t="s">
        <v>121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127</v>
      </c>
      <c r="C40" s="229" t="s">
        <v>121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128</v>
      </c>
      <c r="C41" s="229" t="s">
        <v>121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129</v>
      </c>
      <c r="C42" s="229" t="s">
        <v>121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130</v>
      </c>
      <c r="C43" s="229" t="s">
        <v>121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131</v>
      </c>
      <c r="C44" s="229" t="s">
        <v>121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132</v>
      </c>
      <c r="C45" s="229" t="s">
        <v>121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133</v>
      </c>
      <c r="C46" s="229" t="s">
        <v>121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134</v>
      </c>
      <c r="C47" s="229" t="s">
        <v>121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135</v>
      </c>
      <c r="C48" s="229" t="s">
        <v>121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136</v>
      </c>
      <c r="C49" s="229" t="s">
        <v>121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137</v>
      </c>
      <c r="C50" s="229" t="s">
        <v>121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138</v>
      </c>
      <c r="C51" s="229" t="s">
        <v>121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139</v>
      </c>
      <c r="C52" s="229" t="s">
        <v>121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140</v>
      </c>
      <c r="C53" s="229" t="s">
        <v>121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141</v>
      </c>
      <c r="C54" s="229" t="s">
        <v>121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142</v>
      </c>
      <c r="C55" s="229" t="s">
        <v>121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143</v>
      </c>
      <c r="C56" s="229" t="s">
        <v>121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144</v>
      </c>
      <c r="C57" s="229" t="s">
        <v>121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145</v>
      </c>
      <c r="C58" s="229" t="s">
        <v>121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146</v>
      </c>
      <c r="C59" s="229" t="s">
        <v>121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147</v>
      </c>
      <c r="C60" s="229" t="s">
        <v>121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148</v>
      </c>
      <c r="C61" s="229" t="s">
        <v>121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149</v>
      </c>
      <c r="C62" s="229" t="s">
        <v>121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150</v>
      </c>
      <c r="C63" s="229" t="s">
        <v>121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151</v>
      </c>
      <c r="C64" s="229" t="s">
        <v>121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152</v>
      </c>
      <c r="C65" s="229" t="s">
        <v>121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153</v>
      </c>
      <c r="C66" s="229" t="s">
        <v>121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154</v>
      </c>
      <c r="C67" s="229" t="s">
        <v>121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155</v>
      </c>
      <c r="C68" s="229" t="s">
        <v>121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156</v>
      </c>
      <c r="C69" s="229" t="s">
        <v>121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157</v>
      </c>
      <c r="C70" s="229" t="s">
        <v>121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158</v>
      </c>
      <c r="C71" s="229" t="s">
        <v>121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159</v>
      </c>
      <c r="C72" s="229" t="s">
        <v>121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160</v>
      </c>
      <c r="C73" s="229" t="s">
        <v>121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161</v>
      </c>
      <c r="C74" s="229" t="s">
        <v>121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162</v>
      </c>
      <c r="C75" s="229" t="s">
        <v>121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163</v>
      </c>
      <c r="C76" s="229" t="s">
        <v>121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164</v>
      </c>
      <c r="C77" s="229" t="s">
        <v>121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165</v>
      </c>
      <c r="C78" s="229" t="s">
        <v>121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166</v>
      </c>
      <c r="C79" s="229" t="s">
        <v>121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167</v>
      </c>
      <c r="C80" s="229" t="s">
        <v>121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168</v>
      </c>
      <c r="C81" s="229" t="s">
        <v>121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169</v>
      </c>
      <c r="C82" s="229" t="s">
        <v>121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170</v>
      </c>
      <c r="C83" s="229" t="s">
        <v>121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171</v>
      </c>
      <c r="C84" s="229" t="s">
        <v>121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172</v>
      </c>
      <c r="C85" s="229" t="s">
        <v>121</v>
      </c>
      <c r="D85" s="51" t="s">
        <v>173</v>
      </c>
      <c r="E85" s="46">
        <v>97321</v>
      </c>
      <c r="F85" s="193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174</v>
      </c>
      <c r="C86" s="229" t="s">
        <v>121</v>
      </c>
      <c r="D86" s="51" t="s">
        <v>173</v>
      </c>
      <c r="E86" s="46">
        <v>99191</v>
      </c>
      <c r="F86" s="193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175</v>
      </c>
      <c r="C87" s="229" t="s">
        <v>121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176</v>
      </c>
      <c r="C88" s="229" t="s">
        <v>121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177</v>
      </c>
      <c r="C89" s="229" t="s">
        <v>121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178</v>
      </c>
      <c r="C90" s="229" t="s">
        <v>121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179</v>
      </c>
      <c r="C91" s="229" t="s">
        <v>121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180</v>
      </c>
      <c r="C92" s="229" t="s">
        <v>121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181</v>
      </c>
      <c r="C93" s="229" t="s">
        <v>121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182</v>
      </c>
      <c r="C94" s="229" t="s">
        <v>121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183</v>
      </c>
      <c r="C95" s="229" t="s">
        <v>121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184</v>
      </c>
      <c r="C96" s="229" t="s">
        <v>121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185</v>
      </c>
      <c r="C97" s="229" t="s">
        <v>121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186</v>
      </c>
      <c r="C98" s="229" t="s">
        <v>121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187</v>
      </c>
      <c r="C99" s="229" t="s">
        <v>121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188</v>
      </c>
      <c r="C100" s="229" t="s">
        <v>121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189</v>
      </c>
      <c r="C101" s="229" t="s">
        <v>121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190</v>
      </c>
      <c r="C102" s="229" t="s">
        <v>121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191</v>
      </c>
      <c r="C103" s="229" t="s">
        <v>121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192</v>
      </c>
      <c r="C104" s="229" t="s">
        <v>121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193</v>
      </c>
      <c r="C105" s="229" t="s">
        <v>121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194</v>
      </c>
      <c r="C106" s="229" t="s">
        <v>121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195</v>
      </c>
      <c r="C107" s="229" t="s">
        <v>121</v>
      </c>
      <c r="D107" s="51" t="s">
        <v>173</v>
      </c>
      <c r="E107" s="46">
        <v>47662</v>
      </c>
      <c r="F107" s="193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196</v>
      </c>
      <c r="C108" s="229" t="s">
        <v>121</v>
      </c>
      <c r="D108" s="51" t="s">
        <v>173</v>
      </c>
      <c r="E108" s="46">
        <v>8533</v>
      </c>
      <c r="F108" s="193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197</v>
      </c>
      <c r="C109" s="229" t="s">
        <v>121</v>
      </c>
      <c r="D109" s="51" t="s">
        <v>173</v>
      </c>
      <c r="E109" s="46">
        <v>8367</v>
      </c>
      <c r="F109" s="193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198</v>
      </c>
      <c r="C110" s="229" t="s">
        <v>121</v>
      </c>
      <c r="D110" s="51" t="s">
        <v>173</v>
      </c>
      <c r="E110" s="46">
        <v>32859</v>
      </c>
      <c r="F110" s="193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199</v>
      </c>
      <c r="C111" s="229" t="s">
        <v>121</v>
      </c>
      <c r="D111" s="51" t="s">
        <v>173</v>
      </c>
      <c r="E111" s="46">
        <v>9366</v>
      </c>
      <c r="F111" s="193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200</v>
      </c>
      <c r="C112" s="229" t="s">
        <v>121</v>
      </c>
      <c r="D112" s="51" t="s">
        <v>173</v>
      </c>
      <c r="E112" s="46">
        <v>54502</v>
      </c>
      <c r="F112" s="193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201</v>
      </c>
      <c r="C113" s="229" t="s">
        <v>121</v>
      </c>
      <c r="D113" s="51" t="s">
        <v>202</v>
      </c>
      <c r="E113" s="46">
        <v>14170</v>
      </c>
      <c r="F113" s="193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203</v>
      </c>
      <c r="C114" s="229" t="s">
        <v>121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204</v>
      </c>
      <c r="C115" s="229" t="s">
        <v>121</v>
      </c>
      <c r="D115" s="51" t="s">
        <v>205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206</v>
      </c>
      <c r="C116" s="229" t="s">
        <v>121</v>
      </c>
      <c r="D116" s="51" t="s">
        <v>207</v>
      </c>
      <c r="E116" s="46">
        <v>50178</v>
      </c>
      <c r="F116" s="193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208</v>
      </c>
      <c r="C117" s="229" t="s">
        <v>121</v>
      </c>
      <c r="D117" s="51" t="s">
        <v>173</v>
      </c>
      <c r="E117" s="46">
        <v>35105</v>
      </c>
      <c r="F117" s="193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209</v>
      </c>
      <c r="C118" s="229" t="s">
        <v>121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210</v>
      </c>
      <c r="C119" s="229" t="s">
        <v>121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211</v>
      </c>
      <c r="C120" s="229" t="s">
        <v>121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212</v>
      </c>
      <c r="C121" s="229" t="s">
        <v>121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213</v>
      </c>
      <c r="C122" s="229" t="s">
        <v>121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214</v>
      </c>
      <c r="C123" s="229" t="s">
        <v>121</v>
      </c>
      <c r="D123" s="51" t="s">
        <v>215</v>
      </c>
      <c r="E123" s="46">
        <v>38591.666666666664</v>
      </c>
      <c r="F123" s="193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216</v>
      </c>
      <c r="C124" s="229" t="s">
        <v>121</v>
      </c>
      <c r="D124" s="51" t="s">
        <v>173</v>
      </c>
      <c r="E124" s="46">
        <v>22134</v>
      </c>
      <c r="F124" s="193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217</v>
      </c>
      <c r="C125" s="229" t="s">
        <v>121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218</v>
      </c>
      <c r="C126" s="229" t="s">
        <v>121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219</v>
      </c>
      <c r="C127" s="229" t="s">
        <v>121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220</v>
      </c>
      <c r="C128" s="229" t="s">
        <v>121</v>
      </c>
      <c r="D128" s="51" t="s">
        <v>173</v>
      </c>
      <c r="E128" s="46">
        <v>149370</v>
      </c>
      <c r="F128" s="193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221</v>
      </c>
      <c r="C129" s="229" t="s">
        <v>121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222</v>
      </c>
      <c r="C130" s="229" t="s">
        <v>121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223</v>
      </c>
      <c r="C131" s="229" t="s">
        <v>121</v>
      </c>
      <c r="D131" s="51" t="s">
        <v>207</v>
      </c>
      <c r="E131" s="46">
        <v>8850</v>
      </c>
      <c r="F131" s="193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224</v>
      </c>
      <c r="C132" s="229" t="s">
        <v>121</v>
      </c>
      <c r="D132" s="51" t="s">
        <v>225</v>
      </c>
      <c r="E132" s="46">
        <v>135533.5</v>
      </c>
      <c r="F132" s="193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226</v>
      </c>
      <c r="C133" s="229" t="s">
        <v>121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227</v>
      </c>
      <c r="C134" s="229" t="s">
        <v>121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228</v>
      </c>
      <c r="C135" s="229" t="s">
        <v>121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229</v>
      </c>
      <c r="C136" s="229" t="s">
        <v>121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230</v>
      </c>
      <c r="C137" s="229" t="s">
        <v>121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231</v>
      </c>
      <c r="C138" s="229" t="s">
        <v>121</v>
      </c>
      <c r="D138" s="51" t="s">
        <v>215</v>
      </c>
      <c r="E138" s="46">
        <v>90800</v>
      </c>
      <c r="F138" s="193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232</v>
      </c>
      <c r="C139" s="229" t="s">
        <v>121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233</v>
      </c>
      <c r="C140" s="229" t="s">
        <v>121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234</v>
      </c>
      <c r="C141" s="229" t="s">
        <v>121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79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235</v>
      </c>
      <c r="C162" s="229" t="s">
        <v>34</v>
      </c>
      <c r="D162" s="51" t="s">
        <v>173</v>
      </c>
      <c r="E162" s="46">
        <v>760</v>
      </c>
      <c r="F162" s="193" t="s">
        <v>173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236</v>
      </c>
      <c r="C163" s="229" t="s">
        <v>34</v>
      </c>
      <c r="D163" s="51" t="s">
        <v>237</v>
      </c>
      <c r="E163" s="46">
        <v>45667</v>
      </c>
      <c r="F163" s="193" t="s">
        <v>237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238</v>
      </c>
      <c r="C164" s="229" t="s">
        <v>34</v>
      </c>
      <c r="D164" s="51" t="s">
        <v>239</v>
      </c>
      <c r="E164" s="46">
        <v>41000</v>
      </c>
      <c r="F164" s="193" t="s">
        <v>240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241</v>
      </c>
      <c r="C165" s="229" t="s">
        <v>34</v>
      </c>
      <c r="D165" s="51" t="s">
        <v>239</v>
      </c>
      <c r="E165" s="46">
        <v>58500</v>
      </c>
      <c r="F165" s="193" t="s">
        <v>240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242</v>
      </c>
      <c r="C166" s="229" t="s">
        <v>34</v>
      </c>
      <c r="D166" s="51" t="s">
        <v>237</v>
      </c>
      <c r="E166" s="46">
        <v>17830</v>
      </c>
      <c r="F166" s="193" t="s">
        <v>243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244</v>
      </c>
      <c r="C167" s="229" t="s">
        <v>34</v>
      </c>
      <c r="D167" s="51" t="s">
        <v>173</v>
      </c>
      <c r="E167" s="46">
        <v>639</v>
      </c>
      <c r="F167" s="51" t="s">
        <v>173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245</v>
      </c>
      <c r="C168" s="229" t="s">
        <v>34</v>
      </c>
      <c r="D168" s="51" t="s">
        <v>173</v>
      </c>
      <c r="E168" s="46">
        <v>639</v>
      </c>
      <c r="F168" s="51" t="s">
        <v>173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246</v>
      </c>
      <c r="C169" s="229" t="s">
        <v>34</v>
      </c>
      <c r="D169" s="51" t="s">
        <v>173</v>
      </c>
      <c r="E169" s="46">
        <v>639</v>
      </c>
      <c r="F169" s="51" t="s">
        <v>173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247</v>
      </c>
      <c r="C170" s="229" t="s">
        <v>34</v>
      </c>
      <c r="D170" s="51" t="s">
        <v>173</v>
      </c>
      <c r="E170" s="46">
        <v>639</v>
      </c>
      <c r="F170" s="51" t="s">
        <v>173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248</v>
      </c>
      <c r="C171" s="229" t="s">
        <v>34</v>
      </c>
      <c r="D171" s="51" t="s">
        <v>173</v>
      </c>
      <c r="E171" s="46">
        <v>639</v>
      </c>
      <c r="F171" s="51" t="s">
        <v>173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249</v>
      </c>
      <c r="C172" s="229" t="s">
        <v>34</v>
      </c>
      <c r="D172" s="51" t="s">
        <v>173</v>
      </c>
      <c r="E172" s="46">
        <v>639</v>
      </c>
      <c r="F172" s="51" t="s">
        <v>173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250</v>
      </c>
      <c r="C173" s="229" t="s">
        <v>34</v>
      </c>
      <c r="D173" s="51" t="s">
        <v>173</v>
      </c>
      <c r="E173" s="46">
        <v>639</v>
      </c>
      <c r="F173" s="51" t="s">
        <v>173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251</v>
      </c>
      <c r="C174" s="229" t="s">
        <v>34</v>
      </c>
      <c r="D174" s="51" t="s">
        <v>173</v>
      </c>
      <c r="E174" s="46">
        <v>639</v>
      </c>
      <c r="F174" s="51" t="s">
        <v>173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252</v>
      </c>
      <c r="C175" s="229" t="s">
        <v>34</v>
      </c>
      <c r="D175" s="51" t="s">
        <v>173</v>
      </c>
      <c r="E175" s="46">
        <v>639</v>
      </c>
      <c r="F175" s="51" t="s">
        <v>173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253</v>
      </c>
      <c r="C176" s="229" t="s">
        <v>34</v>
      </c>
      <c r="D176" s="51" t="s">
        <v>173</v>
      </c>
      <c r="E176" s="46">
        <v>639</v>
      </c>
      <c r="F176" s="51" t="s">
        <v>173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254</v>
      </c>
      <c r="C177" s="229" t="s">
        <v>34</v>
      </c>
      <c r="D177" s="51" t="s">
        <v>173</v>
      </c>
      <c r="E177" s="46">
        <v>639</v>
      </c>
      <c r="F177" s="51" t="s">
        <v>173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255</v>
      </c>
      <c r="C178" s="229" t="s">
        <v>34</v>
      </c>
      <c r="D178" s="51" t="s">
        <v>173</v>
      </c>
      <c r="E178" s="46">
        <v>639</v>
      </c>
      <c r="F178" s="51" t="s">
        <v>173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256</v>
      </c>
      <c r="C179" s="229" t="s">
        <v>34</v>
      </c>
      <c r="D179" s="51" t="s">
        <v>173</v>
      </c>
      <c r="E179" s="46">
        <v>639</v>
      </c>
      <c r="F179" s="51" t="s">
        <v>173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257</v>
      </c>
      <c r="C180" s="229" t="s">
        <v>34</v>
      </c>
      <c r="D180" s="51" t="s">
        <v>173</v>
      </c>
      <c r="E180" s="46">
        <v>639</v>
      </c>
      <c r="F180" s="51" t="s">
        <v>173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258</v>
      </c>
      <c r="C181" s="229" t="s">
        <v>34</v>
      </c>
      <c r="D181" s="51" t="s">
        <v>173</v>
      </c>
      <c r="E181" s="46">
        <v>639</v>
      </c>
      <c r="F181" s="51" t="s">
        <v>173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259</v>
      </c>
      <c r="C182" s="229" t="s">
        <v>34</v>
      </c>
      <c r="D182" s="51" t="s">
        <v>173</v>
      </c>
      <c r="E182" s="65">
        <v>475.34</v>
      </c>
      <c r="F182" s="51" t="s">
        <v>173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260</v>
      </c>
      <c r="C183" s="229" t="s">
        <v>34</v>
      </c>
      <c r="D183" s="51" t="s">
        <v>173</v>
      </c>
      <c r="E183" s="65">
        <v>475.34</v>
      </c>
      <c r="F183" s="51" t="s">
        <v>173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261</v>
      </c>
      <c r="C184" s="229" t="s">
        <v>34</v>
      </c>
      <c r="D184" s="51" t="s">
        <v>173</v>
      </c>
      <c r="E184" s="65">
        <v>475.34</v>
      </c>
      <c r="F184" s="51" t="s">
        <v>173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262</v>
      </c>
      <c r="C185" s="229" t="s">
        <v>34</v>
      </c>
      <c r="D185" s="51" t="s">
        <v>173</v>
      </c>
      <c r="E185" s="65">
        <v>475.34</v>
      </c>
      <c r="F185" s="51" t="s">
        <v>173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263</v>
      </c>
      <c r="C186" s="229" t="s">
        <v>34</v>
      </c>
      <c r="D186" s="51" t="s">
        <v>173</v>
      </c>
      <c r="E186" s="65">
        <v>475.34</v>
      </c>
      <c r="F186" s="51" t="s">
        <v>173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264</v>
      </c>
      <c r="C187" s="229" t="s">
        <v>34</v>
      </c>
      <c r="D187" s="51" t="s">
        <v>173</v>
      </c>
      <c r="E187" s="65">
        <v>475.34</v>
      </c>
      <c r="F187" s="51" t="s">
        <v>173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265</v>
      </c>
      <c r="C188" s="229" t="s">
        <v>34</v>
      </c>
      <c r="D188" s="51" t="s">
        <v>173</v>
      </c>
      <c r="E188" s="65">
        <v>475.34</v>
      </c>
      <c r="F188" s="51" t="s">
        <v>173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266</v>
      </c>
      <c r="C189" s="229" t="s">
        <v>34</v>
      </c>
      <c r="D189" s="51" t="s">
        <v>173</v>
      </c>
      <c r="E189" s="65">
        <v>475.34</v>
      </c>
      <c r="F189" s="51" t="s">
        <v>173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267</v>
      </c>
      <c r="C190" s="229" t="s">
        <v>34</v>
      </c>
      <c r="D190" s="51" t="s">
        <v>173</v>
      </c>
      <c r="E190" s="65">
        <v>475.34</v>
      </c>
      <c r="F190" s="51" t="s">
        <v>173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268</v>
      </c>
      <c r="C191" s="229" t="s">
        <v>34</v>
      </c>
      <c r="D191" s="51" t="s">
        <v>173</v>
      </c>
      <c r="E191" s="65">
        <v>475.34</v>
      </c>
      <c r="F191" s="51" t="s">
        <v>173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269</v>
      </c>
      <c r="C192" s="229" t="s">
        <v>34</v>
      </c>
      <c r="D192" s="61" t="s">
        <v>240</v>
      </c>
      <c r="E192" s="65">
        <v>9800</v>
      </c>
      <c r="F192" s="196" t="s">
        <v>270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271</v>
      </c>
      <c r="C193" s="229" t="s">
        <v>34</v>
      </c>
      <c r="D193" s="61" t="s">
        <v>240</v>
      </c>
      <c r="E193" s="65">
        <v>943.5</v>
      </c>
      <c r="F193" s="196" t="s">
        <v>270</v>
      </c>
      <c r="G193" s="42">
        <f>IF(BD!$E193="","",(E193/(H193*I193)))</f>
        <v>9.4350000000000005</v>
      </c>
      <c r="H193" s="146">
        <v>100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272</v>
      </c>
      <c r="C194" s="229" t="s">
        <v>34</v>
      </c>
      <c r="D194" s="61" t="s">
        <v>240</v>
      </c>
      <c r="E194" s="65">
        <v>943.5</v>
      </c>
      <c r="F194" s="196" t="s">
        <v>270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35</v>
      </c>
      <c r="C195" s="229" t="s">
        <v>34</v>
      </c>
      <c r="D195" s="61" t="s">
        <v>240</v>
      </c>
      <c r="E195" s="65">
        <v>1223</v>
      </c>
      <c r="F195" s="196" t="s">
        <v>270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273</v>
      </c>
      <c r="C196" s="229" t="s">
        <v>34</v>
      </c>
      <c r="D196" s="251" t="s">
        <v>237</v>
      </c>
      <c r="E196" s="65">
        <v>16471.25</v>
      </c>
      <c r="F196" s="252" t="s">
        <v>237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274</v>
      </c>
      <c r="C197" s="229" t="s">
        <v>34</v>
      </c>
      <c r="D197" s="251" t="s">
        <v>237</v>
      </c>
      <c r="E197" s="65">
        <v>32931.5</v>
      </c>
      <c r="F197" s="252" t="s">
        <v>237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275</v>
      </c>
      <c r="C198" s="229" t="s">
        <v>34</v>
      </c>
      <c r="D198" s="251" t="s">
        <v>237</v>
      </c>
      <c r="E198" s="65">
        <v>16209.5</v>
      </c>
      <c r="F198" s="252" t="s">
        <v>237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276</v>
      </c>
      <c r="C199" s="229" t="s">
        <v>34</v>
      </c>
      <c r="D199" s="52" t="s">
        <v>237</v>
      </c>
      <c r="E199" s="46">
        <v>32417</v>
      </c>
      <c r="F199" s="197" t="s">
        <v>237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277</v>
      </c>
      <c r="C200" s="229" t="s">
        <v>34</v>
      </c>
      <c r="D200" s="52" t="s">
        <v>237</v>
      </c>
      <c r="E200" s="46">
        <v>50250</v>
      </c>
      <c r="F200" s="197" t="s">
        <v>237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278</v>
      </c>
      <c r="C201" s="229" t="s">
        <v>34</v>
      </c>
      <c r="D201" s="52" t="s">
        <v>237</v>
      </c>
      <c r="E201" s="46">
        <v>25131.5</v>
      </c>
      <c r="F201" s="197" t="s">
        <v>237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279</v>
      </c>
      <c r="C202" s="229" t="s">
        <v>34</v>
      </c>
      <c r="D202" s="155" t="s">
        <v>239</v>
      </c>
      <c r="E202" s="156">
        <v>3700</v>
      </c>
      <c r="F202" s="193" t="s">
        <v>243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280</v>
      </c>
      <c r="C203" s="229" t="s">
        <v>34</v>
      </c>
      <c r="D203" s="51" t="s">
        <v>240</v>
      </c>
      <c r="E203" s="46">
        <v>92</v>
      </c>
      <c r="F203" s="193" t="s">
        <v>240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281</v>
      </c>
      <c r="C204" s="229" t="s">
        <v>34</v>
      </c>
      <c r="D204" s="155" t="s">
        <v>240</v>
      </c>
      <c r="E204" s="156">
        <v>92</v>
      </c>
      <c r="F204" s="193" t="s">
        <v>240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282</v>
      </c>
      <c r="C205" s="229" t="s">
        <v>34</v>
      </c>
      <c r="D205" s="155" t="s">
        <v>240</v>
      </c>
      <c r="E205" s="156">
        <v>92</v>
      </c>
      <c r="F205" s="193" t="s">
        <v>240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283</v>
      </c>
      <c r="C206" s="229" t="s">
        <v>34</v>
      </c>
      <c r="D206" s="155" t="s">
        <v>240</v>
      </c>
      <c r="E206" s="156">
        <v>8591.7999999999993</v>
      </c>
      <c r="F206" s="193" t="s">
        <v>240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284</v>
      </c>
      <c r="C207" s="229" t="s">
        <v>34</v>
      </c>
      <c r="D207" s="155" t="s">
        <v>240</v>
      </c>
      <c r="E207" s="156">
        <v>10740.701999999999</v>
      </c>
      <c r="F207" s="193" t="s">
        <v>240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285</v>
      </c>
      <c r="C208" s="229" t="s">
        <v>34</v>
      </c>
      <c r="D208" s="155" t="s">
        <v>240</v>
      </c>
      <c r="E208" s="156">
        <v>26000</v>
      </c>
      <c r="F208" s="193" t="s">
        <v>243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286</v>
      </c>
      <c r="C209" s="229" t="s">
        <v>34</v>
      </c>
      <c r="D209" s="155" t="s">
        <v>240</v>
      </c>
      <c r="E209" s="156">
        <v>13000</v>
      </c>
      <c r="F209" s="193" t="s">
        <v>243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287</v>
      </c>
      <c r="C210" s="229" t="s">
        <v>34</v>
      </c>
      <c r="D210" s="155" t="s">
        <v>240</v>
      </c>
      <c r="E210" s="156">
        <v>7000</v>
      </c>
      <c r="F210" s="193" t="s">
        <v>288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289</v>
      </c>
      <c r="C211" s="229" t="s">
        <v>34</v>
      </c>
      <c r="D211" s="51" t="s">
        <v>239</v>
      </c>
      <c r="E211" s="46">
        <v>12000</v>
      </c>
      <c r="F211" s="193" t="s">
        <v>288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290</v>
      </c>
      <c r="C212" s="229" t="s">
        <v>34</v>
      </c>
      <c r="D212" s="155" t="s">
        <v>111</v>
      </c>
      <c r="E212" s="156">
        <v>7266.666666666667</v>
      </c>
      <c r="F212" s="193" t="s">
        <v>288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291</v>
      </c>
      <c r="C213" s="229" t="s">
        <v>34</v>
      </c>
      <c r="D213" s="155" t="s">
        <v>111</v>
      </c>
      <c r="E213" s="156">
        <v>7266.666666666667</v>
      </c>
      <c r="F213" s="193" t="s">
        <v>288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292</v>
      </c>
      <c r="C214" s="229" t="s">
        <v>34</v>
      </c>
      <c r="D214" s="155" t="s">
        <v>111</v>
      </c>
      <c r="E214" s="156">
        <v>7266.665</v>
      </c>
      <c r="F214" s="193" t="s">
        <v>288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293</v>
      </c>
      <c r="C215" s="229" t="s">
        <v>34</v>
      </c>
      <c r="D215" s="155" t="s">
        <v>239</v>
      </c>
      <c r="E215" s="156">
        <v>5000</v>
      </c>
      <c r="F215" s="193" t="s">
        <v>288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294</v>
      </c>
      <c r="C216" s="229" t="s">
        <v>34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295</v>
      </c>
      <c r="C217" s="229" t="s">
        <v>34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296</v>
      </c>
      <c r="C218" s="229" t="s">
        <v>34</v>
      </c>
      <c r="D218" s="51" t="s">
        <v>237</v>
      </c>
      <c r="E218" s="170">
        <v>8000</v>
      </c>
      <c r="F218" s="198" t="s">
        <v>243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297</v>
      </c>
      <c r="C219" s="229" t="s">
        <v>34</v>
      </c>
      <c r="D219" s="51" t="s">
        <v>237</v>
      </c>
      <c r="E219" s="170">
        <v>10000</v>
      </c>
      <c r="F219" s="198" t="s">
        <v>243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298</v>
      </c>
      <c r="C220" s="229" t="s">
        <v>34</v>
      </c>
      <c r="D220" s="51" t="s">
        <v>237</v>
      </c>
      <c r="E220" s="170">
        <v>10000</v>
      </c>
      <c r="F220" s="198" t="s">
        <v>243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299</v>
      </c>
      <c r="C221" s="229" t="s">
        <v>34</v>
      </c>
      <c r="D221" s="51" t="s">
        <v>205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300</v>
      </c>
      <c r="C222" s="229" t="s">
        <v>34</v>
      </c>
      <c r="D222" s="51" t="s">
        <v>270</v>
      </c>
      <c r="E222" s="46">
        <v>28.18</v>
      </c>
      <c r="F222" s="199" t="s">
        <v>270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301</v>
      </c>
      <c r="C223" s="229" t="s">
        <v>34</v>
      </c>
      <c r="D223" s="51" t="s">
        <v>270</v>
      </c>
      <c r="E223" s="170">
        <v>2700</v>
      </c>
      <c r="F223" s="198" t="s">
        <v>270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302</v>
      </c>
      <c r="C224" s="229" t="s">
        <v>34</v>
      </c>
      <c r="D224" s="51" t="s">
        <v>270</v>
      </c>
      <c r="E224" s="170">
        <v>18.53</v>
      </c>
      <c r="F224" s="198" t="s">
        <v>270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303</v>
      </c>
      <c r="C225" s="229" t="s">
        <v>34</v>
      </c>
      <c r="D225" s="51" t="s">
        <v>240</v>
      </c>
      <c r="E225" s="170">
        <v>1800</v>
      </c>
      <c r="F225" s="198" t="s">
        <v>270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304</v>
      </c>
      <c r="C226" s="229" t="s">
        <v>34</v>
      </c>
      <c r="D226" s="51" t="s">
        <v>240</v>
      </c>
      <c r="E226" s="170">
        <v>1057</v>
      </c>
      <c r="F226" s="198" t="s">
        <v>240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305</v>
      </c>
      <c r="C227" s="229" t="s">
        <v>34</v>
      </c>
      <c r="D227" s="51" t="s">
        <v>270</v>
      </c>
      <c r="E227" s="170">
        <v>18.53</v>
      </c>
      <c r="F227" s="198" t="s">
        <v>270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306</v>
      </c>
      <c r="C228" s="229" t="s">
        <v>34</v>
      </c>
      <c r="D228" s="51" t="s">
        <v>270</v>
      </c>
      <c r="E228" s="170">
        <v>22.8</v>
      </c>
      <c r="F228" s="198" t="s">
        <v>270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307</v>
      </c>
      <c r="C229" s="229" t="s">
        <v>34</v>
      </c>
      <c r="D229" s="51" t="s">
        <v>270</v>
      </c>
      <c r="E229" s="170">
        <v>22.8</v>
      </c>
      <c r="F229" s="198" t="s">
        <v>270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37</v>
      </c>
      <c r="C230" s="229" t="s">
        <v>34</v>
      </c>
      <c r="D230" s="51" t="s">
        <v>270</v>
      </c>
      <c r="E230" s="170">
        <v>14.73</v>
      </c>
      <c r="F230" s="198" t="s">
        <v>270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308</v>
      </c>
      <c r="C231" s="229" t="s">
        <v>34</v>
      </c>
      <c r="D231" s="51" t="s">
        <v>270</v>
      </c>
      <c r="E231" s="170">
        <v>14.73</v>
      </c>
      <c r="F231" s="198" t="s">
        <v>270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309</v>
      </c>
      <c r="C232" s="229" t="s">
        <v>34</v>
      </c>
      <c r="D232" s="51" t="s">
        <v>240</v>
      </c>
      <c r="E232" s="170">
        <v>819.99999999999989</v>
      </c>
      <c r="F232" s="198" t="s">
        <v>240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310</v>
      </c>
      <c r="C233" s="229" t="s">
        <v>34</v>
      </c>
      <c r="D233" s="51" t="s">
        <v>240</v>
      </c>
      <c r="E233" s="170">
        <v>1170</v>
      </c>
      <c r="F233" s="198" t="s">
        <v>240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311</v>
      </c>
      <c r="C234" s="229" t="s">
        <v>34</v>
      </c>
      <c r="D234" s="51" t="s">
        <v>240</v>
      </c>
      <c r="E234" s="170">
        <v>8000</v>
      </c>
      <c r="F234" s="198" t="s">
        <v>243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312</v>
      </c>
      <c r="C235" s="229" t="s">
        <v>34</v>
      </c>
      <c r="D235" s="51" t="s">
        <v>240</v>
      </c>
      <c r="E235" s="170">
        <v>11000</v>
      </c>
      <c r="F235" s="198" t="s">
        <v>243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313</v>
      </c>
      <c r="C236" s="229" t="s">
        <v>34</v>
      </c>
      <c r="D236" s="51" t="s">
        <v>240</v>
      </c>
      <c r="E236" s="170">
        <v>10858</v>
      </c>
      <c r="F236" s="198" t="s">
        <v>243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314</v>
      </c>
      <c r="C237" s="229" t="s">
        <v>34</v>
      </c>
      <c r="D237" s="51" t="s">
        <v>240</v>
      </c>
      <c r="E237" s="170">
        <v>13999.16</v>
      </c>
      <c r="F237" s="198" t="s">
        <v>240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315</v>
      </c>
      <c r="C238" s="229" t="s">
        <v>34</v>
      </c>
      <c r="D238" s="51" t="s">
        <v>237</v>
      </c>
      <c r="E238" s="170"/>
      <c r="F238" s="198" t="s">
        <v>270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316</v>
      </c>
      <c r="C239" s="229" t="s">
        <v>34</v>
      </c>
      <c r="D239" s="51" t="s">
        <v>215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317</v>
      </c>
      <c r="C240" s="229" t="s">
        <v>34</v>
      </c>
      <c r="D240" s="51" t="s">
        <v>240</v>
      </c>
      <c r="E240" s="46">
        <v>1035.3</v>
      </c>
      <c r="F240" s="199" t="s">
        <v>240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318</v>
      </c>
      <c r="C241" s="229" t="s">
        <v>34</v>
      </c>
      <c r="D241" s="51" t="s">
        <v>239</v>
      </c>
      <c r="E241" s="46">
        <v>700</v>
      </c>
      <c r="F241" s="199" t="s">
        <v>270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319</v>
      </c>
      <c r="C242" s="229" t="s">
        <v>34</v>
      </c>
      <c r="D242" s="51" t="s">
        <v>239</v>
      </c>
      <c r="E242" s="46">
        <v>1100</v>
      </c>
      <c r="F242" s="199" t="s">
        <v>270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320</v>
      </c>
      <c r="C243" s="229" t="s">
        <v>34</v>
      </c>
      <c r="D243" s="51" t="s">
        <v>270</v>
      </c>
      <c r="E243" s="46">
        <v>1000</v>
      </c>
      <c r="F243" s="199" t="s">
        <v>270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321</v>
      </c>
      <c r="C244" s="229" t="s">
        <v>34</v>
      </c>
      <c r="D244" s="51" t="s">
        <v>240</v>
      </c>
      <c r="E244" s="46">
        <v>700</v>
      </c>
      <c r="F244" s="199" t="s">
        <v>270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322</v>
      </c>
      <c r="C245" s="229" t="s">
        <v>34</v>
      </c>
      <c r="D245" s="51" t="s">
        <v>240</v>
      </c>
      <c r="E245" s="46">
        <v>84</v>
      </c>
      <c r="F245" s="199" t="s">
        <v>270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323</v>
      </c>
      <c r="C246" s="229" t="s">
        <v>34</v>
      </c>
      <c r="D246" s="51" t="s">
        <v>240</v>
      </c>
      <c r="E246" s="46">
        <v>10780</v>
      </c>
      <c r="F246" s="199" t="s">
        <v>243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79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324</v>
      </c>
      <c r="C519" s="229" t="s">
        <v>49</v>
      </c>
      <c r="D519" s="51" t="s">
        <v>325</v>
      </c>
      <c r="E519" s="46">
        <v>380</v>
      </c>
      <c r="F519" s="193" t="s">
        <v>325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326</v>
      </c>
      <c r="C520" s="229" t="s">
        <v>49</v>
      </c>
      <c r="D520" s="53" t="s">
        <v>325</v>
      </c>
      <c r="E520" s="55">
        <v>848.47</v>
      </c>
      <c r="F520" s="54" t="s">
        <v>325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327</v>
      </c>
      <c r="C521" s="229" t="s">
        <v>49</v>
      </c>
      <c r="D521" s="53" t="s">
        <v>325</v>
      </c>
      <c r="E521" s="46">
        <v>815</v>
      </c>
      <c r="F521" s="193" t="s">
        <v>325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328</v>
      </c>
      <c r="C522" s="229" t="s">
        <v>49</v>
      </c>
      <c r="D522" s="53" t="s">
        <v>325</v>
      </c>
      <c r="E522" s="46">
        <v>623.66666666666663</v>
      </c>
      <c r="F522" s="193" t="s">
        <v>325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49</v>
      </c>
      <c r="D523" s="51" t="s">
        <v>325</v>
      </c>
      <c r="E523" s="46">
        <v>698.53</v>
      </c>
      <c r="F523" s="193" t="s">
        <v>325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49</v>
      </c>
      <c r="D524" s="51" t="s">
        <v>325</v>
      </c>
      <c r="E524" s="46">
        <v>390.66666666666669</v>
      </c>
      <c r="F524" s="193" t="s">
        <v>325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49</v>
      </c>
      <c r="D525" s="51" t="s">
        <v>325</v>
      </c>
      <c r="E525" s="46">
        <v>477.19</v>
      </c>
      <c r="F525" s="54" t="s">
        <v>325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49</v>
      </c>
      <c r="D526" s="51" t="s">
        <v>325</v>
      </c>
      <c r="E526" s="46">
        <v>998.41</v>
      </c>
      <c r="F526" s="193" t="s">
        <v>325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49</v>
      </c>
      <c r="D527" s="51" t="s">
        <v>325</v>
      </c>
      <c r="E527" s="46">
        <v>898.44999999999993</v>
      </c>
      <c r="F527" s="193" t="s">
        <v>325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49</v>
      </c>
      <c r="D528" s="225" t="s">
        <v>325</v>
      </c>
      <c r="E528" s="227">
        <v>1500</v>
      </c>
      <c r="F528" s="179" t="s">
        <v>325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49</v>
      </c>
      <c r="D529" s="51" t="s">
        <v>325</v>
      </c>
      <c r="E529" s="226">
        <v>53371.5</v>
      </c>
      <c r="F529" s="54" t="s">
        <v>325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49</v>
      </c>
      <c r="D530" s="51" t="s">
        <v>325</v>
      </c>
      <c r="E530" s="46">
        <v>897.26</v>
      </c>
      <c r="F530" s="193" t="s">
        <v>325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49</v>
      </c>
      <c r="D531" s="56" t="s">
        <v>325</v>
      </c>
      <c r="E531" s="46">
        <v>1673.3335</v>
      </c>
      <c r="F531" s="193" t="s">
        <v>325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49</v>
      </c>
      <c r="D532" s="53" t="s">
        <v>325</v>
      </c>
      <c r="E532" s="48">
        <v>250</v>
      </c>
      <c r="F532" s="54" t="s">
        <v>325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49</v>
      </c>
      <c r="D533" s="53" t="s">
        <v>325</v>
      </c>
      <c r="E533" s="55">
        <v>898.45</v>
      </c>
      <c r="F533" s="54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49</v>
      </c>
      <c r="D534" s="53" t="s">
        <v>325</v>
      </c>
      <c r="E534" s="55">
        <v>898.45</v>
      </c>
      <c r="F534" s="54" t="s">
        <v>325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49</v>
      </c>
      <c r="D535" s="224" t="s">
        <v>325</v>
      </c>
      <c r="E535" s="149">
        <v>549.78</v>
      </c>
      <c r="F535" s="54" t="s">
        <v>325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49</v>
      </c>
      <c r="D536" s="224" t="s">
        <v>325</v>
      </c>
      <c r="E536" s="228">
        <v>357</v>
      </c>
      <c r="F536" s="54" t="s">
        <v>325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49</v>
      </c>
      <c r="D537" s="224" t="s">
        <v>325</v>
      </c>
      <c r="E537" s="149">
        <v>998.41</v>
      </c>
      <c r="F537" s="54" t="s">
        <v>325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344</v>
      </c>
      <c r="C538" s="229" t="s">
        <v>49</v>
      </c>
      <c r="D538" s="148" t="s">
        <v>325</v>
      </c>
      <c r="E538" s="149">
        <v>898.45</v>
      </c>
      <c r="F538" s="57" t="s">
        <v>325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345</v>
      </c>
      <c r="C539" s="229" t="s">
        <v>49</v>
      </c>
      <c r="D539" s="177" t="s">
        <v>325</v>
      </c>
      <c r="E539" s="178">
        <v>1200</v>
      </c>
      <c r="F539" s="179" t="s">
        <v>325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346</v>
      </c>
      <c r="C540" s="229" t="s">
        <v>49</v>
      </c>
      <c r="D540" s="148" t="s">
        <v>325</v>
      </c>
      <c r="E540" s="145">
        <v>1217</v>
      </c>
      <c r="F540" s="193" t="s">
        <v>325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347</v>
      </c>
      <c r="C541" s="229" t="s">
        <v>49</v>
      </c>
      <c r="D541" s="148" t="s">
        <v>325</v>
      </c>
      <c r="E541" s="149">
        <v>759.22</v>
      </c>
      <c r="F541" s="54" t="s">
        <v>325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79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5" t="s">
        <v>348</v>
      </c>
      <c r="C565" s="229" t="s">
        <v>26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349</v>
      </c>
      <c r="C566" s="229" t="s">
        <v>26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350</v>
      </c>
      <c r="C567" s="229" t="s">
        <v>26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351</v>
      </c>
      <c r="C568" s="229" t="s">
        <v>26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352</v>
      </c>
      <c r="C569" s="229" t="s">
        <v>26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353</v>
      </c>
      <c r="C570" s="229" t="s">
        <v>26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354</v>
      </c>
      <c r="C571" s="229" t="s">
        <v>26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355</v>
      </c>
      <c r="C572" s="229" t="s">
        <v>26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356</v>
      </c>
      <c r="C573" s="229" t="s">
        <v>26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357</v>
      </c>
      <c r="C574" s="229" t="s">
        <v>26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358</v>
      </c>
      <c r="C575" s="229" t="s">
        <v>26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359</v>
      </c>
      <c r="C576" s="229" t="s">
        <v>26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360</v>
      </c>
      <c r="C577" s="229" t="s">
        <v>26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361</v>
      </c>
      <c r="C578" s="229" t="s">
        <v>26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362</v>
      </c>
      <c r="C579" s="229" t="s">
        <v>26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363</v>
      </c>
      <c r="C580" s="229" t="s">
        <v>26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364</v>
      </c>
      <c r="C581" s="229" t="s">
        <v>26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365</v>
      </c>
      <c r="C582" s="229" t="s">
        <v>26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366</v>
      </c>
      <c r="C583" s="229" t="s">
        <v>26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367</v>
      </c>
      <c r="C584" s="229" t="s">
        <v>26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368</v>
      </c>
      <c r="C585" s="229" t="s">
        <v>26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369</v>
      </c>
      <c r="C586" s="229" t="s">
        <v>26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370</v>
      </c>
      <c r="C587" s="229" t="s">
        <v>26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371</v>
      </c>
      <c r="C588" s="229" t="s">
        <v>26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372</v>
      </c>
      <c r="C589" s="229" t="s">
        <v>26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373</v>
      </c>
      <c r="C590" s="229" t="s">
        <v>26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374</v>
      </c>
      <c r="C591" s="229" t="s">
        <v>26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375</v>
      </c>
      <c r="C592" s="229" t="s">
        <v>26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376</v>
      </c>
      <c r="C593" s="229" t="s">
        <v>26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377</v>
      </c>
      <c r="C594" s="229" t="s">
        <v>26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378</v>
      </c>
      <c r="C595" s="229" t="s">
        <v>26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379</v>
      </c>
      <c r="C596" s="229" t="s">
        <v>26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380</v>
      </c>
      <c r="C597" s="229" t="s">
        <v>26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381</v>
      </c>
      <c r="C598" s="229" t="s">
        <v>26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382</v>
      </c>
      <c r="C599" s="229" t="s">
        <v>26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383</v>
      </c>
      <c r="C600" s="229" t="s">
        <v>26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384</v>
      </c>
      <c r="C601" s="229" t="s">
        <v>26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385</v>
      </c>
      <c r="C602" s="229" t="s">
        <v>26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386</v>
      </c>
      <c r="C603" s="229" t="s">
        <v>26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387</v>
      </c>
      <c r="C604" s="229" t="s">
        <v>26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388</v>
      </c>
      <c r="C605" s="229" t="s">
        <v>26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389</v>
      </c>
      <c r="C606" s="229" t="s">
        <v>26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390</v>
      </c>
      <c r="C607" s="229" t="s">
        <v>26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391</v>
      </c>
      <c r="C608" s="229" t="s">
        <v>26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392</v>
      </c>
      <c r="C609" s="229" t="s">
        <v>26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393</v>
      </c>
      <c r="C610" s="229" t="s">
        <v>26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394</v>
      </c>
      <c r="C611" s="229" t="s">
        <v>26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395</v>
      </c>
      <c r="C612" s="229" t="s">
        <v>26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396</v>
      </c>
      <c r="C613" s="229" t="s">
        <v>26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397</v>
      </c>
      <c r="C614" s="229" t="s">
        <v>26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398</v>
      </c>
      <c r="C615" s="229" t="s">
        <v>26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399</v>
      </c>
      <c r="C616" s="229" t="s">
        <v>26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400</v>
      </c>
      <c r="C617" s="229" t="s">
        <v>26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401</v>
      </c>
      <c r="C618" s="229" t="s">
        <v>26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402</v>
      </c>
      <c r="C619" s="229" t="s">
        <v>26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403</v>
      </c>
      <c r="C620" s="229" t="s">
        <v>26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404</v>
      </c>
      <c r="C621" s="229" t="s">
        <v>26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405</v>
      </c>
      <c r="C622" s="229" t="s">
        <v>26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406</v>
      </c>
      <c r="C623" s="229" t="s">
        <v>26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407</v>
      </c>
      <c r="C624" s="229" t="s">
        <v>26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408</v>
      </c>
      <c r="C625" s="229" t="s">
        <v>26</v>
      </c>
      <c r="D625" s="51" t="s">
        <v>111</v>
      </c>
      <c r="E625" s="46">
        <v>1280.44</v>
      </c>
      <c r="F625" s="200" t="s">
        <v>111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409</v>
      </c>
      <c r="C626" s="229" t="s">
        <v>26</v>
      </c>
      <c r="D626" s="51" t="s">
        <v>111</v>
      </c>
      <c r="E626" s="58">
        <v>1280.44</v>
      </c>
      <c r="F626" s="200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410</v>
      </c>
      <c r="C627" s="229" t="s">
        <v>26</v>
      </c>
      <c r="D627" s="51" t="s">
        <v>111</v>
      </c>
      <c r="E627" s="46">
        <v>1280.44</v>
      </c>
      <c r="F627" s="200" t="s">
        <v>111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411</v>
      </c>
      <c r="C628" s="229" t="s">
        <v>26</v>
      </c>
      <c r="D628" s="51" t="s">
        <v>111</v>
      </c>
      <c r="E628" s="46">
        <v>1280.44</v>
      </c>
      <c r="F628" s="200" t="s">
        <v>111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412</v>
      </c>
      <c r="C629" s="229" t="s">
        <v>26</v>
      </c>
      <c r="D629" s="51" t="s">
        <v>111</v>
      </c>
      <c r="E629" s="46">
        <v>1280.44</v>
      </c>
      <c r="F629" s="200" t="s">
        <v>111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413</v>
      </c>
      <c r="C630" s="229" t="s">
        <v>26</v>
      </c>
      <c r="D630" s="51" t="s">
        <v>111</v>
      </c>
      <c r="E630" s="58">
        <v>1280.44</v>
      </c>
      <c r="F630" s="200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414</v>
      </c>
      <c r="C631" s="229" t="s">
        <v>26</v>
      </c>
      <c r="D631" s="51" t="s">
        <v>111</v>
      </c>
      <c r="E631" s="46">
        <v>1280.44</v>
      </c>
      <c r="F631" s="200" t="s">
        <v>111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415</v>
      </c>
      <c r="C632" s="229" t="s">
        <v>26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416</v>
      </c>
      <c r="C633" s="229" t="s">
        <v>26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417</v>
      </c>
      <c r="C634" s="229" t="s">
        <v>26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418</v>
      </c>
      <c r="C635" s="229" t="s">
        <v>26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419</v>
      </c>
      <c r="C636" s="229" t="s">
        <v>26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420</v>
      </c>
      <c r="C637" s="229" t="s">
        <v>26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421</v>
      </c>
      <c r="C638" s="229" t="s">
        <v>26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422</v>
      </c>
      <c r="C639" s="229" t="s">
        <v>26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423</v>
      </c>
      <c r="C640" s="229" t="s">
        <v>26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424</v>
      </c>
      <c r="C641" s="229" t="s">
        <v>26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425</v>
      </c>
      <c r="C642" s="229" t="s">
        <v>26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426</v>
      </c>
      <c r="C643" s="229" t="s">
        <v>26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427</v>
      </c>
      <c r="C644" s="229" t="s">
        <v>26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428</v>
      </c>
      <c r="C645" s="229" t="s">
        <v>26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429</v>
      </c>
      <c r="C646" s="229" t="s">
        <v>26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430</v>
      </c>
      <c r="C647" s="229" t="s">
        <v>26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431</v>
      </c>
      <c r="C648" s="229" t="s">
        <v>26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432</v>
      </c>
      <c r="C649" s="229" t="s">
        <v>26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433</v>
      </c>
      <c r="C650" s="229" t="s">
        <v>26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434</v>
      </c>
      <c r="C651" s="229" t="s">
        <v>26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435</v>
      </c>
      <c r="C652" s="229" t="s">
        <v>26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436</v>
      </c>
      <c r="C653" s="229" t="s">
        <v>26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437</v>
      </c>
      <c r="C654" s="229" t="s">
        <v>26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438</v>
      </c>
      <c r="C655" s="229" t="s">
        <v>26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439</v>
      </c>
      <c r="C656" s="229" t="s">
        <v>26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440</v>
      </c>
      <c r="C657" s="229" t="s">
        <v>26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441</v>
      </c>
      <c r="C658" s="229" t="s">
        <v>26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442</v>
      </c>
      <c r="C659" s="229" t="s">
        <v>26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443</v>
      </c>
      <c r="C660" s="229" t="s">
        <v>26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444</v>
      </c>
      <c r="C661" s="229" t="s">
        <v>26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445</v>
      </c>
      <c r="C662" s="229" t="s">
        <v>26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446</v>
      </c>
      <c r="C663" s="229" t="s">
        <v>26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447</v>
      </c>
      <c r="C664" s="229" t="s">
        <v>26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448</v>
      </c>
      <c r="C665" s="229" t="s">
        <v>26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449</v>
      </c>
      <c r="C666" s="229" t="s">
        <v>26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450</v>
      </c>
      <c r="C667" s="229" t="s">
        <v>26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451</v>
      </c>
      <c r="C668" s="229" t="s">
        <v>26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452</v>
      </c>
      <c r="C669" s="229" t="s">
        <v>26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453</v>
      </c>
      <c r="C670" s="229" t="s">
        <v>26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454</v>
      </c>
      <c r="C671" s="229" t="s">
        <v>26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455</v>
      </c>
      <c r="C672" s="229" t="s">
        <v>26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456</v>
      </c>
      <c r="C673" s="229" t="s">
        <v>26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457</v>
      </c>
      <c r="C674" s="229" t="s">
        <v>26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458</v>
      </c>
      <c r="C675" s="229" t="s">
        <v>26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459</v>
      </c>
      <c r="C676" s="229" t="s">
        <v>26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460</v>
      </c>
      <c r="C677" s="229" t="s">
        <v>26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461</v>
      </c>
      <c r="C678" s="229" t="s">
        <v>26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462</v>
      </c>
      <c r="C679" s="229" t="s">
        <v>26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463</v>
      </c>
      <c r="C680" s="229" t="s">
        <v>26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464</v>
      </c>
      <c r="C681" s="229" t="s">
        <v>26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465</v>
      </c>
      <c r="C682" s="229" t="s">
        <v>26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466</v>
      </c>
      <c r="C683" s="229" t="s">
        <v>26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467</v>
      </c>
      <c r="C684" s="229" t="s">
        <v>26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468</v>
      </c>
      <c r="C685" s="229" t="s">
        <v>26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469</v>
      </c>
      <c r="C686" s="229" t="s">
        <v>26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470</v>
      </c>
      <c r="C687" s="229" t="s">
        <v>26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471</v>
      </c>
      <c r="C688" s="229" t="s">
        <v>26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472</v>
      </c>
      <c r="C689" s="229" t="s">
        <v>26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473</v>
      </c>
      <c r="C690" s="229" t="s">
        <v>26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474</v>
      </c>
      <c r="C691" s="229" t="s">
        <v>26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475</v>
      </c>
      <c r="C692" s="229" t="s">
        <v>26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476</v>
      </c>
      <c r="C693" s="229" t="s">
        <v>26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477</v>
      </c>
      <c r="C694" s="229" t="s">
        <v>26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478</v>
      </c>
      <c r="C695" s="229" t="s">
        <v>26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479</v>
      </c>
      <c r="C696" s="229" t="s">
        <v>26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480</v>
      </c>
      <c r="C697" s="229" t="s">
        <v>26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481</v>
      </c>
      <c r="C698" s="229" t="s">
        <v>26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482</v>
      </c>
      <c r="C699" s="229" t="s">
        <v>26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483</v>
      </c>
      <c r="C700" s="229" t="s">
        <v>26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28</v>
      </c>
      <c r="C701" s="229" t="s">
        <v>26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484</v>
      </c>
      <c r="C702" s="229" t="s">
        <v>26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485</v>
      </c>
      <c r="C703" s="229" t="s">
        <v>26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486</v>
      </c>
      <c r="C704" s="229" t="s">
        <v>26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487</v>
      </c>
      <c r="C705" s="229" t="s">
        <v>26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488</v>
      </c>
      <c r="C706" s="229" t="s">
        <v>26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489</v>
      </c>
      <c r="C707" s="229" t="s">
        <v>26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490</v>
      </c>
      <c r="C708" s="229" t="s">
        <v>26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491</v>
      </c>
      <c r="C709" s="229" t="s">
        <v>26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492</v>
      </c>
      <c r="C710" s="229" t="s">
        <v>26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493</v>
      </c>
      <c r="C711" s="229" t="s">
        <v>26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494</v>
      </c>
      <c r="C712" s="229" t="s">
        <v>26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495</v>
      </c>
      <c r="C713" s="229" t="s">
        <v>26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496</v>
      </c>
      <c r="C714" s="229" t="s">
        <v>26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497</v>
      </c>
      <c r="C715" s="229" t="s">
        <v>26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498</v>
      </c>
      <c r="C716" s="229" t="s">
        <v>26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499</v>
      </c>
      <c r="C717" s="229" t="s">
        <v>26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500</v>
      </c>
      <c r="C718" s="229" t="s">
        <v>26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501</v>
      </c>
      <c r="C719" s="229" t="s">
        <v>26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502</v>
      </c>
      <c r="C720" s="229" t="s">
        <v>26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503</v>
      </c>
      <c r="C721" s="229" t="s">
        <v>26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504</v>
      </c>
      <c r="C722" s="229" t="s">
        <v>26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505</v>
      </c>
      <c r="C723" s="229" t="s">
        <v>26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506</v>
      </c>
      <c r="C724" s="229" t="s">
        <v>26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507</v>
      </c>
      <c r="C725" s="229" t="s">
        <v>26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508</v>
      </c>
      <c r="C726" s="229" t="s">
        <v>26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509</v>
      </c>
      <c r="C727" s="229" t="s">
        <v>26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510</v>
      </c>
      <c r="C728" s="229" t="s">
        <v>26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511</v>
      </c>
      <c r="C729" s="229" t="s">
        <v>26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512</v>
      </c>
      <c r="C730" s="229" t="s">
        <v>26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513</v>
      </c>
      <c r="C731" s="229" t="s">
        <v>26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514</v>
      </c>
      <c r="C732" s="229" t="s">
        <v>26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515</v>
      </c>
      <c r="C733" s="229" t="s">
        <v>26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516</v>
      </c>
      <c r="C734" s="229" t="s">
        <v>26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517</v>
      </c>
      <c r="C735" s="229" t="s">
        <v>26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518</v>
      </c>
      <c r="C736" s="229" t="s">
        <v>26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519</v>
      </c>
      <c r="C737" s="229" t="s">
        <v>26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520</v>
      </c>
      <c r="C738" s="229" t="s">
        <v>26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521</v>
      </c>
      <c r="C739" s="229" t="s">
        <v>26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522</v>
      </c>
      <c r="C740" s="229" t="s">
        <v>26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523</v>
      </c>
      <c r="C741" s="229" t="s">
        <v>26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524</v>
      </c>
      <c r="C742" s="229" t="s">
        <v>26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525</v>
      </c>
      <c r="C743" s="229" t="s">
        <v>26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526</v>
      </c>
      <c r="C744" s="229" t="s">
        <v>26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527</v>
      </c>
      <c r="C745" s="229" t="s">
        <v>26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528</v>
      </c>
      <c r="C746" s="229" t="s">
        <v>26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529</v>
      </c>
      <c r="C747" s="229" t="s">
        <v>26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530</v>
      </c>
      <c r="C748" s="229" t="s">
        <v>26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531</v>
      </c>
      <c r="C749" s="229" t="s">
        <v>26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532</v>
      </c>
      <c r="C750" s="229" t="s">
        <v>26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533</v>
      </c>
      <c r="C751" s="229" t="s">
        <v>26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534</v>
      </c>
      <c r="C752" s="229" t="s">
        <v>26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535</v>
      </c>
      <c r="C753" s="229" t="s">
        <v>26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536</v>
      </c>
      <c r="C754" s="229" t="s">
        <v>26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537</v>
      </c>
      <c r="C755" s="229" t="s">
        <v>26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538</v>
      </c>
      <c r="C756" s="229" t="s">
        <v>26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539</v>
      </c>
      <c r="C757" s="229" t="s">
        <v>26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540</v>
      </c>
      <c r="C758" s="229" t="s">
        <v>26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541</v>
      </c>
      <c r="C759" s="229" t="s">
        <v>26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542</v>
      </c>
      <c r="C760" s="229" t="s">
        <v>26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543</v>
      </c>
      <c r="C761" s="229" t="s">
        <v>26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544</v>
      </c>
      <c r="C762" s="229" t="s">
        <v>26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545</v>
      </c>
      <c r="C763" s="229" t="s">
        <v>26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546</v>
      </c>
      <c r="C764" s="229" t="s">
        <v>26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547</v>
      </c>
      <c r="C765" s="229" t="s">
        <v>26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548</v>
      </c>
      <c r="C766" s="229" t="s">
        <v>26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549</v>
      </c>
      <c r="C767" s="229" t="s">
        <v>26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550</v>
      </c>
      <c r="C768" s="229" t="s">
        <v>26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551</v>
      </c>
      <c r="C769" s="229" t="s">
        <v>26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552</v>
      </c>
      <c r="C770" s="229" t="s">
        <v>26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553</v>
      </c>
      <c r="C771" s="229" t="s">
        <v>26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554</v>
      </c>
      <c r="C772" s="229" t="s">
        <v>26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555</v>
      </c>
      <c r="C773" s="229" t="s">
        <v>26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556</v>
      </c>
      <c r="C774" s="229" t="s">
        <v>26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557</v>
      </c>
      <c r="C775" s="229" t="s">
        <v>26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558</v>
      </c>
      <c r="C776" s="229" t="s">
        <v>26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559</v>
      </c>
      <c r="C777" s="229" t="s">
        <v>26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560</v>
      </c>
      <c r="C778" s="229" t="s">
        <v>26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561</v>
      </c>
      <c r="C779" s="229" t="s">
        <v>26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562</v>
      </c>
      <c r="C780" s="229" t="s">
        <v>26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563</v>
      </c>
      <c r="C781" s="229" t="s">
        <v>26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564</v>
      </c>
      <c r="C782" s="229" t="s">
        <v>26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565</v>
      </c>
      <c r="C783" s="229" t="s">
        <v>26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566</v>
      </c>
      <c r="C784" s="229" t="s">
        <v>26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567</v>
      </c>
      <c r="C785" s="229" t="s">
        <v>26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568</v>
      </c>
      <c r="C786" s="229" t="s">
        <v>26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569</v>
      </c>
      <c r="C787" s="229" t="s">
        <v>26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570</v>
      </c>
      <c r="C788" s="229" t="s">
        <v>26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571</v>
      </c>
      <c r="C789" s="229" t="s">
        <v>26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572</v>
      </c>
      <c r="C790" s="229" t="s">
        <v>26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573</v>
      </c>
      <c r="C791" s="229" t="s">
        <v>26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574</v>
      </c>
      <c r="C792" s="229" t="s">
        <v>26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575</v>
      </c>
      <c r="C793" s="229" t="s">
        <v>26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576</v>
      </c>
      <c r="C794" s="229" t="s">
        <v>26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577</v>
      </c>
      <c r="C795" s="229" t="s">
        <v>26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578</v>
      </c>
      <c r="C796" s="229" t="s">
        <v>26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579</v>
      </c>
      <c r="C797" s="229" t="s">
        <v>26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580</v>
      </c>
      <c r="C798" s="229" t="s">
        <v>26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581</v>
      </c>
      <c r="C799" s="229" t="s">
        <v>26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582</v>
      </c>
      <c r="C800" s="229" t="s">
        <v>26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583</v>
      </c>
      <c r="C801" s="229" t="s">
        <v>26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584</v>
      </c>
      <c r="C802" s="229" t="s">
        <v>26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585</v>
      </c>
      <c r="C803" s="229" t="s">
        <v>26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586</v>
      </c>
      <c r="C804" s="229" t="s">
        <v>26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587</v>
      </c>
      <c r="C805" s="229" t="s">
        <v>26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588</v>
      </c>
      <c r="C806" s="229" t="s">
        <v>26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589</v>
      </c>
      <c r="C807" s="229" t="s">
        <v>26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590</v>
      </c>
      <c r="C808" s="229" t="s">
        <v>26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27</v>
      </c>
      <c r="C809" s="229" t="s">
        <v>26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591</v>
      </c>
      <c r="C810" s="229" t="s">
        <v>26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592</v>
      </c>
      <c r="C811" s="229" t="s">
        <v>26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593</v>
      </c>
      <c r="C812" s="229" t="s">
        <v>26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594</v>
      </c>
      <c r="C813" s="229" t="s">
        <v>26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595</v>
      </c>
      <c r="C814" s="229" t="s">
        <v>26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596</v>
      </c>
      <c r="C815" s="229" t="s">
        <v>26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597</v>
      </c>
      <c r="C816" s="229" t="s">
        <v>26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598</v>
      </c>
      <c r="C817" s="229" t="s">
        <v>26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599</v>
      </c>
      <c r="C818" s="229" t="s">
        <v>26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600</v>
      </c>
      <c r="C819" s="229" t="s">
        <v>26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601</v>
      </c>
      <c r="C820" s="229" t="s">
        <v>26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602</v>
      </c>
      <c r="C821" s="229" t="s">
        <v>26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603</v>
      </c>
      <c r="C822" s="229" t="s">
        <v>26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604</v>
      </c>
      <c r="C823" s="229" t="s">
        <v>26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605</v>
      </c>
      <c r="C824" s="229" t="s">
        <v>26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606</v>
      </c>
      <c r="C825" s="229" t="s">
        <v>26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607</v>
      </c>
      <c r="C826" s="229" t="s">
        <v>26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608</v>
      </c>
      <c r="C827" s="229" t="s">
        <v>26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609</v>
      </c>
      <c r="C828" s="229" t="s">
        <v>26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610</v>
      </c>
      <c r="C829" s="229" t="s">
        <v>26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611</v>
      </c>
      <c r="C830" s="229" t="s">
        <v>26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612</v>
      </c>
      <c r="C831" s="229" t="s">
        <v>26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613</v>
      </c>
      <c r="C832" s="229" t="s">
        <v>26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614</v>
      </c>
      <c r="C833" s="229" t="s">
        <v>26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615</v>
      </c>
      <c r="C834" s="229" t="s">
        <v>26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616</v>
      </c>
      <c r="C835" s="229" t="s">
        <v>26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617</v>
      </c>
      <c r="C836" s="229" t="s">
        <v>26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618</v>
      </c>
      <c r="C837" s="229" t="s">
        <v>26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619</v>
      </c>
      <c r="C838" s="229" t="s">
        <v>26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620</v>
      </c>
      <c r="C839" s="229" t="s">
        <v>26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621</v>
      </c>
      <c r="C840" s="229" t="s">
        <v>26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622</v>
      </c>
      <c r="C841" s="229" t="s">
        <v>26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623</v>
      </c>
      <c r="C842" s="229" t="s">
        <v>26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624</v>
      </c>
      <c r="C843" s="229" t="s">
        <v>26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625</v>
      </c>
      <c r="C844" s="229" t="s">
        <v>26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626</v>
      </c>
      <c r="C845" s="229" t="s">
        <v>26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627</v>
      </c>
      <c r="C846" s="229" t="s">
        <v>26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628</v>
      </c>
      <c r="C847" s="229" t="s">
        <v>26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629</v>
      </c>
      <c r="C848" s="229" t="s">
        <v>26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630</v>
      </c>
      <c r="C849" s="229" t="s">
        <v>26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631</v>
      </c>
      <c r="C850" s="229" t="s">
        <v>26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632</v>
      </c>
      <c r="C851" s="229" t="s">
        <v>26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633</v>
      </c>
      <c r="C852" s="229" t="s">
        <v>26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634</v>
      </c>
      <c r="C853" s="229" t="s">
        <v>26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635</v>
      </c>
      <c r="C854" s="229" t="s">
        <v>26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636</v>
      </c>
      <c r="C855" s="229" t="s">
        <v>26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637</v>
      </c>
      <c r="C856" s="229" t="s">
        <v>26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638</v>
      </c>
      <c r="C857" s="229" t="s">
        <v>26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639</v>
      </c>
      <c r="C858" s="229" t="s">
        <v>26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640</v>
      </c>
      <c r="C859" s="229" t="s">
        <v>26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641</v>
      </c>
      <c r="C860" s="229" t="s">
        <v>26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642</v>
      </c>
      <c r="C861" s="229" t="s">
        <v>26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643</v>
      </c>
      <c r="C862" s="229" t="s">
        <v>26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644</v>
      </c>
      <c r="C863" s="229" t="s">
        <v>26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645</v>
      </c>
      <c r="C864" s="229" t="s">
        <v>26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646</v>
      </c>
      <c r="C865" s="229" t="s">
        <v>26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647</v>
      </c>
      <c r="C866" s="229" t="s">
        <v>26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648</v>
      </c>
      <c r="C867" s="229" t="s">
        <v>26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649</v>
      </c>
      <c r="C868" s="229" t="s">
        <v>26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650</v>
      </c>
      <c r="C869" s="229" t="s">
        <v>26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651</v>
      </c>
      <c r="C870" s="229" t="s">
        <v>26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652</v>
      </c>
      <c r="C871" s="229" t="s">
        <v>26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653</v>
      </c>
      <c r="C872" s="229" t="s">
        <v>26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654</v>
      </c>
      <c r="C873" s="229" t="s">
        <v>26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655</v>
      </c>
      <c r="C874" s="229" t="s">
        <v>26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656</v>
      </c>
      <c r="C875" s="229" t="s">
        <v>26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657</v>
      </c>
      <c r="C876" s="229" t="s">
        <v>26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658</v>
      </c>
      <c r="C877" s="229" t="s">
        <v>26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659</v>
      </c>
      <c r="C878" s="229" t="s">
        <v>26</v>
      </c>
      <c r="D878" s="51" t="s">
        <v>111</v>
      </c>
      <c r="E878" s="46">
        <v>249.9</v>
      </c>
      <c r="F878" s="193" t="s">
        <v>111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660</v>
      </c>
      <c r="C879" s="229" t="s">
        <v>26</v>
      </c>
      <c r="D879" s="51" t="s">
        <v>111</v>
      </c>
      <c r="E879" s="46">
        <v>131.97</v>
      </c>
      <c r="F879" s="193" t="s">
        <v>111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661</v>
      </c>
      <c r="C880" s="229" t="s">
        <v>26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662</v>
      </c>
      <c r="C881" s="229" t="s">
        <v>26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663</v>
      </c>
      <c r="C882" s="229" t="s">
        <v>26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664</v>
      </c>
      <c r="C883" s="229" t="s">
        <v>26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665</v>
      </c>
      <c r="C884" s="229" t="s">
        <v>26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666</v>
      </c>
      <c r="C885" s="229" t="s">
        <v>26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667</v>
      </c>
      <c r="C886" s="229" t="s">
        <v>26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668</v>
      </c>
      <c r="C887" s="229" t="s">
        <v>26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669</v>
      </c>
      <c r="C888" s="229" t="s">
        <v>26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670</v>
      </c>
      <c r="C889" s="229" t="s">
        <v>26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671</v>
      </c>
      <c r="C890" s="229" t="s">
        <v>26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672</v>
      </c>
      <c r="C891" s="229" t="s">
        <v>26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673</v>
      </c>
      <c r="C892" s="229" t="s">
        <v>26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674</v>
      </c>
      <c r="C893" s="229" t="s">
        <v>26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675</v>
      </c>
      <c r="C894" s="229" t="s">
        <v>26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676</v>
      </c>
      <c r="C895" s="229" t="s">
        <v>26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677</v>
      </c>
      <c r="C896" s="229" t="s">
        <v>26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678</v>
      </c>
      <c r="C897" s="229" t="s">
        <v>26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679</v>
      </c>
      <c r="C898" s="229" t="s">
        <v>26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680</v>
      </c>
      <c r="C899" s="229" t="s">
        <v>26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681</v>
      </c>
      <c r="C900" s="229" t="s">
        <v>26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682</v>
      </c>
      <c r="C901" s="229" t="s">
        <v>26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683</v>
      </c>
      <c r="C902" s="229" t="s">
        <v>26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684</v>
      </c>
      <c r="C903" s="229" t="s">
        <v>26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685</v>
      </c>
      <c r="C904" s="229" t="s">
        <v>26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686</v>
      </c>
      <c r="C905" s="229" t="s">
        <v>26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687</v>
      </c>
      <c r="C906" s="229" t="s">
        <v>26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688</v>
      </c>
      <c r="C907" s="229" t="s">
        <v>26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689</v>
      </c>
      <c r="C908" s="229" t="s">
        <v>26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690</v>
      </c>
      <c r="C909" s="229" t="s">
        <v>26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691</v>
      </c>
      <c r="C910" s="229" t="s">
        <v>26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692</v>
      </c>
      <c r="C911" s="229" t="s">
        <v>26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693</v>
      </c>
      <c r="C912" s="229" t="s">
        <v>26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694</v>
      </c>
      <c r="C913" s="229" t="s">
        <v>26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695</v>
      </c>
      <c r="C914" s="229" t="s">
        <v>26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696</v>
      </c>
      <c r="C915" s="229" t="s">
        <v>26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697</v>
      </c>
      <c r="C916" s="229" t="s">
        <v>26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698</v>
      </c>
      <c r="C917" s="229" t="s">
        <v>26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699</v>
      </c>
      <c r="C918" s="229" t="s">
        <v>26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700</v>
      </c>
      <c r="C919" s="229" t="s">
        <v>26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701</v>
      </c>
      <c r="C920" s="229" t="s">
        <v>26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702</v>
      </c>
      <c r="C921" s="229" t="s">
        <v>26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703</v>
      </c>
      <c r="C922" s="229" t="s">
        <v>26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704</v>
      </c>
      <c r="C923" s="229" t="s">
        <v>26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705</v>
      </c>
      <c r="C924" s="229" t="s">
        <v>26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706</v>
      </c>
      <c r="C925" s="229" t="s">
        <v>26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707</v>
      </c>
      <c r="C926" s="229" t="s">
        <v>26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708</v>
      </c>
      <c r="C927" s="229" t="s">
        <v>26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709</v>
      </c>
      <c r="C928" s="229" t="s">
        <v>26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710</v>
      </c>
      <c r="C929" s="229" t="s">
        <v>26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711</v>
      </c>
      <c r="C930" s="229" t="s">
        <v>26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712</v>
      </c>
      <c r="C931" s="229" t="s">
        <v>26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713</v>
      </c>
      <c r="C932" s="229" t="s">
        <v>26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714</v>
      </c>
      <c r="C933" s="229" t="s">
        <v>26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715</v>
      </c>
      <c r="C934" s="229" t="s">
        <v>26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716</v>
      </c>
      <c r="C935" s="229" t="s">
        <v>26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717</v>
      </c>
      <c r="C936" s="229" t="s">
        <v>26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718</v>
      </c>
      <c r="C937" s="229" t="s">
        <v>26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719</v>
      </c>
      <c r="C938" s="229" t="s">
        <v>26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720</v>
      </c>
      <c r="C939" s="229" t="s">
        <v>26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721</v>
      </c>
      <c r="C940" s="229" t="s">
        <v>26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722</v>
      </c>
      <c r="C941" s="229" t="s">
        <v>26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723</v>
      </c>
      <c r="C942" s="229" t="s">
        <v>26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724</v>
      </c>
      <c r="C943" s="229" t="s">
        <v>26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725</v>
      </c>
      <c r="C944" s="229" t="s">
        <v>26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726</v>
      </c>
      <c r="C945" s="229" t="s">
        <v>26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727</v>
      </c>
      <c r="C946" s="229" t="s">
        <v>26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728</v>
      </c>
      <c r="C947" s="229" t="s">
        <v>26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729</v>
      </c>
      <c r="C948" s="229" t="s">
        <v>26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730</v>
      </c>
      <c r="C949" s="229" t="s">
        <v>26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731</v>
      </c>
      <c r="C950" s="229" t="s">
        <v>26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732</v>
      </c>
      <c r="C951" s="229" t="s">
        <v>26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733</v>
      </c>
      <c r="C952" s="229" t="s">
        <v>26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734</v>
      </c>
      <c r="C953" s="229" t="s">
        <v>26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735</v>
      </c>
      <c r="C954" s="229" t="s">
        <v>26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736</v>
      </c>
      <c r="C955" s="229" t="s">
        <v>26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737</v>
      </c>
      <c r="C956" s="229" t="s">
        <v>26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738</v>
      </c>
      <c r="C957" s="229" t="s">
        <v>26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739</v>
      </c>
      <c r="C958" s="229" t="s">
        <v>26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740</v>
      </c>
      <c r="C959" s="229" t="s">
        <v>26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741</v>
      </c>
      <c r="C960" s="229" t="s">
        <v>26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742</v>
      </c>
      <c r="C961" s="229" t="s">
        <v>26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743</v>
      </c>
      <c r="C962" s="229" t="s">
        <v>26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744</v>
      </c>
      <c r="C963" s="229" t="s">
        <v>26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745</v>
      </c>
      <c r="C964" s="229" t="s">
        <v>26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746</v>
      </c>
      <c r="C965" s="229" t="s">
        <v>26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747</v>
      </c>
      <c r="C966" s="229" t="s">
        <v>26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748</v>
      </c>
      <c r="C967" s="229" t="s">
        <v>26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749</v>
      </c>
      <c r="C968" s="229" t="s">
        <v>26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750</v>
      </c>
      <c r="C969" s="229" t="s">
        <v>26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751</v>
      </c>
      <c r="C970" s="229" t="s">
        <v>26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752</v>
      </c>
      <c r="C971" s="229" t="s">
        <v>26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753</v>
      </c>
      <c r="C972" s="229" t="s">
        <v>26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754</v>
      </c>
      <c r="C973" s="229" t="s">
        <v>26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755</v>
      </c>
      <c r="C974" s="229" t="s">
        <v>26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36</v>
      </c>
      <c r="C975" s="229" t="s">
        <v>26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756</v>
      </c>
      <c r="C976" s="229" t="s">
        <v>26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757</v>
      </c>
      <c r="C977" s="229" t="s">
        <v>26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758</v>
      </c>
      <c r="C978" s="229" t="s">
        <v>26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759</v>
      </c>
      <c r="C979" s="229" t="s">
        <v>26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760</v>
      </c>
      <c r="C980" s="229" t="s">
        <v>26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761</v>
      </c>
      <c r="C981" s="229" t="s">
        <v>26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762</v>
      </c>
      <c r="C982" s="229" t="s">
        <v>26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763</v>
      </c>
      <c r="C983" s="229" t="s">
        <v>26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764</v>
      </c>
      <c r="C984" s="229" t="s">
        <v>26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765</v>
      </c>
      <c r="C985" s="229" t="s">
        <v>26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93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6.9">
      <c r="A1013" s="122" t="s">
        <v>79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766</v>
      </c>
      <c r="C1014" s="164" t="s">
        <v>29</v>
      </c>
      <c r="D1014" s="51" t="s">
        <v>240</v>
      </c>
      <c r="E1014" s="46">
        <v>8770.3333333333339</v>
      </c>
      <c r="F1014" s="193" t="s">
        <v>243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767</v>
      </c>
      <c r="C1015" s="164" t="s">
        <v>29</v>
      </c>
      <c r="D1015" s="51" t="s">
        <v>240</v>
      </c>
      <c r="E1015" s="46">
        <v>17830</v>
      </c>
      <c r="F1015" s="193" t="s">
        <v>243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768</v>
      </c>
      <c r="C1016" s="164" t="s">
        <v>29</v>
      </c>
      <c r="D1016" s="51" t="s">
        <v>240</v>
      </c>
      <c r="E1016" s="46">
        <v>28016</v>
      </c>
      <c r="F1016" s="193" t="s">
        <v>243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769</v>
      </c>
      <c r="C1017" s="164" t="s">
        <v>29</v>
      </c>
      <c r="D1017" s="51" t="s">
        <v>240</v>
      </c>
      <c r="E1017" s="46">
        <v>18321</v>
      </c>
      <c r="F1017" s="193" t="s">
        <v>243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770</v>
      </c>
      <c r="C1018" s="164" t="s">
        <v>29</v>
      </c>
      <c r="D1018" s="51" t="s">
        <v>239</v>
      </c>
      <c r="E1018" s="46">
        <v>28016</v>
      </c>
      <c r="F1018" s="193" t="s">
        <v>243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771</v>
      </c>
      <c r="C1019" s="164" t="s">
        <v>29</v>
      </c>
      <c r="D1019" s="51" t="s">
        <v>239</v>
      </c>
      <c r="E1019" s="46">
        <v>10317</v>
      </c>
      <c r="F1019" s="193" t="s">
        <v>243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772</v>
      </c>
      <c r="C1020" s="164" t="s">
        <v>29</v>
      </c>
      <c r="D1020" s="51" t="s">
        <v>240</v>
      </c>
      <c r="E1020" s="46">
        <v>10200</v>
      </c>
      <c r="F1020" s="193" t="s">
        <v>243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30</v>
      </c>
      <c r="C1021" s="164" t="s">
        <v>29</v>
      </c>
      <c r="D1021" s="51" t="s">
        <v>240</v>
      </c>
      <c r="E1021" s="46">
        <v>39999.47</v>
      </c>
      <c r="F1021" s="193" t="s">
        <v>243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773</v>
      </c>
      <c r="C1022" s="164" t="s">
        <v>29</v>
      </c>
      <c r="D1022" s="51" t="s">
        <v>239</v>
      </c>
      <c r="E1022" s="46">
        <v>10200</v>
      </c>
      <c r="F1022" s="193" t="s">
        <v>243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774</v>
      </c>
      <c r="C1023" s="164" t="s">
        <v>29</v>
      </c>
      <c r="D1023" s="51" t="s">
        <v>243</v>
      </c>
      <c r="E1023" s="46">
        <v>28550</v>
      </c>
      <c r="F1023" s="193" t="s">
        <v>243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775</v>
      </c>
      <c r="C1024" s="164" t="s">
        <v>29</v>
      </c>
      <c r="D1024" s="155" t="s">
        <v>240</v>
      </c>
      <c r="E1024" s="156">
        <v>34999.089999999997</v>
      </c>
      <c r="F1024" s="193" t="s">
        <v>243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776</v>
      </c>
      <c r="C1025" s="164" t="s">
        <v>29</v>
      </c>
      <c r="D1025" s="155" t="s">
        <v>240</v>
      </c>
      <c r="E1025" s="156">
        <v>24999.52</v>
      </c>
      <c r="F1025" s="193" t="s">
        <v>243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777</v>
      </c>
      <c r="C1026" s="164" t="s">
        <v>29</v>
      </c>
      <c r="D1026" s="155" t="s">
        <v>240</v>
      </c>
      <c r="E1026" s="156">
        <v>13269</v>
      </c>
      <c r="F1026" s="193" t="s">
        <v>243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778</v>
      </c>
      <c r="C1027" s="164" t="s">
        <v>29</v>
      </c>
      <c r="D1027" s="155" t="s">
        <v>240</v>
      </c>
      <c r="E1027" s="156">
        <v>20059.829999999998</v>
      </c>
      <c r="F1027" s="193" t="s">
        <v>243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779</v>
      </c>
      <c r="C1028" s="164" t="s">
        <v>29</v>
      </c>
      <c r="D1028" s="155" t="s">
        <v>240</v>
      </c>
      <c r="E1028" s="156">
        <v>31945</v>
      </c>
      <c r="F1028" s="193" t="s">
        <v>243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780</v>
      </c>
      <c r="C1029" s="164" t="s">
        <v>29</v>
      </c>
      <c r="D1029" s="155" t="s">
        <v>240</v>
      </c>
      <c r="E1029" s="156">
        <v>59308.5</v>
      </c>
      <c r="F1029" s="193" t="s">
        <v>243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781</v>
      </c>
      <c r="C1030" s="164" t="s">
        <v>29</v>
      </c>
      <c r="D1030" s="155" t="s">
        <v>240</v>
      </c>
      <c r="E1030" s="156">
        <v>22911.759999999998</v>
      </c>
      <c r="F1030" s="193" t="s">
        <v>243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782</v>
      </c>
      <c r="C1031" s="164" t="s">
        <v>29</v>
      </c>
      <c r="D1031" s="155" t="s">
        <v>240</v>
      </c>
      <c r="E1031" s="156">
        <v>39358.5</v>
      </c>
      <c r="F1031" s="193" t="s">
        <v>243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783</v>
      </c>
      <c r="C1032" s="164" t="s">
        <v>29</v>
      </c>
      <c r="D1032" s="155" t="s">
        <v>240</v>
      </c>
      <c r="E1032" s="156">
        <v>34666.660000000003</v>
      </c>
      <c r="F1032" s="193" t="s">
        <v>243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784</v>
      </c>
      <c r="C1033" s="164" t="s">
        <v>29</v>
      </c>
      <c r="D1033" s="155" t="s">
        <v>243</v>
      </c>
      <c r="E1033" s="156">
        <v>3550</v>
      </c>
      <c r="F1033" s="193" t="s">
        <v>243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32</v>
      </c>
      <c r="C1034" s="164" t="s">
        <v>29</v>
      </c>
      <c r="D1034" s="155" t="s">
        <v>240</v>
      </c>
      <c r="E1034" s="156">
        <v>6970</v>
      </c>
      <c r="F1034" s="193" t="s">
        <v>243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785</v>
      </c>
      <c r="C1035" s="164" t="s">
        <v>29</v>
      </c>
      <c r="D1035" s="155" t="s">
        <v>240</v>
      </c>
      <c r="E1035" s="156">
        <v>9500</v>
      </c>
      <c r="F1035" s="193" t="s">
        <v>243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786</v>
      </c>
      <c r="C1036" s="164" t="s">
        <v>29</v>
      </c>
      <c r="D1036" s="155" t="s">
        <v>240</v>
      </c>
      <c r="E1036" s="156">
        <v>4098</v>
      </c>
      <c r="F1036" s="193" t="s">
        <v>243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787</v>
      </c>
      <c r="C1037" s="164" t="s">
        <v>29</v>
      </c>
      <c r="D1037" s="155" t="s">
        <v>240</v>
      </c>
      <c r="E1037" s="156">
        <v>8770.3333333333339</v>
      </c>
      <c r="F1037" s="193" t="s">
        <v>243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788</v>
      </c>
      <c r="C1038" s="164" t="s">
        <v>29</v>
      </c>
      <c r="D1038" s="155" t="s">
        <v>240</v>
      </c>
      <c r="E1038" s="156">
        <v>44000</v>
      </c>
      <c r="F1038" s="193" t="s">
        <v>243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789</v>
      </c>
      <c r="C1039" s="164" t="s">
        <v>29</v>
      </c>
      <c r="D1039" s="155" t="s">
        <v>239</v>
      </c>
      <c r="E1039" s="156">
        <v>18500</v>
      </c>
      <c r="F1039" s="193" t="s">
        <v>243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790</v>
      </c>
      <c r="C1040" s="164" t="s">
        <v>29</v>
      </c>
      <c r="D1040" s="155" t="s">
        <v>239</v>
      </c>
      <c r="E1040" s="156">
        <v>39100</v>
      </c>
      <c r="F1040" s="193" t="s">
        <v>243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791</v>
      </c>
      <c r="C1041" s="164" t="s">
        <v>29</v>
      </c>
      <c r="D1041" s="51" t="s">
        <v>239</v>
      </c>
      <c r="E1041" s="46">
        <v>11950</v>
      </c>
      <c r="F1041" s="193" t="s">
        <v>243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792</v>
      </c>
      <c r="C1042" s="164" t="s">
        <v>29</v>
      </c>
      <c r="D1042" s="51" t="s">
        <v>240</v>
      </c>
      <c r="E1042" s="46">
        <v>5194</v>
      </c>
      <c r="F1042" s="193" t="s">
        <v>243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793</v>
      </c>
      <c r="C1043" s="164" t="s">
        <v>29</v>
      </c>
      <c r="D1043" s="155" t="s">
        <v>239</v>
      </c>
      <c r="E1043" s="156">
        <v>39358.5</v>
      </c>
      <c r="F1043" s="193" t="s">
        <v>243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794</v>
      </c>
      <c r="C1044" s="164" t="s">
        <v>29</v>
      </c>
      <c r="D1044" s="51" t="s">
        <v>239</v>
      </c>
      <c r="E1044" s="46">
        <v>31945</v>
      </c>
      <c r="F1044" s="193" t="s">
        <v>243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795</v>
      </c>
      <c r="C1045" s="164" t="s">
        <v>29</v>
      </c>
      <c r="D1045" s="51" t="s">
        <v>239</v>
      </c>
      <c r="E1045" s="46">
        <v>59308.5</v>
      </c>
      <c r="F1045" s="193" t="s">
        <v>243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796</v>
      </c>
      <c r="C1046" s="164" t="s">
        <v>29</v>
      </c>
      <c r="D1046" s="51" t="s">
        <v>240</v>
      </c>
      <c r="E1046" s="46">
        <v>0</v>
      </c>
      <c r="F1046" s="193" t="s">
        <v>243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119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5"/>
      <c r="D1067" s="444"/>
      <c r="E1067"/>
      <c r="F1067" s="194"/>
      <c r="H1067"/>
      <c r="I1067"/>
    </row>
    <row r="1068" spans="1:10" ht="21.6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79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28.9">
      <c r="A1070" s="86">
        <v>1</v>
      </c>
      <c r="B1070" s="213" t="s">
        <v>797</v>
      </c>
      <c r="C1070" s="229" t="s">
        <v>62</v>
      </c>
      <c r="D1070" s="51" t="s">
        <v>237</v>
      </c>
      <c r="E1070" s="46">
        <v>49000</v>
      </c>
      <c r="F1070" s="193" t="s">
        <v>237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798</v>
      </c>
      <c r="C1071" s="229" t="s">
        <v>62</v>
      </c>
      <c r="D1071" s="51" t="s">
        <v>173</v>
      </c>
      <c r="E1071" s="46">
        <v>14150</v>
      </c>
      <c r="F1071" s="193" t="s">
        <v>173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799</v>
      </c>
      <c r="C1072" s="229" t="s">
        <v>62</v>
      </c>
      <c r="D1072" s="51" t="s">
        <v>173</v>
      </c>
      <c r="E1072" s="46">
        <v>16000</v>
      </c>
      <c r="F1072" s="193" t="s">
        <v>173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800</v>
      </c>
      <c r="C1073" s="229" t="s">
        <v>62</v>
      </c>
      <c r="D1073" s="51" t="s">
        <v>173</v>
      </c>
      <c r="E1073" s="46">
        <v>18633.3</v>
      </c>
      <c r="F1073" s="193" t="s">
        <v>173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801</v>
      </c>
      <c r="C1074" s="229" t="s">
        <v>62</v>
      </c>
      <c r="D1074" s="51" t="s">
        <v>173</v>
      </c>
      <c r="E1074" s="46">
        <v>8550</v>
      </c>
      <c r="F1074" s="193" t="s">
        <v>173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802</v>
      </c>
      <c r="C1075" s="229" t="s">
        <v>62</v>
      </c>
      <c r="D1075" s="51" t="s">
        <v>173</v>
      </c>
      <c r="E1075" s="46">
        <v>14000</v>
      </c>
      <c r="F1075" s="193" t="s">
        <v>173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803</v>
      </c>
      <c r="C1076" s="229" t="s">
        <v>62</v>
      </c>
      <c r="D1076" s="51" t="s">
        <v>173</v>
      </c>
      <c r="E1076" s="46">
        <v>24800</v>
      </c>
      <c r="F1076" s="193" t="s">
        <v>173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119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6.9">
      <c r="A1109" s="84" t="s">
        <v>79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28.9">
      <c r="A1110" s="86">
        <v>1</v>
      </c>
      <c r="B1110" s="213" t="s">
        <v>804</v>
      </c>
      <c r="C1110" s="40" t="s">
        <v>805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806</v>
      </c>
      <c r="C1111" s="40" t="s">
        <v>805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807</v>
      </c>
      <c r="C1112" s="40" t="s">
        <v>805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808</v>
      </c>
      <c r="C1113" s="40" t="s">
        <v>805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809</v>
      </c>
      <c r="C1114" s="40" t="s">
        <v>805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810</v>
      </c>
      <c r="C1115" s="40" t="s">
        <v>805</v>
      </c>
      <c r="D1115" s="51" t="s">
        <v>173</v>
      </c>
      <c r="E1115" s="46">
        <v>61500</v>
      </c>
      <c r="F1115" s="193" t="s">
        <v>173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811</v>
      </c>
      <c r="C1116" s="40" t="s">
        <v>805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812</v>
      </c>
      <c r="C1117" s="40" t="s">
        <v>805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813</v>
      </c>
      <c r="C1118" s="40" t="s">
        <v>805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814</v>
      </c>
      <c r="C1119" s="40" t="s">
        <v>805</v>
      </c>
      <c r="D1119" s="51" t="s">
        <v>815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816</v>
      </c>
      <c r="C1120" s="40" t="s">
        <v>805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817</v>
      </c>
      <c r="C1121" s="40" t="s">
        <v>805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818</v>
      </c>
      <c r="C1122" s="40" t="s">
        <v>805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819</v>
      </c>
      <c r="C1123" s="40" t="s">
        <v>805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820</v>
      </c>
      <c r="C1124" s="40" t="s">
        <v>805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821</v>
      </c>
      <c r="C1125" s="40" t="s">
        <v>805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822</v>
      </c>
      <c r="C1126" s="40" t="s">
        <v>805</v>
      </c>
      <c r="D1126" s="51" t="s">
        <v>815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823</v>
      </c>
      <c r="C1127" s="40" t="s">
        <v>805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823</v>
      </c>
      <c r="C1128" s="40" t="s">
        <v>805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824</v>
      </c>
      <c r="C1129" s="40" t="s">
        <v>805</v>
      </c>
      <c r="D1129" s="51" t="s">
        <v>825</v>
      </c>
      <c r="E1129" s="46">
        <v>10166.700000000001</v>
      </c>
      <c r="F1129" s="193" t="s">
        <v>825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826</v>
      </c>
      <c r="C1130" s="40" t="s">
        <v>805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827</v>
      </c>
      <c r="C1131" s="40" t="s">
        <v>805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828</v>
      </c>
      <c r="C1132" s="40" t="s">
        <v>805</v>
      </c>
      <c r="D1132" s="51" t="s">
        <v>205</v>
      </c>
      <c r="E1132" s="46">
        <v>62000</v>
      </c>
      <c r="F1132" s="193" t="s">
        <v>205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829</v>
      </c>
      <c r="C1133" s="40" t="s">
        <v>805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830</v>
      </c>
      <c r="C1134" s="40" t="s">
        <v>805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119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93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6.9">
      <c r="A1156" s="76" t="s">
        <v>79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831</v>
      </c>
      <c r="C1157" s="40" t="s">
        <v>832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833</v>
      </c>
      <c r="C1158" s="40" t="s">
        <v>832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834</v>
      </c>
      <c r="C1159" s="40" t="s">
        <v>832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835</v>
      </c>
      <c r="C1160" s="40" t="s">
        <v>832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836</v>
      </c>
      <c r="C1161" s="40" t="s">
        <v>832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837</v>
      </c>
      <c r="C1162" s="40" t="s">
        <v>832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838</v>
      </c>
      <c r="C1163" s="40" t="s">
        <v>832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839</v>
      </c>
      <c r="C1164" s="40" t="s">
        <v>832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840</v>
      </c>
      <c r="C1165" s="40" t="s">
        <v>832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841</v>
      </c>
      <c r="C1166" s="40" t="s">
        <v>832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842</v>
      </c>
      <c r="C1167" s="40" t="s">
        <v>832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843</v>
      </c>
      <c r="C1168" s="40" t="s">
        <v>832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844</v>
      </c>
      <c r="C1169" s="40" t="s">
        <v>832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845</v>
      </c>
      <c r="C1170" s="40" t="s">
        <v>832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846</v>
      </c>
      <c r="C1171" s="40" t="s">
        <v>832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847</v>
      </c>
      <c r="C1172" s="40" t="s">
        <v>832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848</v>
      </c>
      <c r="C1173" s="40" t="s">
        <v>832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849</v>
      </c>
      <c r="C1174" s="40" t="s">
        <v>832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850</v>
      </c>
      <c r="C1175" s="40" t="s">
        <v>832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851</v>
      </c>
      <c r="C1176" s="40" t="s">
        <v>832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852</v>
      </c>
      <c r="C1177" s="40" t="s">
        <v>832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853</v>
      </c>
      <c r="C1178" s="40" t="s">
        <v>832</v>
      </c>
      <c r="D1178" s="51" t="s">
        <v>854</v>
      </c>
      <c r="E1178" s="46">
        <v>42631</v>
      </c>
      <c r="F1178" s="193" t="s">
        <v>111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855</v>
      </c>
      <c r="C1179" s="40" t="s">
        <v>832</v>
      </c>
      <c r="D1179" s="51" t="s">
        <v>856</v>
      </c>
      <c r="E1179" s="46">
        <v>6081.3</v>
      </c>
      <c r="F1179" s="193" t="s">
        <v>856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857</v>
      </c>
      <c r="C1180" s="40" t="s">
        <v>832</v>
      </c>
      <c r="D1180" s="51" t="s">
        <v>858</v>
      </c>
      <c r="E1180" s="46">
        <v>19776</v>
      </c>
      <c r="F1180" s="193" t="s">
        <v>239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859</v>
      </c>
      <c r="C1181" s="40" t="s">
        <v>832</v>
      </c>
      <c r="D1181" s="51" t="s">
        <v>856</v>
      </c>
      <c r="E1181" s="46">
        <v>16133.3</v>
      </c>
      <c r="F1181" s="193" t="s">
        <v>207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860</v>
      </c>
      <c r="C1182" s="40" t="s">
        <v>832</v>
      </c>
      <c r="D1182" s="51" t="s">
        <v>861</v>
      </c>
      <c r="E1182" s="46">
        <v>17300</v>
      </c>
      <c r="F1182" s="193" t="s">
        <v>861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862</v>
      </c>
      <c r="C1183" s="40" t="s">
        <v>832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864</v>
      </c>
      <c r="C1184" s="40" t="s">
        <v>832</v>
      </c>
      <c r="D1184" s="51" t="s">
        <v>239</v>
      </c>
      <c r="E1184" s="46">
        <v>4180</v>
      </c>
      <c r="F1184" s="193" t="s">
        <v>239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865</v>
      </c>
      <c r="C1185" s="40" t="s">
        <v>832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866</v>
      </c>
      <c r="C1186" s="40" t="s">
        <v>832</v>
      </c>
      <c r="D1186" s="101" t="s">
        <v>240</v>
      </c>
      <c r="E1186" s="46">
        <v>0</v>
      </c>
      <c r="F1186" s="193" t="s">
        <v>240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867</v>
      </c>
      <c r="C1187" s="40" t="s">
        <v>832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868</v>
      </c>
      <c r="C1188" s="40" t="s">
        <v>832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869</v>
      </c>
      <c r="C1189" s="40" t="s">
        <v>832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870</v>
      </c>
      <c r="C1190" s="40" t="s">
        <v>832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871</v>
      </c>
      <c r="C1191" s="40" t="s">
        <v>832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872</v>
      </c>
      <c r="C1192" s="40" t="s">
        <v>832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873</v>
      </c>
      <c r="C1193" s="40" t="s">
        <v>832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874</v>
      </c>
      <c r="C1194" s="40" t="s">
        <v>832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875</v>
      </c>
      <c r="C1195" s="40" t="s">
        <v>832</v>
      </c>
      <c r="D1195" s="51" t="s">
        <v>876</v>
      </c>
      <c r="E1195" s="46">
        <v>23233.4</v>
      </c>
      <c r="F1195" s="193" t="s">
        <v>825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877</v>
      </c>
      <c r="C1196" s="40" t="s">
        <v>832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878</v>
      </c>
      <c r="C1197" s="40" t="s">
        <v>832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879</v>
      </c>
      <c r="C1198" s="40" t="s">
        <v>832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880</v>
      </c>
      <c r="C1199" s="40" t="s">
        <v>832</v>
      </c>
      <c r="D1199" s="51" t="s">
        <v>237</v>
      </c>
      <c r="E1199" s="46">
        <v>867804</v>
      </c>
      <c r="F1199" s="193" t="s">
        <v>237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881</v>
      </c>
      <c r="C1200" s="40" t="s">
        <v>832</v>
      </c>
      <c r="D1200" s="51" t="s">
        <v>237</v>
      </c>
      <c r="E1200" s="46">
        <v>1097662</v>
      </c>
      <c r="F1200" s="193" t="s">
        <v>237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882</v>
      </c>
      <c r="C1201" s="40" t="s">
        <v>832</v>
      </c>
      <c r="D1201" s="61" t="s">
        <v>854</v>
      </c>
      <c r="E1201" s="65">
        <v>74866.666666666672</v>
      </c>
      <c r="F1201" s="196" t="s">
        <v>854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883</v>
      </c>
      <c r="C1202" s="165" t="s">
        <v>832</v>
      </c>
      <c r="D1202" s="171" t="s">
        <v>884</v>
      </c>
      <c r="E1202" s="65">
        <v>74866.666666666672</v>
      </c>
      <c r="F1202" s="196" t="s">
        <v>884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885</v>
      </c>
      <c r="C1203" s="165" t="s">
        <v>832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886</v>
      </c>
      <c r="C1204" s="165" t="s">
        <v>832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887</v>
      </c>
      <c r="C1205" s="165" t="s">
        <v>832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888</v>
      </c>
      <c r="C1206" s="165" t="s">
        <v>832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889</v>
      </c>
      <c r="C1207" s="165" t="s">
        <v>832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890</v>
      </c>
      <c r="C1208" s="40" t="s">
        <v>832</v>
      </c>
      <c r="D1208" s="60" t="s">
        <v>173</v>
      </c>
      <c r="E1208" s="46">
        <v>3200</v>
      </c>
      <c r="F1208" s="193" t="s">
        <v>173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891</v>
      </c>
      <c r="C1209" s="229" t="s">
        <v>832</v>
      </c>
      <c r="D1209" s="90" t="s">
        <v>215</v>
      </c>
      <c r="E1209" s="170">
        <v>7200</v>
      </c>
      <c r="F1209" s="198" t="s">
        <v>854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892</v>
      </c>
      <c r="C1210" s="229" t="s">
        <v>832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893</v>
      </c>
      <c r="C1211" s="231" t="s">
        <v>832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894</v>
      </c>
      <c r="C1212" s="231" t="s">
        <v>832</v>
      </c>
      <c r="D1212" s="267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93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6.9">
      <c r="A1256" s="138" t="s">
        <v>79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895</v>
      </c>
      <c r="C1257" s="229" t="s">
        <v>59</v>
      </c>
      <c r="D1257" s="249" t="s">
        <v>896</v>
      </c>
      <c r="E1257" s="46">
        <v>35093.533333333333</v>
      </c>
      <c r="F1257" s="193" t="s">
        <v>896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897</v>
      </c>
      <c r="C1258" s="229" t="s">
        <v>59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898</v>
      </c>
      <c r="C1259" s="229" t="s">
        <v>59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899</v>
      </c>
      <c r="C1260" s="229" t="s">
        <v>59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900</v>
      </c>
      <c r="C1261" s="229" t="s">
        <v>59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901</v>
      </c>
      <c r="C1262" s="229" t="s">
        <v>59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902</v>
      </c>
      <c r="C1263" s="229" t="s">
        <v>59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903</v>
      </c>
      <c r="C1264" s="229" t="s">
        <v>59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904</v>
      </c>
      <c r="C1265" s="229" t="s">
        <v>59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905</v>
      </c>
      <c r="C1266" s="229" t="s">
        <v>59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906</v>
      </c>
      <c r="C1267" s="229" t="s">
        <v>59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907</v>
      </c>
      <c r="C1268" s="229" t="s">
        <v>59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908</v>
      </c>
      <c r="C1269" s="229" t="s">
        <v>59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909</v>
      </c>
      <c r="C1270" s="229" t="s">
        <v>59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910</v>
      </c>
      <c r="C1271" s="229" t="s">
        <v>59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911</v>
      </c>
      <c r="C1272" s="229" t="s">
        <v>59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912</v>
      </c>
      <c r="C1273" s="229" t="s">
        <v>59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913</v>
      </c>
      <c r="C1274" s="229" t="s">
        <v>59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914</v>
      </c>
      <c r="C1275" s="229" t="s">
        <v>59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915</v>
      </c>
      <c r="C1276" s="229" t="s">
        <v>59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916</v>
      </c>
      <c r="C1277" s="229" t="s">
        <v>59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917</v>
      </c>
      <c r="C1278" s="229" t="s">
        <v>59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918</v>
      </c>
      <c r="C1279" s="229" t="s">
        <v>59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919</v>
      </c>
      <c r="C1280" s="229" t="s">
        <v>59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920</v>
      </c>
      <c r="C1281" s="229" t="s">
        <v>59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921</v>
      </c>
      <c r="C1282" s="229" t="s">
        <v>59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922</v>
      </c>
      <c r="C1283" s="229" t="s">
        <v>59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923</v>
      </c>
      <c r="C1284" s="229" t="s">
        <v>59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924</v>
      </c>
      <c r="C1285" s="229" t="s">
        <v>59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925</v>
      </c>
      <c r="C1286" s="229" t="s">
        <v>59</v>
      </c>
      <c r="D1286" s="51" t="s">
        <v>863</v>
      </c>
      <c r="E1286" s="46">
        <v>3145</v>
      </c>
      <c r="F1286" s="193" t="s">
        <v>243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926</v>
      </c>
      <c r="C1287" s="229" t="s">
        <v>59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927</v>
      </c>
      <c r="C1288" s="229" t="s">
        <v>59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928</v>
      </c>
      <c r="C1289" s="229" t="s">
        <v>59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929</v>
      </c>
      <c r="C1290" s="229" t="s">
        <v>59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930</v>
      </c>
      <c r="C1291" s="229" t="s">
        <v>59</v>
      </c>
      <c r="D1291" s="51" t="s">
        <v>215</v>
      </c>
      <c r="E1291" s="46">
        <v>98275.666666666672</v>
      </c>
      <c r="F1291" s="193" t="s">
        <v>215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931</v>
      </c>
      <c r="C1292" s="229" t="s">
        <v>59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932</v>
      </c>
      <c r="C1293" s="229" t="s">
        <v>59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933</v>
      </c>
      <c r="C1294" s="229" t="s">
        <v>59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934</v>
      </c>
      <c r="C1295" s="229" t="s">
        <v>59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935</v>
      </c>
      <c r="C1296" s="229" t="s">
        <v>59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936</v>
      </c>
      <c r="C1297" s="229" t="s">
        <v>59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937</v>
      </c>
      <c r="C1298" s="229" t="s">
        <v>59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938</v>
      </c>
      <c r="C1299" s="229" t="s">
        <v>59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939</v>
      </c>
      <c r="C1300" s="229" t="s">
        <v>59</v>
      </c>
      <c r="D1300" s="51" t="s">
        <v>237</v>
      </c>
      <c r="E1300" s="46">
        <v>90973.666666666672</v>
      </c>
      <c r="F1300" s="193" t="s">
        <v>243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940</v>
      </c>
      <c r="C1301" s="229" t="s">
        <v>59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941</v>
      </c>
      <c r="C1302" s="229" t="s">
        <v>59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942</v>
      </c>
      <c r="C1303" s="229" t="s">
        <v>59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943</v>
      </c>
      <c r="C1304" s="229" t="s">
        <v>59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944</v>
      </c>
      <c r="C1305" s="229" t="s">
        <v>59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945</v>
      </c>
      <c r="C1306" s="229" t="s">
        <v>59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946</v>
      </c>
      <c r="C1307" s="229" t="s">
        <v>59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947</v>
      </c>
      <c r="C1308" s="229" t="s">
        <v>59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948</v>
      </c>
      <c r="C1309" s="229" t="s">
        <v>59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949</v>
      </c>
      <c r="C1310" s="229" t="s">
        <v>59</v>
      </c>
      <c r="D1310" s="51" t="s">
        <v>207</v>
      </c>
      <c r="E1310" s="46">
        <v>3130</v>
      </c>
      <c r="F1310" s="193" t="s">
        <v>207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950</v>
      </c>
      <c r="C1311" s="229" t="s">
        <v>59</v>
      </c>
      <c r="D1311" s="51" t="s">
        <v>207</v>
      </c>
      <c r="E1311" s="46">
        <v>5010</v>
      </c>
      <c r="F1311" s="193" t="s">
        <v>207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951</v>
      </c>
      <c r="C1312" s="229" t="s">
        <v>59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952</v>
      </c>
      <c r="C1313" s="229" t="s">
        <v>59</v>
      </c>
      <c r="D1313" s="51" t="s">
        <v>953</v>
      </c>
      <c r="E1313" s="46">
        <v>17375</v>
      </c>
      <c r="F1313" s="193" t="s">
        <v>953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954</v>
      </c>
      <c r="C1314" s="229" t="s">
        <v>59</v>
      </c>
      <c r="D1314" s="51" t="s">
        <v>239</v>
      </c>
      <c r="E1314" s="46">
        <v>107770</v>
      </c>
      <c r="F1314" s="193" t="s">
        <v>239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955</v>
      </c>
      <c r="C1315" s="229" t="s">
        <v>59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956</v>
      </c>
      <c r="C1316" s="229" t="s">
        <v>59</v>
      </c>
      <c r="D1316" s="51" t="s">
        <v>207</v>
      </c>
      <c r="E1316" s="46">
        <v>21800</v>
      </c>
      <c r="F1316" s="193" t="s">
        <v>207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957</v>
      </c>
      <c r="C1317" s="229" t="s">
        <v>59</v>
      </c>
      <c r="D1317" s="51" t="s">
        <v>863</v>
      </c>
      <c r="E1317" s="46">
        <v>9196.3666666666668</v>
      </c>
      <c r="F1317" s="193" t="s">
        <v>243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958</v>
      </c>
      <c r="C1318" s="229" t="s">
        <v>59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959</v>
      </c>
      <c r="C1319" s="229" t="s">
        <v>59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960</v>
      </c>
      <c r="C1320" s="229" t="s">
        <v>59</v>
      </c>
      <c r="D1320" s="51" t="s">
        <v>239</v>
      </c>
      <c r="E1320" s="46">
        <v>38155</v>
      </c>
      <c r="F1320" s="193" t="s">
        <v>239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961</v>
      </c>
      <c r="C1321" s="229" t="s">
        <v>59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962</v>
      </c>
      <c r="C1322" s="229" t="s">
        <v>59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963</v>
      </c>
      <c r="C1323" s="229" t="s">
        <v>59</v>
      </c>
      <c r="D1323" s="51" t="s">
        <v>964</v>
      </c>
      <c r="E1323" s="46">
        <v>5850</v>
      </c>
      <c r="F1323" s="193" t="s">
        <v>964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965</v>
      </c>
      <c r="C1324" s="229" t="s">
        <v>59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966</v>
      </c>
      <c r="C1325" s="229" t="s">
        <v>59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967</v>
      </c>
      <c r="C1326" s="229" t="s">
        <v>59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968</v>
      </c>
      <c r="C1327" s="229" t="s">
        <v>59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969</v>
      </c>
      <c r="C1328" s="229" t="s">
        <v>59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970</v>
      </c>
      <c r="C1329" s="229" t="s">
        <v>59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971</v>
      </c>
      <c r="C1330" s="229" t="s">
        <v>59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972</v>
      </c>
      <c r="C1331" s="229" t="s">
        <v>59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973</v>
      </c>
      <c r="C1332" s="229" t="s">
        <v>59</v>
      </c>
      <c r="D1332" s="51" t="s">
        <v>215</v>
      </c>
      <c r="E1332" s="46">
        <v>45500</v>
      </c>
      <c r="F1332" s="193" t="s">
        <v>215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974</v>
      </c>
      <c r="C1333" s="229" t="s">
        <v>59</v>
      </c>
      <c r="D1333" s="51" t="s">
        <v>215</v>
      </c>
      <c r="E1333" s="46">
        <v>44156.666666666664</v>
      </c>
      <c r="F1333" s="193" t="s">
        <v>215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975</v>
      </c>
      <c r="C1334" s="229" t="s">
        <v>59</v>
      </c>
      <c r="D1334" s="51" t="s">
        <v>215</v>
      </c>
      <c r="E1334" s="46">
        <v>43333.333333333336</v>
      </c>
      <c r="F1334" s="193" t="s">
        <v>215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976</v>
      </c>
      <c r="C1335" s="229" t="s">
        <v>59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977</v>
      </c>
      <c r="C1336" s="229" t="s">
        <v>59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978</v>
      </c>
      <c r="C1337" s="229" t="s">
        <v>59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979</v>
      </c>
      <c r="C1338" s="229" t="s">
        <v>59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980</v>
      </c>
      <c r="C1339" s="40" t="s">
        <v>832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119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93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6.9">
      <c r="A1350" s="96" t="s">
        <v>79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981</v>
      </c>
      <c r="C1351" s="104" t="s">
        <v>982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982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982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982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982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982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982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982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982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982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982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982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982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982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982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982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982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982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982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982</v>
      </c>
      <c r="D1370" s="97" t="s">
        <v>825</v>
      </c>
      <c r="E1370" s="98"/>
      <c r="F1370" s="204" t="s">
        <v>825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982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982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982</v>
      </c>
      <c r="D1373" s="97" t="s">
        <v>825</v>
      </c>
      <c r="E1373" s="98"/>
      <c r="F1373" s="204" t="s">
        <v>825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982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982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982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982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982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982</v>
      </c>
      <c r="D1379" s="97" t="s">
        <v>825</v>
      </c>
      <c r="E1379" s="98"/>
      <c r="F1379" s="204" t="s">
        <v>825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982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982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982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982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982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982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982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982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982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982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982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982</v>
      </c>
      <c r="D1391" s="100" t="s">
        <v>825</v>
      </c>
      <c r="E1391" s="98"/>
      <c r="F1391" s="203" t="s">
        <v>825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982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982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982</v>
      </c>
      <c r="D1394" s="100" t="s">
        <v>825</v>
      </c>
      <c r="E1394" s="98"/>
      <c r="F1394" s="203" t="s">
        <v>825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982</v>
      </c>
      <c r="D1395" s="97" t="s">
        <v>825</v>
      </c>
      <c r="E1395" s="98"/>
      <c r="F1395" s="204" t="s">
        <v>825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982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982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1032</v>
      </c>
      <c r="C1398" s="104" t="s">
        <v>982</v>
      </c>
      <c r="D1398" s="97" t="s">
        <v>815</v>
      </c>
      <c r="E1398" s="166">
        <v>205766.7</v>
      </c>
      <c r="F1398" s="204" t="s">
        <v>815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982</v>
      </c>
      <c r="D1399" s="97" t="s">
        <v>825</v>
      </c>
      <c r="E1399" s="98"/>
      <c r="F1399" s="204" t="s">
        <v>825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982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982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982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982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982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982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982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982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982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982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982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982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982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982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982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982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982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982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982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982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982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982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982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982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982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982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982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982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982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982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982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982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982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982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982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982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982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ACEGhTiYrSJRerQlZGJEtCSw6kLRh+ixfffPRtCsMBaahpk3yE0YLj+pVHEWVw8vmXcU2c0YLZ7qN0BL/9ClPg==" saltValue="/8jk8+4pPxeKfmc2agPPsg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C565:F565 A565:A985 G565:J985 D1161:E1177 C162:J162 H223:I239 D1114:F1134 C566:D985 A519:J541 A34:J141 A8:J19 J1180:J1209 H1128:J1134 G1157:G1212 A1264:A1339 H1282:I1338 D1017:F1044 H1017:J1044 J163:J241 H163:I219 G162:G219 A162:A246 D221:F221 G221:G246 I221:I222 H221 C221:C246 C220:I220 E566:F825 F826:F985 C163:F219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565:F985 D162:D201 D1211 D1161:D1206 D565:D985 D34:D141 F34:F141 D223:D238 D519:D541 F519:F541 D1017:D1027 D1114:D1134 F1114:F1134 F1264:F1339 D1264:D1337 D1358:D1436 F1358:F1436 D218:D221 F1178:F1206 D1339 F1017:F1046 F162:F217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  <ignoredError sqref="F1179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43</v>
      </c>
    </row>
    <row r="3" spans="1:13" outlineLevel="1">
      <c r="A3" s="3" t="s">
        <v>1082</v>
      </c>
      <c r="B3" s="5" t="s">
        <v>215</v>
      </c>
      <c r="D3" s="12" t="s">
        <v>14</v>
      </c>
      <c r="F3" s="2" t="s">
        <v>1083</v>
      </c>
      <c r="H3" s="21" t="s">
        <v>1084</v>
      </c>
      <c r="I3" s="22">
        <v>43687423</v>
      </c>
      <c r="K3" t="s">
        <v>1085</v>
      </c>
      <c r="M3" s="82" t="s">
        <v>49</v>
      </c>
    </row>
    <row r="4" spans="1:13" ht="28.9" outlineLevel="1">
      <c r="A4" s="2" t="s">
        <v>1086</v>
      </c>
      <c r="B4" s="5" t="s">
        <v>270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26</v>
      </c>
    </row>
    <row r="5" spans="1:13" ht="28.9" outlineLevel="1">
      <c r="A5" s="3" t="s">
        <v>1091</v>
      </c>
      <c r="B5" s="5" t="s">
        <v>1092</v>
      </c>
      <c r="D5" s="13" t="s">
        <v>1093</v>
      </c>
      <c r="F5" s="2" t="s">
        <v>1094</v>
      </c>
      <c r="H5" s="24" t="s">
        <v>1095</v>
      </c>
      <c r="I5" s="25">
        <v>1036620040</v>
      </c>
      <c r="K5" t="s">
        <v>1096</v>
      </c>
      <c r="M5" s="82" t="s">
        <v>805</v>
      </c>
    </row>
    <row r="6" spans="1:13" outlineLevel="1">
      <c r="A6" s="2" t="s">
        <v>288</v>
      </c>
      <c r="B6" s="5" t="s">
        <v>288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832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33</v>
      </c>
      <c r="M7" s="82" t="s">
        <v>34</v>
      </c>
    </row>
    <row r="8" spans="1:13" ht="16.149999999999999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29</v>
      </c>
    </row>
    <row r="9" spans="1:13" outlineLevel="1">
      <c r="A9" s="2" t="s">
        <v>1109</v>
      </c>
      <c r="B9" s="5" t="s">
        <v>964</v>
      </c>
      <c r="F9" s="2" t="s">
        <v>1110</v>
      </c>
      <c r="H9" s="28" t="s">
        <v>1111</v>
      </c>
      <c r="I9" s="29">
        <v>70323724</v>
      </c>
      <c r="K9" t="s">
        <v>31</v>
      </c>
      <c r="M9" s="82" t="s">
        <v>62</v>
      </c>
    </row>
    <row r="10" spans="1:13" outlineLevel="1">
      <c r="A10" s="2" t="s">
        <v>1112</v>
      </c>
      <c r="B10" s="5" t="s">
        <v>105</v>
      </c>
      <c r="F10" s="3" t="s">
        <v>9</v>
      </c>
      <c r="H10" s="27" t="s">
        <v>1113</v>
      </c>
      <c r="I10" s="23">
        <v>32142539</v>
      </c>
      <c r="K10" t="s">
        <v>1114</v>
      </c>
      <c r="M10" s="247" t="s">
        <v>121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59</v>
      </c>
    </row>
    <row r="12" spans="1:13" outlineLevel="1">
      <c r="A12" s="3" t="s">
        <v>1120</v>
      </c>
      <c r="B12" s="5" t="s">
        <v>825</v>
      </c>
      <c r="F12" s="3"/>
      <c r="H12" s="30" t="s">
        <v>1121</v>
      </c>
      <c r="I12" s="31">
        <v>32184975</v>
      </c>
      <c r="M12" s="247" t="s">
        <v>982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205</v>
      </c>
      <c r="B15" s="5" t="s">
        <v>205</v>
      </c>
      <c r="H15" s="28" t="s">
        <v>6</v>
      </c>
      <c r="I15" s="29">
        <v>16757142</v>
      </c>
    </row>
    <row r="16" spans="1:13" outlineLevel="1">
      <c r="A16" s="2" t="s">
        <v>1126</v>
      </c>
      <c r="B16" s="5" t="s">
        <v>237</v>
      </c>
      <c r="H16" s="273" t="s">
        <v>1127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985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240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106</v>
      </c>
      <c r="H21" s="24" t="s">
        <v>1140</v>
      </c>
      <c r="I21" s="25">
        <v>1032366226</v>
      </c>
    </row>
    <row r="22" spans="1:9" outlineLevel="1">
      <c r="A22" t="s">
        <v>202</v>
      </c>
      <c r="B22" s="5" t="s">
        <v>202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207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173</v>
      </c>
      <c r="H24" s="24" t="s">
        <v>1145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1146</v>
      </c>
      <c r="I25" s="23">
        <v>1037584367</v>
      </c>
    </row>
    <row r="26" spans="1:9" outlineLevel="1">
      <c r="A26" t="s">
        <v>953</v>
      </c>
      <c r="B26" s="5" t="s">
        <v>953</v>
      </c>
      <c r="H26" s="28" t="s">
        <v>1147</v>
      </c>
      <c r="I26" s="29">
        <v>70114326</v>
      </c>
    </row>
    <row r="27" spans="1:9" outlineLevel="1">
      <c r="A27" t="s">
        <v>239</v>
      </c>
      <c r="B27" s="5" t="s">
        <v>239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111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2023-12-04T04:00:53Z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