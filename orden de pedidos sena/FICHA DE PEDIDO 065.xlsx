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portapasaporte\"/>
    </mc:Choice>
  </mc:AlternateContent>
  <xr:revisionPtr revIDLastSave="8" documentId="13_ncr:1_{98ECE92C-82C9-4838-83D9-4DF5C5F97E25}" xr6:coauthVersionLast="47" xr6:coauthVersionMax="47" xr10:uidLastSave="{811BC4C8-34C0-4C04-994B-7E2DF73C0ECA}"/>
  <bookViews>
    <workbookView xWindow="-120" yWindow="-120" windowWidth="29040" windowHeight="15840" activeTab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H4" i="3" l="1"/>
  <c r="C21" i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<sst xmlns="http://schemas.openxmlformats.org/spreadsheetml/2006/main" count="377" uniqueCount="315">
  <si>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</si>
  <si>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</si>
  <si>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</si>
  <si>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</si>
  <si>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</si>
  <si>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</si>
  <si>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porta pasaporte 002</t>
  </si>
  <si>
    <t>marroqunería</t>
  </si>
  <si>
    <t>FECHA DE ELABORACION DEL PRODUCTO</t>
  </si>
  <si>
    <t>NUMERO DE CEDULA</t>
  </si>
  <si>
    <t>NUMERO DE FICHA</t>
  </si>
  <si>
    <t>CANTIDAD A PRODUCIR</t>
  </si>
  <si>
    <t>FECHA ENTREGA DEL PRODUCTO</t>
  </si>
  <si>
    <t>celda de producción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</si>
  <si>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</si>
  <si>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</si>
  <si>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</si>
  <si>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</si>
  <si>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</si>
  <si>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</si>
  <si>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</si>
  <si>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</si>
  <si>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</si>
  <si>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</si>
  <si>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Forro Cerdo  (Dm2)</t>
  </si>
  <si>
    <t>Salpa 0.5mm   (cm²)</t>
  </si>
  <si>
    <t>Pirigallo (unidad)</t>
  </si>
  <si>
    <t>Remache doble cabeza # 4 (unidad)</t>
  </si>
  <si>
    <t>VALOR DEL PRODUCTO FINAL</t>
  </si>
  <si>
    <t>VALOR DE LA PRODUCCION</t>
  </si>
  <si>
    <t>OBSERVACIONES</t>
  </si>
  <si>
    <t>pirigallo  ref 205</t>
  </si>
  <si>
    <t>remache ref 227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</si>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</sst>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1" fontId="33" fillId="6" borderId="3" xfId="0" applyNumberFormat="1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196646</xdr:colOff>
      <xdr:row>6</xdr:row>
      <xdr:rowOff>139290</xdr:rowOff>
    </xdr:from>
    <xdr:to>
      <xdr:col>12</xdr:col>
      <xdr:colOff>573695</xdr:colOff>
      <xdr:row>22</xdr:row>
      <xdr:rowOff>209753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AE0322-6C9C-F1CF-C3C3-67393418E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70" r="14747"/>
        <a:stretch/>
      </xdr:blipFill>
      <xdr:spPr>
        <a:xfrm>
          <a:off x="6333614" y="1573161"/>
          <a:ext cx="3220210" cy="41262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187"/>
  <sheetViews>
    <sheetView topLeftCell="A19" zoomScale="93" zoomScaleNormal="93" workbookViewId="0">
      <selection activeCell="A68" sqref="A68:M68"/>
    </sheetView>
  </sheetViews>
  <sheetFormatPr defaultColWidth="11.42578125" defaultRowHeight="12.7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29"/>
      <c r="O1" s="129"/>
      <c r="P1" s="129"/>
      <c r="Q1" s="129"/>
      <c r="R1" s="129"/>
      <c r="S1" s="129"/>
      <c r="T1" s="129"/>
      <c r="U1" s="129"/>
      <c r="V1" s="129"/>
    </row>
    <row r="2" spans="1:22" ht="24" customHeight="1">
      <c r="A2" s="203" t="s">
        <v>1</v>
      </c>
      <c r="B2" s="204"/>
      <c r="C2" s="87"/>
      <c r="D2" s="172" t="s">
        <v>2</v>
      </c>
      <c r="E2" s="175"/>
      <c r="F2" s="185" t="s">
        <v>3</v>
      </c>
      <c r="G2" s="185"/>
      <c r="H2" s="185"/>
      <c r="I2" s="149">
        <v>1</v>
      </c>
      <c r="J2" s="202" t="s">
        <v>4</v>
      </c>
      <c r="K2" s="202"/>
      <c r="L2" s="202"/>
      <c r="M2" s="202"/>
      <c r="N2" s="130"/>
      <c r="O2" s="130"/>
      <c r="P2" s="130"/>
      <c r="Q2" s="130"/>
      <c r="R2" s="130"/>
      <c r="S2" s="130"/>
      <c r="T2" s="130"/>
      <c r="U2" s="130"/>
      <c r="V2" s="130"/>
    </row>
    <row r="3" spans="1:22" ht="20.25" customHeight="1">
      <c r="A3" s="89" t="s">
        <v>5</v>
      </c>
      <c r="B3" s="90"/>
      <c r="C3" s="91"/>
      <c r="D3" s="172" t="s">
        <v>6</v>
      </c>
      <c r="E3" s="173"/>
      <c r="F3" s="186" t="s">
        <v>7</v>
      </c>
      <c r="G3" s="187"/>
      <c r="H3" s="175"/>
      <c r="I3" s="150"/>
      <c r="J3" s="167">
        <f>SUM(G8:G32)</f>
        <v>3916.45</v>
      </c>
      <c r="K3" s="168"/>
      <c r="L3" s="168"/>
      <c r="M3" s="169"/>
      <c r="N3" s="130"/>
      <c r="O3" s="130"/>
      <c r="P3" s="130"/>
      <c r="Q3" s="130"/>
      <c r="R3" s="130"/>
      <c r="S3" s="130"/>
      <c r="T3" s="130"/>
      <c r="U3" s="130"/>
      <c r="V3" s="130"/>
    </row>
    <row r="4" spans="1:22" ht="20.25" customHeight="1">
      <c r="A4" s="92" t="s">
        <v>8</v>
      </c>
      <c r="B4" s="90"/>
      <c r="C4" s="131"/>
      <c r="D4" s="93">
        <v>45005</v>
      </c>
      <c r="E4" s="132" t="s">
        <v>9</v>
      </c>
      <c r="F4" s="132" t="s">
        <v>10</v>
      </c>
      <c r="G4" s="176" t="s">
        <v>10</v>
      </c>
      <c r="H4" s="177"/>
      <c r="I4" s="149">
        <v>1</v>
      </c>
      <c r="J4" s="163" t="s">
        <v>11</v>
      </c>
      <c r="K4" s="164"/>
      <c r="L4" s="164"/>
      <c r="M4" s="165"/>
      <c r="N4" s="130"/>
      <c r="O4" s="130"/>
      <c r="P4" s="130"/>
      <c r="Q4" s="130"/>
      <c r="R4" s="130"/>
      <c r="S4" s="130"/>
      <c r="T4" s="130"/>
      <c r="U4" s="130"/>
      <c r="V4" s="130"/>
    </row>
    <row r="5" spans="1:22" ht="20.25" customHeight="1" thickBot="1">
      <c r="A5" s="94" t="s">
        <v>12</v>
      </c>
      <c r="B5" s="89"/>
      <c r="C5" s="133"/>
      <c r="D5" s="93">
        <v>45009</v>
      </c>
      <c r="E5" s="95"/>
      <c r="F5" s="95" t="s">
        <v>13</v>
      </c>
      <c r="G5" s="96"/>
      <c r="H5" s="96"/>
      <c r="I5" s="150"/>
      <c r="J5" s="166">
        <v>20</v>
      </c>
      <c r="K5" s="166"/>
      <c r="L5" s="166"/>
      <c r="M5" s="166"/>
      <c r="N5" s="130"/>
      <c r="O5" s="130"/>
      <c r="P5" s="130"/>
      <c r="Q5" s="130"/>
      <c r="R5" s="130"/>
      <c r="S5" s="130"/>
      <c r="T5" s="130"/>
      <c r="U5" s="130"/>
      <c r="V5" s="130"/>
    </row>
    <row r="6" spans="1:22" ht="10.5" hidden="1" customHeight="1">
      <c r="A6" s="181"/>
      <c r="B6" s="182"/>
      <c r="C6" s="97"/>
      <c r="D6" s="201"/>
      <c r="E6" s="201"/>
      <c r="F6" s="134"/>
      <c r="G6" s="171"/>
      <c r="H6" s="171"/>
      <c r="I6" s="98"/>
      <c r="J6" s="129"/>
      <c r="K6" s="129"/>
      <c r="L6" s="129"/>
      <c r="M6" s="129"/>
      <c r="N6" s="130"/>
      <c r="O6" s="130"/>
      <c r="P6" s="130"/>
      <c r="Q6" s="130"/>
      <c r="R6" s="130"/>
      <c r="S6" s="130"/>
      <c r="T6" s="130"/>
      <c r="U6" s="130"/>
      <c r="V6" s="130"/>
    </row>
    <row r="7" spans="1:22" ht="48.75" customHeight="1">
      <c r="A7" s="135" t="s">
        <v>14</v>
      </c>
      <c r="B7" s="135" t="s">
        <v>15</v>
      </c>
      <c r="C7" s="135" t="s">
        <v>16</v>
      </c>
      <c r="D7" s="135" t="s">
        <v>17</v>
      </c>
      <c r="E7" s="136" t="s">
        <v>18</v>
      </c>
      <c r="F7" s="136" t="s">
        <v>19</v>
      </c>
      <c r="G7" s="99" t="s">
        <v>20</v>
      </c>
      <c r="H7" s="100" t="s">
        <v>21</v>
      </c>
      <c r="I7" s="129"/>
      <c r="J7" s="192" t="s">
        <v>22</v>
      </c>
      <c r="K7" s="193"/>
      <c r="L7" s="193"/>
      <c r="M7" s="194"/>
      <c r="N7" s="130"/>
      <c r="O7" s="130"/>
      <c r="P7" s="130"/>
      <c r="Q7" s="130"/>
      <c r="R7" s="130"/>
      <c r="S7" s="130"/>
      <c r="T7" s="130"/>
      <c r="U7" s="130"/>
      <c r="V7" s="129"/>
    </row>
    <row r="8" spans="1:22" s="88" customFormat="1" ht="18" customHeight="1">
      <c r="A8" s="101" t="s">
        <v>23</v>
      </c>
      <c r="B8" s="102">
        <f t="shared" ref="B8:B32" si="0">VLOOKUP(A8,INVENTARIO,2,FALSE)</f>
        <v>488</v>
      </c>
      <c r="C8" s="102">
        <f t="shared" ref="C8:C32" si="1">VLOOKUP(B8,broche,2,FALSE)</f>
        <v>1</v>
      </c>
      <c r="D8" s="103">
        <v>0</v>
      </c>
      <c r="E8" s="104">
        <v>5</v>
      </c>
      <c r="F8" s="105">
        <f>F34/G34</f>
        <v>488</v>
      </c>
      <c r="G8" s="106">
        <f>E8*F8*$I$2</f>
        <v>2440</v>
      </c>
      <c r="H8" s="107">
        <f>H34*F8*E8</f>
        <v>48800</v>
      </c>
      <c r="I8" s="130"/>
      <c r="J8" s="195"/>
      <c r="K8" s="196"/>
      <c r="L8" s="196"/>
      <c r="M8" s="197"/>
      <c r="N8" s="130"/>
      <c r="O8" s="130"/>
      <c r="P8" s="130"/>
      <c r="Q8" s="130"/>
      <c r="R8" s="130"/>
      <c r="S8" s="130"/>
      <c r="T8" s="130"/>
      <c r="U8" s="130"/>
      <c r="V8" s="130"/>
    </row>
    <row r="9" spans="1:22" s="88" customFormat="1" ht="18" customHeight="1">
      <c r="A9" s="101" t="s">
        <v>24</v>
      </c>
      <c r="B9" s="102">
        <f t="shared" si="0"/>
        <v>284</v>
      </c>
      <c r="C9" s="102">
        <f t="shared" si="1"/>
        <v>1</v>
      </c>
      <c r="D9" s="103">
        <v>0</v>
      </c>
      <c r="E9" s="104">
        <v>4</v>
      </c>
      <c r="F9" s="105">
        <f>F35/G35</f>
        <v>284</v>
      </c>
      <c r="G9" s="106">
        <f t="shared" ref="G9:G32" si="2">E9*F9*$I$2</f>
        <v>1136</v>
      </c>
      <c r="H9" s="107">
        <f t="shared" ref="H9:H32" si="3">H35*F9*E9</f>
        <v>22720</v>
      </c>
      <c r="I9" s="130"/>
      <c r="J9" s="195"/>
      <c r="K9" s="196"/>
      <c r="L9" s="196"/>
      <c r="M9" s="197"/>
      <c r="N9" s="130"/>
      <c r="O9" s="130"/>
      <c r="P9" s="130"/>
      <c r="Q9" s="130"/>
      <c r="R9" s="130"/>
      <c r="S9" s="130"/>
      <c r="T9" s="130"/>
      <c r="U9" s="130"/>
      <c r="V9" s="130"/>
    </row>
    <row r="10" spans="1:22" s="88" customFormat="1" ht="18" customHeight="1">
      <c r="A10" s="101" t="s">
        <v>25</v>
      </c>
      <c r="B10" s="102">
        <f t="shared" si="0"/>
        <v>0.15</v>
      </c>
      <c r="C10" s="102">
        <f t="shared" si="1"/>
        <v>1</v>
      </c>
      <c r="D10" s="103">
        <v>0</v>
      </c>
      <c r="E10" s="104">
        <v>3</v>
      </c>
      <c r="F10" s="105">
        <f>F36/G36</f>
        <v>0.15</v>
      </c>
      <c r="G10" s="106">
        <f t="shared" si="2"/>
        <v>0.44999999999999996</v>
      </c>
      <c r="H10" s="107">
        <f t="shared" si="3"/>
        <v>9</v>
      </c>
      <c r="I10" s="130"/>
      <c r="J10" s="195"/>
      <c r="K10" s="196"/>
      <c r="L10" s="196"/>
      <c r="M10" s="197"/>
      <c r="N10" s="130"/>
      <c r="O10" s="130"/>
      <c r="P10" s="130"/>
      <c r="Q10" s="130"/>
      <c r="R10" s="130"/>
      <c r="S10" s="130"/>
      <c r="T10" s="130"/>
      <c r="U10" s="130"/>
      <c r="V10" s="130"/>
    </row>
    <row r="11" spans="1:22" s="88" customFormat="1" ht="18" customHeight="1">
      <c r="A11" s="101" t="s">
        <v>26</v>
      </c>
      <c r="B11" s="102">
        <f t="shared" si="0"/>
        <v>300</v>
      </c>
      <c r="C11" s="102">
        <f t="shared" si="1"/>
        <v>1</v>
      </c>
      <c r="D11" s="103">
        <v>0</v>
      </c>
      <c r="E11" s="104">
        <v>1</v>
      </c>
      <c r="F11" s="105">
        <f>F37/G37</f>
        <v>300</v>
      </c>
      <c r="G11" s="106">
        <f t="shared" si="2"/>
        <v>300</v>
      </c>
      <c r="H11" s="107">
        <f t="shared" si="3"/>
        <v>6000</v>
      </c>
      <c r="I11" s="130"/>
      <c r="J11" s="195"/>
      <c r="K11" s="196"/>
      <c r="L11" s="196"/>
      <c r="M11" s="197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s="88" customFormat="1" ht="18" customHeight="1">
      <c r="A12" s="101" t="s">
        <v>27</v>
      </c>
      <c r="B12" s="102">
        <f t="shared" si="0"/>
        <v>10</v>
      </c>
      <c r="C12" s="102">
        <f t="shared" si="1"/>
        <v>1</v>
      </c>
      <c r="D12" s="103">
        <v>0</v>
      </c>
      <c r="E12" s="104">
        <v>4</v>
      </c>
      <c r="F12" s="105">
        <f t="shared" ref="F12:F32" si="4">F38/G38</f>
        <v>10</v>
      </c>
      <c r="G12" s="106">
        <f t="shared" si="2"/>
        <v>40</v>
      </c>
      <c r="H12" s="107">
        <f t="shared" si="3"/>
        <v>800</v>
      </c>
      <c r="I12" s="130"/>
      <c r="J12" s="195"/>
      <c r="K12" s="196"/>
      <c r="L12" s="196"/>
      <c r="M12" s="197"/>
      <c r="N12" s="130"/>
      <c r="O12" s="130"/>
      <c r="P12" s="130"/>
      <c r="Q12" s="130"/>
      <c r="R12" s="130"/>
      <c r="S12" s="130"/>
      <c r="T12" s="130"/>
      <c r="U12" s="130"/>
      <c r="V12" s="130"/>
    </row>
    <row r="13" spans="1:22" s="88" customFormat="1" ht="18" customHeight="1">
      <c r="A13" s="101">
        <v>0</v>
      </c>
      <c r="B13" s="102">
        <f t="shared" si="0"/>
        <v>0</v>
      </c>
      <c r="C13" s="102">
        <f t="shared" si="1"/>
        <v>0</v>
      </c>
      <c r="D13" s="103">
        <v>0</v>
      </c>
      <c r="E13" s="104">
        <v>0</v>
      </c>
      <c r="F13" s="105">
        <f t="shared" si="4"/>
        <v>0</v>
      </c>
      <c r="G13" s="106">
        <f t="shared" si="2"/>
        <v>0</v>
      </c>
      <c r="H13" s="107">
        <f t="shared" si="3"/>
        <v>0</v>
      </c>
      <c r="I13" s="130"/>
      <c r="J13" s="195"/>
      <c r="K13" s="196"/>
      <c r="L13" s="196"/>
      <c r="M13" s="197"/>
      <c r="N13" s="130"/>
      <c r="O13" s="130"/>
      <c r="P13" s="130"/>
      <c r="Q13" s="130"/>
      <c r="R13" s="130"/>
      <c r="S13" s="130"/>
      <c r="T13" s="130"/>
      <c r="U13" s="130"/>
      <c r="V13" s="130"/>
    </row>
    <row r="14" spans="1:22" s="88" customFormat="1" ht="18" customHeight="1">
      <c r="A14" s="101">
        <v>0</v>
      </c>
      <c r="B14" s="102">
        <f t="shared" si="0"/>
        <v>0</v>
      </c>
      <c r="C14" s="102">
        <f t="shared" si="1"/>
        <v>0</v>
      </c>
      <c r="D14" s="103">
        <v>0</v>
      </c>
      <c r="E14" s="104">
        <v>0</v>
      </c>
      <c r="F14" s="105">
        <f t="shared" si="4"/>
        <v>0</v>
      </c>
      <c r="G14" s="106">
        <f t="shared" si="2"/>
        <v>0</v>
      </c>
      <c r="H14" s="107">
        <f t="shared" si="3"/>
        <v>0</v>
      </c>
      <c r="I14" s="130"/>
      <c r="J14" s="195"/>
      <c r="K14" s="196"/>
      <c r="L14" s="196"/>
      <c r="M14" s="197"/>
      <c r="N14" s="130"/>
      <c r="O14" s="130"/>
      <c r="P14" s="130"/>
      <c r="Q14" s="130"/>
      <c r="R14" s="130"/>
      <c r="S14" s="130"/>
      <c r="T14" s="130"/>
      <c r="U14" s="130"/>
      <c r="V14" s="130"/>
    </row>
    <row r="15" spans="1:22" s="88" customFormat="1" ht="18" customHeight="1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130"/>
      <c r="J15" s="195"/>
      <c r="K15" s="196"/>
      <c r="L15" s="196"/>
      <c r="M15" s="197"/>
      <c r="N15" s="130"/>
      <c r="O15" s="130"/>
      <c r="P15" s="130"/>
      <c r="Q15" s="130"/>
      <c r="R15" s="130"/>
      <c r="S15" s="130"/>
      <c r="T15" s="130"/>
      <c r="U15" s="130"/>
      <c r="V15" s="130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130"/>
      <c r="J16" s="195"/>
      <c r="K16" s="196"/>
      <c r="L16" s="196"/>
      <c r="M16" s="197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130"/>
      <c r="J17" s="195"/>
      <c r="K17" s="196"/>
      <c r="L17" s="196"/>
      <c r="M17" s="197"/>
      <c r="N17" s="130"/>
      <c r="O17" s="130"/>
      <c r="P17" s="130"/>
      <c r="Q17" s="130"/>
      <c r="R17" s="130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130"/>
      <c r="J18" s="195"/>
      <c r="K18" s="196"/>
      <c r="L18" s="196"/>
      <c r="M18" s="197"/>
      <c r="N18" s="130"/>
      <c r="O18" s="130"/>
      <c r="P18" s="130"/>
      <c r="Q18" s="130"/>
      <c r="R18" s="130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130"/>
      <c r="J19" s="195"/>
      <c r="K19" s="196"/>
      <c r="L19" s="196"/>
      <c r="M19" s="197"/>
      <c r="N19" s="130"/>
      <c r="O19" s="130"/>
      <c r="P19" s="130"/>
      <c r="Q19" s="130"/>
      <c r="R19" s="130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130"/>
      <c r="J20" s="195"/>
      <c r="K20" s="196"/>
      <c r="L20" s="196"/>
      <c r="M20" s="197"/>
      <c r="N20" s="130"/>
      <c r="O20" s="130"/>
      <c r="P20" s="130"/>
      <c r="Q20" s="130"/>
      <c r="R20" s="130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130"/>
      <c r="J21" s="195"/>
      <c r="K21" s="196"/>
      <c r="L21" s="196"/>
      <c r="M21" s="197"/>
      <c r="N21" s="130"/>
      <c r="O21" s="130"/>
      <c r="P21" s="130"/>
      <c r="Q21" s="130"/>
      <c r="R21" s="130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130"/>
      <c r="J22" s="195"/>
      <c r="K22" s="196"/>
      <c r="L22" s="196"/>
      <c r="M22" s="197"/>
      <c r="N22" s="130"/>
      <c r="O22" s="130"/>
      <c r="P22" s="130"/>
      <c r="Q22" s="130"/>
      <c r="R22" s="130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130"/>
      <c r="J23" s="195"/>
      <c r="K23" s="196"/>
      <c r="L23" s="196"/>
      <c r="M23" s="197"/>
      <c r="N23" s="130"/>
      <c r="O23" s="130"/>
      <c r="P23" s="130"/>
      <c r="Q23" s="130"/>
      <c r="R23" s="130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130"/>
      <c r="J24" s="198"/>
      <c r="K24" s="199"/>
      <c r="L24" s="199"/>
      <c r="M24" s="200"/>
      <c r="N24" s="130"/>
      <c r="O24" s="130"/>
      <c r="P24" s="130"/>
      <c r="Q24" s="130"/>
      <c r="R24" s="130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130"/>
      <c r="J25" s="153" t="s">
        <v>28</v>
      </c>
      <c r="K25" s="154"/>
      <c r="L25" s="188">
        <f>J3*110%</f>
        <v>4308.0950000000003</v>
      </c>
      <c r="M25" s="189"/>
      <c r="N25" s="130"/>
      <c r="O25" s="130"/>
      <c r="P25" s="130"/>
      <c r="Q25" s="130"/>
      <c r="R25" s="130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130"/>
      <c r="J26" s="153"/>
      <c r="K26" s="154"/>
      <c r="L26" s="188"/>
      <c r="M26" s="189"/>
      <c r="N26" s="130"/>
      <c r="O26" s="130"/>
      <c r="P26" s="130"/>
      <c r="Q26" s="130"/>
      <c r="R26" s="130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130"/>
      <c r="J27" s="155"/>
      <c r="K27" s="156"/>
      <c r="L27" s="190"/>
      <c r="M27" s="191"/>
      <c r="N27" s="130"/>
      <c r="O27" s="130"/>
      <c r="P27" s="130"/>
      <c r="Q27" s="130"/>
      <c r="R27" s="130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130"/>
      <c r="J28" s="151" t="s">
        <v>29</v>
      </c>
      <c r="K28" s="152"/>
      <c r="L28" s="157">
        <f>L25*J5</f>
        <v>86161.900000000009</v>
      </c>
      <c r="M28" s="158"/>
      <c r="N28" s="130"/>
      <c r="O28" s="130"/>
      <c r="P28" s="130"/>
      <c r="Q28" s="130"/>
      <c r="R28" s="130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130"/>
      <c r="J29" s="153"/>
      <c r="K29" s="154"/>
      <c r="L29" s="159"/>
      <c r="M29" s="160"/>
      <c r="N29" s="130"/>
      <c r="O29" s="130"/>
      <c r="P29" s="130"/>
      <c r="Q29" s="130"/>
      <c r="R29" s="130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130"/>
      <c r="J30" s="155"/>
      <c r="K30" s="156"/>
      <c r="L30" s="161"/>
      <c r="M30" s="162"/>
      <c r="N30" s="130"/>
      <c r="O30" s="130"/>
      <c r="P30" s="130"/>
      <c r="Q30" s="130"/>
      <c r="R30" s="130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130"/>
      <c r="J31" s="130"/>
      <c r="K31" s="130"/>
      <c r="L31" s="130"/>
      <c r="M31" s="130"/>
      <c r="N31" s="130"/>
      <c r="O31" s="130"/>
      <c r="P31" s="130"/>
      <c r="Q31" s="130"/>
      <c r="R31" s="130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129"/>
      <c r="J32" s="130"/>
      <c r="K32" s="130"/>
      <c r="L32" s="130"/>
      <c r="M32" s="130"/>
      <c r="N32" s="130"/>
      <c r="O32" s="130"/>
      <c r="P32" s="130"/>
      <c r="Q32" s="130"/>
      <c r="R32" s="130"/>
    </row>
    <row r="33" spans="1:22" ht="18" hidden="1" customHeight="1">
      <c r="A33" s="137"/>
      <c r="B33" s="137"/>
      <c r="C33" s="102"/>
      <c r="D33" s="108"/>
      <c r="E33" s="104"/>
      <c r="F33" s="109"/>
      <c r="G33" s="183"/>
      <c r="H33" s="183"/>
      <c r="I33" s="138"/>
      <c r="J33" s="110"/>
      <c r="K33" s="98"/>
      <c r="L33" s="98"/>
      <c r="M33" s="98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ht="12.75" hidden="1" customHeight="1">
      <c r="A34" s="111" t="str">
        <f t="shared" ref="A34:A58" si="7">A8</f>
        <v>Cuero Napa Variada  (Dm2)</v>
      </c>
      <c r="B34" s="112"/>
      <c r="C34" s="112"/>
      <c r="D34" s="113">
        <f>IF(D8&lt;1,0,D8)</f>
        <v>0</v>
      </c>
      <c r="E34" s="114">
        <f>IF(C8*B8&lt;1,0,C8)</f>
        <v>1</v>
      </c>
      <c r="F34" s="115">
        <f>B8</f>
        <v>488</v>
      </c>
      <c r="G34" s="116">
        <f t="shared" ref="G34:G58" si="8">IF(E34&lt;1,(1),E34)</f>
        <v>1</v>
      </c>
      <c r="H34" s="102">
        <f>J5</f>
        <v>20</v>
      </c>
      <c r="I34" s="117">
        <f t="shared" ref="I34:I58" si="9">G8/G34</f>
        <v>2440</v>
      </c>
      <c r="J34" s="110"/>
      <c r="K34" s="98"/>
      <c r="L34" s="98"/>
      <c r="M34" s="98"/>
      <c r="N34" s="130"/>
      <c r="O34" s="130"/>
      <c r="P34" s="130"/>
      <c r="Q34" s="130"/>
      <c r="R34" s="130"/>
      <c r="S34" s="130"/>
      <c r="T34" s="130"/>
      <c r="U34" s="130"/>
      <c r="V34" s="130"/>
    </row>
    <row r="35" spans="1:22" ht="12.75" hidden="1" customHeight="1">
      <c r="A35" s="111" t="str">
        <f t="shared" si="7"/>
        <v>Forro Cerdo  (Dm2)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1</v>
      </c>
      <c r="F35" s="115">
        <f t="shared" ref="F35:F58" si="12">B9</f>
        <v>284</v>
      </c>
      <c r="G35" s="116">
        <f t="shared" si="8"/>
        <v>1</v>
      </c>
      <c r="H35" s="102">
        <f>J5</f>
        <v>20</v>
      </c>
      <c r="I35" s="117">
        <f t="shared" si="9"/>
        <v>1136</v>
      </c>
      <c r="J35" s="110"/>
      <c r="K35" s="98"/>
      <c r="L35" s="98"/>
      <c r="M35" s="98"/>
      <c r="N35" s="130"/>
      <c r="O35" s="130"/>
      <c r="P35" s="130"/>
      <c r="Q35" s="130"/>
      <c r="R35" s="130"/>
      <c r="S35" s="130"/>
      <c r="T35" s="130"/>
      <c r="U35" s="130"/>
      <c r="V35" s="130"/>
    </row>
    <row r="36" spans="1:22" ht="12.75" hidden="1" customHeight="1">
      <c r="A36" s="111" t="str">
        <f t="shared" si="7"/>
        <v>Salpa 0.5mm   (cm²)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0.15</v>
      </c>
      <c r="G36" s="116">
        <f t="shared" si="8"/>
        <v>1</v>
      </c>
      <c r="H36" s="102">
        <f>J5</f>
        <v>20</v>
      </c>
      <c r="I36" s="117">
        <f t="shared" si="9"/>
        <v>0.44999999999999996</v>
      </c>
      <c r="J36" s="110"/>
      <c r="K36" s="98"/>
      <c r="L36" s="98"/>
      <c r="M36" s="98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12.75" hidden="1" customHeight="1">
      <c r="A37" s="111" t="str">
        <f t="shared" si="7"/>
        <v>Pirigallo (unidad)</v>
      </c>
      <c r="B37" s="112"/>
      <c r="C37" s="112"/>
      <c r="D37" s="113">
        <f t="shared" si="10"/>
        <v>0</v>
      </c>
      <c r="E37" s="114">
        <f t="shared" si="11"/>
        <v>1</v>
      </c>
      <c r="F37" s="115">
        <f t="shared" si="12"/>
        <v>300</v>
      </c>
      <c r="G37" s="116">
        <f t="shared" si="8"/>
        <v>1</v>
      </c>
      <c r="H37" s="102">
        <f>J5</f>
        <v>20</v>
      </c>
      <c r="I37" s="117">
        <f t="shared" si="9"/>
        <v>300</v>
      </c>
      <c r="J37" s="110"/>
      <c r="K37" s="98"/>
      <c r="L37" s="98"/>
      <c r="M37" s="98"/>
      <c r="N37" s="130"/>
      <c r="O37" s="130"/>
      <c r="P37" s="130"/>
      <c r="Q37" s="130"/>
      <c r="R37" s="130"/>
      <c r="S37" s="130"/>
      <c r="T37" s="130"/>
      <c r="U37" s="130"/>
      <c r="V37" s="130"/>
    </row>
    <row r="38" spans="1:22" ht="12.75" hidden="1" customHeight="1">
      <c r="A38" s="111" t="str">
        <f t="shared" si="7"/>
        <v>Remache doble cabeza # 4 (unidad)</v>
      </c>
      <c r="B38" s="112"/>
      <c r="C38" s="112"/>
      <c r="D38" s="113">
        <f t="shared" si="10"/>
        <v>0</v>
      </c>
      <c r="E38" s="114">
        <f t="shared" si="11"/>
        <v>1</v>
      </c>
      <c r="F38" s="115">
        <f t="shared" si="12"/>
        <v>10</v>
      </c>
      <c r="G38" s="116">
        <f t="shared" si="8"/>
        <v>1</v>
      </c>
      <c r="H38" s="102">
        <f>J5</f>
        <v>20</v>
      </c>
      <c r="I38" s="117">
        <f t="shared" si="9"/>
        <v>40</v>
      </c>
      <c r="J38" s="110"/>
      <c r="K38" s="98"/>
      <c r="L38" s="98"/>
      <c r="M38" s="98"/>
      <c r="N38" s="130"/>
      <c r="O38" s="130"/>
      <c r="P38" s="130"/>
      <c r="Q38" s="130"/>
      <c r="R38" s="130"/>
      <c r="S38" s="130"/>
      <c r="T38" s="130"/>
      <c r="U38" s="130"/>
      <c r="V38" s="130"/>
    </row>
    <row r="39" spans="1:22" ht="12.75" hidden="1" customHeight="1">
      <c r="A39" s="111">
        <f t="shared" si="7"/>
        <v>0</v>
      </c>
      <c r="B39" s="112"/>
      <c r="C39" s="112"/>
      <c r="D39" s="113">
        <f t="shared" si="10"/>
        <v>0</v>
      </c>
      <c r="E39" s="114">
        <f t="shared" si="11"/>
        <v>0</v>
      </c>
      <c r="F39" s="115">
        <f t="shared" si="12"/>
        <v>0</v>
      </c>
      <c r="G39" s="116">
        <f t="shared" si="8"/>
        <v>1</v>
      </c>
      <c r="H39" s="102">
        <f>J5</f>
        <v>20</v>
      </c>
      <c r="I39" s="117">
        <f t="shared" si="9"/>
        <v>0</v>
      </c>
      <c r="J39" s="110"/>
      <c r="K39" s="98"/>
      <c r="L39" s="98"/>
      <c r="M39" s="98"/>
      <c r="N39" s="130"/>
      <c r="O39" s="130"/>
      <c r="P39" s="130"/>
      <c r="Q39" s="130"/>
      <c r="R39" s="130"/>
      <c r="S39" s="130"/>
      <c r="T39" s="130"/>
      <c r="U39" s="130"/>
      <c r="V39" s="130"/>
    </row>
    <row r="40" spans="1:22" ht="12.75" hidden="1" customHeight="1">
      <c r="A40" s="111">
        <f t="shared" si="7"/>
        <v>0</v>
      </c>
      <c r="B40" s="112"/>
      <c r="C40" s="112"/>
      <c r="D40" s="113">
        <f t="shared" si="10"/>
        <v>0</v>
      </c>
      <c r="E40" s="114">
        <f t="shared" si="11"/>
        <v>0</v>
      </c>
      <c r="F40" s="115">
        <f t="shared" si="12"/>
        <v>0</v>
      </c>
      <c r="G40" s="116">
        <f t="shared" si="8"/>
        <v>1</v>
      </c>
      <c r="H40" s="102">
        <f>J5</f>
        <v>20</v>
      </c>
      <c r="I40" s="117">
        <f t="shared" si="9"/>
        <v>0</v>
      </c>
      <c r="J40" s="110"/>
      <c r="K40" s="98"/>
      <c r="L40" s="98"/>
      <c r="M40" s="98"/>
      <c r="N40" s="130"/>
      <c r="O40" s="130"/>
      <c r="P40" s="130"/>
      <c r="Q40" s="130"/>
      <c r="R40" s="130"/>
      <c r="S40" s="130"/>
      <c r="T40" s="130"/>
      <c r="U40" s="130"/>
      <c r="V40" s="130"/>
    </row>
    <row r="41" spans="1:22" ht="12.75" hidden="1" customHeight="1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20</v>
      </c>
      <c r="I41" s="117">
        <f t="shared" si="9"/>
        <v>0</v>
      </c>
      <c r="J41" s="110"/>
      <c r="K41" s="98"/>
      <c r="L41" s="98"/>
      <c r="M41" s="98"/>
      <c r="N41" s="130"/>
      <c r="O41" s="130"/>
      <c r="P41" s="130"/>
      <c r="Q41" s="130"/>
      <c r="R41" s="130"/>
      <c r="S41" s="130"/>
      <c r="T41" s="130"/>
      <c r="U41" s="130"/>
      <c r="V41" s="130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20</v>
      </c>
      <c r="I42" s="117">
        <f t="shared" si="9"/>
        <v>0</v>
      </c>
      <c r="J42" s="110"/>
      <c r="K42" s="98"/>
      <c r="L42" s="98"/>
      <c r="M42" s="98"/>
      <c r="N42" s="130"/>
      <c r="O42" s="130"/>
      <c r="P42" s="130"/>
      <c r="Q42" s="130"/>
      <c r="R42" s="130"/>
      <c r="S42" s="130"/>
      <c r="T42" s="130"/>
      <c r="U42" s="130"/>
      <c r="V42" s="130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20</v>
      </c>
      <c r="I43" s="117">
        <f t="shared" si="9"/>
        <v>0</v>
      </c>
      <c r="J43" s="110"/>
      <c r="K43" s="98"/>
      <c r="L43" s="98"/>
      <c r="M43" s="98"/>
      <c r="N43" s="130"/>
      <c r="O43" s="130"/>
      <c r="P43" s="130"/>
      <c r="Q43" s="130"/>
      <c r="R43" s="130"/>
      <c r="S43" s="130"/>
      <c r="T43" s="130"/>
      <c r="U43" s="130"/>
      <c r="V43" s="130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20</v>
      </c>
      <c r="I44" s="117">
        <f t="shared" si="9"/>
        <v>0</v>
      </c>
      <c r="J44" s="110"/>
      <c r="K44" s="98"/>
      <c r="L44" s="98"/>
      <c r="M44" s="98"/>
      <c r="N44" s="130"/>
      <c r="O44" s="130"/>
      <c r="P44" s="130"/>
      <c r="Q44" s="130"/>
      <c r="R44" s="130"/>
      <c r="S44" s="130"/>
      <c r="T44" s="130"/>
      <c r="U44" s="130"/>
      <c r="V44" s="130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20</v>
      </c>
      <c r="I45" s="117">
        <f t="shared" si="9"/>
        <v>0</v>
      </c>
      <c r="J45" s="110"/>
      <c r="K45" s="98"/>
      <c r="L45" s="98"/>
      <c r="M45" s="98"/>
      <c r="N45" s="130"/>
      <c r="O45" s="130"/>
      <c r="P45" s="130"/>
      <c r="Q45" s="130"/>
      <c r="R45" s="130"/>
      <c r="S45" s="130"/>
      <c r="T45" s="130"/>
      <c r="U45" s="130"/>
      <c r="V45" s="130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20</v>
      </c>
      <c r="I46" s="117">
        <f t="shared" si="9"/>
        <v>0</v>
      </c>
      <c r="J46" s="110"/>
      <c r="K46" s="98"/>
      <c r="L46" s="98"/>
      <c r="M46" s="98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20</v>
      </c>
      <c r="I47" s="117">
        <f t="shared" si="9"/>
        <v>0</v>
      </c>
      <c r="J47" s="110"/>
      <c r="K47" s="98"/>
      <c r="L47" s="98"/>
      <c r="M47" s="98"/>
      <c r="N47" s="130"/>
      <c r="O47" s="130"/>
      <c r="P47" s="130"/>
      <c r="Q47" s="130"/>
      <c r="R47" s="130"/>
      <c r="S47" s="130"/>
      <c r="T47" s="130"/>
      <c r="U47" s="130"/>
      <c r="V47" s="130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20</v>
      </c>
      <c r="I48" s="117">
        <f t="shared" si="9"/>
        <v>0</v>
      </c>
      <c r="J48" s="110"/>
      <c r="K48" s="98"/>
      <c r="L48" s="98"/>
      <c r="M48" s="98"/>
      <c r="N48" s="130"/>
      <c r="O48" s="130"/>
      <c r="P48" s="130"/>
      <c r="Q48" s="130"/>
      <c r="R48" s="130"/>
      <c r="S48" s="130"/>
      <c r="T48" s="130"/>
      <c r="U48" s="130"/>
      <c r="V48" s="130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20</v>
      </c>
      <c r="I49" s="117">
        <f t="shared" si="9"/>
        <v>0</v>
      </c>
      <c r="J49" s="110"/>
      <c r="K49" s="98"/>
      <c r="L49" s="98"/>
      <c r="M49" s="98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20</v>
      </c>
      <c r="I50" s="117">
        <f t="shared" si="9"/>
        <v>0</v>
      </c>
      <c r="J50" s="110"/>
      <c r="K50" s="98"/>
      <c r="L50" s="98"/>
      <c r="M50" s="98"/>
      <c r="N50" s="130"/>
      <c r="O50" s="130"/>
      <c r="P50" s="130"/>
      <c r="Q50" s="130"/>
      <c r="R50" s="130"/>
      <c r="S50" s="130"/>
      <c r="T50" s="130"/>
      <c r="U50" s="130"/>
      <c r="V50" s="130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20</v>
      </c>
      <c r="I51" s="117">
        <f t="shared" si="9"/>
        <v>0</v>
      </c>
      <c r="J51" s="110"/>
      <c r="K51" s="98"/>
      <c r="L51" s="98"/>
      <c r="M51" s="98"/>
      <c r="N51" s="130"/>
      <c r="O51" s="130"/>
      <c r="P51" s="130"/>
      <c r="Q51" s="130"/>
      <c r="R51" s="130"/>
      <c r="S51" s="130"/>
      <c r="T51" s="130"/>
      <c r="U51" s="130"/>
      <c r="V51" s="130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20</v>
      </c>
      <c r="I52" s="117">
        <f t="shared" si="9"/>
        <v>0</v>
      </c>
      <c r="J52" s="110"/>
      <c r="K52" s="98"/>
      <c r="L52" s="98"/>
      <c r="M52" s="98"/>
      <c r="N52" s="130"/>
      <c r="O52" s="130"/>
      <c r="P52" s="130"/>
      <c r="Q52" s="130"/>
      <c r="R52" s="130"/>
      <c r="S52" s="130"/>
      <c r="T52" s="130"/>
      <c r="U52" s="130"/>
      <c r="V52" s="130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20</v>
      </c>
      <c r="I53" s="117">
        <f t="shared" si="9"/>
        <v>0</v>
      </c>
      <c r="J53" s="110"/>
      <c r="K53" s="98"/>
      <c r="L53" s="98"/>
      <c r="M53" s="98"/>
      <c r="N53" s="130"/>
      <c r="O53" s="130"/>
      <c r="P53" s="130"/>
      <c r="Q53" s="130"/>
      <c r="R53" s="130"/>
      <c r="S53" s="130"/>
      <c r="T53" s="130"/>
      <c r="U53" s="130"/>
      <c r="V53" s="130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20</v>
      </c>
      <c r="I54" s="117">
        <f t="shared" si="9"/>
        <v>0</v>
      </c>
      <c r="J54" s="110"/>
      <c r="K54" s="98"/>
      <c r="L54" s="98"/>
      <c r="M54" s="98"/>
      <c r="N54" s="130"/>
      <c r="O54" s="130"/>
      <c r="P54" s="130"/>
      <c r="Q54" s="130"/>
      <c r="R54" s="130"/>
      <c r="S54" s="130"/>
      <c r="T54" s="130"/>
      <c r="U54" s="130"/>
      <c r="V54" s="130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20</v>
      </c>
      <c r="I55" s="117">
        <f t="shared" si="9"/>
        <v>0</v>
      </c>
      <c r="J55" s="110"/>
      <c r="K55" s="98"/>
      <c r="L55" s="98"/>
      <c r="M55" s="98"/>
      <c r="N55" s="130"/>
      <c r="O55" s="130"/>
      <c r="P55" s="130"/>
      <c r="Q55" s="130"/>
      <c r="R55" s="130"/>
      <c r="S55" s="130"/>
      <c r="T55" s="130"/>
      <c r="U55" s="130"/>
      <c r="V55" s="130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20</v>
      </c>
      <c r="I56" s="117">
        <f t="shared" si="9"/>
        <v>0</v>
      </c>
      <c r="J56" s="110"/>
      <c r="K56" s="98"/>
      <c r="L56" s="98"/>
      <c r="M56" s="98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20</v>
      </c>
      <c r="I57" s="117">
        <f t="shared" si="9"/>
        <v>0</v>
      </c>
      <c r="J57" s="110"/>
      <c r="K57" s="98"/>
      <c r="L57" s="98"/>
      <c r="M57" s="98"/>
      <c r="N57" s="130"/>
      <c r="O57" s="130"/>
      <c r="P57" s="130"/>
      <c r="Q57" s="130"/>
      <c r="R57" s="130"/>
      <c r="S57" s="130"/>
      <c r="T57" s="130"/>
      <c r="U57" s="130"/>
      <c r="V57" s="130"/>
    </row>
    <row r="58" spans="1:22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20</v>
      </c>
      <c r="I58" s="117">
        <f t="shared" si="9"/>
        <v>0</v>
      </c>
      <c r="J58" s="110"/>
      <c r="K58" s="98"/>
      <c r="L58" s="98"/>
      <c r="M58" s="98"/>
      <c r="N58" s="130"/>
      <c r="O58" s="130"/>
      <c r="P58" s="130"/>
      <c r="Q58" s="130"/>
      <c r="R58" s="130"/>
      <c r="S58" s="130"/>
      <c r="T58" s="130"/>
      <c r="U58" s="130"/>
      <c r="V58" s="130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130"/>
      <c r="O59" s="130"/>
      <c r="P59" s="130"/>
      <c r="Q59" s="130"/>
      <c r="R59" s="130"/>
      <c r="S59" s="130"/>
      <c r="T59" s="130"/>
      <c r="U59" s="130"/>
      <c r="V59" s="130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130"/>
      <c r="O60" s="130"/>
      <c r="P60" s="130"/>
      <c r="Q60" s="130"/>
      <c r="R60" s="130"/>
      <c r="S60" s="130"/>
      <c r="T60" s="130"/>
      <c r="U60" s="130"/>
      <c r="V60" s="130"/>
    </row>
    <row r="61" spans="1:22" ht="12.75" hidden="1" customHeight="1">
      <c r="A61" s="174"/>
      <c r="B61" s="174"/>
      <c r="C61" s="174"/>
      <c r="D61" s="174"/>
      <c r="E61" s="174"/>
      <c r="F61" s="174"/>
      <c r="G61" s="98"/>
      <c r="H61" s="98"/>
      <c r="I61" s="98"/>
      <c r="J61" s="98"/>
      <c r="K61" s="98"/>
      <c r="L61" s="98"/>
      <c r="M61" s="98"/>
      <c r="N61" s="130"/>
      <c r="O61" s="130"/>
      <c r="P61" s="130"/>
      <c r="Q61" s="130"/>
      <c r="R61" s="130"/>
      <c r="S61" s="130"/>
      <c r="T61" s="130"/>
      <c r="U61" s="130"/>
      <c r="V61" s="130"/>
    </row>
    <row r="62" spans="1:22" ht="36" customHeight="1">
      <c r="A62" s="178" t="s">
        <v>30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80"/>
      <c r="N62" s="130"/>
      <c r="O62" s="130"/>
      <c r="P62" s="130"/>
      <c r="Q62" s="130"/>
      <c r="R62" s="130"/>
      <c r="S62" s="130"/>
      <c r="T62" s="130"/>
      <c r="U62" s="130"/>
      <c r="V62" s="130"/>
    </row>
    <row r="63" spans="1:22" ht="12.75" customHeight="1">
      <c r="A63" s="146" t="s">
        <v>31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8"/>
      <c r="N63" s="130"/>
      <c r="O63" s="130"/>
      <c r="P63" s="130"/>
      <c r="Q63" s="130"/>
      <c r="R63" s="130"/>
      <c r="S63" s="130"/>
      <c r="T63" s="130"/>
      <c r="U63" s="130"/>
      <c r="V63" s="130"/>
    </row>
    <row r="64" spans="1:22" ht="12.75" customHeight="1">
      <c r="A64" s="146" t="s">
        <v>32</v>
      </c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8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1:22" ht="12.75" customHeight="1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8"/>
      <c r="N65" s="130"/>
      <c r="O65" s="130"/>
      <c r="P65" s="130"/>
      <c r="Q65" s="130"/>
      <c r="R65" s="130"/>
      <c r="S65" s="130"/>
      <c r="T65" s="130"/>
      <c r="U65" s="130"/>
      <c r="V65" s="130"/>
    </row>
    <row r="66" spans="1:22" s="88" customFormat="1" ht="12.75" customHeight="1">
      <c r="A66" s="146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8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s="88" customFormat="1" ht="12.75" customHeight="1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8"/>
      <c r="N67" s="130"/>
      <c r="O67" s="130"/>
      <c r="P67" s="130"/>
      <c r="Q67" s="130"/>
      <c r="R67" s="130"/>
      <c r="S67" s="130"/>
      <c r="T67" s="130"/>
      <c r="U67" s="130"/>
      <c r="V67" s="130"/>
    </row>
    <row r="68" spans="1:22" s="88" customFormat="1" ht="12.75" customHeight="1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8"/>
      <c r="N68" s="130"/>
      <c r="O68" s="130"/>
      <c r="P68" s="130"/>
      <c r="Q68" s="130"/>
      <c r="R68" s="130"/>
      <c r="S68" s="130"/>
      <c r="T68" s="130"/>
      <c r="U68" s="130"/>
      <c r="V68" s="130"/>
    </row>
    <row r="69" spans="1:22" s="88" customFormat="1" ht="12.75" customHeight="1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8"/>
      <c r="N69" s="130"/>
      <c r="O69" s="130"/>
      <c r="P69" s="130"/>
      <c r="Q69" s="130"/>
      <c r="R69" s="130"/>
      <c r="S69" s="130"/>
      <c r="T69" s="130"/>
      <c r="U69" s="130"/>
      <c r="V69" s="130"/>
    </row>
    <row r="70" spans="1:22" s="88" customFormat="1" ht="12.75" customHeight="1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8"/>
      <c r="N70" s="130"/>
      <c r="O70" s="130"/>
      <c r="P70" s="130"/>
      <c r="Q70" s="130"/>
      <c r="R70" s="130"/>
      <c r="S70" s="130"/>
      <c r="T70" s="130"/>
      <c r="U70" s="130"/>
      <c r="V70" s="130"/>
    </row>
    <row r="71" spans="1:22" s="88" customFormat="1" ht="12.75" customHeight="1">
      <c r="A71" s="146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8"/>
      <c r="N71" s="130"/>
      <c r="O71" s="130"/>
      <c r="P71" s="130"/>
      <c r="Q71" s="130"/>
      <c r="R71" s="130"/>
      <c r="S71" s="130"/>
      <c r="T71" s="130"/>
      <c r="U71" s="130"/>
      <c r="V71" s="130"/>
    </row>
    <row r="72" spans="1:22" s="88" customFormat="1" ht="12.75" customHeight="1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8"/>
      <c r="N72" s="130"/>
      <c r="O72" s="130"/>
      <c r="P72" s="130"/>
      <c r="Q72" s="130"/>
      <c r="R72" s="130"/>
      <c r="S72" s="130"/>
      <c r="T72" s="130"/>
      <c r="U72" s="130"/>
      <c r="V72" s="130"/>
    </row>
    <row r="73" spans="1:22" s="88" customFormat="1" ht="12.75" customHeight="1">
      <c r="A73" s="146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8"/>
      <c r="N73" s="130"/>
      <c r="O73" s="130"/>
      <c r="P73" s="130"/>
      <c r="Q73" s="130"/>
      <c r="R73" s="130"/>
      <c r="S73" s="130"/>
      <c r="T73" s="130"/>
      <c r="U73" s="130"/>
      <c r="V73" s="130"/>
    </row>
    <row r="74" spans="1:22" s="88" customFormat="1" ht="12.75" customHeight="1">
      <c r="A74" s="146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8"/>
      <c r="N74" s="130"/>
      <c r="O74" s="130"/>
      <c r="P74" s="130"/>
      <c r="Q74" s="130"/>
      <c r="R74" s="130"/>
      <c r="S74" s="130"/>
      <c r="T74" s="130"/>
      <c r="U74" s="130"/>
      <c r="V74" s="130"/>
    </row>
    <row r="75" spans="1:22" s="88" customFormat="1" ht="12.75" customHeight="1">
      <c r="A75" s="146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8"/>
      <c r="N75" s="130"/>
      <c r="O75" s="130"/>
      <c r="P75" s="130"/>
      <c r="Q75" s="130"/>
      <c r="R75" s="130"/>
      <c r="S75" s="130"/>
      <c r="T75" s="130"/>
      <c r="U75" s="130"/>
      <c r="V75" s="130"/>
    </row>
    <row r="76" spans="1:22" s="88" customFormat="1" ht="17.25" customHeight="1">
      <c r="A76" s="139" t="s">
        <v>33</v>
      </c>
      <c r="B76" s="139"/>
      <c r="C76" s="140"/>
      <c r="D76" s="139" t="s">
        <v>34</v>
      </c>
      <c r="E76" s="184" t="str">
        <f>PEDIDO!A30</f>
        <v>MODIFICADO POR: JAIDER ROJAS - ALMACENISTA (26-02-2017)SENA ITAGUI ANTIOQUIA</v>
      </c>
      <c r="F76" s="184"/>
      <c r="G76" s="184"/>
      <c r="H76" s="184"/>
      <c r="I76" s="184"/>
      <c r="J76" s="184"/>
      <c r="K76" s="184"/>
      <c r="L76" s="184"/>
      <c r="M76" s="184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s="88" customFormat="1">
      <c r="A77" s="121" t="s">
        <v>35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s="88" customFormat="1">
      <c r="A78" s="121" t="s">
        <v>36</v>
      </c>
      <c r="B78" s="122"/>
      <c r="C78" s="98"/>
      <c r="D78" s="123"/>
      <c r="E78" s="98"/>
      <c r="F78" s="98"/>
      <c r="G78" s="98"/>
      <c r="H78" s="98"/>
      <c r="I78" s="98"/>
      <c r="J78" s="98"/>
      <c r="K78" s="98"/>
      <c r="L78" s="98"/>
      <c r="M78" s="98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s="88" customFormat="1">
      <c r="A79" s="121" t="s">
        <v>37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s="88" customFormat="1">
      <c r="A80" s="121" t="s">
        <v>38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14" s="88" customFormat="1">
      <c r="A81" s="121" t="s">
        <v>39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  <c r="N81" s="130"/>
    </row>
    <row r="82" spans="1:14" s="88" customFormat="1">
      <c r="A82" s="121" t="s">
        <v>40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  <c r="N82" s="130"/>
    </row>
    <row r="83" spans="1:14" s="88" customFormat="1">
      <c r="A83" s="121" t="s">
        <v>41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  <c r="N83" s="130"/>
    </row>
    <row r="84" spans="1:14" s="88" customFormat="1">
      <c r="A84" s="121" t="s">
        <v>42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  <c r="N84" s="130"/>
    </row>
    <row r="85" spans="1:14" s="88" customFormat="1">
      <c r="A85" s="121" t="s">
        <v>43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  <c r="N85" s="130"/>
    </row>
    <row r="86" spans="1:14" s="88" customFormat="1">
      <c r="A86" s="121" t="s">
        <v>44</v>
      </c>
      <c r="B86" s="122"/>
      <c r="C86" s="98"/>
      <c r="D86" s="123"/>
      <c r="E86" s="98"/>
      <c r="F86" s="98"/>
      <c r="G86" s="98"/>
      <c r="H86" s="98"/>
      <c r="I86" s="98"/>
      <c r="J86" s="98"/>
      <c r="K86" s="98"/>
      <c r="L86" s="98"/>
      <c r="M86" s="98"/>
      <c r="N86" s="130"/>
    </row>
    <row r="87" spans="1:14" s="88" customFormat="1">
      <c r="A87" s="121" t="s">
        <v>45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  <c r="N87" s="130"/>
    </row>
    <row r="88" spans="1:14" s="88" customFormat="1">
      <c r="A88" s="121" t="s">
        <v>46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  <c r="N88" s="130"/>
    </row>
    <row r="89" spans="1:14" s="88" customFormat="1">
      <c r="A89" s="125" t="s">
        <v>47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  <c r="N89" s="130"/>
    </row>
    <row r="90" spans="1:14" s="88" customFormat="1">
      <c r="A90" s="125" t="s">
        <v>48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  <c r="N90" s="130"/>
    </row>
    <row r="91" spans="1:14" s="88" customFormat="1">
      <c r="A91" s="121" t="s">
        <v>49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  <c r="N91" s="130"/>
    </row>
    <row r="92" spans="1:14" s="88" customFormat="1">
      <c r="A92" s="125" t="s">
        <v>50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  <c r="N92" s="130"/>
    </row>
    <row r="93" spans="1:14" s="88" customFormat="1">
      <c r="A93" s="121" t="s">
        <v>51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  <c r="N93" s="130"/>
    </row>
    <row r="94" spans="1:14" s="88" customFormat="1">
      <c r="A94" s="121" t="s">
        <v>52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  <c r="N94" s="130"/>
    </row>
    <row r="95" spans="1:14" s="88" customFormat="1">
      <c r="A95" s="121" t="s">
        <v>53</v>
      </c>
      <c r="B95" s="124"/>
      <c r="C95" s="98"/>
      <c r="D95" s="123">
        <v>1</v>
      </c>
      <c r="E95" s="98"/>
      <c r="F95" s="98"/>
      <c r="G95" s="98"/>
      <c r="H95" s="98"/>
      <c r="I95" s="98"/>
      <c r="J95" s="98"/>
      <c r="K95" s="98"/>
      <c r="L95" s="98"/>
      <c r="M95" s="98"/>
      <c r="N95" s="130"/>
    </row>
    <row r="96" spans="1:14" s="88" customFormat="1">
      <c r="A96" s="121" t="s">
        <v>54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  <c r="N96" s="130"/>
    </row>
    <row r="97" spans="1:18" s="88" customFormat="1">
      <c r="A97" s="121" t="s">
        <v>55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130"/>
      <c r="O97" s="130"/>
      <c r="P97" s="130"/>
      <c r="Q97" s="130"/>
      <c r="R97" s="130"/>
    </row>
    <row r="98" spans="1:18" s="88" customFormat="1">
      <c r="A98" s="121" t="s">
        <v>56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130"/>
      <c r="O98" s="130"/>
      <c r="P98" s="130"/>
      <c r="Q98" s="130"/>
      <c r="R98" s="130"/>
    </row>
    <row r="99" spans="1:18" s="88" customFormat="1">
      <c r="A99" s="121" t="s">
        <v>57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130"/>
      <c r="O99" s="130"/>
      <c r="P99" s="130"/>
      <c r="Q99" s="130"/>
      <c r="R99" s="130"/>
    </row>
    <row r="100" spans="1:18" s="88" customFormat="1">
      <c r="A100" s="121" t="s">
        <v>58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130"/>
      <c r="O100" s="130"/>
      <c r="P100" s="130"/>
      <c r="Q100" s="130"/>
      <c r="R100" s="130"/>
    </row>
    <row r="101" spans="1:18" s="88" customFormat="1">
      <c r="A101" s="121" t="s">
        <v>59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130"/>
      <c r="O101" s="130"/>
      <c r="P101" s="130"/>
      <c r="Q101" s="130"/>
      <c r="R101" s="130"/>
    </row>
    <row r="102" spans="1:18" s="88" customFormat="1">
      <c r="A102" s="121" t="s">
        <v>60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130"/>
      <c r="O102" s="130"/>
      <c r="P102" s="130"/>
      <c r="Q102" s="130"/>
      <c r="R102" s="130"/>
    </row>
    <row r="103" spans="1:18">
      <c r="A103" s="121" t="s">
        <v>61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130"/>
      <c r="O103" s="130"/>
      <c r="P103" s="130"/>
      <c r="Q103" s="130"/>
      <c r="R103" s="130"/>
    </row>
    <row r="104" spans="1:18">
      <c r="A104" s="121" t="s">
        <v>62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130"/>
      <c r="O104" s="130"/>
      <c r="P104" s="130"/>
      <c r="Q104" s="130"/>
      <c r="R104" s="130"/>
    </row>
    <row r="105" spans="1:18">
      <c r="A105" s="121" t="s">
        <v>63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130"/>
      <c r="O105" s="130"/>
      <c r="P105" s="130"/>
      <c r="Q105" s="130"/>
      <c r="R105" s="130"/>
    </row>
    <row r="106" spans="1:18">
      <c r="A106" s="125" t="s">
        <v>64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130"/>
      <c r="O106" s="130"/>
      <c r="P106" s="130"/>
      <c r="Q106" s="130"/>
      <c r="R106" s="130"/>
    </row>
    <row r="107" spans="1:18">
      <c r="A107" s="121" t="s">
        <v>65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130"/>
      <c r="O107" s="130"/>
      <c r="P107" s="130"/>
      <c r="Q107" s="130"/>
      <c r="R107" s="130"/>
    </row>
    <row r="108" spans="1:18">
      <c r="A108" s="121" t="s">
        <v>66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130"/>
      <c r="O108" s="130"/>
      <c r="P108" s="130"/>
      <c r="Q108" s="130"/>
      <c r="R108" s="130"/>
    </row>
    <row r="109" spans="1:18">
      <c r="A109" s="125" t="s">
        <v>67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130"/>
      <c r="O109" s="130"/>
      <c r="P109" s="130"/>
      <c r="Q109" s="130"/>
      <c r="R109" s="130"/>
    </row>
    <row r="110" spans="1:18">
      <c r="A110" s="125" t="s">
        <v>68</v>
      </c>
      <c r="B110" s="141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130"/>
      <c r="O110" s="130"/>
      <c r="P110" s="130"/>
      <c r="Q110" s="130"/>
      <c r="R110" s="130"/>
    </row>
    <row r="111" spans="1:18">
      <c r="A111" s="121" t="s">
        <v>69</v>
      </c>
      <c r="B111" s="130"/>
      <c r="C111" s="142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130"/>
      <c r="O111" s="130"/>
      <c r="P111" s="130"/>
      <c r="Q111" s="130"/>
      <c r="R111" s="130"/>
    </row>
    <row r="112" spans="1:18">
      <c r="A112" s="125" t="s">
        <v>70</v>
      </c>
      <c r="B112" s="130"/>
      <c r="C112" s="142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130"/>
      <c r="O112" s="130"/>
      <c r="P112" s="130"/>
      <c r="Q112" s="130"/>
      <c r="R112" s="130"/>
    </row>
    <row r="113" spans="1:20">
      <c r="A113" s="125" t="s">
        <v>71</v>
      </c>
      <c r="B113" s="130"/>
      <c r="C113" s="142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130"/>
      <c r="O113" s="130"/>
      <c r="P113" s="130"/>
      <c r="Q113" s="130"/>
      <c r="R113" s="130"/>
      <c r="S113" s="129"/>
      <c r="T113" s="129"/>
    </row>
    <row r="114" spans="1:20">
      <c r="A114" s="125" t="s">
        <v>72</v>
      </c>
      <c r="B114" s="130"/>
      <c r="C114" s="142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130"/>
      <c r="O114" s="130"/>
      <c r="P114" s="130"/>
      <c r="Q114" s="130"/>
      <c r="R114" s="130"/>
      <c r="S114" s="129"/>
      <c r="T114" s="129"/>
    </row>
    <row r="115" spans="1:20">
      <c r="A115" s="125" t="s">
        <v>73</v>
      </c>
      <c r="B115" s="130"/>
      <c r="C115" s="142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130"/>
      <c r="O115" s="130"/>
      <c r="P115" s="130"/>
      <c r="Q115" s="130"/>
      <c r="R115" s="130"/>
      <c r="S115" s="129"/>
      <c r="T115" s="129"/>
    </row>
    <row r="116" spans="1:20">
      <c r="A116" s="125" t="s">
        <v>74</v>
      </c>
      <c r="B116" s="130"/>
      <c r="C116" s="142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130"/>
      <c r="O116" s="130"/>
      <c r="P116" s="130"/>
      <c r="Q116" s="130"/>
      <c r="R116" s="130"/>
      <c r="S116" s="129"/>
      <c r="T116" s="129"/>
    </row>
    <row r="117" spans="1:20">
      <c r="A117" s="125" t="s">
        <v>75</v>
      </c>
      <c r="B117" s="130"/>
      <c r="C117" s="142"/>
      <c r="D117" s="123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</row>
    <row r="118" spans="1:20">
      <c r="A118" s="125" t="s">
        <v>76</v>
      </c>
      <c r="B118" s="130"/>
      <c r="C118" s="142"/>
      <c r="D118" s="123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</row>
    <row r="119" spans="1:20">
      <c r="A119" s="127" t="s">
        <v>77</v>
      </c>
      <c r="B119" s="130"/>
      <c r="C119" s="142"/>
      <c r="D119" s="123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</row>
    <row r="120" spans="1:20">
      <c r="A120" s="125" t="s">
        <v>78</v>
      </c>
      <c r="B120" s="130"/>
      <c r="C120" s="142"/>
      <c r="D120" s="123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</row>
    <row r="121" spans="1:20">
      <c r="A121" s="121" t="s">
        <v>79</v>
      </c>
      <c r="B121" s="130"/>
      <c r="C121" s="142"/>
      <c r="D121" s="123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</row>
    <row r="122" spans="1:20">
      <c r="A122" s="125" t="s">
        <v>80</v>
      </c>
      <c r="B122" s="130"/>
      <c r="C122" s="142"/>
      <c r="D122" s="123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</row>
    <row r="123" spans="1:20">
      <c r="A123" s="125" t="s">
        <v>81</v>
      </c>
      <c r="B123" s="130"/>
      <c r="C123" s="142"/>
      <c r="D123" s="123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</row>
    <row r="124" spans="1:20">
      <c r="A124" s="125" t="s">
        <v>82</v>
      </c>
      <c r="B124" s="130"/>
      <c r="C124" s="142"/>
      <c r="D124" s="123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</row>
    <row r="125" spans="1:20">
      <c r="A125" s="130"/>
      <c r="B125" s="130"/>
      <c r="C125" s="142"/>
      <c r="D125" s="143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</row>
    <row r="126" spans="1:20">
      <c r="A126" s="130"/>
      <c r="B126" s="130"/>
      <c r="C126" s="142"/>
      <c r="D126" s="143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</row>
    <row r="127" spans="1:20">
      <c r="A127" s="130"/>
      <c r="B127" s="130"/>
      <c r="C127" s="142"/>
      <c r="D127" s="144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</row>
    <row r="128" spans="1:20">
      <c r="A128" s="130"/>
      <c r="B128" s="130"/>
      <c r="C128" s="142"/>
      <c r="D128" s="143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</row>
    <row r="129" spans="1:20">
      <c r="A129" s="130"/>
      <c r="B129" s="130"/>
      <c r="C129" s="142"/>
      <c r="D129" s="143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</row>
    <row r="130" spans="1:20">
      <c r="A130" s="130"/>
      <c r="B130" s="130"/>
      <c r="C130" s="142"/>
      <c r="D130" s="144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</row>
    <row r="131" spans="1:20">
      <c r="A131" s="130"/>
      <c r="B131" s="130"/>
      <c r="C131" s="142"/>
      <c r="D131" s="143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</row>
    <row r="132" spans="1:20">
      <c r="A132" s="130"/>
      <c r="B132" s="130"/>
      <c r="C132" s="142"/>
      <c r="D132" s="143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</row>
    <row r="133" spans="1:20">
      <c r="A133" s="130"/>
      <c r="B133" s="130"/>
      <c r="C133" s="142"/>
      <c r="D133" s="144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</row>
    <row r="134" spans="1:20">
      <c r="A134" s="130"/>
      <c r="B134" s="130"/>
      <c r="C134" s="142"/>
      <c r="D134" s="143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</row>
    <row r="135" spans="1:20">
      <c r="A135" s="130"/>
      <c r="B135" s="130"/>
      <c r="C135" s="142"/>
      <c r="D135" s="143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</row>
    <row r="136" spans="1:20">
      <c r="A136" s="130"/>
      <c r="B136" s="130"/>
      <c r="C136" s="142"/>
      <c r="D136" s="144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</row>
    <row r="137" spans="1:20">
      <c r="A137" s="130"/>
      <c r="B137" s="130"/>
      <c r="C137" s="142"/>
      <c r="D137" s="143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</row>
    <row r="138" spans="1:20">
      <c r="A138" s="130"/>
      <c r="B138" s="130"/>
      <c r="C138" s="142"/>
      <c r="D138" s="143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</row>
    <row r="139" spans="1:20">
      <c r="A139" s="130"/>
      <c r="B139" s="130"/>
      <c r="C139" s="142"/>
      <c r="D139" s="144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</row>
    <row r="140" spans="1:20">
      <c r="A140" s="130"/>
      <c r="B140" s="130"/>
      <c r="C140" s="142"/>
      <c r="D140" s="143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</row>
    <row r="141" spans="1:20">
      <c r="A141" s="130"/>
      <c r="B141" s="130"/>
      <c r="C141" s="142"/>
      <c r="D141" s="143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</row>
    <row r="142" spans="1:20">
      <c r="A142" s="130"/>
      <c r="B142" s="130"/>
      <c r="C142" s="142"/>
      <c r="D142" s="144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</row>
    <row r="143" spans="1:20">
      <c r="A143" s="130"/>
      <c r="B143" s="130"/>
      <c r="C143" s="142"/>
      <c r="D143" s="143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</row>
    <row r="144" spans="1:20">
      <c r="A144" s="130"/>
      <c r="B144" s="130"/>
      <c r="C144" s="142"/>
      <c r="D144" s="143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</row>
    <row r="145" spans="1:20">
      <c r="A145" s="130"/>
      <c r="B145" s="130"/>
      <c r="C145" s="142"/>
      <c r="D145" s="144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>
      <c r="A146" s="130"/>
      <c r="B146" s="130"/>
      <c r="C146" s="142"/>
      <c r="D146" s="143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>
      <c r="A147" s="130"/>
      <c r="B147" s="130"/>
      <c r="C147" s="142"/>
      <c r="D147" s="143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</row>
    <row r="148" spans="1:20">
      <c r="A148" s="130"/>
      <c r="B148" s="130"/>
      <c r="C148" s="142"/>
      <c r="D148" s="144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</row>
    <row r="149" spans="1:20">
      <c r="A149" s="130"/>
      <c r="B149" s="130"/>
      <c r="C149" s="142"/>
      <c r="D149" s="143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</row>
    <row r="150" spans="1:20">
      <c r="A150" s="130"/>
      <c r="B150" s="130"/>
      <c r="C150" s="142"/>
      <c r="D150" s="143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</row>
    <row r="151" spans="1:20">
      <c r="A151" s="130"/>
      <c r="B151" s="130"/>
      <c r="C151" s="142"/>
      <c r="D151" s="144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</row>
    <row r="152" spans="1:20">
      <c r="A152" s="130"/>
      <c r="B152" s="130"/>
      <c r="C152" s="142"/>
      <c r="D152" s="143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>
      <c r="A153" s="130"/>
      <c r="B153" s="130"/>
      <c r="C153" s="142"/>
      <c r="D153" s="143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>
      <c r="A154" s="130"/>
      <c r="B154" s="130"/>
      <c r="C154" s="142"/>
      <c r="D154" s="144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</row>
    <row r="155" spans="1:20">
      <c r="A155" s="130"/>
      <c r="B155" s="130"/>
      <c r="C155" s="142"/>
      <c r="D155" s="143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</row>
    <row r="156" spans="1:20">
      <c r="A156" s="130"/>
      <c r="B156" s="130"/>
      <c r="C156" s="142"/>
      <c r="D156" s="143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</row>
    <row r="157" spans="1:20">
      <c r="A157" s="130"/>
      <c r="B157" s="130"/>
      <c r="C157" s="142"/>
      <c r="D157" s="144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</row>
    <row r="158" spans="1:20">
      <c r="A158" s="130"/>
      <c r="B158" s="130"/>
      <c r="C158" s="142"/>
      <c r="D158" s="143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</row>
    <row r="159" spans="1:20">
      <c r="A159" s="130"/>
      <c r="B159" s="130"/>
      <c r="C159" s="142"/>
      <c r="D159" s="143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</row>
    <row r="160" spans="1:20">
      <c r="A160" s="130"/>
      <c r="B160" s="130"/>
      <c r="C160" s="142"/>
      <c r="D160" s="144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</row>
    <row r="161" spans="1:20">
      <c r="A161" s="130"/>
      <c r="B161" s="130"/>
      <c r="C161" s="142"/>
      <c r="D161" s="143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</row>
    <row r="162" spans="1:20">
      <c r="A162" s="130"/>
      <c r="B162" s="130"/>
      <c r="C162" s="142"/>
      <c r="D162" s="143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</row>
    <row r="163" spans="1:20">
      <c r="A163" s="130"/>
      <c r="B163" s="130"/>
      <c r="C163" s="142"/>
      <c r="D163" s="144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</row>
    <row r="164" spans="1:20">
      <c r="A164" s="130"/>
      <c r="B164" s="130"/>
      <c r="C164" s="142"/>
      <c r="D164" s="143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</row>
    <row r="165" spans="1:20">
      <c r="A165" s="130"/>
      <c r="B165" s="130"/>
      <c r="C165" s="142"/>
      <c r="D165" s="143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</row>
    <row r="166" spans="1:20">
      <c r="A166" s="130"/>
      <c r="B166" s="130"/>
      <c r="C166" s="142"/>
      <c r="D166" s="144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</row>
    <row r="167" spans="1:20">
      <c r="A167" s="130"/>
      <c r="B167" s="130"/>
      <c r="C167" s="142"/>
      <c r="D167" s="143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</row>
    <row r="168" spans="1:20">
      <c r="A168" s="130"/>
      <c r="B168" s="130"/>
      <c r="C168" s="142"/>
      <c r="D168" s="143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</row>
    <row r="169" spans="1:20">
      <c r="A169" s="130"/>
      <c r="B169" s="130"/>
      <c r="C169" s="142"/>
      <c r="D169" s="144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</row>
    <row r="170" spans="1:20">
      <c r="A170" s="130"/>
      <c r="B170" s="130"/>
      <c r="C170" s="142"/>
      <c r="D170" s="143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</row>
    <row r="171" spans="1:20">
      <c r="A171" s="130"/>
      <c r="B171" s="130"/>
      <c r="C171" s="142"/>
      <c r="D171" s="143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</row>
    <row r="172" spans="1:20">
      <c r="A172" s="130"/>
      <c r="B172" s="130"/>
      <c r="C172" s="142"/>
      <c r="D172" s="144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</row>
    <row r="173" spans="1:20">
      <c r="A173" s="130"/>
      <c r="B173" s="130"/>
      <c r="C173" s="142"/>
      <c r="D173" s="143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</row>
    <row r="174" spans="1:20">
      <c r="A174" s="130"/>
      <c r="B174" s="130"/>
      <c r="C174" s="142"/>
      <c r="D174" s="143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</row>
    <row r="175" spans="1:20">
      <c r="A175" s="130"/>
      <c r="B175" s="130"/>
      <c r="C175" s="142"/>
      <c r="D175" s="144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</row>
    <row r="176" spans="1:20">
      <c r="A176" s="130"/>
      <c r="B176" s="130"/>
      <c r="C176" s="142"/>
      <c r="D176" s="143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</row>
    <row r="177" spans="1:20">
      <c r="A177" s="130"/>
      <c r="B177" s="130"/>
      <c r="C177" s="142"/>
      <c r="D177" s="143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</row>
    <row r="178" spans="1:20">
      <c r="A178" s="130"/>
      <c r="B178" s="130"/>
      <c r="C178" s="142"/>
      <c r="D178" s="144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</row>
    <row r="179" spans="1:20">
      <c r="A179" s="130"/>
      <c r="B179" s="130"/>
      <c r="C179" s="142"/>
      <c r="D179" s="143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</row>
    <row r="180" spans="1:20">
      <c r="A180" s="130"/>
      <c r="B180" s="130"/>
      <c r="C180" s="142"/>
      <c r="D180" s="143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</row>
    <row r="181" spans="1:20">
      <c r="A181" s="130"/>
      <c r="B181" s="130"/>
      <c r="C181" s="142"/>
      <c r="D181" s="144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</row>
    <row r="182" spans="1:20">
      <c r="A182" s="130"/>
      <c r="B182" s="130"/>
      <c r="C182" s="142"/>
      <c r="D182" s="143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</row>
    <row r="183" spans="1:20">
      <c r="A183" s="130"/>
      <c r="B183" s="130"/>
      <c r="C183" s="142"/>
      <c r="D183" s="143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</row>
    <row r="184" spans="1:20">
      <c r="A184" s="130"/>
      <c r="B184" s="130"/>
      <c r="C184" s="142"/>
      <c r="D184" s="144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</row>
    <row r="185" spans="1:20">
      <c r="A185" s="130"/>
      <c r="B185" s="130"/>
      <c r="C185" s="142"/>
      <c r="D185" s="143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</row>
    <row r="186" spans="1:20">
      <c r="A186" s="130"/>
      <c r="B186" s="130"/>
      <c r="C186" s="142"/>
      <c r="D186" s="143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</row>
    <row r="187" spans="1:20">
      <c r="A187" s="130"/>
      <c r="B187" s="130"/>
      <c r="C187" s="142"/>
      <c r="D187" s="144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</row>
    <row r="188" spans="1:20">
      <c r="A188" s="130"/>
      <c r="B188" s="130"/>
      <c r="C188" s="142"/>
      <c r="D188" s="143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</row>
    <row r="189" spans="1:20">
      <c r="A189" s="130"/>
      <c r="B189" s="130"/>
      <c r="C189" s="142"/>
      <c r="D189" s="143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</row>
    <row r="190" spans="1:20">
      <c r="A190" s="130"/>
      <c r="B190" s="130"/>
      <c r="C190" s="142"/>
      <c r="D190" s="144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</row>
    <row r="191" spans="1:20">
      <c r="A191" s="130"/>
      <c r="B191" s="130"/>
      <c r="C191" s="142"/>
      <c r="D191" s="143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</row>
    <row r="192" spans="1:20">
      <c r="A192" s="130"/>
      <c r="B192" s="130"/>
      <c r="C192" s="142"/>
      <c r="D192" s="143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</row>
    <row r="193" spans="1:20">
      <c r="A193" s="130"/>
      <c r="B193" s="130"/>
      <c r="C193" s="142"/>
      <c r="D193" s="144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</row>
    <row r="194" spans="1:20">
      <c r="A194" s="130"/>
      <c r="B194" s="130"/>
      <c r="C194" s="142"/>
      <c r="D194" s="143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</row>
    <row r="195" spans="1:20">
      <c r="A195" s="130"/>
      <c r="B195" s="130"/>
      <c r="C195" s="142"/>
      <c r="D195" s="143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</row>
    <row r="196" spans="1:20">
      <c r="A196" s="130"/>
      <c r="B196" s="130"/>
      <c r="C196" s="142"/>
      <c r="D196" s="144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</row>
    <row r="197" spans="1:20">
      <c r="A197" s="130"/>
      <c r="B197" s="130"/>
      <c r="C197" s="142"/>
      <c r="D197" s="143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</row>
    <row r="198" spans="1:20">
      <c r="A198" s="130"/>
      <c r="B198" s="130"/>
      <c r="C198" s="142"/>
      <c r="D198" s="143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</row>
    <row r="199" spans="1:20">
      <c r="A199" s="130"/>
      <c r="B199" s="130"/>
      <c r="C199" s="142"/>
      <c r="D199" s="144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</row>
    <row r="200" spans="1:20">
      <c r="A200" s="130"/>
      <c r="B200" s="130"/>
      <c r="C200" s="142"/>
      <c r="D200" s="143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</row>
    <row r="201" spans="1:20">
      <c r="A201" s="130"/>
      <c r="B201" s="130"/>
      <c r="C201" s="142"/>
      <c r="D201" s="143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</row>
    <row r="202" spans="1:20">
      <c r="A202" s="130"/>
      <c r="B202" s="130"/>
      <c r="C202" s="142"/>
      <c r="D202" s="144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spans="1:20">
      <c r="A203" s="130"/>
      <c r="B203" s="130"/>
      <c r="C203" s="142"/>
      <c r="D203" s="143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spans="1:20">
      <c r="A204" s="130"/>
      <c r="B204" s="130"/>
      <c r="C204" s="142"/>
      <c r="D204" s="143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spans="1:20">
      <c r="A205" s="130"/>
      <c r="B205" s="130"/>
      <c r="C205" s="142"/>
      <c r="D205" s="144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spans="1:20">
      <c r="A206" s="130"/>
      <c r="B206" s="130"/>
      <c r="C206" s="142"/>
      <c r="D206" s="143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spans="1:20">
      <c r="A207" s="130"/>
      <c r="B207" s="130"/>
      <c r="C207" s="142"/>
      <c r="D207" s="143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spans="1:20">
      <c r="A208" s="130"/>
      <c r="B208" s="130"/>
      <c r="C208" s="142"/>
      <c r="D208" s="144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spans="1:20">
      <c r="A209" s="130"/>
      <c r="B209" s="130"/>
      <c r="C209" s="142"/>
      <c r="D209" s="143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spans="1:20">
      <c r="A210" s="130"/>
      <c r="B210" s="130"/>
      <c r="C210" s="142"/>
      <c r="D210" s="143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spans="1:20">
      <c r="A211" s="130"/>
      <c r="B211" s="130"/>
      <c r="C211" s="142"/>
      <c r="D211" s="144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spans="1:20">
      <c r="A212" s="130"/>
      <c r="B212" s="130"/>
      <c r="C212" s="142"/>
      <c r="D212" s="143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spans="1:20">
      <c r="A213" s="130"/>
      <c r="B213" s="130"/>
      <c r="C213" s="142"/>
      <c r="D213" s="143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spans="1:20">
      <c r="A214" s="130"/>
      <c r="B214" s="130"/>
      <c r="C214" s="142"/>
      <c r="D214" s="144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spans="1:20">
      <c r="A215" s="130"/>
      <c r="B215" s="130"/>
      <c r="C215" s="142"/>
      <c r="D215" s="143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spans="1:20">
      <c r="A216" s="130"/>
      <c r="B216" s="130"/>
      <c r="C216" s="142"/>
      <c r="D216" s="143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spans="1:20">
      <c r="A217" s="130"/>
      <c r="B217" s="130"/>
      <c r="C217" s="142"/>
      <c r="D217" s="144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spans="1:20">
      <c r="A218" s="130"/>
      <c r="B218" s="130"/>
      <c r="C218" s="142"/>
      <c r="D218" s="143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spans="1:20">
      <c r="A219" s="130"/>
      <c r="B219" s="130"/>
      <c r="C219" s="142"/>
      <c r="D219" s="143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spans="1:20">
      <c r="A220" s="130"/>
      <c r="B220" s="130"/>
      <c r="C220" s="142"/>
      <c r="D220" s="144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spans="1:20">
      <c r="A221" s="130"/>
      <c r="B221" s="130"/>
      <c r="C221" s="142"/>
      <c r="D221" s="143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spans="1:20">
      <c r="A222" s="130"/>
      <c r="B222" s="130"/>
      <c r="C222" s="142"/>
      <c r="D222" s="143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spans="1:20">
      <c r="A223" s="130"/>
      <c r="B223" s="130"/>
      <c r="C223" s="142"/>
      <c r="D223" s="144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spans="1:20">
      <c r="A224" s="130"/>
      <c r="B224" s="130"/>
      <c r="C224" s="142"/>
      <c r="D224" s="143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spans="1:20">
      <c r="A225" s="130"/>
      <c r="B225" s="130"/>
      <c r="C225" s="142"/>
      <c r="D225" s="143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spans="1:20">
      <c r="A226" s="130"/>
      <c r="B226" s="130"/>
      <c r="C226" s="142"/>
      <c r="D226" s="144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spans="1:20">
      <c r="A227" s="130"/>
      <c r="B227" s="130"/>
      <c r="C227" s="142"/>
      <c r="D227" s="143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spans="1:20">
      <c r="A228" s="130"/>
      <c r="B228" s="130"/>
      <c r="C228" s="142"/>
      <c r="D228" s="143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spans="1:20">
      <c r="A229" s="130"/>
      <c r="B229" s="130"/>
      <c r="C229" s="142"/>
      <c r="D229" s="144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spans="1:20">
      <c r="A230" s="130"/>
      <c r="B230" s="130"/>
      <c r="C230" s="142"/>
      <c r="D230" s="143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spans="1:20">
      <c r="A231" s="130"/>
      <c r="B231" s="130"/>
      <c r="C231" s="142"/>
      <c r="D231" s="143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spans="1:20">
      <c r="A232" s="130"/>
      <c r="B232" s="130"/>
      <c r="C232" s="142"/>
      <c r="D232" s="144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spans="1:20">
      <c r="A233" s="130"/>
      <c r="B233" s="130"/>
      <c r="C233" s="142"/>
      <c r="D233" s="143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spans="1:20">
      <c r="A234" s="130"/>
      <c r="B234" s="130"/>
      <c r="C234" s="142"/>
      <c r="D234" s="143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spans="1:20">
      <c r="A235" s="130"/>
      <c r="B235" s="130"/>
      <c r="C235" s="142"/>
      <c r="D235" s="144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spans="1:20">
      <c r="A236" s="129"/>
      <c r="B236" s="130"/>
      <c r="C236" s="142"/>
      <c r="D236" s="143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spans="1:20">
      <c r="A237" s="129"/>
      <c r="B237" s="130"/>
      <c r="C237" s="142"/>
      <c r="D237" s="143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spans="1:20">
      <c r="A238" s="129"/>
      <c r="B238" s="130"/>
      <c r="C238" s="142"/>
      <c r="D238" s="144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spans="1:20">
      <c r="A239" s="129"/>
      <c r="B239" s="130"/>
      <c r="C239" s="142"/>
      <c r="D239" s="143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spans="1:20">
      <c r="A240" s="129"/>
      <c r="B240" s="130"/>
      <c r="C240" s="142"/>
      <c r="D240" s="143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spans="1:20">
      <c r="A241" s="129"/>
      <c r="B241" s="129"/>
      <c r="C241" s="129"/>
      <c r="D241" s="129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spans="1:20">
      <c r="A242" s="129"/>
      <c r="B242" s="129"/>
      <c r="C242" s="129"/>
      <c r="D242" s="129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spans="1:20">
      <c r="A243" s="129"/>
      <c r="B243" s="129"/>
      <c r="C243" s="129"/>
      <c r="D243" s="129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spans="1:20">
      <c r="A244" s="129"/>
      <c r="B244" s="129"/>
      <c r="C244" s="129"/>
      <c r="D244" s="129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spans="1:20">
      <c r="A245" s="129"/>
      <c r="B245" s="129"/>
      <c r="C245" s="129"/>
      <c r="D245" s="129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spans="1:20">
      <c r="A246" s="129"/>
      <c r="B246" s="129"/>
      <c r="C246" s="129"/>
      <c r="D246" s="129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spans="1:20">
      <c r="A247" s="129"/>
      <c r="B247" s="129"/>
      <c r="C247" s="129"/>
      <c r="D247" s="129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spans="1:20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30"/>
      <c r="O248" s="130"/>
      <c r="P248" s="130"/>
      <c r="Q248" s="129"/>
      <c r="R248" s="129"/>
      <c r="S248" s="129"/>
      <c r="T248" s="129"/>
    </row>
    <row r="249" spans="1:20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</row>
    <row r="250" spans="1:2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</row>
    <row r="251" spans="1:20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</row>
    <row r="252" spans="1:20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</row>
    <row r="253" spans="1:20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</row>
    <row r="254" spans="1:20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</row>
    <row r="255" spans="1:20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</row>
    <row r="256" spans="1:20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  <row r="2961" spans="1:13">
      <c r="A2961" s="129"/>
      <c r="B2961" s="129"/>
      <c r="C2961" s="129"/>
      <c r="D2961" s="129"/>
      <c r="E2961" s="129"/>
      <c r="F2961" s="129"/>
      <c r="G2961" s="129"/>
      <c r="H2961" s="129"/>
      <c r="I2961" s="129"/>
      <c r="J2961" s="129"/>
      <c r="K2961" s="129"/>
      <c r="L2961" s="129"/>
      <c r="M2961" s="129"/>
    </row>
    <row r="2962" spans="1:13">
      <c r="A2962" s="129"/>
      <c r="B2962" s="129"/>
      <c r="C2962" s="129"/>
      <c r="D2962" s="129"/>
      <c r="E2962" s="129"/>
      <c r="F2962" s="129"/>
      <c r="G2962" s="129"/>
      <c r="H2962" s="129"/>
      <c r="I2962" s="129"/>
      <c r="J2962" s="129"/>
      <c r="K2962" s="129"/>
      <c r="L2962" s="129"/>
      <c r="M2962" s="129"/>
    </row>
    <row r="2963" spans="1:13">
      <c r="A2963" s="129"/>
      <c r="B2963" s="129"/>
      <c r="C2963" s="129"/>
      <c r="D2963" s="129"/>
      <c r="E2963" s="129"/>
      <c r="F2963" s="129"/>
      <c r="G2963" s="129"/>
      <c r="H2963" s="129"/>
      <c r="I2963" s="129"/>
      <c r="J2963" s="129"/>
      <c r="K2963" s="129"/>
      <c r="L2963" s="129"/>
      <c r="M2963" s="129"/>
    </row>
    <row r="2964" spans="1:13">
      <c r="A2964" s="129"/>
      <c r="B2964" s="129"/>
      <c r="C2964" s="129"/>
      <c r="D2964" s="129"/>
      <c r="E2964" s="129"/>
      <c r="F2964" s="129"/>
      <c r="G2964" s="129"/>
      <c r="H2964" s="129"/>
      <c r="I2964" s="129"/>
      <c r="J2964" s="129"/>
      <c r="K2964" s="129"/>
      <c r="L2964" s="129"/>
      <c r="M2964" s="129"/>
    </row>
    <row r="2965" spans="1:13">
      <c r="A2965" s="129"/>
      <c r="B2965" s="129"/>
      <c r="C2965" s="129"/>
      <c r="D2965" s="129"/>
      <c r="E2965" s="129"/>
      <c r="F2965" s="129"/>
      <c r="G2965" s="129"/>
      <c r="H2965" s="129"/>
      <c r="I2965" s="129"/>
      <c r="J2965" s="129"/>
      <c r="K2965" s="129"/>
      <c r="L2965" s="129"/>
      <c r="M2965" s="129"/>
    </row>
    <row r="2966" spans="1:13">
      <c r="A2966" s="129"/>
      <c r="B2966" s="129"/>
      <c r="C2966" s="129"/>
      <c r="D2966" s="129"/>
      <c r="E2966" s="129"/>
      <c r="F2966" s="129"/>
      <c r="G2966" s="129"/>
      <c r="H2966" s="129"/>
      <c r="I2966" s="129"/>
      <c r="J2966" s="129"/>
      <c r="K2966" s="129"/>
      <c r="L2966" s="129"/>
      <c r="M2966" s="129"/>
    </row>
    <row r="2967" spans="1:13">
      <c r="A2967" s="129"/>
      <c r="B2967" s="129"/>
      <c r="C2967" s="129"/>
      <c r="D2967" s="129"/>
      <c r="E2967" s="129"/>
      <c r="F2967" s="129"/>
      <c r="G2967" s="129"/>
      <c r="H2967" s="129"/>
      <c r="I2967" s="129"/>
      <c r="J2967" s="129"/>
      <c r="K2967" s="129"/>
      <c r="L2967" s="129"/>
      <c r="M2967" s="129"/>
    </row>
    <row r="2968" spans="1:13">
      <c r="A2968" s="129"/>
      <c r="B2968" s="129"/>
      <c r="C2968" s="129"/>
      <c r="D2968" s="129"/>
      <c r="E2968" s="129"/>
      <c r="F2968" s="129"/>
      <c r="G2968" s="129"/>
      <c r="H2968" s="129"/>
      <c r="I2968" s="129"/>
      <c r="J2968" s="129"/>
      <c r="K2968" s="129"/>
      <c r="L2968" s="129"/>
      <c r="M2968" s="129"/>
    </row>
    <row r="2969" spans="1:13">
      <c r="A2969" s="129"/>
      <c r="B2969" s="129"/>
      <c r="C2969" s="129"/>
      <c r="D2969" s="129"/>
      <c r="E2969" s="129"/>
      <c r="F2969" s="129"/>
      <c r="G2969" s="129"/>
      <c r="H2969" s="129"/>
      <c r="I2969" s="129"/>
      <c r="J2969" s="129"/>
      <c r="K2969" s="129"/>
      <c r="L2969" s="129"/>
      <c r="M2969" s="129"/>
    </row>
    <row r="2970" spans="1:13">
      <c r="A2970" s="129"/>
      <c r="B2970" s="129"/>
      <c r="C2970" s="129"/>
      <c r="D2970" s="129"/>
      <c r="E2970" s="129"/>
      <c r="F2970" s="129"/>
      <c r="G2970" s="129"/>
      <c r="H2970" s="129"/>
      <c r="I2970" s="129"/>
      <c r="J2970" s="129"/>
      <c r="K2970" s="129"/>
      <c r="L2970" s="129"/>
      <c r="M2970" s="129"/>
    </row>
    <row r="2971" spans="1:13">
      <c r="A2971" s="129"/>
      <c r="B2971" s="129"/>
      <c r="C2971" s="129"/>
      <c r="D2971" s="129"/>
      <c r="E2971" s="129"/>
      <c r="F2971" s="129"/>
      <c r="G2971" s="129"/>
      <c r="H2971" s="129"/>
      <c r="I2971" s="129"/>
      <c r="J2971" s="129"/>
      <c r="K2971" s="129"/>
      <c r="L2971" s="129"/>
      <c r="M2971" s="129"/>
    </row>
    <row r="2972" spans="1:13">
      <c r="A2972" s="129"/>
      <c r="B2972" s="129"/>
      <c r="C2972" s="129"/>
      <c r="D2972" s="129"/>
      <c r="E2972" s="129"/>
      <c r="F2972" s="129"/>
      <c r="G2972" s="129"/>
      <c r="H2972" s="129"/>
      <c r="I2972" s="129"/>
      <c r="J2972" s="129"/>
      <c r="K2972" s="129"/>
      <c r="L2972" s="129"/>
      <c r="M2972" s="129"/>
    </row>
    <row r="2973" spans="1:13">
      <c r="A2973" s="129"/>
      <c r="B2973" s="129"/>
      <c r="C2973" s="129"/>
      <c r="D2973" s="129"/>
      <c r="E2973" s="129"/>
      <c r="F2973" s="129"/>
      <c r="G2973" s="129"/>
      <c r="H2973" s="129"/>
      <c r="I2973" s="129"/>
      <c r="J2973" s="129"/>
      <c r="K2973" s="129"/>
      <c r="L2973" s="129"/>
      <c r="M2973" s="129"/>
    </row>
    <row r="2974" spans="1:13">
      <c r="A2974" s="129"/>
      <c r="B2974" s="129"/>
      <c r="C2974" s="129"/>
      <c r="D2974" s="129"/>
      <c r="E2974" s="129"/>
      <c r="F2974" s="129"/>
      <c r="G2974" s="129"/>
      <c r="H2974" s="129"/>
      <c r="I2974" s="129"/>
      <c r="J2974" s="129"/>
      <c r="K2974" s="129"/>
      <c r="L2974" s="129"/>
      <c r="M2974" s="129"/>
    </row>
    <row r="2975" spans="1:13">
      <c r="A2975" s="129"/>
      <c r="B2975" s="129"/>
      <c r="C2975" s="129"/>
      <c r="D2975" s="129"/>
      <c r="E2975" s="129"/>
      <c r="F2975" s="129"/>
      <c r="G2975" s="129"/>
      <c r="H2975" s="129"/>
      <c r="I2975" s="129"/>
      <c r="J2975" s="129"/>
      <c r="K2975" s="129"/>
      <c r="L2975" s="129"/>
      <c r="M2975" s="129"/>
    </row>
    <row r="2976" spans="1:13">
      <c r="A2976" s="129"/>
      <c r="B2976" s="129"/>
      <c r="C2976" s="129"/>
      <c r="D2976" s="129"/>
      <c r="E2976" s="129"/>
      <c r="F2976" s="129"/>
      <c r="G2976" s="129"/>
      <c r="H2976" s="129"/>
      <c r="I2976" s="129"/>
      <c r="J2976" s="129"/>
      <c r="K2976" s="129"/>
      <c r="L2976" s="129"/>
      <c r="M2976" s="129"/>
    </row>
    <row r="2977" spans="1:4">
      <c r="A2977" s="129"/>
      <c r="B2977" s="129"/>
      <c r="C2977" s="129"/>
      <c r="D2977" s="129"/>
    </row>
    <row r="2978" spans="1:4">
      <c r="A2978" s="129"/>
      <c r="B2978" s="129"/>
      <c r="C2978" s="129"/>
      <c r="D2978" s="129"/>
    </row>
    <row r="2979" spans="1:4">
      <c r="A2979" s="129"/>
      <c r="B2979" s="129"/>
      <c r="C2979" s="129"/>
      <c r="D2979" s="129"/>
    </row>
    <row r="2980" spans="1:4">
      <c r="A2980" s="129"/>
      <c r="B2980" s="129"/>
      <c r="C2980" s="129"/>
      <c r="D2980" s="129"/>
    </row>
    <row r="2981" spans="1:4">
      <c r="A2981" s="129"/>
      <c r="B2981" s="129"/>
      <c r="C2981" s="129"/>
      <c r="D2981" s="129"/>
    </row>
    <row r="2982" spans="1:4">
      <c r="A2982" s="129"/>
      <c r="B2982" s="129"/>
      <c r="C2982" s="129"/>
      <c r="D2982" s="129"/>
    </row>
    <row r="2983" spans="1:4">
      <c r="A2983" s="129"/>
      <c r="B2983" s="129"/>
      <c r="C2983" s="129"/>
      <c r="D2983" s="129"/>
    </row>
    <row r="2984" spans="1:4">
      <c r="A2984" s="129"/>
      <c r="B2984" s="129"/>
      <c r="C2984" s="129"/>
      <c r="D2984" s="129"/>
    </row>
    <row r="2985" spans="1:4">
      <c r="A2985" s="129"/>
      <c r="B2985" s="129"/>
      <c r="C2985" s="129"/>
      <c r="D2985" s="129"/>
    </row>
    <row r="2986" spans="1:4">
      <c r="A2986" s="129"/>
      <c r="B2986" s="129"/>
      <c r="C2986" s="129"/>
      <c r="D2986" s="129"/>
    </row>
    <row r="2987" spans="1:4">
      <c r="A2987" s="129"/>
      <c r="B2987" s="129"/>
      <c r="C2987" s="129"/>
      <c r="D2987" s="129"/>
    </row>
    <row r="2988" spans="1:4">
      <c r="A2988" s="129"/>
      <c r="B2988" s="129"/>
      <c r="C2988" s="129"/>
      <c r="D2988" s="129"/>
    </row>
    <row r="2989" spans="1:4">
      <c r="A2989" s="129"/>
      <c r="B2989" s="129"/>
      <c r="C2989" s="129"/>
      <c r="D2989" s="129"/>
    </row>
    <row r="2990" spans="1:4">
      <c r="A2990" s="129"/>
      <c r="B2990" s="129"/>
      <c r="C2990" s="129"/>
      <c r="D2990" s="129"/>
    </row>
    <row r="2991" spans="1:4">
      <c r="A2991" s="129"/>
      <c r="B2991" s="129"/>
      <c r="C2991" s="129"/>
      <c r="D2991" s="129"/>
    </row>
    <row r="2992" spans="1:4">
      <c r="A2992" s="129"/>
      <c r="B2992" s="129"/>
      <c r="C2992" s="129"/>
      <c r="D2992" s="129"/>
    </row>
    <row r="2993" spans="1:4">
      <c r="A2993" s="129"/>
      <c r="B2993" s="129"/>
      <c r="C2993" s="129"/>
      <c r="D2993" s="129"/>
    </row>
    <row r="2994" spans="1:4">
      <c r="A2994" s="129"/>
      <c r="B2994" s="129"/>
      <c r="C2994" s="129"/>
      <c r="D2994" s="129"/>
    </row>
    <row r="2995" spans="1:4">
      <c r="A2995" s="129"/>
      <c r="B2995" s="129"/>
      <c r="C2995" s="129"/>
      <c r="D2995" s="129"/>
    </row>
    <row r="2996" spans="1:4">
      <c r="A2996" s="129"/>
      <c r="B2996" s="129"/>
      <c r="C2996" s="129"/>
      <c r="D2996" s="129"/>
    </row>
    <row r="2997" spans="1:4">
      <c r="A2997" s="129"/>
      <c r="B2997" s="129"/>
      <c r="C2997" s="129"/>
      <c r="D2997" s="129"/>
    </row>
    <row r="2998" spans="1:4">
      <c r="A2998" s="129"/>
      <c r="B2998" s="129"/>
      <c r="C2998" s="129"/>
      <c r="D2998" s="129"/>
    </row>
    <row r="2999" spans="1:4">
      <c r="A2999" s="129"/>
      <c r="B2999" s="129"/>
      <c r="C2999" s="129"/>
      <c r="D2999" s="129"/>
    </row>
    <row r="3000" spans="1:4">
      <c r="A3000" s="129"/>
      <c r="B3000" s="129"/>
      <c r="C3000" s="129"/>
      <c r="D3000" s="129"/>
    </row>
    <row r="3001" spans="1:4">
      <c r="A3001" s="129"/>
      <c r="B3001" s="129"/>
      <c r="C3001" s="129"/>
      <c r="D3001" s="129"/>
    </row>
    <row r="3002" spans="1:4">
      <c r="A3002" s="129"/>
      <c r="B3002" s="129"/>
      <c r="C3002" s="129"/>
      <c r="D3002" s="129"/>
    </row>
    <row r="3003" spans="1:4">
      <c r="A3003" s="129"/>
      <c r="B3003" s="129"/>
      <c r="C3003" s="129"/>
      <c r="D3003" s="129"/>
    </row>
    <row r="3004" spans="1:4">
      <c r="A3004" s="129"/>
      <c r="B3004" s="129"/>
      <c r="C3004" s="129"/>
      <c r="D3004" s="129"/>
    </row>
    <row r="3005" spans="1:4">
      <c r="A3005" s="129"/>
      <c r="B3005" s="129"/>
      <c r="C3005" s="129"/>
      <c r="D3005" s="129"/>
    </row>
    <row r="3006" spans="1:4">
      <c r="A3006" s="129"/>
      <c r="B3006" s="129"/>
      <c r="C3006" s="129"/>
      <c r="D3006" s="129"/>
    </row>
    <row r="3007" spans="1:4">
      <c r="A3007" s="129"/>
      <c r="B3007" s="129"/>
      <c r="C3007" s="129"/>
      <c r="D3007" s="129"/>
    </row>
    <row r="3008" spans="1:4">
      <c r="A3008" s="129"/>
      <c r="B3008" s="129"/>
      <c r="C3008" s="129"/>
      <c r="D3008" s="129"/>
    </row>
    <row r="3009" spans="1:4">
      <c r="A3009" s="129"/>
      <c r="B3009" s="129"/>
      <c r="C3009" s="129"/>
      <c r="D3009" s="129"/>
    </row>
    <row r="3010" spans="1:4">
      <c r="A3010" s="129"/>
      <c r="B3010" s="129"/>
      <c r="C3010" s="129"/>
      <c r="D3010" s="129"/>
    </row>
    <row r="3011" spans="1:4">
      <c r="A3011" s="129"/>
      <c r="B3011" s="129"/>
      <c r="C3011" s="129"/>
      <c r="D3011" s="129"/>
    </row>
    <row r="3012" spans="1:4">
      <c r="A3012" s="129"/>
      <c r="B3012" s="129"/>
      <c r="C3012" s="129"/>
      <c r="D3012" s="129"/>
    </row>
    <row r="3013" spans="1:4">
      <c r="A3013" s="129"/>
      <c r="B3013" s="129"/>
      <c r="C3013" s="129"/>
      <c r="D3013" s="129"/>
    </row>
    <row r="3014" spans="1:4">
      <c r="A3014" s="129"/>
      <c r="B3014" s="129"/>
      <c r="C3014" s="129"/>
      <c r="D3014" s="129"/>
    </row>
    <row r="3015" spans="1:4">
      <c r="A3015" s="129"/>
      <c r="B3015" s="129"/>
      <c r="C3015" s="129"/>
      <c r="D3015" s="129"/>
    </row>
    <row r="3016" spans="1:4">
      <c r="A3016" s="129"/>
      <c r="B3016" s="129"/>
      <c r="C3016" s="129"/>
      <c r="D3016" s="129"/>
    </row>
    <row r="3017" spans="1:4">
      <c r="A3017" s="129"/>
      <c r="B3017" s="129"/>
      <c r="C3017" s="129"/>
      <c r="D3017" s="129"/>
    </row>
    <row r="3018" spans="1:4">
      <c r="A3018" s="129"/>
      <c r="B3018" s="129"/>
      <c r="C3018" s="129"/>
      <c r="D3018" s="129"/>
    </row>
    <row r="3019" spans="1:4">
      <c r="A3019" s="129"/>
      <c r="B3019" s="129"/>
      <c r="C3019" s="129"/>
      <c r="D3019" s="129"/>
    </row>
    <row r="3020" spans="1:4">
      <c r="A3020" s="129"/>
      <c r="B3020" s="129"/>
      <c r="C3020" s="129"/>
      <c r="D3020" s="129"/>
    </row>
    <row r="3021" spans="1:4">
      <c r="A3021" s="129"/>
      <c r="B3021" s="129"/>
      <c r="C3021" s="129"/>
      <c r="D3021" s="129"/>
    </row>
    <row r="3022" spans="1:4">
      <c r="A3022" s="129"/>
      <c r="B3022" s="129"/>
      <c r="C3022" s="129"/>
      <c r="D3022" s="129"/>
    </row>
    <row r="3023" spans="1:4">
      <c r="A3023" s="129"/>
      <c r="B3023" s="129"/>
      <c r="C3023" s="129"/>
      <c r="D3023" s="129"/>
    </row>
    <row r="3024" spans="1:4">
      <c r="A3024" s="129"/>
      <c r="B3024" s="129"/>
      <c r="C3024" s="129"/>
      <c r="D3024" s="129"/>
    </row>
    <row r="3025" spans="1:4">
      <c r="A3025" s="129"/>
      <c r="B3025" s="129"/>
      <c r="C3025" s="129"/>
      <c r="D3025" s="129"/>
    </row>
    <row r="3026" spans="1:4">
      <c r="A3026" s="129"/>
      <c r="B3026" s="129"/>
      <c r="C3026" s="129"/>
      <c r="D3026" s="129"/>
    </row>
    <row r="3027" spans="1:4">
      <c r="A3027" s="129"/>
      <c r="B3027" s="129"/>
      <c r="C3027" s="129"/>
      <c r="D3027" s="129"/>
    </row>
    <row r="3028" spans="1:4">
      <c r="A3028" s="129"/>
      <c r="B3028" s="129"/>
      <c r="C3028" s="129"/>
      <c r="D3028" s="129"/>
    </row>
    <row r="3029" spans="1:4">
      <c r="A3029" s="129"/>
      <c r="B3029" s="129"/>
      <c r="C3029" s="129"/>
      <c r="D3029" s="129"/>
    </row>
    <row r="3030" spans="1:4">
      <c r="A3030" s="129"/>
      <c r="B3030" s="129"/>
      <c r="C3030" s="129"/>
      <c r="D3030" s="129"/>
    </row>
    <row r="3031" spans="1:4">
      <c r="A3031" s="129"/>
      <c r="B3031" s="129"/>
      <c r="C3031" s="129"/>
      <c r="D3031" s="129"/>
    </row>
    <row r="3032" spans="1:4">
      <c r="A3032" s="129"/>
      <c r="B3032" s="129"/>
      <c r="C3032" s="129"/>
      <c r="D3032" s="129"/>
    </row>
    <row r="3033" spans="1:4">
      <c r="A3033" s="129"/>
      <c r="B3033" s="129"/>
      <c r="C3033" s="129"/>
      <c r="D3033" s="129"/>
    </row>
    <row r="3034" spans="1:4">
      <c r="A3034" s="129"/>
      <c r="B3034" s="129"/>
      <c r="C3034" s="129"/>
      <c r="D3034" s="129"/>
    </row>
    <row r="3035" spans="1:4">
      <c r="A3035" s="129"/>
      <c r="B3035" s="129"/>
      <c r="C3035" s="129"/>
      <c r="D3035" s="129"/>
    </row>
    <row r="3036" spans="1:4">
      <c r="A3036" s="129"/>
      <c r="B3036" s="129"/>
      <c r="C3036" s="129"/>
      <c r="D3036" s="129"/>
    </row>
    <row r="3037" spans="1:4">
      <c r="A3037" s="129"/>
      <c r="B3037" s="129"/>
      <c r="C3037" s="129"/>
      <c r="D3037" s="129"/>
    </row>
    <row r="3038" spans="1:4">
      <c r="A3038" s="129"/>
      <c r="B3038" s="129"/>
      <c r="C3038" s="129"/>
      <c r="D3038" s="129"/>
    </row>
    <row r="3039" spans="1:4">
      <c r="A3039" s="129"/>
      <c r="B3039" s="129"/>
      <c r="C3039" s="129"/>
      <c r="D3039" s="129"/>
    </row>
    <row r="3040" spans="1:4">
      <c r="A3040" s="129"/>
      <c r="B3040" s="129"/>
      <c r="C3040" s="129"/>
      <c r="D3040" s="129"/>
    </row>
    <row r="3041" spans="1:4">
      <c r="A3041" s="129"/>
      <c r="B3041" s="129"/>
      <c r="C3041" s="129"/>
      <c r="D3041" s="129"/>
    </row>
    <row r="3042" spans="1:4">
      <c r="A3042" s="129"/>
      <c r="B3042" s="129"/>
      <c r="C3042" s="129"/>
      <c r="D3042" s="129"/>
    </row>
    <row r="3043" spans="1:4">
      <c r="A3043" s="129"/>
      <c r="B3043" s="129"/>
      <c r="C3043" s="129"/>
      <c r="D3043" s="129"/>
    </row>
    <row r="3044" spans="1:4">
      <c r="A3044" s="129"/>
      <c r="B3044" s="129"/>
      <c r="C3044" s="129"/>
      <c r="D3044" s="129"/>
    </row>
    <row r="3045" spans="1:4">
      <c r="A3045" s="129"/>
      <c r="B3045" s="129"/>
      <c r="C3045" s="129"/>
      <c r="D3045" s="129"/>
    </row>
    <row r="3046" spans="1:4">
      <c r="A3046" s="129"/>
      <c r="B3046" s="129"/>
      <c r="C3046" s="129"/>
      <c r="D3046" s="129"/>
    </row>
    <row r="3047" spans="1:4">
      <c r="A3047" s="129"/>
      <c r="B3047" s="129"/>
      <c r="C3047" s="129"/>
      <c r="D3047" s="129"/>
    </row>
    <row r="3048" spans="1:4">
      <c r="A3048" s="129"/>
      <c r="B3048" s="129"/>
      <c r="C3048" s="129"/>
      <c r="D3048" s="129"/>
    </row>
    <row r="3049" spans="1:4">
      <c r="A3049" s="129"/>
      <c r="B3049" s="129"/>
      <c r="C3049" s="129"/>
      <c r="D3049" s="129"/>
    </row>
    <row r="3050" spans="1:4">
      <c r="A3050" s="129"/>
      <c r="B3050" s="129"/>
      <c r="C3050" s="129"/>
      <c r="D3050" s="129"/>
    </row>
    <row r="3051" spans="1:4">
      <c r="A3051" s="129"/>
      <c r="B3051" s="129"/>
      <c r="C3051" s="129"/>
      <c r="D3051" s="129"/>
    </row>
    <row r="3052" spans="1:4">
      <c r="A3052" s="129"/>
      <c r="B3052" s="129"/>
      <c r="C3052" s="129"/>
      <c r="D3052" s="129"/>
    </row>
    <row r="3053" spans="1:4">
      <c r="A3053" s="129"/>
      <c r="B3053" s="129"/>
      <c r="C3053" s="129"/>
      <c r="D3053" s="129"/>
    </row>
    <row r="3054" spans="1:4">
      <c r="A3054" s="129"/>
      <c r="B3054" s="129"/>
      <c r="C3054" s="129"/>
      <c r="D3054" s="129"/>
    </row>
    <row r="3055" spans="1:4">
      <c r="A3055" s="129"/>
      <c r="B3055" s="129"/>
      <c r="C3055" s="129"/>
      <c r="D3055" s="129"/>
    </row>
    <row r="3056" spans="1:4">
      <c r="A3056" s="129"/>
      <c r="B3056" s="129"/>
      <c r="C3056" s="129"/>
      <c r="D3056" s="129"/>
    </row>
    <row r="3057" spans="1:4">
      <c r="A3057" s="129"/>
      <c r="B3057" s="129"/>
      <c r="C3057" s="129"/>
      <c r="D3057" s="129"/>
    </row>
    <row r="3058" spans="1:4">
      <c r="A3058" s="129"/>
      <c r="B3058" s="129"/>
      <c r="C3058" s="129"/>
      <c r="D3058" s="129"/>
    </row>
    <row r="3059" spans="1:4">
      <c r="A3059" s="129"/>
      <c r="B3059" s="129"/>
      <c r="C3059" s="129"/>
      <c r="D3059" s="129"/>
    </row>
    <row r="3060" spans="1:4">
      <c r="A3060" s="129"/>
      <c r="B3060" s="129"/>
      <c r="C3060" s="129"/>
      <c r="D3060" s="129"/>
    </row>
    <row r="3061" spans="1:4">
      <c r="A3061" s="129"/>
      <c r="B3061" s="129"/>
      <c r="C3061" s="129"/>
      <c r="D3061" s="129"/>
    </row>
    <row r="3062" spans="1:4">
      <c r="A3062" s="129"/>
      <c r="B3062" s="129"/>
      <c r="C3062" s="129"/>
      <c r="D3062" s="129"/>
    </row>
    <row r="3063" spans="1:4">
      <c r="A3063" s="129"/>
      <c r="B3063" s="129"/>
      <c r="C3063" s="129"/>
      <c r="D3063" s="129"/>
    </row>
    <row r="3064" spans="1:4">
      <c r="A3064" s="129"/>
      <c r="B3064" s="129"/>
      <c r="C3064" s="129"/>
      <c r="D3064" s="129"/>
    </row>
    <row r="3065" spans="1:4">
      <c r="A3065" s="129"/>
      <c r="B3065" s="129"/>
      <c r="C3065" s="129"/>
      <c r="D3065" s="129"/>
    </row>
    <row r="3066" spans="1:4">
      <c r="A3066" s="129"/>
      <c r="B3066" s="129"/>
      <c r="C3066" s="129"/>
      <c r="D3066" s="129"/>
    </row>
    <row r="3067" spans="1:4">
      <c r="A3067" s="129"/>
      <c r="B3067" s="129"/>
      <c r="C3067" s="129"/>
      <c r="D3067" s="129"/>
    </row>
    <row r="3068" spans="1:4">
      <c r="A3068" s="129"/>
      <c r="B3068" s="129"/>
      <c r="C3068" s="129"/>
      <c r="D3068" s="129"/>
    </row>
    <row r="3069" spans="1:4">
      <c r="A3069" s="129"/>
      <c r="B3069" s="129"/>
      <c r="C3069" s="129"/>
      <c r="D3069" s="129"/>
    </row>
    <row r="3070" spans="1:4">
      <c r="A3070" s="129"/>
      <c r="B3070" s="129"/>
      <c r="C3070" s="129"/>
      <c r="D3070" s="129"/>
    </row>
    <row r="3071" spans="1:4">
      <c r="A3071" s="129"/>
      <c r="B3071" s="129"/>
      <c r="C3071" s="129"/>
      <c r="D3071" s="129"/>
    </row>
    <row r="3072" spans="1:4">
      <c r="A3072" s="129"/>
      <c r="B3072" s="129"/>
      <c r="C3072" s="129"/>
      <c r="D3072" s="129"/>
    </row>
    <row r="3073" spans="1:4">
      <c r="A3073" s="129"/>
      <c r="B3073" s="129"/>
      <c r="C3073" s="129"/>
      <c r="D3073" s="129"/>
    </row>
    <row r="3074" spans="1:4">
      <c r="A3074" s="129"/>
      <c r="B3074" s="129"/>
      <c r="C3074" s="129"/>
      <c r="D3074" s="129"/>
    </row>
    <row r="3075" spans="1:4">
      <c r="A3075" s="129"/>
      <c r="B3075" s="129"/>
      <c r="C3075" s="129"/>
      <c r="D3075" s="129"/>
    </row>
    <row r="3076" spans="1:4">
      <c r="A3076" s="129"/>
      <c r="B3076" s="129"/>
      <c r="C3076" s="129"/>
      <c r="D3076" s="129"/>
    </row>
    <row r="3077" spans="1:4">
      <c r="A3077" s="129"/>
      <c r="B3077" s="129"/>
      <c r="C3077" s="129"/>
      <c r="D3077" s="129"/>
    </row>
    <row r="3078" spans="1:4">
      <c r="A3078" s="129"/>
      <c r="B3078" s="129"/>
      <c r="C3078" s="129"/>
      <c r="D3078" s="129"/>
    </row>
    <row r="3079" spans="1:4">
      <c r="A3079" s="129"/>
      <c r="B3079" s="129"/>
      <c r="C3079" s="129"/>
      <c r="D3079" s="129"/>
    </row>
    <row r="3080" spans="1:4">
      <c r="A3080" s="129"/>
      <c r="B3080" s="129"/>
      <c r="C3080" s="129"/>
      <c r="D3080" s="129"/>
    </row>
    <row r="3081" spans="1:4">
      <c r="A3081" s="129"/>
      <c r="B3081" s="129"/>
      <c r="C3081" s="129"/>
      <c r="D3081" s="129"/>
    </row>
    <row r="3082" spans="1:4">
      <c r="A3082" s="129"/>
      <c r="B3082" s="129"/>
      <c r="C3082" s="129"/>
      <c r="D3082" s="129"/>
    </row>
    <row r="3083" spans="1:4">
      <c r="A3083" s="129"/>
      <c r="B3083" s="129"/>
      <c r="C3083" s="129"/>
      <c r="D3083" s="129"/>
    </row>
    <row r="3084" spans="1:4">
      <c r="A3084" s="129"/>
      <c r="B3084" s="129"/>
      <c r="C3084" s="129"/>
      <c r="D3084" s="129"/>
    </row>
    <row r="3085" spans="1:4">
      <c r="A3085" s="129"/>
      <c r="B3085" s="129"/>
      <c r="C3085" s="129"/>
      <c r="D3085" s="129"/>
    </row>
    <row r="3086" spans="1:4">
      <c r="A3086" s="129"/>
      <c r="B3086" s="129"/>
      <c r="C3086" s="129"/>
      <c r="D3086" s="129"/>
    </row>
    <row r="3087" spans="1:4">
      <c r="A3087" s="129"/>
      <c r="B3087" s="129"/>
      <c r="C3087" s="129"/>
      <c r="D3087" s="129"/>
    </row>
    <row r="3088" spans="1:4">
      <c r="A3088" s="129"/>
      <c r="B3088" s="129"/>
      <c r="C3088" s="129"/>
      <c r="D3088" s="129"/>
    </row>
    <row r="3089" spans="1:4">
      <c r="A3089" s="129"/>
      <c r="B3089" s="129"/>
      <c r="C3089" s="129"/>
      <c r="D3089" s="129"/>
    </row>
    <row r="3090" spans="1:4">
      <c r="A3090" s="129"/>
      <c r="B3090" s="129"/>
      <c r="C3090" s="129"/>
      <c r="D3090" s="129"/>
    </row>
    <row r="3091" spans="1:4">
      <c r="A3091" s="129"/>
      <c r="B3091" s="129"/>
      <c r="C3091" s="129"/>
      <c r="D3091" s="129"/>
    </row>
    <row r="3092" spans="1:4">
      <c r="A3092" s="129"/>
      <c r="B3092" s="129"/>
      <c r="C3092" s="129"/>
      <c r="D3092" s="129"/>
    </row>
    <row r="3093" spans="1:4">
      <c r="A3093" s="129"/>
      <c r="B3093" s="129"/>
      <c r="C3093" s="129"/>
      <c r="D3093" s="129"/>
    </row>
    <row r="3094" spans="1:4">
      <c r="A3094" s="129"/>
      <c r="B3094" s="129"/>
      <c r="C3094" s="129"/>
      <c r="D3094" s="129"/>
    </row>
    <row r="3095" spans="1:4">
      <c r="A3095" s="129"/>
      <c r="B3095" s="129"/>
      <c r="C3095" s="129"/>
      <c r="D3095" s="129"/>
    </row>
    <row r="3096" spans="1:4">
      <c r="A3096" s="129"/>
      <c r="B3096" s="129"/>
      <c r="C3096" s="129"/>
      <c r="D3096" s="129"/>
    </row>
    <row r="3097" spans="1:4">
      <c r="A3097" s="129"/>
      <c r="B3097" s="129"/>
      <c r="C3097" s="129"/>
      <c r="D3097" s="129"/>
    </row>
    <row r="3098" spans="1:4">
      <c r="A3098" s="129"/>
      <c r="B3098" s="129"/>
      <c r="C3098" s="129"/>
      <c r="D3098" s="129"/>
    </row>
    <row r="3099" spans="1:4">
      <c r="A3099" s="129"/>
      <c r="B3099" s="129"/>
      <c r="C3099" s="129"/>
      <c r="D3099" s="129"/>
    </row>
    <row r="3100" spans="1:4">
      <c r="A3100" s="129"/>
      <c r="B3100" s="129"/>
      <c r="C3100" s="129"/>
      <c r="D3100" s="129"/>
    </row>
    <row r="3101" spans="1:4">
      <c r="A3101" s="129"/>
      <c r="B3101" s="129"/>
      <c r="C3101" s="129"/>
      <c r="D3101" s="129"/>
    </row>
    <row r="3102" spans="1:4">
      <c r="A3102" s="129"/>
      <c r="B3102" s="129"/>
      <c r="C3102" s="129"/>
      <c r="D3102" s="129"/>
    </row>
    <row r="3103" spans="1:4">
      <c r="A3103" s="129"/>
      <c r="B3103" s="129"/>
      <c r="C3103" s="129"/>
      <c r="D3103" s="129"/>
    </row>
    <row r="3104" spans="1:4">
      <c r="A3104" s="129"/>
      <c r="B3104" s="129"/>
      <c r="C3104" s="129"/>
      <c r="D3104" s="129"/>
    </row>
    <row r="3105" spans="1:4">
      <c r="A3105" s="129"/>
      <c r="B3105" s="129"/>
      <c r="C3105" s="129"/>
      <c r="D3105" s="129"/>
    </row>
    <row r="3106" spans="1:4">
      <c r="A3106" s="129"/>
      <c r="B3106" s="129"/>
      <c r="C3106" s="129"/>
      <c r="D3106" s="129"/>
    </row>
    <row r="3107" spans="1:4">
      <c r="A3107" s="129"/>
      <c r="B3107" s="129"/>
      <c r="C3107" s="129"/>
      <c r="D3107" s="129"/>
    </row>
    <row r="3108" spans="1:4">
      <c r="A3108" s="129"/>
      <c r="B3108" s="129"/>
      <c r="C3108" s="129"/>
      <c r="D3108" s="129"/>
    </row>
    <row r="3109" spans="1:4">
      <c r="A3109" s="129"/>
      <c r="B3109" s="129"/>
      <c r="C3109" s="129"/>
      <c r="D3109" s="129"/>
    </row>
    <row r="3110" spans="1:4">
      <c r="A3110" s="129"/>
      <c r="B3110" s="129"/>
      <c r="C3110" s="129"/>
      <c r="D3110" s="129"/>
    </row>
    <row r="3111" spans="1:4">
      <c r="A3111" s="129"/>
      <c r="B3111" s="129"/>
      <c r="C3111" s="129"/>
      <c r="D3111" s="129"/>
    </row>
    <row r="3112" spans="1:4">
      <c r="A3112" s="129"/>
      <c r="B3112" s="129"/>
      <c r="C3112" s="129"/>
      <c r="D3112" s="129"/>
    </row>
    <row r="3113" spans="1:4">
      <c r="A3113" s="129"/>
      <c r="B3113" s="129"/>
      <c r="C3113" s="129"/>
      <c r="D3113" s="129"/>
    </row>
    <row r="3114" spans="1:4">
      <c r="A3114" s="129"/>
      <c r="B3114" s="129"/>
      <c r="C3114" s="129"/>
      <c r="D3114" s="129"/>
    </row>
    <row r="3115" spans="1:4">
      <c r="A3115" s="129"/>
      <c r="B3115" s="129"/>
      <c r="C3115" s="129"/>
      <c r="D3115" s="129"/>
    </row>
    <row r="3116" spans="1:4">
      <c r="A3116" s="129"/>
      <c r="B3116" s="129"/>
      <c r="C3116" s="129"/>
      <c r="D3116" s="129"/>
    </row>
    <row r="3117" spans="1:4">
      <c r="A3117" s="129"/>
      <c r="B3117" s="129"/>
      <c r="C3117" s="129"/>
      <c r="D3117" s="129"/>
    </row>
    <row r="3118" spans="1:4">
      <c r="A3118" s="129"/>
      <c r="B3118" s="129"/>
      <c r="C3118" s="129"/>
      <c r="D3118" s="129"/>
    </row>
    <row r="3119" spans="1:4">
      <c r="A3119" s="129"/>
      <c r="B3119" s="129"/>
      <c r="C3119" s="129"/>
      <c r="D3119" s="129"/>
    </row>
    <row r="3120" spans="1:4">
      <c r="A3120" s="129"/>
      <c r="B3120" s="129"/>
      <c r="C3120" s="129"/>
      <c r="D3120" s="129"/>
    </row>
    <row r="3121" spans="1:4">
      <c r="A3121" s="129"/>
      <c r="B3121" s="129"/>
      <c r="C3121" s="129"/>
      <c r="D3121" s="129"/>
    </row>
    <row r="3122" spans="1:4">
      <c r="A3122" s="129"/>
      <c r="B3122" s="129"/>
      <c r="C3122" s="129"/>
      <c r="D3122" s="129"/>
    </row>
    <row r="3123" spans="1:4">
      <c r="A3123" s="129"/>
      <c r="B3123" s="129"/>
      <c r="C3123" s="129"/>
      <c r="D3123" s="129"/>
    </row>
    <row r="3124" spans="1:4">
      <c r="A3124" s="129"/>
      <c r="B3124" s="129"/>
      <c r="C3124" s="129"/>
      <c r="D3124" s="129"/>
    </row>
    <row r="3125" spans="1:4">
      <c r="A3125" s="129"/>
      <c r="B3125" s="129"/>
      <c r="C3125" s="129"/>
      <c r="D3125" s="129"/>
    </row>
    <row r="3126" spans="1:4">
      <c r="A3126" s="129"/>
      <c r="B3126" s="129"/>
      <c r="C3126" s="129"/>
      <c r="D3126" s="129"/>
    </row>
    <row r="3127" spans="1:4">
      <c r="A3127" s="129"/>
      <c r="B3127" s="129"/>
      <c r="C3127" s="129"/>
      <c r="D3127" s="129"/>
    </row>
    <row r="3128" spans="1:4">
      <c r="A3128" s="129"/>
      <c r="B3128" s="129"/>
      <c r="C3128" s="129"/>
      <c r="D3128" s="129"/>
    </row>
    <row r="3129" spans="1:4">
      <c r="A3129" s="129"/>
      <c r="B3129" s="129"/>
      <c r="C3129" s="129"/>
      <c r="D3129" s="129"/>
    </row>
    <row r="3130" spans="1:4">
      <c r="A3130" s="129"/>
      <c r="B3130" s="129"/>
      <c r="C3130" s="129"/>
      <c r="D3130" s="129"/>
    </row>
    <row r="3131" spans="1:4">
      <c r="A3131" s="129"/>
      <c r="B3131" s="129"/>
      <c r="C3131" s="129"/>
      <c r="D3131" s="129"/>
    </row>
    <row r="3132" spans="1:4">
      <c r="A3132" s="129"/>
      <c r="B3132" s="129"/>
      <c r="C3132" s="129"/>
      <c r="D3132" s="129"/>
    </row>
    <row r="3133" spans="1:4">
      <c r="A3133" s="129"/>
      <c r="B3133" s="129"/>
      <c r="C3133" s="129"/>
      <c r="D3133" s="129"/>
    </row>
    <row r="3134" spans="1:4">
      <c r="A3134" s="129"/>
      <c r="B3134" s="129"/>
      <c r="C3134" s="129"/>
      <c r="D3134" s="129"/>
    </row>
    <row r="3135" spans="1:4">
      <c r="A3135" s="129"/>
      <c r="B3135" s="129"/>
      <c r="C3135" s="129"/>
      <c r="D3135" s="129"/>
    </row>
    <row r="3136" spans="1:4">
      <c r="A3136" s="129"/>
      <c r="B3136" s="129"/>
      <c r="C3136" s="129"/>
      <c r="D3136" s="129"/>
    </row>
    <row r="3137" spans="1:4">
      <c r="A3137" s="129"/>
      <c r="B3137" s="129"/>
      <c r="C3137" s="129"/>
      <c r="D3137" s="129"/>
    </row>
    <row r="3138" spans="1:4">
      <c r="A3138" s="129"/>
      <c r="B3138" s="129"/>
      <c r="C3138" s="129"/>
      <c r="D3138" s="129"/>
    </row>
    <row r="3139" spans="1:4">
      <c r="A3139" s="129"/>
      <c r="B3139" s="129"/>
      <c r="C3139" s="129"/>
      <c r="D3139" s="129"/>
    </row>
    <row r="3140" spans="1:4">
      <c r="A3140" s="129"/>
      <c r="B3140" s="129"/>
      <c r="C3140" s="129"/>
      <c r="D3140" s="129"/>
    </row>
    <row r="3141" spans="1:4">
      <c r="A3141" s="129"/>
      <c r="B3141" s="129"/>
      <c r="C3141" s="129"/>
      <c r="D3141" s="129"/>
    </row>
    <row r="3142" spans="1:4">
      <c r="A3142" s="129"/>
      <c r="B3142" s="129"/>
      <c r="C3142" s="129"/>
      <c r="D3142" s="129"/>
    </row>
    <row r="3143" spans="1:4">
      <c r="A3143" s="129"/>
      <c r="B3143" s="129"/>
      <c r="C3143" s="129"/>
      <c r="D3143" s="129"/>
    </row>
    <row r="3144" spans="1:4">
      <c r="A3144" s="129"/>
      <c r="B3144" s="129"/>
      <c r="C3144" s="129"/>
      <c r="D3144" s="129"/>
    </row>
    <row r="3145" spans="1:4">
      <c r="A3145" s="129"/>
      <c r="B3145" s="129"/>
      <c r="C3145" s="129"/>
      <c r="D3145" s="129"/>
    </row>
    <row r="3146" spans="1:4">
      <c r="A3146" s="129"/>
      <c r="B3146" s="129"/>
      <c r="C3146" s="129"/>
      <c r="D3146" s="129"/>
    </row>
    <row r="3147" spans="1:4">
      <c r="A3147" s="129"/>
      <c r="B3147" s="129"/>
      <c r="C3147" s="129"/>
      <c r="D3147" s="129"/>
    </row>
    <row r="3148" spans="1:4">
      <c r="A3148" s="129"/>
      <c r="B3148" s="129"/>
      <c r="C3148" s="129"/>
      <c r="D3148" s="129"/>
    </row>
    <row r="3149" spans="1:4">
      <c r="A3149" s="129"/>
      <c r="B3149" s="129"/>
      <c r="C3149" s="129"/>
      <c r="D3149" s="129"/>
    </row>
    <row r="3150" spans="1:4">
      <c r="A3150" s="129"/>
      <c r="B3150" s="129"/>
      <c r="C3150" s="129"/>
      <c r="D3150" s="129"/>
    </row>
    <row r="3151" spans="1:4">
      <c r="A3151" s="129"/>
      <c r="B3151" s="129"/>
      <c r="C3151" s="129"/>
      <c r="D3151" s="129"/>
    </row>
    <row r="3152" spans="1:4">
      <c r="A3152" s="129"/>
      <c r="B3152" s="129"/>
      <c r="C3152" s="129"/>
      <c r="D3152" s="129"/>
    </row>
    <row r="3153" spans="1:4">
      <c r="A3153" s="129"/>
      <c r="B3153" s="129"/>
      <c r="C3153" s="129"/>
      <c r="D3153" s="129"/>
    </row>
    <row r="3154" spans="1:4">
      <c r="A3154" s="129"/>
      <c r="B3154" s="129"/>
      <c r="C3154" s="129"/>
      <c r="D3154" s="129"/>
    </row>
    <row r="3155" spans="1:4">
      <c r="A3155" s="129"/>
      <c r="B3155" s="129"/>
      <c r="C3155" s="129"/>
      <c r="D3155" s="129"/>
    </row>
    <row r="3156" spans="1:4">
      <c r="A3156" s="129"/>
      <c r="B3156" s="129"/>
      <c r="C3156" s="129"/>
      <c r="D3156" s="129"/>
    </row>
    <row r="3157" spans="1:4">
      <c r="A3157" s="129"/>
      <c r="B3157" s="129"/>
      <c r="C3157" s="129"/>
      <c r="D3157" s="129"/>
    </row>
    <row r="3158" spans="1:4">
      <c r="A3158" s="129"/>
      <c r="B3158" s="129"/>
      <c r="C3158" s="129"/>
      <c r="D3158" s="129"/>
    </row>
    <row r="3159" spans="1:4">
      <c r="A3159" s="129"/>
      <c r="B3159" s="129"/>
      <c r="C3159" s="129"/>
      <c r="D3159" s="129"/>
    </row>
    <row r="3160" spans="1:4">
      <c r="A3160" s="129"/>
      <c r="B3160" s="129"/>
      <c r="C3160" s="129"/>
      <c r="D3160" s="129"/>
    </row>
    <row r="3161" spans="1:4">
      <c r="A3161" s="129"/>
      <c r="B3161" s="129"/>
      <c r="C3161" s="129"/>
      <c r="D3161" s="129"/>
    </row>
    <row r="3162" spans="1:4">
      <c r="A3162" s="129"/>
      <c r="B3162" s="129"/>
      <c r="C3162" s="129"/>
      <c r="D3162" s="129"/>
    </row>
    <row r="3163" spans="1:4">
      <c r="A3163" s="129"/>
      <c r="B3163" s="129"/>
      <c r="C3163" s="129"/>
      <c r="D3163" s="129"/>
    </row>
    <row r="3164" spans="1:4">
      <c r="A3164" s="129"/>
      <c r="B3164" s="129"/>
      <c r="C3164" s="129"/>
      <c r="D3164" s="129"/>
    </row>
    <row r="3165" spans="1:4">
      <c r="A3165" s="129"/>
      <c r="B3165" s="129"/>
      <c r="C3165" s="129"/>
      <c r="D3165" s="129"/>
    </row>
    <row r="3166" spans="1:4">
      <c r="A3166" s="129"/>
      <c r="B3166" s="129"/>
      <c r="C3166" s="129"/>
      <c r="D3166" s="129"/>
    </row>
    <row r="3167" spans="1:4">
      <c r="A3167" s="129"/>
      <c r="B3167" s="129"/>
      <c r="C3167" s="129"/>
      <c r="D3167" s="129"/>
    </row>
    <row r="3168" spans="1:4">
      <c r="A3168" s="129"/>
      <c r="B3168" s="129"/>
      <c r="C3168" s="129"/>
      <c r="D3168" s="129"/>
    </row>
    <row r="3169" spans="1:4">
      <c r="A3169" s="129"/>
      <c r="B3169" s="129"/>
      <c r="C3169" s="129"/>
      <c r="D3169" s="129"/>
    </row>
    <row r="3170" spans="1:4">
      <c r="A3170" s="129"/>
      <c r="B3170" s="129"/>
      <c r="C3170" s="129"/>
      <c r="D3170" s="129"/>
    </row>
    <row r="3171" spans="1:4">
      <c r="A3171" s="129"/>
      <c r="B3171" s="129"/>
      <c r="C3171" s="129"/>
      <c r="D3171" s="129"/>
    </row>
    <row r="3172" spans="1:4">
      <c r="A3172" s="129"/>
      <c r="B3172" s="129"/>
      <c r="C3172" s="129"/>
      <c r="D3172" s="129"/>
    </row>
    <row r="3173" spans="1:4">
      <c r="A3173" s="129"/>
      <c r="B3173" s="129"/>
      <c r="C3173" s="129"/>
      <c r="D3173" s="129"/>
    </row>
    <row r="3174" spans="1:4">
      <c r="A3174" s="129"/>
      <c r="B3174" s="129"/>
      <c r="C3174" s="129"/>
      <c r="D3174" s="129"/>
    </row>
    <row r="3175" spans="1:4">
      <c r="A3175" s="129"/>
      <c r="B3175" s="129"/>
      <c r="C3175" s="129"/>
      <c r="D3175" s="129"/>
    </row>
    <row r="3176" spans="1:4">
      <c r="A3176" s="129"/>
      <c r="B3176" s="129"/>
      <c r="C3176" s="129"/>
      <c r="D3176" s="129"/>
    </row>
    <row r="3177" spans="1:4">
      <c r="A3177" s="129"/>
      <c r="B3177" s="129"/>
      <c r="C3177" s="129"/>
      <c r="D3177" s="129"/>
    </row>
    <row r="3178" spans="1:4">
      <c r="A3178" s="129"/>
      <c r="B3178" s="129"/>
      <c r="C3178" s="129"/>
      <c r="D3178" s="129"/>
    </row>
    <row r="3179" spans="1:4">
      <c r="A3179" s="129"/>
      <c r="B3179" s="129"/>
      <c r="C3179" s="129"/>
      <c r="D3179" s="129"/>
    </row>
    <row r="3180" spans="1:4">
      <c r="A3180" s="129"/>
      <c r="B3180" s="129"/>
      <c r="C3180" s="129"/>
      <c r="D3180" s="129"/>
    </row>
    <row r="3181" spans="1:4">
      <c r="A3181" s="129"/>
      <c r="B3181" s="129"/>
      <c r="C3181" s="129"/>
      <c r="D3181" s="129"/>
    </row>
    <row r="3182" spans="1:4">
      <c r="A3182" s="129"/>
      <c r="B3182" s="129"/>
      <c r="C3182" s="129"/>
      <c r="D3182" s="129"/>
    </row>
    <row r="3183" spans="1:4">
      <c r="A3183" s="129"/>
      <c r="B3183" s="129"/>
      <c r="C3183" s="129"/>
      <c r="D3183" s="129"/>
    </row>
    <row r="3184" spans="1:4">
      <c r="A3184" s="129"/>
      <c r="B3184" s="129"/>
      <c r="C3184" s="129"/>
      <c r="D3184" s="129"/>
    </row>
    <row r="3185" spans="2:4">
      <c r="B3185" s="129"/>
      <c r="C3185" s="129"/>
      <c r="D3185" s="129"/>
    </row>
    <row r="3186" spans="2:4">
      <c r="B3186" s="129"/>
      <c r="C3186" s="129"/>
      <c r="D3186" s="129"/>
    </row>
    <row r="3187" spans="2:4">
      <c r="B3187" s="129"/>
      <c r="C3187" s="129"/>
      <c r="D3187" s="129"/>
    </row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2.75"/>
  <sheetData>
    <row r="1" spans="1:5">
      <c r="A1" t="s">
        <v>83</v>
      </c>
      <c r="B1" s="3" t="s">
        <v>83</v>
      </c>
      <c r="D1" t="s">
        <v>84</v>
      </c>
      <c r="E1" t="s">
        <v>85</v>
      </c>
    </row>
    <row r="2" spans="1:5">
      <c r="A2" t="s">
        <v>85</v>
      </c>
      <c r="B2" s="4" t="s">
        <v>86</v>
      </c>
      <c r="D2" t="s">
        <v>87</v>
      </c>
      <c r="E2" s="145" t="s">
        <v>85</v>
      </c>
    </row>
    <row r="3" spans="1:5">
      <c r="A3" t="s">
        <v>88</v>
      </c>
      <c r="B3" s="5" t="s">
        <v>89</v>
      </c>
      <c r="D3" t="s">
        <v>90</v>
      </c>
      <c r="E3" s="1" t="s">
        <v>89</v>
      </c>
    </row>
    <row r="4" spans="1:5">
      <c r="A4" t="s">
        <v>91</v>
      </c>
      <c r="B4" s="4" t="s">
        <v>92</v>
      </c>
      <c r="D4" t="s">
        <v>93</v>
      </c>
      <c r="E4" s="2" t="s">
        <v>92</v>
      </c>
    </row>
    <row r="5" spans="1:5">
      <c r="A5" t="s">
        <v>94</v>
      </c>
      <c r="B5" s="4" t="s">
        <v>95</v>
      </c>
      <c r="E5" s="145" t="s">
        <v>96</v>
      </c>
    </row>
    <row r="6" spans="1:5">
      <c r="B6" s="4" t="s">
        <v>97</v>
      </c>
      <c r="E6" s="145" t="s">
        <v>98</v>
      </c>
    </row>
    <row r="7" spans="1:5">
      <c r="B7" s="4" t="s">
        <v>99</v>
      </c>
      <c r="E7" s="2" t="s">
        <v>100</v>
      </c>
    </row>
    <row r="8" spans="1:5">
      <c r="B8" s="4" t="s">
        <v>101</v>
      </c>
      <c r="E8" s="2" t="s">
        <v>102</v>
      </c>
    </row>
    <row r="9" spans="1:5">
      <c r="B9" s="4" t="s">
        <v>103</v>
      </c>
      <c r="E9" s="2" t="s">
        <v>104</v>
      </c>
    </row>
    <row r="10" spans="1:5">
      <c r="B10" s="4" t="s">
        <v>105</v>
      </c>
      <c r="E10" s="2" t="s">
        <v>106</v>
      </c>
    </row>
    <row r="11" spans="1:5">
      <c r="B11" s="4"/>
      <c r="E11" s="2"/>
    </row>
    <row r="12" spans="1:5">
      <c r="B12" s="4" t="s">
        <v>107</v>
      </c>
      <c r="E12" s="2"/>
    </row>
    <row r="13" spans="1:5">
      <c r="B13" t="s">
        <v>108</v>
      </c>
      <c r="E13" s="2"/>
    </row>
    <row r="14" spans="1:5">
      <c r="A14" t="s">
        <v>104</v>
      </c>
      <c r="B14" s="4" t="s">
        <v>104</v>
      </c>
      <c r="E14" s="2"/>
    </row>
    <row r="15" spans="1:5">
      <c r="B15" s="4" t="s">
        <v>109</v>
      </c>
      <c r="D15" t="s">
        <v>110</v>
      </c>
      <c r="E15" s="2"/>
    </row>
    <row r="16" spans="1:5">
      <c r="B16" s="4" t="s">
        <v>106</v>
      </c>
      <c r="E16" s="2"/>
    </row>
    <row r="17" spans="2:5">
      <c r="B17" s="4" t="s">
        <v>100</v>
      </c>
      <c r="E17" s="2"/>
    </row>
    <row r="18" spans="2:5">
      <c r="B18" s="4" t="s">
        <v>86</v>
      </c>
    </row>
    <row r="19" spans="2:5">
      <c r="B19" s="5" t="s">
        <v>111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abSelected="1" topLeftCell="A2" zoomScale="86" zoomScaleNormal="86" workbookViewId="0">
      <selection activeCell="K34" sqref="K34:T34"/>
    </sheetView>
  </sheetViews>
  <sheetFormatPr defaultColWidth="11.42578125" defaultRowHeight="12.7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205" t="s">
        <v>112</v>
      </c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7"/>
    </row>
    <row r="2" spans="1:24" ht="35.25" customHeight="1">
      <c r="A2" s="36" t="str">
        <f>consumos!D2</f>
        <v>Maribel Gil</v>
      </c>
      <c r="B2" s="36" t="str">
        <f>consumos!D3</f>
        <v>porta pasaporte 002</v>
      </c>
      <c r="C2" s="36" t="str">
        <f>consumos!F5</f>
        <v>celda de producción</v>
      </c>
      <c r="D2" s="36" t="str">
        <f>consumos!F3</f>
        <v>marroqunería</v>
      </c>
      <c r="E2" s="38"/>
      <c r="F2" s="38">
        <f>consumos!E5</f>
        <v>0</v>
      </c>
      <c r="G2" s="32"/>
      <c r="H2" s="208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10"/>
    </row>
    <row r="3" spans="1:24" ht="43.5" customHeight="1">
      <c r="A3" s="29" t="s">
        <v>113</v>
      </c>
      <c r="B3" s="30" t="s">
        <v>114</v>
      </c>
      <c r="C3" s="29" t="s">
        <v>115</v>
      </c>
      <c r="D3" s="47" t="s">
        <v>116</v>
      </c>
      <c r="E3" s="47" t="s">
        <v>117</v>
      </c>
      <c r="F3" s="31" t="s">
        <v>15</v>
      </c>
      <c r="G3" s="32"/>
      <c r="H3" s="81" t="s">
        <v>118</v>
      </c>
      <c r="I3" s="82"/>
      <c r="J3" s="82" t="s">
        <v>119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33</v>
      </c>
      <c r="V3" s="49" t="s">
        <v>120</v>
      </c>
      <c r="W3" s="49" t="s">
        <v>119</v>
      </c>
      <c r="X3" s="49" t="s">
        <v>118</v>
      </c>
    </row>
    <row r="4" spans="1:24">
      <c r="A4" s="52" t="str">
        <f>consumos!A34</f>
        <v>Cuero Napa Variada  (Dm2)</v>
      </c>
      <c r="B4" s="53">
        <f>consumos!D8</f>
        <v>0</v>
      </c>
      <c r="C4" s="55">
        <f>consumos!E8</f>
        <v>5</v>
      </c>
      <c r="D4" s="80">
        <f>consumos!E8*consumos!J5</f>
        <v>100</v>
      </c>
      <c r="E4" s="80">
        <f>MEDIDAS!C21</f>
        <v>3.4482758620689655E-2</v>
      </c>
      <c r="F4" s="56">
        <f>consumos!H8</f>
        <v>48800</v>
      </c>
      <c r="G4" s="57"/>
      <c r="H4" s="54">
        <f t="shared" ref="H4:H28" si="0">IF(I4&gt;D4,(FALSE),I4)</f>
        <v>100</v>
      </c>
      <c r="I4" s="58">
        <f t="shared" ref="I4:I28" si="1">(K4+L4+M4+N4+O4+P4+Q4+R4+S4+T4)</f>
        <v>100</v>
      </c>
      <c r="J4" s="59">
        <f t="shared" ref="J4:J28" si="2">D4-(K4+L4+M4+N4+O4+P4+Q4+R4+S4+T4)</f>
        <v>0</v>
      </c>
      <c r="K4" s="50">
        <v>100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Forro Cerdo  (Dm2)</v>
      </c>
      <c r="B5" s="53">
        <f>consumos!D9</f>
        <v>0</v>
      </c>
      <c r="C5" s="55">
        <f>consumos!E9</f>
        <v>4</v>
      </c>
      <c r="D5" s="80">
        <f>consumos!E9*consumos!J5</f>
        <v>80</v>
      </c>
      <c r="E5" s="80">
        <f>MEDIDAS!C22</f>
        <v>2.7586206896551724E-2</v>
      </c>
      <c r="F5" s="56">
        <f>consumos!H9</f>
        <v>22720</v>
      </c>
      <c r="G5" s="57"/>
      <c r="H5" s="54" t="b">
        <f t="shared" si="0"/>
        <v>0</v>
      </c>
      <c r="I5" s="58">
        <f t="shared" si="1"/>
        <v>187</v>
      </c>
      <c r="J5" s="59">
        <f t="shared" si="2"/>
        <v>-107</v>
      </c>
      <c r="K5" s="50">
        <v>93</v>
      </c>
      <c r="L5" s="50">
        <v>94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0</v>
      </c>
      <c r="W5" s="33">
        <f>V5-X5</f>
        <v>0</v>
      </c>
      <c r="X5" s="27">
        <v>0</v>
      </c>
    </row>
    <row r="6" spans="1:24">
      <c r="A6" s="52" t="str">
        <f>consumos!A36</f>
        <v>Salpa 0.5mm   (cm²)</v>
      </c>
      <c r="B6" s="53">
        <f>consumos!D10</f>
        <v>0</v>
      </c>
      <c r="C6" s="55">
        <f>consumos!E10</f>
        <v>3</v>
      </c>
      <c r="D6" s="80">
        <f>consumos!E10*consumos!J5</f>
        <v>60</v>
      </c>
      <c r="E6" s="80">
        <f>MEDIDAS!C23</f>
        <v>2.0689655172413793E-2</v>
      </c>
      <c r="F6" s="56">
        <f>consumos!H10</f>
        <v>9</v>
      </c>
      <c r="G6" s="57"/>
      <c r="H6" s="54">
        <f t="shared" si="0"/>
        <v>0</v>
      </c>
      <c r="I6" s="58">
        <f t="shared" si="1"/>
        <v>0</v>
      </c>
      <c r="J6" s="59">
        <f t="shared" si="2"/>
        <v>60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 t="str">
        <f>consumos!A37</f>
        <v>Pirigallo (unidad)</v>
      </c>
      <c r="B7" s="53">
        <f>consumos!D11</f>
        <v>0</v>
      </c>
      <c r="C7" s="55">
        <f>consumos!E11</f>
        <v>1</v>
      </c>
      <c r="D7" s="80">
        <f>consumos!E11*consumos!J5</f>
        <v>20</v>
      </c>
      <c r="E7" s="80">
        <f>MEDIDAS!C24</f>
        <v>6.8965517241379309E-3</v>
      </c>
      <c r="F7" s="56">
        <f>consumos!H11</f>
        <v>6000</v>
      </c>
      <c r="G7" s="57"/>
      <c r="H7" s="54">
        <f t="shared" si="0"/>
        <v>20</v>
      </c>
      <c r="I7" s="58">
        <f t="shared" si="1"/>
        <v>20</v>
      </c>
      <c r="J7" s="59">
        <f t="shared" si="2"/>
        <v>0</v>
      </c>
      <c r="K7" s="50">
        <v>20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 t="str">
        <f>consumos!A38</f>
        <v>Remache doble cabeza # 4 (unidad)</v>
      </c>
      <c r="B8" s="53">
        <f>consumos!D12</f>
        <v>0</v>
      </c>
      <c r="C8" s="55">
        <f>consumos!E12</f>
        <v>4</v>
      </c>
      <c r="D8" s="80">
        <f>consumos!E12*consumos!J5</f>
        <v>80</v>
      </c>
      <c r="E8" s="80">
        <f>MEDIDAS!C25</f>
        <v>2.7586206896551724E-2</v>
      </c>
      <c r="F8" s="56">
        <f>consumos!H12</f>
        <v>800</v>
      </c>
      <c r="G8" s="57"/>
      <c r="H8" s="54">
        <f t="shared" si="0"/>
        <v>80</v>
      </c>
      <c r="I8" s="58">
        <f t="shared" si="1"/>
        <v>80</v>
      </c>
      <c r="J8" s="59">
        <f t="shared" si="2"/>
        <v>0</v>
      </c>
      <c r="K8" s="50">
        <v>80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>
        <f>consumos!A39</f>
        <v>0</v>
      </c>
      <c r="B9" s="53">
        <f>consumos!D13</f>
        <v>0</v>
      </c>
      <c r="C9" s="55">
        <f>consumos!E13</f>
        <v>0</v>
      </c>
      <c r="D9" s="80">
        <f>consumos!E13*consumos!J5</f>
        <v>0</v>
      </c>
      <c r="E9" s="80">
        <f>MEDIDAS!C26</f>
        <v>0</v>
      </c>
      <c r="F9" s="56">
        <f>consumos!H13</f>
        <v>0</v>
      </c>
      <c r="G9" s="57"/>
      <c r="H9" s="54">
        <f t="shared" si="0"/>
        <v>0</v>
      </c>
      <c r="I9" s="58">
        <f t="shared" si="1"/>
        <v>0</v>
      </c>
      <c r="J9" s="59">
        <f t="shared" si="2"/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>
        <f>consumos!A40</f>
        <v>0</v>
      </c>
      <c r="B10" s="53">
        <f>consumos!D14</f>
        <v>0</v>
      </c>
      <c r="C10" s="55">
        <f>consumos!E14</f>
        <v>0</v>
      </c>
      <c r="D10" s="80">
        <f>consumos!E14*consumos!J5</f>
        <v>0</v>
      </c>
      <c r="E10" s="80">
        <f>MEDIDAS!C27</f>
        <v>0</v>
      </c>
      <c r="F10" s="56">
        <f>consumos!H14</f>
        <v>0</v>
      </c>
      <c r="G10" s="57"/>
      <c r="H10" s="54">
        <f t="shared" si="0"/>
        <v>0</v>
      </c>
      <c r="I10" s="58">
        <f t="shared" si="1"/>
        <v>0</v>
      </c>
      <c r="J10" s="59">
        <f t="shared" si="2"/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0</v>
      </c>
      <c r="W13" s="33">
        <f t="shared" si="3"/>
        <v>0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1</v>
      </c>
      <c r="W22" s="33">
        <f t="shared" si="3"/>
        <v>1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220" t="s">
        <v>121</v>
      </c>
      <c r="B29" s="221"/>
      <c r="C29" s="221"/>
      <c r="D29" s="222"/>
      <c r="E29" s="84"/>
      <c r="F29" s="23">
        <f>SUM(F4:F28)</f>
        <v>78329</v>
      </c>
      <c r="G29" s="7"/>
      <c r="H29" s="21"/>
      <c r="I29" s="8"/>
      <c r="J29" s="22"/>
      <c r="K29" s="214" t="str">
        <f>consumos!A62</f>
        <v>OBSERVACIONES</v>
      </c>
      <c r="L29" s="215"/>
      <c r="M29" s="215"/>
      <c r="N29" s="215"/>
      <c r="O29" s="215"/>
      <c r="P29" s="215"/>
      <c r="Q29" s="215"/>
      <c r="R29" s="215"/>
      <c r="S29" s="215"/>
      <c r="T29" s="216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>
      <c r="A30" s="223" t="s">
        <v>122</v>
      </c>
      <c r="B30" s="224"/>
      <c r="C30" s="224"/>
      <c r="D30" s="224"/>
      <c r="E30" s="85"/>
      <c r="F30" s="6"/>
      <c r="G30" s="6"/>
      <c r="H30" s="11"/>
      <c r="I30" s="9"/>
      <c r="J30" s="10"/>
      <c r="K30" s="217"/>
      <c r="L30" s="218"/>
      <c r="M30" s="218"/>
      <c r="N30" s="218"/>
      <c r="O30" s="218"/>
      <c r="P30" s="218"/>
      <c r="Q30" s="218"/>
      <c r="R30" s="218"/>
      <c r="S30" s="218"/>
      <c r="T30" s="219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211" t="str">
        <f>consumos!A63</f>
        <v>pirigallo  ref 205</v>
      </c>
      <c r="L31" s="212"/>
      <c r="M31" s="212"/>
      <c r="N31" s="212"/>
      <c r="O31" s="212"/>
      <c r="P31" s="212"/>
      <c r="Q31" s="212"/>
      <c r="R31" s="212"/>
      <c r="S31" s="212"/>
      <c r="T31" s="213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211" t="str">
        <f>consumos!A64</f>
        <v>remache ref 227</v>
      </c>
      <c r="L32" s="212"/>
      <c r="M32" s="212"/>
      <c r="N32" s="212"/>
      <c r="O32" s="212"/>
      <c r="P32" s="212"/>
      <c r="Q32" s="212"/>
      <c r="R32" s="212"/>
      <c r="S32" s="212"/>
      <c r="T32" s="213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211">
        <f>consumos!A65</f>
        <v>0</v>
      </c>
      <c r="L33" s="212"/>
      <c r="M33" s="212"/>
      <c r="N33" s="212"/>
      <c r="O33" s="212"/>
      <c r="P33" s="212"/>
      <c r="Q33" s="212"/>
      <c r="R33" s="212"/>
      <c r="S33" s="212"/>
      <c r="T33" s="213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211">
        <f>consumos!A66</f>
        <v>0</v>
      </c>
      <c r="L34" s="212"/>
      <c r="M34" s="212"/>
      <c r="N34" s="212"/>
      <c r="O34" s="212"/>
      <c r="P34" s="212"/>
      <c r="Q34" s="212"/>
      <c r="R34" s="212"/>
      <c r="S34" s="212"/>
      <c r="T34" s="213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211">
        <f>consumos!A67</f>
        <v>0</v>
      </c>
      <c r="L35" s="212"/>
      <c r="M35" s="212"/>
      <c r="N35" s="212"/>
      <c r="O35" s="212"/>
      <c r="P35" s="212"/>
      <c r="Q35" s="212"/>
      <c r="R35" s="212"/>
      <c r="S35" s="212"/>
      <c r="T35" s="213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11">
        <f>consumos!A68</f>
        <v>0</v>
      </c>
      <c r="L36" s="212"/>
      <c r="M36" s="212"/>
      <c r="N36" s="212"/>
      <c r="O36" s="212"/>
      <c r="P36" s="212"/>
      <c r="Q36" s="212"/>
      <c r="R36" s="212"/>
      <c r="S36" s="212"/>
      <c r="T36" s="213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11">
        <f>consumos!A69</f>
        <v>0</v>
      </c>
      <c r="L37" s="212"/>
      <c r="M37" s="212"/>
      <c r="N37" s="212"/>
      <c r="O37" s="212"/>
      <c r="P37" s="212"/>
      <c r="Q37" s="212"/>
      <c r="R37" s="212"/>
      <c r="S37" s="212"/>
      <c r="T37" s="213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11">
        <f>consumos!A70</f>
        <v>0</v>
      </c>
      <c r="L38" s="212"/>
      <c r="M38" s="212"/>
      <c r="N38" s="212"/>
      <c r="O38" s="212"/>
      <c r="P38" s="212"/>
      <c r="Q38" s="212"/>
      <c r="R38" s="212"/>
      <c r="S38" s="212"/>
      <c r="T38" s="213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11">
        <f>consumos!A71</f>
        <v>0</v>
      </c>
      <c r="L39" s="212"/>
      <c r="M39" s="212"/>
      <c r="N39" s="212"/>
      <c r="O39" s="212"/>
      <c r="P39" s="212"/>
      <c r="Q39" s="212"/>
      <c r="R39" s="212"/>
      <c r="S39" s="212"/>
      <c r="T39" s="213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11">
        <f>consumos!A72</f>
        <v>0</v>
      </c>
      <c r="L40" s="212"/>
      <c r="M40" s="212"/>
      <c r="N40" s="212"/>
      <c r="O40" s="212"/>
      <c r="P40" s="212"/>
      <c r="Q40" s="212"/>
      <c r="R40" s="212"/>
      <c r="S40" s="212"/>
      <c r="T40" s="213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11">
        <f>consumos!A73</f>
        <v>0</v>
      </c>
      <c r="L41" s="212"/>
      <c r="M41" s="212"/>
      <c r="N41" s="212"/>
      <c r="O41" s="212"/>
      <c r="P41" s="212"/>
      <c r="Q41" s="212"/>
      <c r="R41" s="212"/>
      <c r="S41" s="212"/>
      <c r="T41" s="213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11">
        <f>consumos!A74</f>
        <v>0</v>
      </c>
      <c r="L42" s="212"/>
      <c r="M42" s="212"/>
      <c r="N42" s="212"/>
      <c r="O42" s="212"/>
      <c r="P42" s="212"/>
      <c r="Q42" s="212"/>
      <c r="R42" s="212"/>
      <c r="S42" s="212"/>
      <c r="T42" s="213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11">
        <f>consumos!A75</f>
        <v>0</v>
      </c>
      <c r="L43" s="212"/>
      <c r="M43" s="212"/>
      <c r="N43" s="212"/>
      <c r="O43" s="212"/>
      <c r="P43" s="212"/>
      <c r="Q43" s="212"/>
      <c r="R43" s="212"/>
      <c r="S43" s="212"/>
      <c r="T43" s="213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2.75"/>
  <sheetData>
    <row r="1" spans="1:9" ht="48">
      <c r="A1" s="62" t="s">
        <v>123</v>
      </c>
      <c r="B1" s="63" t="s">
        <v>124</v>
      </c>
      <c r="C1" s="64" t="s">
        <v>125</v>
      </c>
      <c r="D1" s="64" t="s">
        <v>126</v>
      </c>
      <c r="E1" s="64" t="s">
        <v>127</v>
      </c>
      <c r="F1" s="65" t="s">
        <v>128</v>
      </c>
      <c r="G1" s="66" t="s">
        <v>129</v>
      </c>
      <c r="H1" s="225" t="s">
        <v>130</v>
      </c>
      <c r="I1" s="226"/>
    </row>
    <row r="2" spans="1:9" ht="1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27"/>
      <c r="I2" s="226"/>
    </row>
    <row r="3" spans="1:9" ht="1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27"/>
      <c r="I3" s="226"/>
    </row>
    <row r="4" spans="1:9" ht="1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27"/>
      <c r="I4" s="226"/>
    </row>
    <row r="5" spans="1:9" ht="1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27"/>
      <c r="I5" s="226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131</v>
      </c>
      <c r="B7" s="63" t="s">
        <v>132</v>
      </c>
      <c r="C7" s="64" t="s">
        <v>126</v>
      </c>
      <c r="D7" s="64" t="s">
        <v>125</v>
      </c>
      <c r="E7" s="64" t="s">
        <v>127</v>
      </c>
      <c r="F7" s="73" t="s">
        <v>128</v>
      </c>
      <c r="G7" s="66" t="s">
        <v>129</v>
      </c>
    </row>
    <row r="8" spans="1:9" ht="1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133</v>
      </c>
      <c r="B13" s="63" t="s">
        <v>134</v>
      </c>
      <c r="C13" s="64" t="s">
        <v>127</v>
      </c>
      <c r="D13" s="64" t="s">
        <v>125</v>
      </c>
      <c r="E13" s="64" t="s">
        <v>126</v>
      </c>
      <c r="F13" s="73" t="s">
        <v>128</v>
      </c>
      <c r="G13" s="66" t="s">
        <v>129</v>
      </c>
    </row>
    <row r="14" spans="1:9" ht="1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123</v>
      </c>
      <c r="B20" s="63" t="s">
        <v>124</v>
      </c>
      <c r="C20" s="64" t="s">
        <v>125</v>
      </c>
      <c r="D20" s="64" t="s">
        <v>126</v>
      </c>
      <c r="E20" s="64" t="s">
        <v>127</v>
      </c>
      <c r="F20" s="65" t="s">
        <v>128</v>
      </c>
      <c r="G20" s="66" t="s">
        <v>129</v>
      </c>
    </row>
    <row r="21" spans="1:7" ht="15" hidden="1">
      <c r="A21" s="67">
        <v>145</v>
      </c>
      <c r="B21" s="68">
        <f>PEDIDO!C4</f>
        <v>5</v>
      </c>
      <c r="C21" s="69">
        <f>B21/A21</f>
        <v>3.4482758620689655E-2</v>
      </c>
      <c r="D21" s="69">
        <f>C21/10</f>
        <v>3.4482758620689655E-3</v>
      </c>
      <c r="E21" s="69">
        <f>C21/100</f>
        <v>3.4482758620689653E-4</v>
      </c>
      <c r="F21" s="68">
        <v>0</v>
      </c>
      <c r="G21" s="70">
        <f>F21*E21</f>
        <v>0</v>
      </c>
    </row>
    <row r="22" spans="1:7" ht="15" hidden="1">
      <c r="A22" s="67">
        <v>145</v>
      </c>
      <c r="B22" s="68">
        <f>PEDIDO!C5</f>
        <v>4</v>
      </c>
      <c r="C22" s="69">
        <f t="shared" ref="C22:C44" si="0">B22/A22</f>
        <v>2.7586206896551724E-2</v>
      </c>
      <c r="D22" s="69">
        <f t="shared" ref="D22:D45" si="1">C22/10</f>
        <v>2.7586206896551722E-3</v>
      </c>
      <c r="E22" s="69">
        <f t="shared" ref="E22:E44" si="2">C22/100</f>
        <v>2.7586206896551725E-4</v>
      </c>
      <c r="F22" s="68">
        <v>0</v>
      </c>
      <c r="G22" s="70">
        <f t="shared" ref="G22:G44" si="3">F22*E22</f>
        <v>0</v>
      </c>
    </row>
    <row r="23" spans="1:7" ht="15" hidden="1">
      <c r="A23" s="67">
        <v>145</v>
      </c>
      <c r="B23" s="68">
        <f>PEDIDO!C6</f>
        <v>3</v>
      </c>
      <c r="C23" s="69">
        <f t="shared" si="0"/>
        <v>2.0689655172413793E-2</v>
      </c>
      <c r="D23" s="69">
        <f t="shared" si="1"/>
        <v>2.0689655172413794E-3</v>
      </c>
      <c r="E23" s="69">
        <f t="shared" si="2"/>
        <v>2.0689655172413793E-4</v>
      </c>
      <c r="F23" s="68">
        <v>0</v>
      </c>
      <c r="G23" s="70">
        <f t="shared" si="3"/>
        <v>0</v>
      </c>
    </row>
    <row r="24" spans="1:7" ht="15" hidden="1">
      <c r="A24" s="67">
        <v>145</v>
      </c>
      <c r="B24" s="68">
        <f>PEDIDO!C7</f>
        <v>1</v>
      </c>
      <c r="C24" s="69">
        <f t="shared" si="0"/>
        <v>6.8965517241379309E-3</v>
      </c>
      <c r="D24" s="69">
        <f t="shared" si="1"/>
        <v>6.8965517241379305E-4</v>
      </c>
      <c r="E24" s="69">
        <f t="shared" si="2"/>
        <v>6.8965517241379313E-5</v>
      </c>
      <c r="F24" s="68">
        <v>0</v>
      </c>
      <c r="G24" s="70">
        <f t="shared" si="3"/>
        <v>0</v>
      </c>
    </row>
    <row r="25" spans="1:7" ht="15" hidden="1">
      <c r="A25" s="67">
        <v>145</v>
      </c>
      <c r="B25" s="68">
        <f>PEDIDO!C8</f>
        <v>4</v>
      </c>
      <c r="C25" s="69">
        <f t="shared" si="0"/>
        <v>2.7586206896551724E-2</v>
      </c>
      <c r="D25" s="69">
        <f t="shared" si="1"/>
        <v>2.7586206896551722E-3</v>
      </c>
      <c r="E25" s="69">
        <f t="shared" si="2"/>
        <v>2.7586206896551725E-4</v>
      </c>
      <c r="F25" s="68">
        <v>0</v>
      </c>
      <c r="G25" s="70">
        <f t="shared" si="3"/>
        <v>0</v>
      </c>
    </row>
    <row r="26" spans="1:7" ht="15" hidden="1">
      <c r="A26" s="67">
        <v>145</v>
      </c>
      <c r="B26" s="68">
        <f>PEDIDO!C9</f>
        <v>0</v>
      </c>
      <c r="C26" s="69">
        <f t="shared" si="0"/>
        <v>0</v>
      </c>
      <c r="D26" s="69">
        <f t="shared" si="1"/>
        <v>0</v>
      </c>
      <c r="E26" s="69">
        <f t="shared" si="2"/>
        <v>0</v>
      </c>
      <c r="F26" s="68">
        <v>0</v>
      </c>
      <c r="G26" s="70">
        <f t="shared" si="3"/>
        <v>0</v>
      </c>
    </row>
    <row r="27" spans="1:7" ht="15" hidden="1">
      <c r="A27" s="67">
        <v>145</v>
      </c>
      <c r="B27" s="68">
        <f>PEDIDO!C10</f>
        <v>0</v>
      </c>
      <c r="C27" s="69">
        <f t="shared" si="0"/>
        <v>0</v>
      </c>
      <c r="D27" s="69">
        <f t="shared" si="1"/>
        <v>0</v>
      </c>
      <c r="E27" s="69">
        <f t="shared" si="2"/>
        <v>0</v>
      </c>
      <c r="F27" s="68">
        <v>0</v>
      </c>
      <c r="G27" s="70">
        <f t="shared" si="3"/>
        <v>0</v>
      </c>
    </row>
    <row r="28" spans="1:7" ht="15" hidden="1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2.7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113</v>
      </c>
      <c r="B1" s="40" t="s">
        <v>135</v>
      </c>
      <c r="C1" s="75" t="s">
        <v>120</v>
      </c>
      <c r="D1" s="78" t="s">
        <v>136</v>
      </c>
    </row>
    <row r="2" spans="1:4">
      <c r="A2" s="42" t="s">
        <v>137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138</v>
      </c>
      <c r="B4" s="24">
        <v>50</v>
      </c>
      <c r="C4" s="76">
        <v>1</v>
      </c>
      <c r="D4" s="79"/>
    </row>
    <row r="5" spans="1:4">
      <c r="A5" s="42" t="s">
        <v>139</v>
      </c>
      <c r="B5" s="39">
        <v>1392</v>
      </c>
      <c r="C5" s="76">
        <v>1</v>
      </c>
      <c r="D5" s="79"/>
    </row>
    <row r="6" spans="1:4">
      <c r="A6" s="42" t="s">
        <v>140</v>
      </c>
      <c r="B6" s="39">
        <v>2204</v>
      </c>
      <c r="C6" s="76">
        <v>1</v>
      </c>
      <c r="D6" s="79"/>
    </row>
    <row r="7" spans="1:4">
      <c r="A7" s="42" t="s">
        <v>141</v>
      </c>
      <c r="B7" s="24">
        <v>800</v>
      </c>
      <c r="C7" s="76">
        <v>1</v>
      </c>
      <c r="D7" s="79"/>
    </row>
    <row r="8" spans="1:4">
      <c r="A8" s="42" t="s">
        <v>142</v>
      </c>
      <c r="B8" s="24">
        <v>800</v>
      </c>
      <c r="C8" s="76">
        <v>1</v>
      </c>
      <c r="D8" s="79"/>
    </row>
    <row r="9" spans="1:4">
      <c r="A9" s="42" t="s">
        <v>143</v>
      </c>
      <c r="B9" s="24">
        <v>800</v>
      </c>
      <c r="C9" s="76">
        <v>1</v>
      </c>
      <c r="D9" s="79"/>
    </row>
    <row r="10" spans="1:4">
      <c r="A10" s="42" t="s">
        <v>144</v>
      </c>
      <c r="B10" s="24">
        <v>800</v>
      </c>
      <c r="C10" s="76">
        <v>1</v>
      </c>
      <c r="D10" s="79"/>
    </row>
    <row r="11" spans="1:4">
      <c r="A11" s="42" t="s">
        <v>145</v>
      </c>
      <c r="B11" s="24">
        <v>800</v>
      </c>
      <c r="C11" s="76">
        <v>1</v>
      </c>
      <c r="D11" s="79"/>
    </row>
    <row r="12" spans="1:4" ht="12" customHeight="1">
      <c r="A12" s="42" t="s">
        <v>146</v>
      </c>
      <c r="B12" s="24">
        <v>58</v>
      </c>
      <c r="C12" s="76">
        <v>1</v>
      </c>
      <c r="D12" s="79"/>
    </row>
    <row r="13" spans="1:4">
      <c r="A13" s="42" t="s">
        <v>147</v>
      </c>
      <c r="B13" s="24">
        <v>63.8</v>
      </c>
      <c r="C13" s="76">
        <v>1</v>
      </c>
      <c r="D13" s="79"/>
    </row>
    <row r="14" spans="1:4">
      <c r="A14" s="42" t="s">
        <v>148</v>
      </c>
      <c r="B14" s="24">
        <v>63.8</v>
      </c>
      <c r="C14" s="76">
        <v>1</v>
      </c>
      <c r="D14" s="79"/>
    </row>
    <row r="15" spans="1:4">
      <c r="A15" s="42" t="s">
        <v>149</v>
      </c>
      <c r="B15" s="24">
        <v>130</v>
      </c>
      <c r="C15" s="76">
        <v>1</v>
      </c>
      <c r="D15" s="79"/>
    </row>
    <row r="16" spans="1:4">
      <c r="A16" s="42" t="s">
        <v>150</v>
      </c>
      <c r="B16" s="24">
        <v>130</v>
      </c>
      <c r="C16" s="76">
        <v>1</v>
      </c>
      <c r="D16" s="79"/>
    </row>
    <row r="17" spans="1:4">
      <c r="A17" s="42" t="s">
        <v>151</v>
      </c>
      <c r="B17" s="24">
        <v>250</v>
      </c>
      <c r="C17" s="76">
        <v>1</v>
      </c>
      <c r="D17" s="79"/>
    </row>
    <row r="18" spans="1:4">
      <c r="A18" s="42" t="s">
        <v>152</v>
      </c>
      <c r="B18" s="24">
        <v>350</v>
      </c>
      <c r="C18" s="76">
        <v>1</v>
      </c>
      <c r="D18" s="79"/>
    </row>
    <row r="19" spans="1:4">
      <c r="A19" s="42" t="s">
        <v>153</v>
      </c>
      <c r="B19" s="24">
        <v>800</v>
      </c>
      <c r="C19" s="76">
        <v>1</v>
      </c>
      <c r="D19" s="79"/>
    </row>
    <row r="20" spans="1:4">
      <c r="A20" s="42" t="s">
        <v>154</v>
      </c>
      <c r="B20" s="24">
        <v>110</v>
      </c>
      <c r="C20" s="76">
        <v>1</v>
      </c>
      <c r="D20" s="79"/>
    </row>
    <row r="21" spans="1:4">
      <c r="A21" s="42" t="s">
        <v>155</v>
      </c>
      <c r="B21" s="24">
        <v>1000</v>
      </c>
      <c r="C21" s="76">
        <v>1</v>
      </c>
      <c r="D21" s="79"/>
    </row>
    <row r="22" spans="1:4">
      <c r="A22" s="42" t="s">
        <v>156</v>
      </c>
      <c r="B22" s="24">
        <v>0.5</v>
      </c>
      <c r="C22" s="76">
        <v>1</v>
      </c>
      <c r="D22" s="79"/>
    </row>
    <row r="23" spans="1:4">
      <c r="A23" s="42" t="s">
        <v>157</v>
      </c>
      <c r="B23" s="24">
        <v>754</v>
      </c>
      <c r="C23" s="76">
        <v>1</v>
      </c>
      <c r="D23" s="79"/>
    </row>
    <row r="24" spans="1:4">
      <c r="A24" s="42" t="s">
        <v>158</v>
      </c>
      <c r="B24" s="24">
        <v>754</v>
      </c>
      <c r="C24" s="76">
        <v>1</v>
      </c>
      <c r="D24" s="79"/>
    </row>
    <row r="25" spans="1:4">
      <c r="A25" s="42" t="s">
        <v>159</v>
      </c>
      <c r="B25" s="24">
        <v>0.2</v>
      </c>
      <c r="C25" s="76">
        <v>1</v>
      </c>
      <c r="D25" s="79"/>
    </row>
    <row r="26" spans="1:4">
      <c r="A26" s="42" t="s">
        <v>160</v>
      </c>
      <c r="B26" s="24">
        <v>0.3</v>
      </c>
      <c r="C26" s="76">
        <v>1</v>
      </c>
      <c r="D26" s="79"/>
    </row>
    <row r="27" spans="1:4">
      <c r="A27" s="42" t="s">
        <v>161</v>
      </c>
      <c r="B27" s="24">
        <v>0.26</v>
      </c>
      <c r="C27" s="76">
        <v>1</v>
      </c>
      <c r="D27" s="79"/>
    </row>
    <row r="28" spans="1:4">
      <c r="A28" s="42" t="s">
        <v>162</v>
      </c>
      <c r="B28" s="24">
        <v>0.4</v>
      </c>
      <c r="C28" s="76">
        <v>1</v>
      </c>
      <c r="D28" s="79"/>
    </row>
    <row r="29" spans="1:4">
      <c r="A29" s="42" t="s">
        <v>163</v>
      </c>
      <c r="B29" s="24">
        <v>0.4</v>
      </c>
      <c r="C29" s="76">
        <v>1</v>
      </c>
      <c r="D29" s="79"/>
    </row>
    <row r="30" spans="1:4">
      <c r="A30" s="42" t="s">
        <v>164</v>
      </c>
      <c r="B30" s="24">
        <v>0.4</v>
      </c>
      <c r="C30" s="76">
        <v>1</v>
      </c>
      <c r="D30" s="79"/>
    </row>
    <row r="31" spans="1:4">
      <c r="A31" s="42" t="s">
        <v>165</v>
      </c>
      <c r="B31" s="24">
        <v>500</v>
      </c>
      <c r="C31" s="76">
        <v>1</v>
      </c>
      <c r="D31" s="79"/>
    </row>
    <row r="32" spans="1:4">
      <c r="A32" s="42" t="s">
        <v>166</v>
      </c>
      <c r="B32" s="24">
        <v>450</v>
      </c>
      <c r="C32" s="76">
        <v>1</v>
      </c>
      <c r="D32" s="79"/>
    </row>
    <row r="33" spans="1:4" ht="12.75" customHeight="1">
      <c r="A33" s="42" t="s">
        <v>167</v>
      </c>
      <c r="B33" s="24">
        <v>400</v>
      </c>
      <c r="C33" s="76">
        <v>1</v>
      </c>
      <c r="D33" s="79"/>
    </row>
    <row r="34" spans="1:4" ht="12.75" customHeight="1">
      <c r="A34" s="42" t="s">
        <v>168</v>
      </c>
      <c r="B34" s="24">
        <v>3.4</v>
      </c>
      <c r="C34" s="76">
        <v>1</v>
      </c>
      <c r="D34" s="79"/>
    </row>
    <row r="35" spans="1:4" ht="12.75" customHeight="1">
      <c r="A35" s="42" t="s">
        <v>169</v>
      </c>
      <c r="B35" s="24">
        <v>4.4000000000000004</v>
      </c>
      <c r="C35" s="76">
        <v>1</v>
      </c>
      <c r="D35" s="79"/>
    </row>
    <row r="36" spans="1:4" ht="12.75" customHeight="1">
      <c r="A36" s="42" t="s">
        <v>170</v>
      </c>
      <c r="B36" s="24">
        <v>6</v>
      </c>
      <c r="C36" s="76">
        <v>1</v>
      </c>
      <c r="D36" s="79"/>
    </row>
    <row r="37" spans="1:4" ht="12.75" customHeight="1">
      <c r="A37" s="42" t="s">
        <v>171</v>
      </c>
      <c r="B37" s="24">
        <v>0.38</v>
      </c>
      <c r="C37" s="76">
        <v>1</v>
      </c>
      <c r="D37" s="79"/>
    </row>
    <row r="38" spans="1:4" ht="15" customHeight="1">
      <c r="A38" s="42" t="s">
        <v>172</v>
      </c>
      <c r="B38" s="25">
        <v>50</v>
      </c>
      <c r="C38" s="76">
        <v>1</v>
      </c>
      <c r="D38" s="79"/>
    </row>
    <row r="39" spans="1:4" ht="15" customHeight="1">
      <c r="A39" s="42" t="s">
        <v>173</v>
      </c>
      <c r="B39" s="26">
        <v>50</v>
      </c>
      <c r="C39" s="76">
        <v>1</v>
      </c>
      <c r="D39" s="79"/>
    </row>
    <row r="40" spans="1:4" ht="12.75" customHeight="1">
      <c r="A40" s="42" t="s">
        <v>174</v>
      </c>
      <c r="B40" s="26">
        <v>80</v>
      </c>
      <c r="C40" s="76">
        <v>1</v>
      </c>
      <c r="D40" s="79"/>
    </row>
    <row r="41" spans="1:4" ht="12.75" customHeight="1">
      <c r="A41" s="42" t="s">
        <v>175</v>
      </c>
      <c r="B41" s="26">
        <v>90</v>
      </c>
      <c r="C41" s="76">
        <v>1</v>
      </c>
      <c r="D41" s="79"/>
    </row>
    <row r="42" spans="1:4" ht="12.75" customHeight="1">
      <c r="A42" s="42" t="s">
        <v>176</v>
      </c>
      <c r="B42" s="26">
        <v>100</v>
      </c>
      <c r="C42" s="76">
        <v>1</v>
      </c>
      <c r="D42" s="79"/>
    </row>
    <row r="43" spans="1:4" ht="15" customHeight="1">
      <c r="A43" s="42" t="s">
        <v>177</v>
      </c>
      <c r="B43" s="25">
        <v>50</v>
      </c>
      <c r="C43" s="76">
        <v>1</v>
      </c>
      <c r="D43" s="79"/>
    </row>
    <row r="44" spans="1:4" ht="15" customHeight="1">
      <c r="A44" s="42" t="s">
        <v>178</v>
      </c>
      <c r="B44" s="26">
        <v>50</v>
      </c>
      <c r="C44" s="76">
        <v>1</v>
      </c>
      <c r="D44" s="79"/>
    </row>
    <row r="45" spans="1:4" ht="12.75" customHeight="1">
      <c r="A45" s="42" t="s">
        <v>179</v>
      </c>
      <c r="B45" s="26">
        <v>80</v>
      </c>
      <c r="C45" s="76">
        <v>1</v>
      </c>
      <c r="D45" s="79"/>
    </row>
    <row r="46" spans="1:4" ht="12.75" customHeight="1">
      <c r="A46" s="42" t="s">
        <v>180</v>
      </c>
      <c r="B46" s="26">
        <v>90</v>
      </c>
      <c r="C46" s="76">
        <v>1</v>
      </c>
      <c r="D46" s="79"/>
    </row>
    <row r="47" spans="1:4" ht="12.75" customHeight="1">
      <c r="A47" s="42" t="s">
        <v>181</v>
      </c>
      <c r="B47" s="26">
        <v>100</v>
      </c>
      <c r="C47" s="76">
        <v>1</v>
      </c>
      <c r="D47" s="79"/>
    </row>
    <row r="48" spans="1:4" ht="12.75" customHeight="1">
      <c r="A48" s="42" t="s">
        <v>182</v>
      </c>
      <c r="B48" s="39">
        <v>250</v>
      </c>
      <c r="C48" s="43">
        <v>1</v>
      </c>
      <c r="D48" s="79"/>
    </row>
    <row r="49" spans="1:4" ht="12.75" customHeight="1">
      <c r="A49" s="42" t="s">
        <v>183</v>
      </c>
      <c r="B49" s="24">
        <v>349</v>
      </c>
      <c r="C49" s="76">
        <v>1</v>
      </c>
      <c r="D49" s="79"/>
    </row>
    <row r="50" spans="1:4" ht="12.75" customHeight="1">
      <c r="A50" s="42" t="s">
        <v>184</v>
      </c>
      <c r="B50" s="24">
        <v>246</v>
      </c>
      <c r="C50" s="76">
        <v>1</v>
      </c>
      <c r="D50" s="79"/>
    </row>
    <row r="51" spans="1:4" ht="12.75" customHeight="1">
      <c r="A51" s="42" t="s">
        <v>185</v>
      </c>
      <c r="B51" s="24">
        <v>436</v>
      </c>
      <c r="C51" s="76">
        <v>1</v>
      </c>
      <c r="D51" s="79"/>
    </row>
    <row r="52" spans="1:4" ht="12.75" customHeight="1">
      <c r="A52" s="42" t="s">
        <v>186</v>
      </c>
      <c r="B52" s="24">
        <v>491</v>
      </c>
      <c r="C52" s="76">
        <v>1</v>
      </c>
      <c r="D52" s="79"/>
    </row>
    <row r="53" spans="1:4" ht="12.75" customHeight="1">
      <c r="A53" s="42" t="s">
        <v>23</v>
      </c>
      <c r="B53" s="24">
        <v>488</v>
      </c>
      <c r="C53" s="76">
        <v>1</v>
      </c>
      <c r="D53" s="79"/>
    </row>
    <row r="54" spans="1:4" ht="12.75" customHeight="1">
      <c r="A54" s="42" t="s">
        <v>187</v>
      </c>
      <c r="B54" s="24">
        <v>589</v>
      </c>
      <c r="C54" s="76">
        <v>1</v>
      </c>
      <c r="D54" s="79"/>
    </row>
    <row r="55" spans="1:4" ht="12.75" customHeight="1">
      <c r="A55" s="42" t="s">
        <v>188</v>
      </c>
      <c r="B55" s="24">
        <v>685</v>
      </c>
      <c r="C55" s="76">
        <v>1</v>
      </c>
      <c r="D55" s="79"/>
    </row>
    <row r="56" spans="1:4" ht="12.75" customHeight="1">
      <c r="A56" s="42" t="s">
        <v>189</v>
      </c>
      <c r="B56" s="24">
        <v>430</v>
      </c>
      <c r="C56" s="76">
        <v>1</v>
      </c>
      <c r="D56" s="79"/>
    </row>
    <row r="57" spans="1:4" ht="12.75" customHeight="1">
      <c r="A57" s="42" t="s">
        <v>190</v>
      </c>
      <c r="B57" s="24">
        <v>476</v>
      </c>
      <c r="C57" s="76">
        <v>1</v>
      </c>
      <c r="D57" s="79"/>
    </row>
    <row r="58" spans="1:4" ht="12.75" customHeight="1">
      <c r="A58" s="42" t="s">
        <v>191</v>
      </c>
      <c r="B58" s="24">
        <v>306</v>
      </c>
      <c r="C58" s="76">
        <v>1</v>
      </c>
      <c r="D58" s="79"/>
    </row>
    <row r="59" spans="1:4" ht="12.75" customHeight="1">
      <c r="A59" s="42" t="s">
        <v>192</v>
      </c>
      <c r="B59" s="24">
        <v>200</v>
      </c>
      <c r="C59" s="76">
        <v>1</v>
      </c>
      <c r="D59" s="79"/>
    </row>
    <row r="60" spans="1:4" ht="12.75" customHeight="1">
      <c r="A60" s="42" t="s">
        <v>193</v>
      </c>
      <c r="B60" s="24">
        <v>17</v>
      </c>
      <c r="C60" s="76">
        <v>1</v>
      </c>
      <c r="D60" s="79"/>
    </row>
    <row r="61" spans="1:4" ht="12.75" customHeight="1">
      <c r="A61" s="42" t="s">
        <v>194</v>
      </c>
      <c r="B61" s="24">
        <v>80</v>
      </c>
      <c r="C61" s="76">
        <v>1</v>
      </c>
      <c r="D61" s="79"/>
    </row>
    <row r="62" spans="1:4">
      <c r="A62" s="42" t="s">
        <v>195</v>
      </c>
      <c r="B62" s="24">
        <v>4000</v>
      </c>
      <c r="C62" s="76">
        <v>1</v>
      </c>
      <c r="D62" s="79"/>
    </row>
    <row r="63" spans="1:4">
      <c r="A63" s="42" t="s">
        <v>196</v>
      </c>
      <c r="B63" s="24">
        <v>0.13</v>
      </c>
      <c r="C63" s="76">
        <v>1</v>
      </c>
      <c r="D63" s="79"/>
    </row>
    <row r="64" spans="1:4">
      <c r="A64" s="42" t="s">
        <v>197</v>
      </c>
      <c r="B64" s="24">
        <v>0.15</v>
      </c>
      <c r="C64" s="76">
        <v>1</v>
      </c>
      <c r="D64" s="79"/>
    </row>
    <row r="65" spans="1:4">
      <c r="A65" s="42" t="s">
        <v>198</v>
      </c>
      <c r="B65" s="24">
        <v>0.17</v>
      </c>
      <c r="C65" s="76">
        <v>1</v>
      </c>
      <c r="D65" s="79"/>
    </row>
    <row r="66" spans="1:4">
      <c r="A66" s="42" t="s">
        <v>199</v>
      </c>
      <c r="B66" s="24">
        <v>0.25</v>
      </c>
      <c r="C66" s="76">
        <v>1</v>
      </c>
      <c r="D66" s="79">
        <v>100</v>
      </c>
    </row>
    <row r="67" spans="1:4">
      <c r="A67" s="42" t="s">
        <v>200</v>
      </c>
      <c r="B67" s="24">
        <v>0.56999999999999995</v>
      </c>
      <c r="C67" s="76">
        <v>1</v>
      </c>
      <c r="D67" s="79">
        <v>140</v>
      </c>
    </row>
    <row r="68" spans="1:4">
      <c r="A68" s="42" t="s">
        <v>24</v>
      </c>
      <c r="B68" s="24">
        <v>284</v>
      </c>
      <c r="C68" s="76">
        <v>1</v>
      </c>
      <c r="D68" s="79"/>
    </row>
    <row r="69" spans="1:4">
      <c r="A69" s="42" t="s">
        <v>201</v>
      </c>
      <c r="B69" s="24">
        <v>491</v>
      </c>
      <c r="C69" s="76">
        <v>1</v>
      </c>
      <c r="D69" s="79"/>
    </row>
    <row r="70" spans="1:4">
      <c r="A70" s="42" t="s">
        <v>202</v>
      </c>
      <c r="B70" s="24">
        <v>0.1</v>
      </c>
      <c r="C70" s="76">
        <v>1</v>
      </c>
      <c r="D70" s="79">
        <v>140</v>
      </c>
    </row>
    <row r="71" spans="1:4">
      <c r="A71" s="42" t="s">
        <v>203</v>
      </c>
      <c r="B71" s="24">
        <v>0.36</v>
      </c>
      <c r="C71" s="76">
        <v>1</v>
      </c>
      <c r="D71" s="79">
        <v>140</v>
      </c>
    </row>
    <row r="72" spans="1:4">
      <c r="A72" s="42" t="s">
        <v>204</v>
      </c>
      <c r="B72" s="24">
        <v>928</v>
      </c>
      <c r="C72" s="76">
        <v>1</v>
      </c>
      <c r="D72" s="79"/>
    </row>
    <row r="73" spans="1:4">
      <c r="A73" s="42" t="s">
        <v>205</v>
      </c>
      <c r="B73" s="24">
        <v>1500</v>
      </c>
      <c r="C73" s="76">
        <v>1</v>
      </c>
      <c r="D73" s="79"/>
    </row>
    <row r="74" spans="1:4">
      <c r="A74" s="42" t="s">
        <v>206</v>
      </c>
      <c r="B74" s="24">
        <v>1000</v>
      </c>
      <c r="C74" s="76">
        <v>1</v>
      </c>
      <c r="D74" s="79"/>
    </row>
    <row r="75" spans="1:4">
      <c r="A75" s="42" t="s">
        <v>207</v>
      </c>
      <c r="B75" s="24">
        <v>1100</v>
      </c>
      <c r="C75" s="76">
        <v>1</v>
      </c>
      <c r="D75" s="79"/>
    </row>
    <row r="76" spans="1:4">
      <c r="A76" s="42" t="s">
        <v>208</v>
      </c>
      <c r="B76" s="24">
        <v>930</v>
      </c>
      <c r="C76" s="76">
        <v>1</v>
      </c>
      <c r="D76" s="79"/>
    </row>
    <row r="77" spans="1:4">
      <c r="A77" s="42" t="s">
        <v>209</v>
      </c>
      <c r="B77" s="24">
        <v>950</v>
      </c>
      <c r="C77" s="76">
        <v>1</v>
      </c>
      <c r="D77" s="79"/>
    </row>
    <row r="78" spans="1:4">
      <c r="A78" s="42" t="s">
        <v>210</v>
      </c>
      <c r="B78" s="24">
        <v>2000</v>
      </c>
      <c r="C78" s="76">
        <v>1</v>
      </c>
      <c r="D78" s="79"/>
    </row>
    <row r="79" spans="1:4">
      <c r="A79" s="42" t="s">
        <v>211</v>
      </c>
      <c r="B79" s="24">
        <v>500</v>
      </c>
      <c r="C79" s="76">
        <v>1</v>
      </c>
      <c r="D79" s="79"/>
    </row>
    <row r="80" spans="1:4" ht="15">
      <c r="A80" s="42" t="s">
        <v>212</v>
      </c>
      <c r="B80" s="24">
        <v>400</v>
      </c>
      <c r="C80" s="76">
        <v>1</v>
      </c>
      <c r="D80" s="79"/>
    </row>
    <row r="81" spans="1:4">
      <c r="A81" s="42" t="s">
        <v>213</v>
      </c>
      <c r="B81" s="24">
        <v>0.5</v>
      </c>
      <c r="C81" s="76">
        <v>1</v>
      </c>
      <c r="D81" s="79"/>
    </row>
    <row r="82" spans="1:4">
      <c r="A82" s="42" t="s">
        <v>214</v>
      </c>
      <c r="B82" s="24">
        <v>0.25</v>
      </c>
      <c r="C82" s="76">
        <v>1</v>
      </c>
      <c r="D82" s="79">
        <v>150</v>
      </c>
    </row>
    <row r="83" spans="1:4">
      <c r="A83" s="42" t="s">
        <v>215</v>
      </c>
      <c r="B83" s="24">
        <v>0.51</v>
      </c>
      <c r="C83" s="76">
        <v>1</v>
      </c>
      <c r="D83" s="79">
        <v>150</v>
      </c>
    </row>
    <row r="84" spans="1:4">
      <c r="A84" s="42" t="s">
        <v>216</v>
      </c>
      <c r="B84" s="24">
        <v>300</v>
      </c>
      <c r="C84" s="76">
        <v>1</v>
      </c>
      <c r="D84" s="79"/>
    </row>
    <row r="85" spans="1:4">
      <c r="A85" s="42" t="s">
        <v>217</v>
      </c>
      <c r="B85" s="24">
        <v>105</v>
      </c>
      <c r="C85" s="76">
        <v>1</v>
      </c>
      <c r="D85" s="79"/>
    </row>
    <row r="86" spans="1:4">
      <c r="A86" s="42" t="s">
        <v>218</v>
      </c>
      <c r="B86" s="24">
        <v>105</v>
      </c>
      <c r="C86" s="76">
        <v>1</v>
      </c>
      <c r="D86" s="79"/>
    </row>
    <row r="87" spans="1:4">
      <c r="A87" s="42" t="s">
        <v>219</v>
      </c>
      <c r="B87" s="24">
        <v>100</v>
      </c>
      <c r="C87" s="76">
        <v>1</v>
      </c>
      <c r="D87" s="79"/>
    </row>
    <row r="88" spans="1:4">
      <c r="A88" s="42" t="s">
        <v>220</v>
      </c>
      <c r="B88" s="24">
        <v>200</v>
      </c>
      <c r="C88" s="76">
        <v>1</v>
      </c>
      <c r="D88" s="79"/>
    </row>
    <row r="89" spans="1:4">
      <c r="A89" s="42" t="s">
        <v>221</v>
      </c>
      <c r="B89" s="24">
        <v>100</v>
      </c>
      <c r="C89" s="76">
        <v>1</v>
      </c>
      <c r="D89" s="79"/>
    </row>
    <row r="90" spans="1:4">
      <c r="A90" s="42" t="s">
        <v>222</v>
      </c>
      <c r="B90" s="24">
        <v>0.66</v>
      </c>
      <c r="C90" s="76">
        <v>1</v>
      </c>
      <c r="D90" s="79">
        <v>140</v>
      </c>
    </row>
    <row r="91" spans="1:4">
      <c r="A91" s="42" t="s">
        <v>223</v>
      </c>
      <c r="B91" s="24">
        <v>1.46</v>
      </c>
      <c r="C91" s="76">
        <v>1</v>
      </c>
      <c r="D91" s="79">
        <v>140</v>
      </c>
    </row>
    <row r="92" spans="1:4">
      <c r="A92" s="42" t="s">
        <v>224</v>
      </c>
      <c r="B92" s="24">
        <v>115</v>
      </c>
      <c r="C92" s="76">
        <v>1</v>
      </c>
      <c r="D92" s="79"/>
    </row>
    <row r="93" spans="1:4">
      <c r="A93" s="42" t="s">
        <v>225</v>
      </c>
      <c r="B93" s="24">
        <v>108</v>
      </c>
      <c r="C93" s="76">
        <v>1</v>
      </c>
      <c r="D93" s="79"/>
    </row>
    <row r="94" spans="1:4">
      <c r="A94" s="42" t="s">
        <v>226</v>
      </c>
      <c r="B94" s="24">
        <v>290</v>
      </c>
      <c r="C94" s="76">
        <v>1</v>
      </c>
      <c r="D94" s="79"/>
    </row>
    <row r="95" spans="1:4">
      <c r="A95" s="42" t="s">
        <v>227</v>
      </c>
      <c r="B95" s="24">
        <v>115</v>
      </c>
      <c r="C95" s="76">
        <v>1</v>
      </c>
      <c r="D95" s="79"/>
    </row>
    <row r="96" spans="1:4">
      <c r="A96" s="42" t="s">
        <v>228</v>
      </c>
      <c r="B96" s="24">
        <v>290</v>
      </c>
      <c r="C96" s="76">
        <v>1</v>
      </c>
      <c r="D96" s="79"/>
    </row>
    <row r="97" spans="1:4">
      <c r="A97" s="42" t="s">
        <v>229</v>
      </c>
      <c r="B97" s="24">
        <v>65</v>
      </c>
      <c r="C97" s="76">
        <v>1</v>
      </c>
      <c r="D97" s="79"/>
    </row>
    <row r="98" spans="1:4">
      <c r="A98" s="42" t="s">
        <v>230</v>
      </c>
      <c r="B98" s="24">
        <v>7</v>
      </c>
      <c r="C98" s="76">
        <v>1</v>
      </c>
      <c r="D98" s="79"/>
    </row>
    <row r="99" spans="1:4">
      <c r="A99" s="42" t="s">
        <v>231</v>
      </c>
      <c r="B99" s="24">
        <v>8</v>
      </c>
      <c r="C99" s="76">
        <v>1</v>
      </c>
      <c r="D99" s="79"/>
    </row>
    <row r="100" spans="1:4">
      <c r="A100" s="42" t="s">
        <v>232</v>
      </c>
      <c r="B100" s="24">
        <v>3.6</v>
      </c>
      <c r="C100" s="76">
        <v>1</v>
      </c>
      <c r="D100" s="79">
        <v>81</v>
      </c>
    </row>
    <row r="101" spans="1:4">
      <c r="A101" s="42" t="s">
        <v>233</v>
      </c>
      <c r="B101" s="24">
        <v>1.07</v>
      </c>
      <c r="C101" s="76">
        <v>1</v>
      </c>
      <c r="D101" s="79">
        <v>100</v>
      </c>
    </row>
    <row r="102" spans="1:4">
      <c r="A102" s="42" t="s">
        <v>234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235</v>
      </c>
      <c r="B103" s="24">
        <v>0.64</v>
      </c>
      <c r="C103" s="76">
        <v>1</v>
      </c>
      <c r="D103" s="79">
        <v>100</v>
      </c>
    </row>
    <row r="104" spans="1:4">
      <c r="A104" s="42" t="s">
        <v>236</v>
      </c>
      <c r="B104" s="39">
        <v>7</v>
      </c>
      <c r="C104" s="76">
        <v>1</v>
      </c>
      <c r="D104" s="79"/>
    </row>
    <row r="105" spans="1:4">
      <c r="A105" s="42" t="s">
        <v>237</v>
      </c>
      <c r="B105" s="39">
        <v>8</v>
      </c>
      <c r="C105" s="76">
        <v>1</v>
      </c>
      <c r="D105" s="79"/>
    </row>
    <row r="106" spans="1:4">
      <c r="A106" s="42" t="s">
        <v>238</v>
      </c>
      <c r="B106" s="39">
        <v>3.5</v>
      </c>
      <c r="C106" s="76">
        <v>1</v>
      </c>
      <c r="D106" s="79"/>
    </row>
    <row r="107" spans="1:4">
      <c r="A107" s="42" t="s">
        <v>239</v>
      </c>
      <c r="B107" s="39">
        <v>3.6</v>
      </c>
      <c r="C107" s="76">
        <v>1</v>
      </c>
      <c r="D107" s="79"/>
    </row>
    <row r="108" spans="1:4">
      <c r="A108" s="42" t="s">
        <v>26</v>
      </c>
      <c r="B108" s="24">
        <v>300</v>
      </c>
      <c r="C108" s="76">
        <v>1</v>
      </c>
      <c r="D108" s="79"/>
    </row>
    <row r="109" spans="1:4">
      <c r="A109" s="42" t="s">
        <v>240</v>
      </c>
      <c r="B109" s="24">
        <v>0.42</v>
      </c>
      <c r="C109" s="76">
        <v>1</v>
      </c>
      <c r="D109" s="79">
        <v>140</v>
      </c>
    </row>
    <row r="110" spans="1:4">
      <c r="A110" s="42" t="s">
        <v>241</v>
      </c>
      <c r="B110" s="24">
        <v>3900</v>
      </c>
      <c r="C110" s="76">
        <v>1</v>
      </c>
      <c r="D110" s="79"/>
    </row>
    <row r="111" spans="1:4">
      <c r="A111" s="42" t="s">
        <v>242</v>
      </c>
      <c r="B111" s="24">
        <v>70</v>
      </c>
      <c r="C111" s="76">
        <v>1</v>
      </c>
      <c r="D111" s="79"/>
    </row>
    <row r="112" spans="1:4">
      <c r="A112" s="42" t="s">
        <v>243</v>
      </c>
      <c r="B112" s="24">
        <v>40</v>
      </c>
      <c r="C112" s="76">
        <v>1</v>
      </c>
      <c r="D112" s="79"/>
    </row>
    <row r="113" spans="1:4">
      <c r="A113" s="42" t="s">
        <v>244</v>
      </c>
      <c r="B113" s="24">
        <v>30</v>
      </c>
      <c r="C113" s="76">
        <v>1</v>
      </c>
      <c r="D113" s="79"/>
    </row>
    <row r="114" spans="1:4">
      <c r="A114" s="42" t="s">
        <v>245</v>
      </c>
      <c r="B114" s="24">
        <v>12</v>
      </c>
      <c r="C114" s="76">
        <v>1</v>
      </c>
      <c r="D114" s="79"/>
    </row>
    <row r="115" spans="1:4">
      <c r="A115" s="42" t="s">
        <v>246</v>
      </c>
      <c r="B115" s="24">
        <v>10</v>
      </c>
      <c r="C115" s="76">
        <v>1</v>
      </c>
      <c r="D115" s="79"/>
    </row>
    <row r="116" spans="1:4">
      <c r="A116" s="42" t="s">
        <v>247</v>
      </c>
      <c r="B116" s="24">
        <v>8</v>
      </c>
      <c r="C116" s="76">
        <v>1</v>
      </c>
      <c r="D116" s="79"/>
    </row>
    <row r="117" spans="1:4">
      <c r="A117" s="42" t="s">
        <v>248</v>
      </c>
      <c r="B117" s="24">
        <v>25</v>
      </c>
      <c r="C117" s="76">
        <v>1</v>
      </c>
      <c r="D117" s="79"/>
    </row>
    <row r="118" spans="1:4">
      <c r="A118" s="42" t="s">
        <v>249</v>
      </c>
      <c r="B118" s="24">
        <v>12</v>
      </c>
      <c r="C118" s="76">
        <v>1</v>
      </c>
      <c r="D118" s="79"/>
    </row>
    <row r="119" spans="1:4">
      <c r="A119" s="42" t="s">
        <v>250</v>
      </c>
      <c r="B119" s="24">
        <v>10</v>
      </c>
      <c r="C119" s="76">
        <v>1</v>
      </c>
      <c r="D119" s="79"/>
    </row>
    <row r="120" spans="1:4">
      <c r="A120" s="42" t="s">
        <v>251</v>
      </c>
      <c r="B120" s="24">
        <v>8</v>
      </c>
      <c r="C120" s="76">
        <v>1</v>
      </c>
      <c r="D120" s="79"/>
    </row>
    <row r="121" spans="1:4">
      <c r="A121" s="42" t="s">
        <v>252</v>
      </c>
      <c r="B121" s="24">
        <v>7</v>
      </c>
      <c r="C121" s="76">
        <v>1</v>
      </c>
      <c r="D121" s="79"/>
    </row>
    <row r="122" spans="1:4">
      <c r="A122" s="42" t="s">
        <v>25</v>
      </c>
      <c r="B122" s="24">
        <v>0.15</v>
      </c>
      <c r="C122" s="76">
        <v>1</v>
      </c>
      <c r="D122" s="79">
        <v>100</v>
      </c>
    </row>
    <row r="123" spans="1:4">
      <c r="A123" s="42" t="s">
        <v>253</v>
      </c>
      <c r="B123" s="24">
        <v>0.5</v>
      </c>
      <c r="C123" s="76">
        <v>1</v>
      </c>
      <c r="D123" s="79">
        <v>140</v>
      </c>
    </row>
    <row r="124" spans="1:4">
      <c r="A124" s="42" t="s">
        <v>254</v>
      </c>
      <c r="B124" s="24">
        <v>0.12</v>
      </c>
      <c r="C124" s="76">
        <v>1</v>
      </c>
      <c r="D124" s="79">
        <v>140</v>
      </c>
    </row>
    <row r="125" spans="1:4">
      <c r="A125" s="42" t="s">
        <v>255</v>
      </c>
      <c r="B125" s="24">
        <v>0.17</v>
      </c>
      <c r="C125" s="76">
        <v>1</v>
      </c>
      <c r="D125" s="79">
        <v>140</v>
      </c>
    </row>
    <row r="126" spans="1:4">
      <c r="A126" s="42" t="s">
        <v>256</v>
      </c>
      <c r="B126" s="24">
        <v>0.64</v>
      </c>
      <c r="C126" s="76">
        <v>1</v>
      </c>
      <c r="D126" s="79">
        <v>140</v>
      </c>
    </row>
    <row r="127" spans="1:4">
      <c r="A127" s="42" t="s">
        <v>257</v>
      </c>
      <c r="B127" s="24">
        <v>0.1</v>
      </c>
      <c r="C127" s="76">
        <v>1</v>
      </c>
      <c r="D127" s="79">
        <v>100</v>
      </c>
    </row>
    <row r="128" spans="1:4">
      <c r="A128" s="42" t="s">
        <v>258</v>
      </c>
      <c r="B128" s="24">
        <v>0.1</v>
      </c>
      <c r="C128" s="76">
        <v>1</v>
      </c>
      <c r="D128" s="79">
        <v>100</v>
      </c>
    </row>
    <row r="129" spans="1:4">
      <c r="A129" s="42" t="s">
        <v>259</v>
      </c>
      <c r="B129" s="24">
        <v>3500</v>
      </c>
      <c r="C129" s="76">
        <v>1</v>
      </c>
      <c r="D129" s="79"/>
    </row>
    <row r="130" spans="1:4">
      <c r="A130" s="42" t="s">
        <v>260</v>
      </c>
      <c r="B130" s="24">
        <v>4000</v>
      </c>
      <c r="C130" s="76">
        <v>1</v>
      </c>
      <c r="D130" s="79"/>
    </row>
    <row r="131" spans="1:4">
      <c r="A131" s="42" t="s">
        <v>261</v>
      </c>
      <c r="B131" s="24">
        <v>6500</v>
      </c>
      <c r="C131" s="76">
        <v>1</v>
      </c>
      <c r="D131" s="79"/>
    </row>
    <row r="132" spans="1:4">
      <c r="A132" s="42" t="s">
        <v>262</v>
      </c>
      <c r="B132" s="24">
        <v>4000</v>
      </c>
      <c r="C132" s="76">
        <v>1</v>
      </c>
      <c r="D132" s="79"/>
    </row>
    <row r="133" spans="1:4">
      <c r="A133" s="42" t="s">
        <v>263</v>
      </c>
      <c r="B133" s="24">
        <v>6000</v>
      </c>
      <c r="C133" s="76">
        <v>1</v>
      </c>
      <c r="D133" s="79"/>
    </row>
    <row r="134" spans="1:4">
      <c r="A134" s="42" t="s">
        <v>264</v>
      </c>
      <c r="B134" s="24">
        <v>1000</v>
      </c>
      <c r="C134" s="76">
        <v>1</v>
      </c>
      <c r="D134" s="79"/>
    </row>
    <row r="135" spans="1:4">
      <c r="A135" s="42" t="s">
        <v>265</v>
      </c>
      <c r="B135" s="24">
        <v>6500</v>
      </c>
      <c r="C135" s="76">
        <v>1</v>
      </c>
      <c r="D135" s="79"/>
    </row>
    <row r="136" spans="1:4">
      <c r="A136" s="42" t="s">
        <v>266</v>
      </c>
      <c r="B136" s="24">
        <v>2000</v>
      </c>
      <c r="C136" s="76">
        <v>1</v>
      </c>
      <c r="D136" s="79"/>
    </row>
    <row r="137" spans="1:4">
      <c r="A137" s="42" t="s">
        <v>267</v>
      </c>
      <c r="B137" s="24">
        <v>310</v>
      </c>
      <c r="C137" s="76">
        <v>1</v>
      </c>
      <c r="D137" s="79"/>
    </row>
    <row r="138" spans="1:4">
      <c r="A138" s="42" t="s">
        <v>268</v>
      </c>
      <c r="B138" s="24">
        <v>80</v>
      </c>
      <c r="C138" s="76">
        <v>1</v>
      </c>
      <c r="D138" s="79"/>
    </row>
    <row r="139" spans="1:4">
      <c r="A139" s="42" t="s">
        <v>269</v>
      </c>
      <c r="B139" s="24">
        <v>100</v>
      </c>
      <c r="C139" s="76">
        <v>1</v>
      </c>
      <c r="D139" s="79"/>
    </row>
    <row r="140" spans="1:4">
      <c r="A140" s="42" t="s">
        <v>270</v>
      </c>
      <c r="B140" s="24">
        <v>52</v>
      </c>
      <c r="C140" s="76">
        <v>1</v>
      </c>
      <c r="D140" s="79"/>
    </row>
    <row r="141" spans="1:4">
      <c r="A141" s="42" t="s">
        <v>271</v>
      </c>
      <c r="B141" s="24">
        <v>100</v>
      </c>
      <c r="C141" s="76">
        <v>1</v>
      </c>
      <c r="D141" s="79"/>
    </row>
    <row r="142" spans="1:4">
      <c r="A142" s="42" t="s">
        <v>272</v>
      </c>
      <c r="B142" s="24">
        <v>0.5</v>
      </c>
      <c r="C142" s="76">
        <v>1</v>
      </c>
      <c r="D142" s="79"/>
    </row>
    <row r="143" spans="1:4">
      <c r="A143" s="42" t="s">
        <v>273</v>
      </c>
      <c r="B143" s="25">
        <v>0.25</v>
      </c>
      <c r="C143" s="76">
        <v>1</v>
      </c>
      <c r="D143" s="79">
        <v>100</v>
      </c>
    </row>
    <row r="144" spans="1:4">
      <c r="A144" s="42" t="s">
        <v>274</v>
      </c>
      <c r="B144" s="25">
        <v>0.3</v>
      </c>
      <c r="C144" s="76">
        <v>1</v>
      </c>
      <c r="D144" s="79">
        <v>100</v>
      </c>
    </row>
    <row r="145" spans="1:4">
      <c r="A145" s="42" t="s">
        <v>275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C2916C7E-FB8E-4A87-B6E0-824744BF3C3B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2.7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28" t="s">
        <v>276</v>
      </c>
      <c r="B1" s="228"/>
      <c r="C1" s="228"/>
      <c r="D1" s="228"/>
      <c r="E1" s="228"/>
    </row>
    <row r="2" spans="1:5" ht="33.75" customHeight="1">
      <c r="A2" s="7"/>
      <c r="B2" s="13" t="s">
        <v>277</v>
      </c>
      <c r="C2" s="19" t="s">
        <v>278</v>
      </c>
      <c r="D2" s="13" t="s">
        <v>279</v>
      </c>
      <c r="E2" s="7" t="s">
        <v>280</v>
      </c>
    </row>
    <row r="3" spans="1:5">
      <c r="A3" s="12" t="s">
        <v>281</v>
      </c>
      <c r="B3" s="14" t="s">
        <v>85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282</v>
      </c>
      <c r="B4" s="14" t="s">
        <v>85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283</v>
      </c>
      <c r="B5" s="15" t="s">
        <v>284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285</v>
      </c>
      <c r="B6" s="15" t="s">
        <v>284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286</v>
      </c>
      <c r="B7" s="15" t="s">
        <v>284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287</v>
      </c>
      <c r="B8" s="15" t="s">
        <v>284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288</v>
      </c>
      <c r="B9" s="15" t="s">
        <v>289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290</v>
      </c>
      <c r="B10" s="16" t="s">
        <v>291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292</v>
      </c>
      <c r="B11" s="15" t="s">
        <v>293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294</v>
      </c>
      <c r="B12" s="15" t="s">
        <v>295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296</v>
      </c>
      <c r="B13" s="15" t="s">
        <v>295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297</v>
      </c>
      <c r="B14" s="15" t="s">
        <v>295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298</v>
      </c>
      <c r="B15" s="14" t="s">
        <v>85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299</v>
      </c>
      <c r="B16" s="17" t="s">
        <v>96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300</v>
      </c>
      <c r="B17" s="14" t="s">
        <v>85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301</v>
      </c>
      <c r="B18" s="14" t="s">
        <v>85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302</v>
      </c>
      <c r="B19" s="18" t="s">
        <v>303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304</v>
      </c>
      <c r="B20" s="18" t="s">
        <v>303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305</v>
      </c>
      <c r="B21" s="18" t="s">
        <v>303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306</v>
      </c>
      <c r="B22" s="18" t="s">
        <v>303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307</v>
      </c>
      <c r="B23" s="18" t="s">
        <v>303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308</v>
      </c>
      <c r="B24" s="18" t="s">
        <v>303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309</v>
      </c>
      <c r="B25" s="18" t="s">
        <v>303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310</v>
      </c>
      <c r="B26" s="18" t="s">
        <v>303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311</v>
      </c>
      <c r="B27" s="18" t="s">
        <v>303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312</v>
      </c>
      <c r="B28" s="18" t="s">
        <v>303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313</v>
      </c>
      <c r="B29" s="18" t="s">
        <v>303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310</v>
      </c>
      <c r="B30" s="18" t="s">
        <v>303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29" t="s">
        <v>280</v>
      </c>
      <c r="C31" s="230"/>
      <c r="D31" s="231"/>
      <c r="E31" s="20">
        <f>SUM(E3:E30)</f>
        <v>7333792.8399999999</v>
      </c>
    </row>
    <row r="34" spans="1:5">
      <c r="A34" s="232" t="s">
        <v>314</v>
      </c>
      <c r="B34" s="233"/>
      <c r="C34" s="233"/>
      <c r="D34" s="233"/>
      <c r="E34" s="233"/>
    </row>
    <row r="35" spans="1:5">
      <c r="A35" s="233"/>
      <c r="B35" s="233"/>
      <c r="C35" s="233"/>
      <c r="D35" s="233"/>
      <c r="E35" s="233"/>
    </row>
    <row r="36" spans="1:5">
      <c r="A36" s="233"/>
      <c r="B36" s="233"/>
      <c r="C36" s="233"/>
      <c r="D36" s="233"/>
      <c r="E36" s="233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2023-03-24T16:00:30Z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