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NOE RODRIGUEZ\"/>
    </mc:Choice>
  </mc:AlternateContent>
  <xr:revisionPtr revIDLastSave="0" documentId="13_ncr:1_{62113C01-6478-482D-8969-584090E44A96}" xr6:coauthVersionLast="36" xr6:coauthVersionMax="36" xr10:uidLastSave="{00000000-0000-0000-0000-000000000000}"/>
  <bookViews>
    <workbookView xWindow="0" yWindow="0" windowWidth="20490" windowHeight="74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 s="1"/>
  <c r="R1" i="61"/>
  <c r="P22" i="61" a="1"/>
  <c r="P22" i="61" s="1"/>
  <c r="P23" i="61" a="1"/>
  <c r="P23" i="61"/>
  <c r="P24" i="61" a="1"/>
  <c r="P24" i="61"/>
  <c r="P25" i="61" a="1"/>
  <c r="P25" i="61" s="1"/>
  <c r="P26" i="61" a="1"/>
  <c r="P26" i="61" s="1"/>
  <c r="P27" i="61" a="1"/>
  <c r="P27" i="61"/>
  <c r="P28" i="61" a="1"/>
  <c r="P28" i="61"/>
  <c r="P29" i="61" a="1"/>
  <c r="P29" i="61" s="1"/>
  <c r="P30" i="61" a="1"/>
  <c r="P30" i="61" s="1"/>
  <c r="P31" i="61" a="1"/>
  <c r="P31" i="61"/>
  <c r="P32" i="61" a="1"/>
  <c r="P32" i="61"/>
  <c r="M4" i="61"/>
  <c r="N1" i="61"/>
  <c r="C12" i="61"/>
  <c r="M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R6" i="61"/>
  <c r="O2" i="43"/>
  <c r="G1151" i="38"/>
  <c r="G1365" i="38"/>
  <c r="S10" i="43"/>
  <c r="S11" i="43"/>
  <c r="S12" i="43"/>
  <c r="S13" i="43"/>
  <c r="S14" i="43"/>
  <c r="S15" i="43"/>
  <c r="S16" i="43"/>
  <c r="S17" i="43"/>
  <c r="S18" i="43"/>
  <c r="S19" i="43"/>
  <c r="S20" i="43"/>
  <c r="S21" i="43"/>
  <c r="S22" i="43"/>
  <c r="S23" i="43"/>
  <c r="S24" i="43"/>
  <c r="S25" i="43"/>
  <c r="S26" i="43"/>
  <c r="S27" i="43"/>
  <c r="S28" i="43"/>
  <c r="A1278" i="38"/>
  <c r="A1279" i="38"/>
  <c r="A1280" i="38" s="1"/>
  <c r="J1280" i="38" s="1"/>
  <c r="J1277" i="38"/>
  <c r="A661" i="38"/>
  <c r="A662" i="38" s="1"/>
  <c r="A663" i="38" s="1"/>
  <c r="A664" i="38" s="1"/>
  <c r="S29" i="43"/>
  <c r="S30" i="43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/>
  <c r="A615" i="38"/>
  <c r="A63" i="38"/>
  <c r="A64" i="38" s="1"/>
  <c r="A65" i="38" s="1"/>
  <c r="J65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A1172" i="38" s="1"/>
  <c r="A1173" i="38" s="1"/>
  <c r="A1174" i="38" s="1"/>
  <c r="A1175" i="38" s="1"/>
  <c r="A1176" i="38" s="1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1419" i="38"/>
  <c r="J615" i="38"/>
  <c r="J1110" i="38"/>
  <c r="J9" i="38"/>
  <c r="J661" i="38"/>
  <c r="E3" i="38"/>
  <c r="W11" i="43"/>
  <c r="J663" i="38"/>
  <c r="J662" i="38"/>
  <c r="J1278" i="38"/>
  <c r="W10" i="43"/>
  <c r="O13" i="43"/>
  <c r="G15" i="61" s="1"/>
  <c r="W15" i="43"/>
  <c r="J64" i="38"/>
  <c r="A1112" i="38"/>
  <c r="A1113" i="38" s="1"/>
  <c r="J229" i="38"/>
  <c r="A1421" i="38"/>
  <c r="O15" i="43"/>
  <c r="G17" i="61" s="1"/>
  <c r="W14" i="43"/>
  <c r="J1279" i="38"/>
  <c r="J1112" i="38"/>
  <c r="J230" i="38"/>
  <c r="A66" i="38"/>
  <c r="A67" i="38" s="1"/>
  <c r="A68" i="38" s="1"/>
  <c r="J240" i="38"/>
  <c r="J231" i="38"/>
  <c r="J1113" i="38"/>
  <c r="A1114" i="38"/>
  <c r="A1333" i="38"/>
  <c r="A1334" i="38" s="1"/>
  <c r="J1334" i="38" s="1"/>
  <c r="J241" i="38"/>
  <c r="J1333" i="38"/>
  <c r="J242" i="38"/>
  <c r="A1335" i="38"/>
  <c r="A1336" i="38" s="1"/>
  <c r="J243" i="38"/>
  <c r="J1335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1173" i="38"/>
  <c r="J281" i="38"/>
  <c r="J1174" i="38"/>
  <c r="J282" i="38"/>
  <c r="J1175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P12" i="61" a="1"/>
  <c r="H28" i="61" a="1"/>
  <c r="H12" i="61" a="1"/>
  <c r="H31" i="61" a="1"/>
  <c r="H21" i="61" a="1"/>
  <c r="P13" i="61" a="1"/>
  <c r="P16" i="61" a="1"/>
  <c r="H15" i="61" a="1"/>
  <c r="H27" i="61" a="1"/>
  <c r="H17" i="61" a="1"/>
  <c r="H16" i="61" a="1"/>
  <c r="H19" i="61" a="1"/>
  <c r="H24" i="61" a="1"/>
  <c r="H29" i="61" a="1"/>
  <c r="H32" i="61" a="1"/>
  <c r="H13" i="61" a="1"/>
  <c r="P17" i="61" a="1"/>
  <c r="P15" i="61" a="1"/>
  <c r="P14" i="61" a="1"/>
  <c r="H30" i="61" a="1"/>
  <c r="P19" i="61" a="1"/>
  <c r="H18" i="61" a="1"/>
  <c r="P20" i="61" a="1"/>
  <c r="H25" i="61" a="1"/>
  <c r="H20" i="61" a="1"/>
  <c r="H23" i="61" a="1"/>
  <c r="P21" i="61" a="1"/>
  <c r="P18" i="61" a="1"/>
  <c r="S10" i="61" a="1"/>
  <c r="H22" i="61" a="1"/>
  <c r="H14" i="61" a="1"/>
  <c r="H26" i="61" a="1"/>
  <c r="A1337" i="38" l="1"/>
  <c r="J1336" i="38"/>
  <c r="J67" i="38"/>
  <c r="J68" i="38"/>
  <c r="A69" i="38"/>
  <c r="J1421" i="38"/>
  <c r="A1422" i="38"/>
  <c r="J66" i="38"/>
  <c r="J1114" i="38"/>
  <c r="A1115" i="38"/>
  <c r="J1176" i="38"/>
  <c r="A1177" i="38"/>
  <c r="A617" i="38"/>
  <c r="J616" i="38"/>
  <c r="A11" i="38"/>
  <c r="J10" i="38"/>
  <c r="A1281" i="38"/>
  <c r="O14" i="43"/>
  <c r="G16" i="61" s="1"/>
  <c r="O12" i="43"/>
  <c r="G14" i="61" s="1"/>
  <c r="J63" i="38"/>
  <c r="W12" i="43"/>
  <c r="A665" i="38"/>
  <c r="J664" i="38"/>
  <c r="W16" i="43"/>
  <c r="P12" i="61"/>
  <c r="S10" i="61"/>
  <c r="P17" i="61"/>
  <c r="P16" i="61"/>
  <c r="P15" i="61"/>
  <c r="P14" i="61"/>
  <c r="P13" i="61"/>
  <c r="P20" i="61"/>
  <c r="P19" i="61"/>
  <c r="P21" i="61"/>
  <c r="P18" i="61"/>
  <c r="H25" i="61"/>
  <c r="O25" i="61" s="1"/>
  <c r="H27" i="61"/>
  <c r="B27" i="61" s="1"/>
  <c r="H21" i="61"/>
  <c r="B21" i="61" s="1"/>
  <c r="H14" i="61"/>
  <c r="B14" i="61" s="1"/>
  <c r="H26" i="61"/>
  <c r="O26" i="61" s="1"/>
  <c r="H20" i="61"/>
  <c r="H13" i="61"/>
  <c r="B13" i="61" s="1"/>
  <c r="H32" i="61"/>
  <c r="K32" i="61" s="1" a="1"/>
  <c r="H19" i="61"/>
  <c r="B19" i="61" s="1"/>
  <c r="H31" i="61"/>
  <c r="B31" i="61" s="1"/>
  <c r="H18" i="61"/>
  <c r="B18" i="61" s="1"/>
  <c r="H12" i="61"/>
  <c r="B12" i="61" s="1"/>
  <c r="H30" i="61"/>
  <c r="O30" i="61" s="1"/>
  <c r="H24" i="61"/>
  <c r="B24" i="61" s="1"/>
  <c r="H29" i="61"/>
  <c r="O29" i="61" s="1"/>
  <c r="H23" i="61"/>
  <c r="K23" i="61" s="1" a="1"/>
  <c r="H17" i="61"/>
  <c r="B17" i="61" s="1"/>
  <c r="H16" i="61"/>
  <c r="B16" i="61" s="1"/>
  <c r="H28" i="61"/>
  <c r="B28" i="61" s="1"/>
  <c r="H22" i="61"/>
  <c r="O22" i="61" s="1"/>
  <c r="H15" i="61"/>
  <c r="O15" i="61" s="1"/>
  <c r="W13" i="43"/>
  <c r="W17" i="43"/>
  <c r="O23" i="61"/>
  <c r="K28" i="61" a="1"/>
  <c r="K12" i="61" a="1"/>
  <c r="K17" i="61" a="1"/>
  <c r="K18" i="61" a="1"/>
  <c r="K22" i="61" a="1"/>
  <c r="K25" i="61" a="1"/>
  <c r="K14" i="61" a="1"/>
  <c r="K20" i="61" a="1"/>
  <c r="K21" i="61" a="1"/>
  <c r="K31" i="61" a="1"/>
  <c r="K16" i="61" a="1"/>
  <c r="K19" i="61" a="1"/>
  <c r="J11" i="38" l="1"/>
  <c r="A12" i="38"/>
  <c r="A1423" i="38"/>
  <c r="J1422" i="38"/>
  <c r="K15" i="61" a="1"/>
  <c r="K15" i="61" s="1"/>
  <c r="A666" i="38"/>
  <c r="J665" i="38"/>
  <c r="J617" i="38"/>
  <c r="A618" i="38"/>
  <c r="A70" i="38"/>
  <c r="J69" i="38"/>
  <c r="K30" i="61" a="1"/>
  <c r="K30" i="61" s="1"/>
  <c r="A1178" i="38"/>
  <c r="J1177" i="38"/>
  <c r="A1116" i="38"/>
  <c r="J1115" i="38"/>
  <c r="A1282" i="38"/>
  <c r="J1281" i="38"/>
  <c r="A1338" i="38"/>
  <c r="J1337" i="38"/>
  <c r="O18" i="61"/>
  <c r="O21" i="61"/>
  <c r="O17" i="61"/>
  <c r="B25" i="61"/>
  <c r="O19" i="61"/>
  <c r="B29" i="61"/>
  <c r="O28" i="61"/>
  <c r="O12" i="61"/>
  <c r="B15" i="61"/>
  <c r="B26" i="61"/>
  <c r="O16" i="61"/>
  <c r="O27" i="61"/>
  <c r="O31" i="61"/>
  <c r="K23" i="61"/>
  <c r="K20" i="61"/>
  <c r="K22" i="61"/>
  <c r="K18" i="61"/>
  <c r="K32" i="61"/>
  <c r="K14" i="61"/>
  <c r="K21" i="61"/>
  <c r="K28" i="61"/>
  <c r="K25" i="61"/>
  <c r="K17" i="61"/>
  <c r="K12" i="61"/>
  <c r="K31" i="61"/>
  <c r="K16" i="61"/>
  <c r="K19" i="61"/>
  <c r="D5" i="43"/>
  <c r="B8" i="61" s="1"/>
  <c r="B32" i="61"/>
  <c r="B23" i="61"/>
  <c r="O32" i="61"/>
  <c r="O20" i="61"/>
  <c r="O24" i="61"/>
  <c r="B20" i="61"/>
  <c r="B22" i="61"/>
  <c r="B30" i="61"/>
  <c r="O13" i="61"/>
  <c r="O14" i="61"/>
  <c r="K13" i="61" a="1"/>
  <c r="K27" i="61" a="1"/>
  <c r="K26" i="61" a="1"/>
  <c r="K24" i="61" a="1"/>
  <c r="K29" i="61" a="1"/>
  <c r="J1116" i="38" l="1"/>
  <c r="A1117" i="38"/>
  <c r="A667" i="38"/>
  <c r="J666" i="38"/>
  <c r="J1178" i="38"/>
  <c r="A1179" i="38"/>
  <c r="A1339" i="38"/>
  <c r="J1338" i="38"/>
  <c r="J1423" i="38"/>
  <c r="A1424" i="38"/>
  <c r="J70" i="38"/>
  <c r="A71" i="38"/>
  <c r="A13" i="38"/>
  <c r="J12" i="38"/>
  <c r="A1283" i="38"/>
  <c r="J1282" i="38"/>
  <c r="J618" i="38"/>
  <c r="A619" i="38"/>
  <c r="K29" i="61"/>
  <c r="K27" i="61"/>
  <c r="K26" i="61"/>
  <c r="K13" i="61"/>
  <c r="K24" i="61"/>
  <c r="O5" i="43"/>
  <c r="A1284" i="38" l="1"/>
  <c r="J1283" i="38"/>
  <c r="J1339" i="38"/>
  <c r="A1340" i="38"/>
  <c r="A1180" i="38"/>
  <c r="J1179" i="38"/>
  <c r="A14" i="38"/>
  <c r="J13" i="38"/>
  <c r="A72" i="38"/>
  <c r="J71" i="38"/>
  <c r="A668" i="38"/>
  <c r="J667" i="38"/>
  <c r="J619" i="38"/>
  <c r="A620" i="38"/>
  <c r="A1425" i="38"/>
  <c r="J1424" i="38"/>
  <c r="A1118" i="38"/>
  <c r="J1117" i="38"/>
  <c r="A1426" i="38" l="1"/>
  <c r="J1425" i="38"/>
  <c r="J14" i="38"/>
  <c r="A15" i="38"/>
  <c r="A1181" i="38"/>
  <c r="J1180" i="38"/>
  <c r="J1340" i="38"/>
  <c r="A1341" i="38"/>
  <c r="A621" i="38"/>
  <c r="J620" i="38"/>
  <c r="A669" i="38"/>
  <c r="J668" i="38"/>
  <c r="A1119" i="38"/>
  <c r="J1118" i="38"/>
  <c r="J72" i="38"/>
  <c r="A73" i="38"/>
  <c r="A1285" i="38"/>
  <c r="J1284" i="38"/>
  <c r="J1119" i="38" l="1"/>
  <c r="A1120" i="38"/>
  <c r="J1181" i="38"/>
  <c r="A1182" i="38"/>
  <c r="J73" i="38"/>
  <c r="A74" i="38"/>
  <c r="J1341" i="38"/>
  <c r="A1342" i="38"/>
  <c r="J15" i="38"/>
  <c r="A16" i="38"/>
  <c r="A670" i="38"/>
  <c r="J669" i="38"/>
  <c r="J1285" i="38"/>
  <c r="A1286" i="38"/>
  <c r="J621" i="38"/>
  <c r="A622" i="38"/>
  <c r="A1427" i="38"/>
  <c r="J1426" i="38"/>
  <c r="A1428" i="38" l="1"/>
  <c r="J1427" i="38"/>
  <c r="A1287" i="38"/>
  <c r="J1286" i="38"/>
  <c r="A75" i="38"/>
  <c r="J74" i="38"/>
  <c r="J1342" i="38"/>
  <c r="A1343" i="38"/>
  <c r="J1182" i="38"/>
  <c r="A1183" i="38"/>
  <c r="A623" i="38"/>
  <c r="J622" i="38"/>
  <c r="A671" i="38"/>
  <c r="J670" i="38"/>
  <c r="A17" i="38"/>
  <c r="J16" i="38"/>
  <c r="A1121" i="38"/>
  <c r="J1120" i="38"/>
  <c r="A672" i="38" l="1"/>
  <c r="J671" i="38"/>
  <c r="A76" i="38"/>
  <c r="J75" i="38"/>
  <c r="A1344" i="38"/>
  <c r="J1343" i="38"/>
  <c r="J17" i="38"/>
  <c r="A18" i="38"/>
  <c r="J623" i="38"/>
  <c r="A624" i="38"/>
  <c r="J1287" i="38"/>
  <c r="A1288" i="38"/>
  <c r="A1184" i="38"/>
  <c r="J1183" i="38"/>
  <c r="J1121" i="38"/>
  <c r="A1122" i="38"/>
  <c r="A1429" i="38"/>
  <c r="J1428" i="38"/>
  <c r="J1184" i="38" l="1"/>
  <c r="A1185" i="38"/>
  <c r="J1344" i="38"/>
  <c r="A1345" i="38"/>
  <c r="A77" i="38"/>
  <c r="J76" i="38"/>
  <c r="J1122" i="38"/>
  <c r="A1123" i="38"/>
  <c r="A19" i="38"/>
  <c r="J18" i="38"/>
  <c r="A1289" i="38"/>
  <c r="J1288" i="38"/>
  <c r="A625" i="38"/>
  <c r="J624" i="38"/>
  <c r="A1430" i="38"/>
  <c r="J1429" i="38"/>
  <c r="A673" i="38"/>
  <c r="J672" i="38"/>
  <c r="J625" i="38" l="1"/>
  <c r="A626" i="38"/>
  <c r="A78" i="38"/>
  <c r="J77" i="38"/>
  <c r="A1431" i="38"/>
  <c r="J1430" i="38"/>
  <c r="A1346" i="38"/>
  <c r="J1345" i="38"/>
  <c r="A1124" i="38"/>
  <c r="J1123" i="38"/>
  <c r="A1290" i="38"/>
  <c r="J1289" i="38"/>
  <c r="A1186" i="38"/>
  <c r="J1185" i="38"/>
  <c r="A674" i="38"/>
  <c r="J673" i="38"/>
  <c r="A20" i="38"/>
  <c r="J19" i="38"/>
  <c r="A675" i="38" l="1"/>
  <c r="J674" i="38"/>
  <c r="A1347" i="38"/>
  <c r="J1346" i="38"/>
  <c r="A1187" i="38"/>
  <c r="J1186" i="38"/>
  <c r="J1431" i="38"/>
  <c r="A1432" i="38"/>
  <c r="J1290" i="38"/>
  <c r="A1291" i="38"/>
  <c r="J78" i="38"/>
  <c r="A79" i="38"/>
  <c r="A627" i="38"/>
  <c r="J626" i="38"/>
  <c r="A1125" i="38"/>
  <c r="J1124" i="38"/>
  <c r="A628" i="38" l="1"/>
  <c r="J627" i="38"/>
  <c r="A1188" i="38"/>
  <c r="J1187" i="38"/>
  <c r="A1348" i="38"/>
  <c r="J1347" i="38"/>
  <c r="A1433" i="38"/>
  <c r="J1432" i="38"/>
  <c r="J1125" i="38"/>
  <c r="A1126" i="38"/>
  <c r="A80" i="38"/>
  <c r="J79" i="38"/>
  <c r="J1291" i="38"/>
  <c r="A1292" i="38"/>
  <c r="A676" i="38"/>
  <c r="J675" i="38"/>
  <c r="A677" i="38" l="1"/>
  <c r="J676" i="38"/>
  <c r="J1433" i="38"/>
  <c r="A1434" i="38"/>
  <c r="A1349" i="38"/>
  <c r="J1348" i="38"/>
  <c r="A81" i="38"/>
  <c r="J80" i="38"/>
  <c r="A1189" i="38"/>
  <c r="J1188" i="38"/>
  <c r="J1126" i="38"/>
  <c r="A1127" i="38"/>
  <c r="A1293" i="38"/>
  <c r="J1292" i="38"/>
  <c r="A629" i="38"/>
  <c r="J628" i="38"/>
  <c r="J629" i="38" l="1"/>
  <c r="A630" i="38"/>
  <c r="A82" i="38"/>
  <c r="J81" i="38"/>
  <c r="J1349" i="38"/>
  <c r="A1350" i="38"/>
  <c r="A1294" i="38"/>
  <c r="J1293" i="38"/>
  <c r="J1127" i="38"/>
  <c r="A1128" i="38"/>
  <c r="J1434" i="38"/>
  <c r="A1435" i="38"/>
  <c r="J1189" i="38"/>
  <c r="A1190" i="38"/>
  <c r="A678" i="38"/>
  <c r="J677" i="38"/>
  <c r="A679" i="38" l="1"/>
  <c r="J678" i="38"/>
  <c r="A1295" i="38"/>
  <c r="J1294" i="38"/>
  <c r="A1191" i="38"/>
  <c r="J1190" i="38"/>
  <c r="A1351" i="38"/>
  <c r="J1350" i="38"/>
  <c r="J1435" i="38"/>
  <c r="A1436" i="38"/>
  <c r="A83" i="38"/>
  <c r="J82" i="38"/>
  <c r="A1129" i="38"/>
  <c r="J1128" i="38"/>
  <c r="A631" i="38"/>
  <c r="J630" i="38"/>
  <c r="J631" i="38" l="1"/>
  <c r="A632" i="38"/>
  <c r="J1351" i="38"/>
  <c r="A1352" i="38"/>
  <c r="J1129" i="38"/>
  <c r="A1130" i="38"/>
  <c r="A1192" i="38"/>
  <c r="J1191" i="38"/>
  <c r="J83" i="38"/>
  <c r="A84" i="38"/>
  <c r="A1296" i="38"/>
  <c r="J1295" i="38"/>
  <c r="A1437" i="38"/>
  <c r="J1436" i="38"/>
  <c r="A680" i="38"/>
  <c r="J679" i="38"/>
  <c r="A681" i="38" l="1"/>
  <c r="J680" i="38"/>
  <c r="J1192" i="38"/>
  <c r="A1193" i="38"/>
  <c r="J1130" i="38"/>
  <c r="A1131" i="38"/>
  <c r="A1438" i="38"/>
  <c r="J1437" i="38"/>
  <c r="A1353" i="38"/>
  <c r="J1352" i="38"/>
  <c r="A1297" i="38"/>
  <c r="J1296" i="38"/>
  <c r="J84" i="38"/>
  <c r="A85" i="38"/>
  <c r="A633" i="38"/>
  <c r="J632" i="38"/>
  <c r="J633" i="38" l="1"/>
  <c r="A634" i="38"/>
  <c r="J1438" i="38"/>
  <c r="A1439" i="38"/>
  <c r="J85" i="38"/>
  <c r="A86" i="38"/>
  <c r="A1132" i="38"/>
  <c r="J1131" i="38"/>
  <c r="A1194" i="38"/>
  <c r="J1193" i="38"/>
  <c r="A1298" i="38"/>
  <c r="J1297" i="38"/>
  <c r="A1354" i="38"/>
  <c r="J1353" i="38"/>
  <c r="A682" i="38"/>
  <c r="J681" i="38"/>
  <c r="A683" i="38" l="1"/>
  <c r="J682" i="38"/>
  <c r="A1133" i="38"/>
  <c r="J1132" i="38"/>
  <c r="A87" i="38"/>
  <c r="J86" i="38"/>
  <c r="A1440" i="38"/>
  <c r="J1439" i="38"/>
  <c r="A635" i="38"/>
  <c r="J634" i="38"/>
  <c r="A1355" i="38"/>
  <c r="J1354" i="38"/>
  <c r="A1299" i="38"/>
  <c r="J1298" i="38"/>
  <c r="J1194" i="38"/>
  <c r="A1195" i="38"/>
  <c r="A1441" i="38" l="1"/>
  <c r="J1440" i="38"/>
  <c r="A1300" i="38"/>
  <c r="J1299" i="38"/>
  <c r="A88" i="38"/>
  <c r="J87" i="38"/>
  <c r="A1356" i="38"/>
  <c r="J1355" i="38"/>
  <c r="J1133" i="38"/>
  <c r="A1134" i="38"/>
  <c r="J1195" i="38"/>
  <c r="A1196" i="38"/>
  <c r="J635" i="38"/>
  <c r="A636" i="38"/>
  <c r="A684" i="38"/>
  <c r="J683" i="38"/>
  <c r="A685" i="38" l="1"/>
  <c r="J684" i="38"/>
  <c r="J1356" i="38"/>
  <c r="A1357" i="38"/>
  <c r="A89" i="38"/>
  <c r="J88" i="38"/>
  <c r="A1301" i="38"/>
  <c r="J1300" i="38"/>
  <c r="J636" i="38"/>
  <c r="A637" i="38"/>
  <c r="J1196" i="38"/>
  <c r="A1197" i="38"/>
  <c r="J1134" i="38"/>
  <c r="A1135" i="38"/>
  <c r="J1441" i="38"/>
  <c r="A1442" i="38"/>
  <c r="A1302" i="38" l="1"/>
  <c r="A1303" i="38" s="1"/>
  <c r="J1301" i="38"/>
  <c r="J1135" i="38"/>
  <c r="A1136" i="38"/>
  <c r="J89" i="38"/>
  <c r="A90" i="38"/>
  <c r="J1197" i="38"/>
  <c r="A1198" i="38"/>
  <c r="A1358" i="38"/>
  <c r="J1357" i="38"/>
  <c r="A1443" i="38"/>
  <c r="J1442" i="38"/>
  <c r="A638" i="38"/>
  <c r="J638" i="38" s="1"/>
  <c r="J637" i="38"/>
  <c r="A686" i="38"/>
  <c r="J685" i="38"/>
  <c r="A687" i="38" l="1"/>
  <c r="J686" i="38"/>
  <c r="A91" i="38"/>
  <c r="J90" i="38"/>
  <c r="A1199" i="38"/>
  <c r="J1198" i="38"/>
  <c r="J1136" i="38"/>
  <c r="A1137" i="38"/>
  <c r="A1444" i="38"/>
  <c r="J1443" i="38"/>
  <c r="J1358" i="38"/>
  <c r="A1359" i="38"/>
  <c r="A1304" i="38"/>
  <c r="J1303" i="38"/>
  <c r="J1137" i="38" l="1"/>
  <c r="A1138" i="38"/>
  <c r="A1305" i="38"/>
  <c r="J1304" i="38"/>
  <c r="J1199" i="38"/>
  <c r="A1200" i="38"/>
  <c r="A92" i="38"/>
  <c r="J91" i="38"/>
  <c r="A1360" i="38"/>
  <c r="J1359" i="38"/>
  <c r="A1445" i="38"/>
  <c r="J1444" i="38"/>
  <c r="A688" i="38"/>
  <c r="J687" i="38"/>
  <c r="A93" i="38" l="1"/>
  <c r="J92" i="38"/>
  <c r="J1200" i="38"/>
  <c r="A1201" i="38"/>
  <c r="J1445" i="38"/>
  <c r="A1446" i="38"/>
  <c r="A1306" i="38"/>
  <c r="J1305" i="38"/>
  <c r="A1139" i="38"/>
  <c r="J1138" i="38"/>
  <c r="A689" i="38"/>
  <c r="J688" i="38"/>
  <c r="J1360" i="38"/>
  <c r="A1361" i="38"/>
  <c r="A1307" i="38" l="1"/>
  <c r="J1306" i="38"/>
  <c r="A690" i="38"/>
  <c r="J689" i="38"/>
  <c r="J1361" i="38"/>
  <c r="A1362" i="38"/>
  <c r="J1446" i="38"/>
  <c r="A1447" i="38"/>
  <c r="J1201" i="38"/>
  <c r="A1202" i="38"/>
  <c r="A1140" i="38"/>
  <c r="J1139" i="38"/>
  <c r="J93" i="38"/>
  <c r="A94" i="38"/>
  <c r="J1202" i="38" l="1"/>
  <c r="A1203" i="38"/>
  <c r="A1448" i="38"/>
  <c r="J1447" i="38"/>
  <c r="J94" i="38"/>
  <c r="A95" i="38"/>
  <c r="A1363" i="38"/>
  <c r="J1362" i="38"/>
  <c r="A1141" i="38"/>
  <c r="J1140" i="38"/>
  <c r="A691" i="38"/>
  <c r="J690" i="38"/>
  <c r="A1308" i="38"/>
  <c r="J1307" i="38"/>
  <c r="J1363" i="38" l="1"/>
  <c r="A1364" i="38"/>
  <c r="A96" i="38"/>
  <c r="J95" i="38"/>
  <c r="A692" i="38"/>
  <c r="J691" i="38"/>
  <c r="A1449" i="38"/>
  <c r="J1448" i="38"/>
  <c r="J1203" i="38"/>
  <c r="A1204" i="38"/>
  <c r="A1309" i="38"/>
  <c r="A1310" i="38" s="1"/>
  <c r="J1308" i="38"/>
  <c r="J1141" i="38"/>
  <c r="A1142" i="38"/>
  <c r="J1449" i="38" l="1"/>
  <c r="A1450" i="38"/>
  <c r="J1142" i="38"/>
  <c r="A1143" i="38"/>
  <c r="A693" i="38"/>
  <c r="J692" i="38"/>
  <c r="A1311" i="38"/>
  <c r="J1310" i="38"/>
  <c r="A97" i="38"/>
  <c r="J96" i="38"/>
  <c r="J1204" i="38"/>
  <c r="A1205" i="38"/>
  <c r="A1365" i="38"/>
  <c r="J1364" i="38"/>
  <c r="A1312" i="38" l="1"/>
  <c r="J1311" i="38"/>
  <c r="A98" i="38"/>
  <c r="J97" i="38"/>
  <c r="A694" i="38"/>
  <c r="J693" i="38"/>
  <c r="J1365" i="38"/>
  <c r="A1366" i="38"/>
  <c r="J1205" i="38"/>
  <c r="A1206" i="38"/>
  <c r="J1143" i="38"/>
  <c r="A1144" i="38"/>
  <c r="A1451" i="38"/>
  <c r="J1450" i="38"/>
  <c r="A1452" i="38" l="1"/>
  <c r="J1451" i="38"/>
  <c r="A695" i="38"/>
  <c r="J694" i="38"/>
  <c r="A99" i="38"/>
  <c r="J98" i="38"/>
  <c r="A1367" i="38"/>
  <c r="J1366" i="38"/>
  <c r="A1145" i="38"/>
  <c r="J1144" i="38"/>
  <c r="J1206" i="38"/>
  <c r="A1207" i="38"/>
  <c r="A1313" i="38"/>
  <c r="J1312" i="38"/>
  <c r="J1367" i="38" l="1"/>
  <c r="A1368" i="38"/>
  <c r="A1314" i="38"/>
  <c r="J1313" i="38"/>
  <c r="J99" i="38"/>
  <c r="A100" i="38"/>
  <c r="A696" i="38"/>
  <c r="J695" i="38"/>
  <c r="A1208" i="38"/>
  <c r="J1207" i="38"/>
  <c r="A1146" i="38"/>
  <c r="J1145" i="38"/>
  <c r="A1453" i="38"/>
  <c r="J1452" i="38"/>
  <c r="A697" i="38" l="1"/>
  <c r="J696" i="38"/>
  <c r="A101" i="38"/>
  <c r="J100" i="38"/>
  <c r="A1147" i="38"/>
  <c r="J1146" i="38"/>
  <c r="A1315" i="38"/>
  <c r="J1314" i="38"/>
  <c r="A1369" i="38"/>
  <c r="J1368" i="38"/>
  <c r="A1454" i="38"/>
  <c r="J1453" i="38"/>
  <c r="J1208" i="38"/>
  <c r="A1209" i="38"/>
  <c r="A1316" i="38" l="1"/>
  <c r="J1316" i="38" s="1"/>
  <c r="J1315" i="38"/>
  <c r="A1148" i="38"/>
  <c r="J1147" i="38"/>
  <c r="J1454" i="38"/>
  <c r="A1455" i="38"/>
  <c r="A102" i="38"/>
  <c r="J101" i="38"/>
  <c r="A1210" i="38"/>
  <c r="J1209" i="38"/>
  <c r="A1370" i="38"/>
  <c r="J1369" i="38"/>
  <c r="A698" i="38"/>
  <c r="J697" i="38"/>
  <c r="J102" i="38" l="1"/>
  <c r="A103" i="38"/>
  <c r="A1456" i="38"/>
  <c r="J1455" i="38"/>
  <c r="A1371" i="38"/>
  <c r="J1370" i="38"/>
  <c r="A1149" i="38"/>
  <c r="J1148" i="38"/>
  <c r="A699" i="38"/>
  <c r="J698" i="38"/>
  <c r="J1210" i="38"/>
  <c r="A1211" i="38"/>
  <c r="A1150" i="38" l="1"/>
  <c r="J1149" i="38"/>
  <c r="A1212" i="38"/>
  <c r="J1211" i="38"/>
  <c r="J1371" i="38"/>
  <c r="A1372" i="38"/>
  <c r="A1457" i="38"/>
  <c r="J1456" i="38"/>
  <c r="A104" i="38"/>
  <c r="J103" i="38"/>
  <c r="A700" i="38"/>
  <c r="J699" i="38"/>
  <c r="A1458" i="38" l="1"/>
  <c r="J1457" i="38"/>
  <c r="J1372" i="38"/>
  <c r="A1373" i="38"/>
  <c r="A701" i="38"/>
  <c r="J700" i="38"/>
  <c r="A1213" i="38"/>
  <c r="J1212" i="38"/>
  <c r="A105" i="38"/>
  <c r="J104" i="38"/>
  <c r="J1150" i="38"/>
  <c r="A1151" i="38"/>
  <c r="J1151" i="38" s="1"/>
  <c r="J1213" i="38" l="1"/>
  <c r="A1214" i="38"/>
  <c r="A702" i="38"/>
  <c r="J701" i="38"/>
  <c r="J1373" i="38"/>
  <c r="A1374" i="38"/>
  <c r="A106" i="38"/>
  <c r="J105" i="38"/>
  <c r="A1459" i="38"/>
  <c r="J1458" i="38"/>
  <c r="J106" i="38" l="1"/>
  <c r="A107" i="38"/>
  <c r="A1375" i="38"/>
  <c r="J1374" i="38"/>
  <c r="A703" i="38"/>
  <c r="J702" i="38"/>
  <c r="J1214" i="38"/>
  <c r="A1215" i="38"/>
  <c r="A1460" i="38"/>
  <c r="J1459" i="38"/>
  <c r="J1215" i="38" l="1"/>
  <c r="A1216" i="38"/>
  <c r="A704" i="38"/>
  <c r="J703" i="38"/>
  <c r="J1375" i="38"/>
  <c r="A1376" i="38"/>
  <c r="A108" i="38"/>
  <c r="J107" i="38"/>
  <c r="J1460" i="38"/>
  <c r="A1461" i="38"/>
  <c r="A109" i="38" l="1"/>
  <c r="J108" i="38"/>
  <c r="J1376" i="38"/>
  <c r="A1377" i="38"/>
  <c r="A705" i="38"/>
  <c r="J704" i="38"/>
  <c r="A1462" i="38"/>
  <c r="J1461" i="38"/>
  <c r="J1216" i="38"/>
  <c r="A1217" i="38"/>
  <c r="A1463" i="38" l="1"/>
  <c r="J1462" i="38"/>
  <c r="A1218" i="38"/>
  <c r="J1217" i="38"/>
  <c r="A706" i="38"/>
  <c r="J705" i="38"/>
  <c r="A1378" i="38"/>
  <c r="J1377" i="38"/>
  <c r="J109" i="38"/>
  <c r="A110" i="38"/>
  <c r="J110" i="38" l="1"/>
  <c r="A111" i="38"/>
  <c r="A1379" i="38"/>
  <c r="J1378" i="38"/>
  <c r="A707" i="38"/>
  <c r="J706" i="38"/>
  <c r="J1218" i="38"/>
  <c r="A1219" i="38"/>
  <c r="A1464" i="38"/>
  <c r="J1463" i="38"/>
  <c r="J1464" i="38" l="1"/>
  <c r="A1465" i="38"/>
  <c r="A1220" i="38"/>
  <c r="J1219" i="38"/>
  <c r="A708" i="38"/>
  <c r="J707" i="38"/>
  <c r="A1380" i="38"/>
  <c r="J1379" i="38"/>
  <c r="A112" i="38"/>
  <c r="J111" i="38"/>
  <c r="J1380" i="38" l="1"/>
  <c r="A1381" i="38"/>
  <c r="A113" i="38"/>
  <c r="J112" i="38"/>
  <c r="A709" i="38"/>
  <c r="J708" i="38"/>
  <c r="A1221" i="38"/>
  <c r="J1220" i="38"/>
  <c r="J1465" i="38"/>
  <c r="A1466" i="38"/>
  <c r="A1222" i="38" l="1"/>
  <c r="J1221" i="38"/>
  <c r="A710" i="38"/>
  <c r="J709" i="38"/>
  <c r="J113" i="38"/>
  <c r="A114" i="38"/>
  <c r="J1466" i="38"/>
  <c r="A1467" i="38"/>
  <c r="J1381" i="38"/>
  <c r="A1382" i="38"/>
  <c r="J1467" i="38" l="1"/>
  <c r="A1468" i="38"/>
  <c r="J114" i="38"/>
  <c r="A115" i="38"/>
  <c r="J1382" i="38"/>
  <c r="A1383" i="38"/>
  <c r="A711" i="38"/>
  <c r="J710" i="38"/>
  <c r="A1223" i="38"/>
  <c r="J1222" i="38"/>
  <c r="A712" i="38" l="1"/>
  <c r="J711" i="38"/>
  <c r="A1224" i="38"/>
  <c r="J1223" i="38"/>
  <c r="A1384" i="38"/>
  <c r="J1383" i="38"/>
  <c r="A116" i="38"/>
  <c r="J115" i="38"/>
  <c r="A1469" i="38"/>
  <c r="J1468" i="38"/>
  <c r="J116" i="38" l="1"/>
  <c r="A117" i="38"/>
  <c r="J1384" i="38"/>
  <c r="A1385" i="38"/>
  <c r="A1225" i="38"/>
  <c r="J1224" i="38"/>
  <c r="A1470" i="38"/>
  <c r="J1469" i="38"/>
  <c r="A713" i="38"/>
  <c r="J712" i="38"/>
  <c r="J1470" i="38" l="1"/>
  <c r="A1471" i="38"/>
  <c r="A714" i="38"/>
  <c r="J713" i="38"/>
  <c r="A1226" i="38"/>
  <c r="J1225" i="38"/>
  <c r="J1385" i="38"/>
  <c r="A1386" i="38"/>
  <c r="J117" i="38"/>
  <c r="A118" i="38"/>
  <c r="A1387" i="38" l="1"/>
  <c r="J1386" i="38"/>
  <c r="J1226" i="38"/>
  <c r="A1227" i="38"/>
  <c r="A715" i="38"/>
  <c r="J714" i="38"/>
  <c r="J118" i="38"/>
  <c r="A119" i="38"/>
  <c r="A1472" i="38"/>
  <c r="J1471" i="38"/>
  <c r="J119" i="38" l="1"/>
  <c r="A120" i="38"/>
  <c r="A716" i="38"/>
  <c r="J715" i="38"/>
  <c r="A1228" i="38"/>
  <c r="J1227" i="38"/>
  <c r="J1472" i="38"/>
  <c r="A1473" i="38"/>
  <c r="J1387" i="38"/>
  <c r="A1388" i="38"/>
  <c r="A1474" i="38" l="1"/>
  <c r="J1473" i="38"/>
  <c r="J1228" i="38"/>
  <c r="A1229" i="38"/>
  <c r="A717" i="38"/>
  <c r="J716" i="38"/>
  <c r="A1389" i="38"/>
  <c r="J1388" i="38"/>
  <c r="A121" i="38"/>
  <c r="J120" i="38"/>
  <c r="A1390" i="38" l="1"/>
  <c r="J1389" i="38"/>
  <c r="A718" i="38"/>
  <c r="J717" i="38"/>
  <c r="A1230" i="38"/>
  <c r="J1230" i="38" s="1"/>
  <c r="J1229" i="38"/>
  <c r="J121" i="38"/>
  <c r="A122" i="38"/>
  <c r="J1474" i="38"/>
  <c r="A1475" i="38"/>
  <c r="J1475" i="38" l="1"/>
  <c r="A1476" i="38"/>
  <c r="J122" i="38"/>
  <c r="A123" i="38"/>
  <c r="A719" i="38"/>
  <c r="J718" i="38"/>
  <c r="J1390" i="38"/>
  <c r="A1391" i="38"/>
  <c r="A1477" i="38" l="1"/>
  <c r="J1476" i="38"/>
  <c r="A1392" i="38"/>
  <c r="J1391" i="38"/>
  <c r="A720" i="38"/>
  <c r="J719" i="38"/>
  <c r="A124" i="38"/>
  <c r="J123" i="38"/>
  <c r="A125" i="38" l="1"/>
  <c r="J124" i="38"/>
  <c r="A721" i="38"/>
  <c r="J720" i="38"/>
  <c r="A1393" i="38"/>
  <c r="J1392" i="38"/>
  <c r="J1477" i="38"/>
  <c r="A1478" i="38"/>
  <c r="A1479" i="38" l="1"/>
  <c r="J1478" i="38"/>
  <c r="A1394" i="38"/>
  <c r="J1393" i="38"/>
  <c r="A722" i="38"/>
  <c r="J721" i="38"/>
  <c r="A126" i="38"/>
  <c r="J125" i="38"/>
  <c r="A127" i="38" l="1"/>
  <c r="J126" i="38"/>
  <c r="A723" i="38"/>
  <c r="J722" i="38"/>
  <c r="J1394" i="38"/>
  <c r="A1395" i="38"/>
  <c r="J1479" i="38"/>
  <c r="A1480" i="38"/>
  <c r="A1481" i="38" l="1"/>
  <c r="J1480" i="38"/>
  <c r="J1395" i="38"/>
  <c r="A1396" i="38"/>
  <c r="J1396" i="38" s="1"/>
  <c r="A724" i="38"/>
  <c r="J723" i="38"/>
  <c r="A128" i="38"/>
  <c r="J127" i="38"/>
  <c r="J128" i="38" l="1"/>
  <c r="A129" i="38"/>
  <c r="A725" i="38"/>
  <c r="J724" i="38"/>
  <c r="A1482" i="38"/>
  <c r="J1481" i="38"/>
  <c r="A1483" i="38" l="1"/>
  <c r="J1482" i="38"/>
  <c r="A726" i="38"/>
  <c r="J725" i="38"/>
  <c r="J129" i="38"/>
  <c r="A130" i="38"/>
  <c r="J130" i="38" l="1"/>
  <c r="A131" i="38"/>
  <c r="A727" i="38"/>
  <c r="J726" i="38"/>
  <c r="A1484" i="38"/>
  <c r="J1483" i="38"/>
  <c r="A1485" i="38" l="1"/>
  <c r="J1484" i="38"/>
  <c r="A728" i="38"/>
  <c r="J727" i="38"/>
  <c r="J131" i="38"/>
  <c r="A132" i="38"/>
  <c r="A133" i="38" l="1"/>
  <c r="J132" i="38"/>
  <c r="A729" i="38"/>
  <c r="J728" i="38"/>
  <c r="A1486" i="38"/>
  <c r="J1485" i="38"/>
  <c r="A1487" i="38" l="1"/>
  <c r="J1486" i="38"/>
  <c r="A730" i="38"/>
  <c r="J729" i="38"/>
  <c r="J133" i="38"/>
  <c r="A134" i="38"/>
  <c r="A135" i="38" l="1"/>
  <c r="J134" i="38"/>
  <c r="A731" i="38"/>
  <c r="J730" i="38"/>
  <c r="A1488" i="38"/>
  <c r="J1487" i="38"/>
  <c r="J1488" i="38" l="1"/>
  <c r="A1489" i="38"/>
  <c r="A732" i="38"/>
  <c r="J731" i="38"/>
  <c r="A136" i="38"/>
  <c r="J135" i="38"/>
  <c r="A137" i="38" l="1"/>
  <c r="J136" i="38"/>
  <c r="A733" i="38"/>
  <c r="J732" i="38"/>
  <c r="A1490" i="38"/>
  <c r="J1489" i="38"/>
  <c r="J1490" i="38" l="1"/>
  <c r="A1491" i="38"/>
  <c r="A734" i="38"/>
  <c r="J733" i="38"/>
  <c r="J137" i="38"/>
  <c r="A138" i="38"/>
  <c r="A139" i="38" l="1"/>
  <c r="J138" i="38"/>
  <c r="A735" i="38"/>
  <c r="J734" i="38"/>
  <c r="A1492" i="38"/>
  <c r="J1491" i="38"/>
  <c r="J1492" i="38" l="1"/>
  <c r="A1493" i="38"/>
  <c r="A736" i="38"/>
  <c r="J735" i="38"/>
  <c r="J139" i="38"/>
  <c r="A140" i="38"/>
  <c r="A141" i="38" l="1"/>
  <c r="J140" i="38"/>
  <c r="A737" i="38"/>
  <c r="J736" i="38"/>
  <c r="A1494" i="38"/>
  <c r="J1493" i="38"/>
  <c r="J1494" i="38" l="1"/>
  <c r="A1495" i="38"/>
  <c r="A738" i="38"/>
  <c r="J737" i="38"/>
  <c r="J141" i="38"/>
  <c r="A142" i="38"/>
  <c r="J142" i="38" l="1"/>
  <c r="A143" i="38"/>
  <c r="A739" i="38"/>
  <c r="J738" i="38"/>
  <c r="A1496" i="38"/>
  <c r="J1495" i="38"/>
  <c r="J1496" i="38" l="1"/>
  <c r="A1497" i="38"/>
  <c r="A740" i="38"/>
  <c r="J739" i="38"/>
  <c r="A144" i="38"/>
  <c r="J143" i="38"/>
  <c r="J144" i="38" l="1"/>
  <c r="A145" i="38"/>
  <c r="A741" i="38"/>
  <c r="J740" i="38"/>
  <c r="A1498" i="38"/>
  <c r="J1497" i="38"/>
  <c r="A1499" i="38" l="1"/>
  <c r="J1499" i="38" s="1"/>
  <c r="J1498" i="38"/>
  <c r="A742" i="38"/>
  <c r="J741" i="38"/>
  <c r="A146" i="38"/>
  <c r="J145" i="38"/>
  <c r="A147" i="38" l="1"/>
  <c r="J146" i="38"/>
  <c r="A743" i="38"/>
  <c r="J742" i="38"/>
  <c r="A744" i="38" l="1"/>
  <c r="J743" i="38"/>
  <c r="J147" i="38"/>
  <c r="A148" i="38"/>
  <c r="A149" i="38" l="1"/>
  <c r="J148" i="38"/>
  <c r="A745" i="38"/>
  <c r="J744" i="38"/>
  <c r="A746" i="38" l="1"/>
  <c r="J745" i="38"/>
  <c r="A150" i="38"/>
  <c r="J149" i="38"/>
  <c r="J150" i="38" l="1"/>
  <c r="A151" i="38"/>
  <c r="A747" i="38"/>
  <c r="J746" i="38"/>
  <c r="A748" i="38" l="1"/>
  <c r="J747" i="38"/>
  <c r="A152" i="38"/>
  <c r="J151" i="38"/>
  <c r="A153" i="38" l="1"/>
  <c r="J152" i="38"/>
  <c r="A749" i="38"/>
  <c r="J748" i="38"/>
  <c r="A750" i="38" l="1"/>
  <c r="J749" i="38"/>
  <c r="A154" i="38"/>
  <c r="J153" i="38"/>
  <c r="J154" i="38" l="1"/>
  <c r="A155" i="38"/>
  <c r="A751" i="38"/>
  <c r="J750" i="38"/>
  <c r="A752" i="38" l="1"/>
  <c r="J751" i="38"/>
  <c r="J155" i="38"/>
  <c r="A156" i="38"/>
  <c r="A157" i="38" l="1"/>
  <c r="J156" i="38"/>
  <c r="A753" i="38"/>
  <c r="J752" i="38"/>
  <c r="A754" i="38" l="1"/>
  <c r="J753" i="38"/>
  <c r="J157" i="38"/>
  <c r="A158" i="38"/>
  <c r="A159" i="38" l="1"/>
  <c r="J158" i="38"/>
  <c r="A755" i="38"/>
  <c r="J754" i="38"/>
  <c r="A756" i="38" l="1"/>
  <c r="J755" i="38"/>
  <c r="A160" i="38"/>
  <c r="J159" i="38"/>
  <c r="A161" i="38" l="1"/>
  <c r="J160" i="38"/>
  <c r="A757" i="38"/>
  <c r="J756" i="38"/>
  <c r="A758" i="38" l="1"/>
  <c r="J757" i="38"/>
  <c r="J161" i="38"/>
  <c r="A162" i="38"/>
  <c r="J162" i="38" l="1"/>
  <c r="A163" i="38"/>
  <c r="A759" i="38"/>
  <c r="J758" i="38"/>
  <c r="A760" i="38" l="1"/>
  <c r="J759" i="38"/>
  <c r="A164" i="38"/>
  <c r="J163" i="38"/>
  <c r="A165" i="38" l="1"/>
  <c r="J164" i="38"/>
  <c r="A761" i="38"/>
  <c r="J760" i="38"/>
  <c r="A762" i="38" l="1"/>
  <c r="J761" i="38"/>
  <c r="J165" i="38"/>
  <c r="A166" i="38"/>
  <c r="A167" i="38" l="1"/>
  <c r="J166" i="38"/>
  <c r="A763" i="38"/>
  <c r="J762" i="38"/>
  <c r="A764" i="38" l="1"/>
  <c r="J763" i="38"/>
  <c r="A168" i="38"/>
  <c r="J167" i="38"/>
  <c r="A169" i="38" l="1"/>
  <c r="J169" i="38" s="1"/>
  <c r="J168" i="38"/>
  <c r="A765" i="38"/>
  <c r="J764" i="38"/>
  <c r="A766" i="38" l="1"/>
  <c r="J765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A966" i="38" l="1"/>
  <c r="J965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J985" i="38" l="1"/>
  <c r="A986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J993" i="38" l="1"/>
  <c r="A994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A1004" i="38" l="1"/>
  <c r="J1003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A1010" i="38" l="1"/>
  <c r="J1009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J1017" i="38" l="1"/>
  <c r="A1018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J1025" i="38" l="1"/>
  <c r="A1026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5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<sst xmlns="http://schemas.openxmlformats.org/spreadsheetml/2006/main" count="5013" uniqueCount="1389">
  <si>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</si>
  <si>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</si>
  <si>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</si>
  <si>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</si>
  <si>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</si>
  <si>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</si>
  <si>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</si>
  <si>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</si>
  <si>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</si>
  <si>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</si>
  <si>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</si>
  <si>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</si>
  <si>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</si>
  <si>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</si>
  <si>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</si>
  <si>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</si>
  <si>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</si>
  <si>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</si>
  <si>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</si>
  <si>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</si>
  <si>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</si>
  <si>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</si>
  <si>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</si>
  <si>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</si>
  <si>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</si>
  <si>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</si>
  <si>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</si>
  <si>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</si>
  <si>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</si>
  <si>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</si>
  <si>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</si>
  <si>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</si>
  <si>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</si>
  <si>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</si>
  <si>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</si>
  <si>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</si>
  <si>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</si>
  <si>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</si>
  <si>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</si>
  <si>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</si>
  <si>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</si>
  <si>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</si>
  <si>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</si>
  <si>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</si>
  <si>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</si>
  <si>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</si>
  <si>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</si>
  <si>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</si>
  <si>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</si>
  <si>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</si>
  <si>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</si>
  <si>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</si>
  <si>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</si>
  <si>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</si>
  <si>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</si>
  <si>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</si>
  <si>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</si>
  <si>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</si>
  <si>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</si>
  <si>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</si>
  <si>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</si>
  <si>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</si>
  <si>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</si>
  <si>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</si>
  <si>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</si>
  <si>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</si>
  <si>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</si>
  <si>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</si>
  <si>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</si>
  <si>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</si>
  <si>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</si>
  <si>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</si>
  <si>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</si>
  <si>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</si>
  <si>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</si>
  <si>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</si>
  <si>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</si>
  <si>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</si>
  <si>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</si>
  <si>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</si>
  <si>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</si>
  <si>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</si>
  <si>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</si>
  <si>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</si>
  <si>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</si>
  <si>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</si>
  <si>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</si>
  <si>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</si>
  <si>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</si>
  <si>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</si>
  <si>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</si>
  <si>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</si>
  <si>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</si>
  <si>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</si>
  <si>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</si>
  <si>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</si>
  <si>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</si>
  <si>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</si>
  <si>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</si>
  <si>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</si>
  <si>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</si>
  <si>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</si>
  <si>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</si>
  <si>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</si>
  <si>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</si>
  <si>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</si>
  <si>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</si>
  <si>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</si>
  <si>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</si>
  <si>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</si>
  <si>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</si>
  <si>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</si>
  <si>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</si>
  <si>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</si>
  <si>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</si>
  <si>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</si>
  <si>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</si>
  <si>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</si>
  <si>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</si>
  <si>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</si>
  <si>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</si>
  <si>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</si>
  <si>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</si>
  <si>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</si>
  <si>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</si>
  <si>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</si>
  <si>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</si>
  <si>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</si>
  <si>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</si>
  <si>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</si>
  <si>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</si>
  <si>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</si>
  <si>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</si>
  <si>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</si>
  <si>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</si>
  <si>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</si>
  <si>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</si>
  <si>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</si>
  <si>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</si>
  <si>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</si>
  <si>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</si>
  <si>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</si>
  <si>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</si>
  <si>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</si>
  <si>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</si>
  <si>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</si>
  <si>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</si>
  <si>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</si>
  <si>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</si>
  <si>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</si>
  <si>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</si>
  <si>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</si>
  <si>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</si>
  <si>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</si>
  <si>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</si>
  <si>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</si>
  <si>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</si>
  <si>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</si>
  <si>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</si>
  <si>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</si>
  <si>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</si>
  <si>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</si>
  <si>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</si>
  <si>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</si>
  <si>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</si>
  <si>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</si>
  <si>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</si>
  <si>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</si>
  <si>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</si>
  <si>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</si>
  <si>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</si>
  <si>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</si>
  <si>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</si>
  <si>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</si>
  <si>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</si>
  <si>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</si>
  <si>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</si>
  <si>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</si>
  <si>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</si>
  <si>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</si>
  <si>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</si>
  <si>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</si>
  <si>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</si>
  <si>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</si>
  <si>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</si>
  <si>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</si>
  <si>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</si>
  <si>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</si>
  <si>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</si>
  <si>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</si>
  <si>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</si>
  <si>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</si>
  <si>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</si>
  <si>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</si>
  <si>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</si>
  <si>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</si>
  <si>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</si>
  <si>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</si>
  <si>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</si>
  <si>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</si>
  <si>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</si>
  <si>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</si>
  <si>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</si>
  <si>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</si>
  <si>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</si>
  <si>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</si>
  <si>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</si>
  <si>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</si>
  <si>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</si>
  <si>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</si>
  <si>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</si>
  <si>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</si>
  <si>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</si>
  <si>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</si>
  <si>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</si>
  <si>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</si>
  <si>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</si>
  <si>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</si>
  <si>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</si>
  <si>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</si>
  <si>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</si>
  <si>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</si>
  <si>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</si>
  <si>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</si>
  <si>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</si>
  <si>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</si>
  <si>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</si>
  <si>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</si>
  <si>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</si>
  <si>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</si>
  <si>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</si>
  <si>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</si>
  <si>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</si>
  <si>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</si>
  <si>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</si>
  <si>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</si>
  <si>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</si>
  <si>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</si>
  <si>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</si>
  <si>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</si>
  <si>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</si>
  <si>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</si>
  <si>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</si>
  <si>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</si>
  <si>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</si>
  <si>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</si>
  <si>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</si>
  <si>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</si>
  <si>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</si>
  <si>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</si>
  <si>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</si>
  <si>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</si>
  <si>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</si>
  <si>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</si>
  <si>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</si>
  <si>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</si>
  <si>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</si>
  <si>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</si>
  <si>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</si>
  <si>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</si>
  <si>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</si>
  <si>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</si>
  <si>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</si>
  <si>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</si>
  <si>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</si>
  <si>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</si>
  <si>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</si>
  <si>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</si>
  <si>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</si>
  <si>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</si>
  <si>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</si>
  <si>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</si>
  <si>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</si>
  <si>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</si>
  <si>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</si>
  <si>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</si>
  <si>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</si>
  <si>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</si>
  <si>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</si>
  <si>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</si>
  <si>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</si>
  <si>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</si>
  <si>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</si>
  <si>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</si>
  <si>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</si>
  <si>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</si>
  <si>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</si>
  <si>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</si>
  <si>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</si>
  <si>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</si>
  <si>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</si>
  <si>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</si>
  <si>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</si>
  <si>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</si>
  <si>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</si>
  <si>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</si>
  <si>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</si>
  <si>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</si>
  <si>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</si>
  <si>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</si>
  <si>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</si>
  <si>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</si>
  <si>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</si>
  <si>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</si>
  <si>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</si>
  <si>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</si>
  <si>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</si>
  <si>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</si>
  <si>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</si>
  <si>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</si>
  <si>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</si>
  <si>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</si>
  <si>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</si>
  <si>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</si>
  <si>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</si>
  <si>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</si>
  <si>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</si>
  <si>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</si>
  <si>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</si>
  <si>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</si>
  <si>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</si>
  <si>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</si>
  <si>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</si>
  <si>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</si>
  <si>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</si>
  <si>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</si>
  <si>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</si>
  <si>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</si>
  <si>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</si>
  <si>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</si>
  <si>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</si>
  <si>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</si>
  <si>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</si>
  <si>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</si>
  <si>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</si>
  <si>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</si>
  <si>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</si>
  <si>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</si>
  <si>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</si>
  <si>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</si>
  <si>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</si>
  <si>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</si>
  <si>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</si>
  <si>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</si>
  <si>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</si>
  <si>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</si>
  <si>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</si>
  <si>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</si>
  <si>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</si>
  <si>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</si>
  <si>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</si>
  <si>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</si>
  <si>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</si>
  <si>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</si>
  <si>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</si>
  <si>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</si>
  <si>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</si>
  <si>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</si>
  <si>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</si>
  <si>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</si>
  <si>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</si>
  <si>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</si>
  <si>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</si>
  <si>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</si>
  <si>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</si>
  <si>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</si>
  <si>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</si>
  <si>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</si>
  <si>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</si>
  <si>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</si>
  <si>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</si>
  <si>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</si>
  <si>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</si>
  <si>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</si>
  <si>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</si>
  <si>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</si>
  <si>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</si>
  <si>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</si>
  <si>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</si>
  <si>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</si>
  <si>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</si>
  <si>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</si>
  <si>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</si>
  <si>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</si>
  <si>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</si>
  <si>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</si>
  <si>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</si>
  <si>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</si>
  <si>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</si>
  <si>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</si>
  <si>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</si>
  <si>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</si>
  <si>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</si>
  <si>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</si>
  <si>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</si>
  <si>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</si>
  <si>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</si>
  <si>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</si>
  <si>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</si>
  <si>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</si>
  <si>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</si>
  <si>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</si>
  <si>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</si>
  <si>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</si>
  <si>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</si>
  <si>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</si>
  <si>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</si>
  <si>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</si>
  <si>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</si>
  <si>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</si>
  <si>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</si>
  <si>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</si>
  <si>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</si>
  <si>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</si>
  <si>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</si>
  <si>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</si>
  <si>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</si>
  <si>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</si>
  <si>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</si>
  <si>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</si>
  <si>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</si>
  <si>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</si>
  <si>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</si>
  <si>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</si>
  <si>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</si>
  <si>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</si>
  <si>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</si>
  <si>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</si>
  <si>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</si>
  <si>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</si>
  <si>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</si>
  <si>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</si>
  <si>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</si>
  <si>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</si>
  <si>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</si>
  <si>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</si>
  <si>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</si>
  <si>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</si>
  <si>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</si>
  <si>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</si>
  <si>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</si>
  <si>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</si>
  <si>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</si>
  <si>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</si>
  <si>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</si>
  <si>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</si>
  <si>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</si>
  <si>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</si>
  <si>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</si>
  <si>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</si>
  <si>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</si>
  <si>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</si>
  <si>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</si>
  <si>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</si>
  <si>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</si>
  <si>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</si>
  <si>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</si>
  <si>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</si>
  <si>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</si>
  <si>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</si>
  <si>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</si>
  <si>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</si>
  <si>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</si>
  <si>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</si>
  <si>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</si>
  <si>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</si>
  <si>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</si>
  <si>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</si>
  <si>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</si>
  <si>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</si>
  <si>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</si>
  <si>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</si>
  <si>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</si>
  <si>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</si>
  <si>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</si>
  <si>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</si>
  <si>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</si>
  <si>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</si>
  <si>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</si>
  <si>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</si>
  <si>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</si>
  <si>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</si>
  <si>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</si>
  <si>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</si>
  <si>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</si>
  <si>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</si>
  <si>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</si>
  <si>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</si>
  <si>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</si>
  <si>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</si>
  <si>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</si>
  <si>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</si>
  <si>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</si>
  <si>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</si>
  <si>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</si>
  <si>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</si>
  <si>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</si>
  <si>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</si>
  <si>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</si>
  <si>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</si>
  <si>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</si>
  <si>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</si>
  <si>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</si>
  <si>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</si>
  <si>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</si>
  <si>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</si>
  <si>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</si>
  <si>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</si>
  <si>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</si>
  <si>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</si>
  <si>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</si>
  <si>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</si>
  <si>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</si>
  <si>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</si>
  <si>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</si>
  <si>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</si>
  <si>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</si>
  <si>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</si>
  <si>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</si>
  <si>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</si>
  <si>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</si>
  <si>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</si>
  <si>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</si>
  <si>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</si>
  <si>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</si>
  <si>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</si>
  <si>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</si>
  <si>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</si>
  <si>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</si>
  <si>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</si>
  <si>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</si>
  <si>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</si>
  <si>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</si>
  <si>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</si>
  <si>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</si>
  <si>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</si>
  <si>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</si>
  <si>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</si>
  <si>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</si>
  <si>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</si>
  <si>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</si>
  <si>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</si>
  <si>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</si>
  <si>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</si>
  <si>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</si>
  <si>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</si>
  <si>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</si>
  <si>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</si>
  <si>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</si>
  <si>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</si>
  <si>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</si>
  <si>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</si>
  <si>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</si>
  <si>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</si>
  <si>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</si>
  <si>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</si>
  <si>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</si>
  <si>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</si>
  <si>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</si>
  <si>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</si>
  <si>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</si>
  <si>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</si>
  <si>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</si>
  <si>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</si>
  <si>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</si>
  <si>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</si>
  <si>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</si>
  <si>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</si>
  <si>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</si>
  <si>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</si>
  <si>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</si>
  <si>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</si>
  <si>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</si>
  <si>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</si>
  <si>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</si>
  <si>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</si>
  <si>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</si>
  <si>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</si>
  <si>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</si>
  <si>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</si>
  <si>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</si>
  <si>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</si>
  <si>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</si>
  <si>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</si>
  <si>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</si>
  <si>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</si>
  <si>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</si>
  <si>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</si>
  <si>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</si>
  <si>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</si>
  <si>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</si>
  <si>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</si>
  <si>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</si>
  <si>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</si>
  <si>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</si>
  <si>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</si>
  <si>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</si>
  <si>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</si>
  <si>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</si>
  <si>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</si>
  <si>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</si>
  <si>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</si>
  <si>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</si>
  <si>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</si>
  <si>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</si>
  <si>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</si>
  <si>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</si>
  <si>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</si>
  <si>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</si>
  <si>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</si>
  <si>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</si>
  <si>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</si>
  <si>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</si>
  <si>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</si>
  <si>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</si>
  <si>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</si>
  <si>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</si>
  <si>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</si>
  <si>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</si>
  <si>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</si>
  <si>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</si>
  <si>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</si>
  <si>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</si>
  <si>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</si>
  <si>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</si>
  <si>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</si>
  <si>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</si>
  <si>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</si>
  <si>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</si>
  <si>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</si>
  <si>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</si>
  <si>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</si>
  <si>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</si>
  <si>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</si>
  <si>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</si>
  <si>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</si>
  <si>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</si>
  <si>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</si>
  <si>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</si>
  <si>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</si>
  <si>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</si>
  <si>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</si>
  <si>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</si>
  <si>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</si>
  <si>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</si>
  <si>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</si>
  <si>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</si>
  <si>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</si>
  <si>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</si>
  <si>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</si>
  <si>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</si>
  <si>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</si>
  <si>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</si>
  <si>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</si>
  <si>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</si>
  <si>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</si>
  <si>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</si>
  <si>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</si>
  <si>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</si>
  <si>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</si>
  <si>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</si>
  <si>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</si>
  <si>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</si>
  <si>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</si>
  <si>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</si>
  <si>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</si>
  <si>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</si>
  <si>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</si>
  <si>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</si>
  <si>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</si>
  <si>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</si>
  <si>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</si>
  <si>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</si>
  <si>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</si>
  <si>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</si>
  <si>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</si>
  <si>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</si>
  <si>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</si>
  <si>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</si>
  <si>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</si>
  <si>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</si>
  <si>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</si>
  <si>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</si>
  <si>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</si>
  <si>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</si>
  <si>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</si>
  <si>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</si>
  <si>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</si>
  <si>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</si>
  <si>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</si>
  <si>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</si>
  <si>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</si>
  <si>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</si>
  <si>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</si>
  <si>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</si>
  <si>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</si>
  <si>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</si>
  <si>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</si>
  <si>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</si>
  <si>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</si>
  <si>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</si>
  <si>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</si>
  <si>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</si>
  <si>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</si>
  <si>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</si>
  <si>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</si>
  <si>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</si>
  <si>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</si>
  <si>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</si>
  <si>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</si>
  <si>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</si>
  <si>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</si>
  <si>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</si>
  <si>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</si>
  <si>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</si>
  <si>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</si>
  <si>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</si>
  <si>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</si>
  <si>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</si>
  <si>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</si>
  <si>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</si>
  <si>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</si>
  <si>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</si>
  <si>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</si>
  <si>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</si>
  <si>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</si>
  <si>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</si>
  <si>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</si>
  <si>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</si>
  <si>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</si>
  <si>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</si>
  <si>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</si>
  <si>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</si>
  <si>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</si>
  <si>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</si>
  <si>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</si>
  <si>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</si>
  <si>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</si>
  <si>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</si>
  <si>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</si>
  <si>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</si>
  <si>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</si>
  <si>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</si>
  <si>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</si>
  <si>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</si>
  <si>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</si>
  <si>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</si>
  <si>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</si>
  <si>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</si>
  <si>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</si>
  <si>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</si>
  <si>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</si>
  <si>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</si>
  <si>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</si>
  <si>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</si>
  <si>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</si>
  <si>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</si>
  <si>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</si>
  <si>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</si>
  <si>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</si>
  <si>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</si>
  <si>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</si>
  <si>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</si>
  <si>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</si>
  <si>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</si>
  <si>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</si>
  <si>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</si>
  <si>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</si>
  <si>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</si>
  <si>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</si>
  <si>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</si>
  <si>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</si>
  <si>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</si>
  <si>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</si>
  <si>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</si>
  <si>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</si>
  <si>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</si>
  <si>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</si>
  <si>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</si>
  <si>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</si>
  <si>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</si>
  <si>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</si>
  <si>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</si>
  <si>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</si>
  <si>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</si>
  <si>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</si>
  <si>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</si>
  <si>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</si>
  <si>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</si>
  <si>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</si>
  <si>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</si>
  <si>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</si>
  <si>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</si>
  <si>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</si>
  <si>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</si>
  <si>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</si>
  <si>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</si>
  <si>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</si>
  <si>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</si>
  <si>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</si>
  <si>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</si>
  <si>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</si>
  <si>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</si>
  <si>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</si>
  <si>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</si>
  <si>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</si>
  <si>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</si>
  <si>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</si>
  <si>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</si>
  <si>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</si>
  <si>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</si>
  <si>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</si>
  <si>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</si>
  <si>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</si>
  <si>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</si>
  <si>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</si>
  <si>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</si>
  <si>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</si>
  <si>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</si>
  <si>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</si>
  <si>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</si>
  <si>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</si>
  <si>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</si>
  <si>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</si>
  <si>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</si>
  <si>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</si>
  <si>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</si>
  <si>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</si>
  <si>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</si>
  <si>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</si>
  <si>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</si>
  <si>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</si>
  <si>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</si>
  <si>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</si>
  <si>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</si>
  <si>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</si>
  <si>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</si>
  <si>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</si>
  <si>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</si>
  <si>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</si>
  <si>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</si>
  <si>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</si>
  <si>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</si>
  <si>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</si>
  <si>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</si>
  <si>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</si>
  <si>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</si>
  <si>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</si>
  <si>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</si>
  <si>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</si>
  <si>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</si>
  <si>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</si>
  <si>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</si>
  <si>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</si>
  <si>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</si>
  <si>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</si>
  <si>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</si>
  <si>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</si>
  <si>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</si>
  <si>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</si>
  <si>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</si>
  <si>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</si>
  <si>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</si>
  <si>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</si>
  <si>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</si>
  <si>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</si>
  <si>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</si>
  <si>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</si>
  <si>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</si>
  <si>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</si>
  <si>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</si>
  <si>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</si>
  <si>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</si>
  <si>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</si>
  <si>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</si>
  <si>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</si>
  <si>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</si>
  <si>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</si>
  <si>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</si>
  <si>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</si>
  <si>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</si>
  <si>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</si>
  <si>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</si>
  <si>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</si>
  <si>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</si>
  <si>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</si>
  <si>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</si>
  <si>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</si>
  <si>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</si>
  <si>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</si>
  <si>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</si>
  <si>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</si>
  <si>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</si>
  <si>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</si>
  <si>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</si>
  <si>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</si>
  <si>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</si>
  <si>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</si>
  <si>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</si>
  <si>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</si>
  <si>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</si>
  <si>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</si>
  <si>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</si>
  <si>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</si>
  <si>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</si>
  <si>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</si>
  <si>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</si>
  <si>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</si>
  <si>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</si>
  <si>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</si>
  <si>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</si>
  <si>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</si>
  <si>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</si>
  <si>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</si>
  <si>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</si>
  <si>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</si>
  <si>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</si>
  <si>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</si>
  <si>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</si>
  <si>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</si>
  <si>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</si>
  <si>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</si>
  <si>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</si>
  <si>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</si>
  <si>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</si>
  <si>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</si>
  <si>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</si>
  <si>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</si>
  <si>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</si>
  <si>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</si>
  <si>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</si>
  <si>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</si>
  <si>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</si>
  <si>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</si>
  <si>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</si>
  <si>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</si>
  <si>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</si>
  <si>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</si>
  <si>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</si>
  <si>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</si>
  <si>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</si>
  <si>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</si>
  <si>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</si>
  <si>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</si>
  <si>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</si>
  <si>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</si>
  <si>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</si>
  <si>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</si>
  <si>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</si>
  <si>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</si>
  <si>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</si>
  <si>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</si>
  <si>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</si>
  <si>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</si>
  <si>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</si>
  <si>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</si>
  <si>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</si>
  <si>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</si>
  <si>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</si>
  <si>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</si>
  <si>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</si>
  <si>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</si>
  <si>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</si>
  <si>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</si>
  <si>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</si>
  <si>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</si>
  <si>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</si>
  <si>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</si>
  <si>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</si>
  <si>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</si>
  <si>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</si>
  <si>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</si>
  <si>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</si>
  <si>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</si>
  <si>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</si>
  <si>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</si>
  <si>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</si>
  <si>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</si>
  <si>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</si>
  <si>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</si>
  <si>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</si>
  <si>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</si>
  <si>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</si>
  <si>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</si>
  <si>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</si>
  <si>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</si>
  <si>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</si>
  <si>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</si>
  <si>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</si>
  <si>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</si>
  <si>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</si>
  <si>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</si>
  <si>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</si>
  <si>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</si>
  <si>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</si>
  <si>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</si>
  <si>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</si>
  <si>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</si>
  <si>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</si>
  <si>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</si>
  <si>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</si>
  <si>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</si>
  <si>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</si>
  <si>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</si>
  <si>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</si>
  <si>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</si>
  <si>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</si>
  <si>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</si>
  <si>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</si>
  <si>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</si>
  <si>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</si>
  <si>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</si>
  <si>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</si>
  <si>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</si>
  <si>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</si>
  <si>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</si>
  <si>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</si>
  <si>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</si>
  <si>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</si>
  <si>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</si>
  <si>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</si>
  <si>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</si>
  <si>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</si>
  <si>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</si>
  <si>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</si>
  <si>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</si>
  <si>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</si>
  <si>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</si>
  <si>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</si>
  <si>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</si>
  <si>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</si>
  <si>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</si>
  <si>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</si>
  <si>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</si>
  <si>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</si>
  <si>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</si>
  <si>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</si>
  <si>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</si>
  <si>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</si>
  <si>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</si>
  <si>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</si>
  <si>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</si>
  <si>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</si>
  <si>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</si>
  <si>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</si>
  <si>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</si>
  <si>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</si>
  <si>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</si>
  <si>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</si>
  <si>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</si>
  <si>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</si>
  <si>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</si>
  <si>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</si>
  <si>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</si>
  <si>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</si>
  <si>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</si>
  <si>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</si>
  <si>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</si>
  <si>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</si>
  <si>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</si>
  <si>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</si>
  <si>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</si>
  <si>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</si>
  <si>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</si>
  <si>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</si>
  <si>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</si>
  <si>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</si>
  <si>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</si>
  <si>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</si>
  <si>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</si>
  <si>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</si>
  <si>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</si>
  <si>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</si>
  <si>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</si>
  <si>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</si>
  <si>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</si>
  <si>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</si>
  <si>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</si>
  <si>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</si>
  <si>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</si>
  <si>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</si>
  <si>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</si>
  <si>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</si>
  <si>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</si>
  <si>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</si>
  <si>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</si>
  <si>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</si>
  <si>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</si>
  <si>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</si>
  <si>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</si>
  <si>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</si>
  <si>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</si>
  <si>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</si>
  <si>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</si>
  <si>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</si>
  <si>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</si>
  <si>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</si>
  <si>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</si>
  <si>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</si>
  <si>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</si>
  <si>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</si>
  <si>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</si>
  <si>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</si>
  <si>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</si>
  <si>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</si>
  <si>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</si>
  <si>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</si>
  <si>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</si>
  <si>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</si>
  <si>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</si>
  <si>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</si>
  <si>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</si>
  <si>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</si>
  <si>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</si>
  <si>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</si>
  <si>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</si>
  <si>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</si>
  <si>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</si>
  <si>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</si>
  <si>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</si>
  <si>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</si>
  <si>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</si>
  <si>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</si>
  <si>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</si>
  <si>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</si>
  <si>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</si>
  <si>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</si>
  <si>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</si>
  <si>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</si>
  <si>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</si>
  <si>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</si>
  <si>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</si>
  <si>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</si>
  <si>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</si>
  <si>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</si>
  <si>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</si>
  <si>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</si>
  <si>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</si>
  <si>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</si>
  <si>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</si>
  <si>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</si>
  <si>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</si>
  <si>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</si>
  <si>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</si>
  <si>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</si>
  <si>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</si>
  <si>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</si>
  <si>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</si>
  <si>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</si>
  <si>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</si>
  <si>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</si>
  <si>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</si>
  <si>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</si>
  <si>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</si>
  <si>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</si>
  <si>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</si>
  <si>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</si>
  <si>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</si>
  <si>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</si>
  <si>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</si>
  <si>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</si>
  <si>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</si>
  <si>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</si>
  <si>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</si>
  <si>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</si>
  <si>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</si>
  <si>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</si>
  <si>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</si>
  <si>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</si>
  <si>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</si>
  <si>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</si>
  <si>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</si>
  <si>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</si>
  <si>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</si>
  <si>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</si>
  <si>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</si>
  <si>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</si>
  <si>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</si>
  <si>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</si>
  <si>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</si>
  <si>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</si>
  <si>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</si>
  <si>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</si>
  <si>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</si>
  <si>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</si>
  <si>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</si>
  <si>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</si>
  <si>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</si>
  <si>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</si>
  <si>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</si>
  <si>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</si>
  <si>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</si>
  <si>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</si>
  <si>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</si>
  <si>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</si>
  <si>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</si>
  <si>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</si>
  <si>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</si>
  <si>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</si>
  <si>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</si>
  <si>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</si>
  <si>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</si>
  <si>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</si>
  <si>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</si>
  <si>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</si>
  <si>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</si>
  <si>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</si>
  <si>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</si>
  <si>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</si>
  <si>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</si>
  <si>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</si>
  <si>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</si>
  <si>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</si>
  <si>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</si>
  <si>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</si>
  <si>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</si>
  <si>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</si>
  <si>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</si>
  <si>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</si>
  <si>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</si>
  <si>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</si>
  <si>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</si>
  <si>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</si>
  <si>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</si>
  <si>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</si>
  <si>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</si>
  <si>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</si>
  <si>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</si>
  <si>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</si>
  <si>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</si>
  <si>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</si>
  <si>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</si>
  <si>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</si>
  <si>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</si>
  <si>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</si>
  <si>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</si>
  <si>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</si>
  <si>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</si>
  <si>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</si>
  <si>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</si>
  <si>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</si>
  <si>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</si>
  <si>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</si>
  <si>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</si>
  <si>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</si>
  <si>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</si>
  <si>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</si>
  <si>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</si>
  <si>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</si>
  <si>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</si>
  <si>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</si>
  <si>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</si>
  <si>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</si>
  <si>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</si>
  <si>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</si>
  <si>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</si>
  <si>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</si>
  <si>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</si>
  <si>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</si>
  <si>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</si>
  <si>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</si>
  <si>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</si>
  <si>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</si>
  <si>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</si>
  <si>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</si>
  <si>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</si>
  <si>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</si>
  <si>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</si>
  <si>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</si>
  <si>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</si>
  <si>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</si>
  <si>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</si>
  <si>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</si>
  <si>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</si>
  <si>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</si>
  <si>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</si>
  <si>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</si>
  <si>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</si>
  <si>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</si>
  <si>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</si>
  <si>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</si>
  <si>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</si>
  <si>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</si>
  <si>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</si>
  <si>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</si>
  <si>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</si>
  <si>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</si>
  <si>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</si>
  <si>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</si>
  <si>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</si>
  <si>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</si>
  <si>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</si>
  <si>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</si>
  <si>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</si>
  <si>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</si>
  <si>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</si>
  <si>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</si>
  <si>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</si>
  <si>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</si>
  <si>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</si>
  <si>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</si>
  <si>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</si>
  <si>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</si>
  <si>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</si>
  <si>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</si>
  <si>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</si>
  <si>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</si>
  <si>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</si>
  <si>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</si>
  <si>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</si>
  <si>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</si>
  <si>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</si>
  <si>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</si>
  <si>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</si>
  <si>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</si>
  <si>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</si>
  <si>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</si>
  <si>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</si>
  <si>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</si>
  <si>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</si>
  <si>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</si>
  <si>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</si>
  <si>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</si>
  <si>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</si>
  <si>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</si>
  <si>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</si>
  <si>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</si>
  <si>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</si>
  <si>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</si>
  <si>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</si>
  <si>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</si>
  <si>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</si>
  <si>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</si>
  <si>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</si>
  <si>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</si>
  <si>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</si>
  <si>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</si>
  <si>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</si>
  <si>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</si>
  <si>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</si>
  <si>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</si>
  <si>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</si>
  <si>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</si>
  <si>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</si>
  <si>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</si>
  <si>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</si>
  <si>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</si>
  <si>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</si>
  <si>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</si>
  <si>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</si>
  <si>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</si>
  <si>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</si>
  <si>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</si>
  <si>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</si>
  <si>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</si>
  <si>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</si>
  <si>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</si>
  <si>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</si>
  <si>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</si>
  <si>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</si>
  <si>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</si>
  <si>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</si>
  <si>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</si>
  <si>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</si>
  <si>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</si>
  <si>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</si>
  <si>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</si>
  <si>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</si>
  <si>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</si>
  <si>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</si>
  <si>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</si>
  <si>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</si>
  <si>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</si>
  <si>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</si>
  <si>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</si>
  <si>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</si>
  <si>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</si>
  <si>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</si>
  <si>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</si>
  <si>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</si>
  <si>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</si>
  <si>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</si>
  <si>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</si>
  <si>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</si>
  <si>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</si>
  <si>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</si>
  <si>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</si>
  <si>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</si>
  <si>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LLAVERO PIROGRABADO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</si>
</sst>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0000000}"/>
    <cellStyle name="Neutral 2" xfId="34" xr:uid="{00000000-0005-0000-0000-000021000000}"/>
    <cellStyle name="Normal" xfId="0" builtinId="0"/>
    <cellStyle name="Normal 2" xfId="35" xr:uid="{00000000-0005-0000-0000-000023000000}"/>
    <cellStyle name="Normal 3" xfId="36" xr:uid="{00000000-0005-0000-0000-000024000000}"/>
    <cellStyle name="Normal 3 2" xfId="37" xr:uid="{00000000-0005-0000-0000-000025000000}"/>
    <cellStyle name="Normal 3 3" xfId="38" xr:uid="{00000000-0005-0000-0000-000026000000}"/>
    <cellStyle name="Normal 3 4" xfId="39" xr:uid="{00000000-0005-0000-0000-000027000000}"/>
    <cellStyle name="Normal 4" xfId="40" xr:uid="{00000000-0005-0000-0000-000028000000}"/>
    <cellStyle name="Normal 4 2" xfId="41" xr:uid="{00000000-0005-0000-0000-000029000000}"/>
    <cellStyle name="Notas 2" xfId="42" xr:uid="{00000000-0005-0000-0000-00002A000000}"/>
    <cellStyle name="Porcentaje" xfId="43" builtinId="5"/>
    <cellStyle name="Salida 2" xfId="44" xr:uid="{00000000-0005-0000-0000-00002C000000}"/>
    <cellStyle name="Texto de advertencia 2" xfId="45" xr:uid="{00000000-0005-0000-0000-00002D000000}"/>
    <cellStyle name="Texto explicativo 2" xfId="46" xr:uid="{00000000-0005-0000-0000-00002E000000}"/>
    <cellStyle name="Título 1 2" xfId="47" xr:uid="{00000000-0005-0000-0000-00002F000000}"/>
    <cellStyle name="Título 2 2" xfId="48" xr:uid="{00000000-0005-0000-0000-000030000000}"/>
    <cellStyle name="Título 3 2" xfId="49" xr:uid="{00000000-0005-0000-0000-000031000000}"/>
    <cellStyle name="Título 4" xfId="50" xr:uid="{00000000-0005-0000-0000-000032000000}"/>
    <cellStyle name="Total 2" xfId="51" xr:uid="{00000000-0005-0000-0000-000033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281941</xdr:colOff>
      <xdr:row>0</xdr:row>
      <xdr:rowOff>182881</xdr:rowOff>
    </xdr:from>
    <xdr:to>
      <xdr:col>24</xdr:col>
      <xdr:colOff>144781</xdr:colOff>
      <xdr:row>6</xdr:row>
      <xdr:rowOff>91441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9141" y="182881"/>
          <a:ext cx="1661160" cy="1661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00000000-0008-0000-0200-000022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000-000001000000}" name="Item" dataDxfId="153">
      <calculatedColumnFormula>A7+1</calculatedColumnFormula>
    </tableColumn>
    <tableColumn id="2" xr3:uid="{00000000-0010-0000-0000-000002000000}" name="Material" dataDxfId="152"/>
    <tableColumn id="3" xr3:uid="{00000000-0010-0000-0000-000003000000}" name="Categoría" dataDxfId="151"/>
    <tableColumn id="4" xr3:uid="{00000000-0010-0000-0000-000004000000}" name="Unidad de Compra Almacen" dataDxfId="150"/>
    <tableColumn id="5" xr3:uid="{00000000-0010-0000-0000-000005000000}" name="Precio_x000a_Unidad de Compra ( $)" dataDxfId="149" dataCellStyle="Millares"/>
    <tableColumn id="6" xr3:uid="{00000000-0010-0000-0000-000006000000}" name="Unidad Despacho Almacen" dataDxfId="148"/>
    <tableColumn id="7" xr3:uid="{00000000-0010-0000-0000-000007000000}" name="Valor /U Despacho en Almacen" dataDxfId="147">
      <calculatedColumnFormula>IF(BD!$E8="","",(E8/(H8*I8)))</calculatedColumnFormula>
    </tableColumn>
    <tableColumn id="8" xr3:uid="{00000000-0010-0000-0000-000008000000}" name="Magnitud_x000a_1 en U" dataDxfId="146" dataCellStyle="Normal 3"/>
    <tableColumn id="9" xr3:uid="{00000000-0010-0000-0000-000009000000}" name="Magnitud_x000a_2 en U" dataDxfId="145" dataCellStyle="Normal 3"/>
    <tableColumn id="10" xr3:uid="{00000000-0010-0000-0000-00000A000000}" name="Codigo en el  Almacén" dataDxfId="144">
      <calculatedColumnFormula>CONCATENATE(LEFT(C8,1),MID(C8,SEARCH("_",C8)+1,2),TEXT(A8,"000"))</calculatedColumnFormula>
    </tableColumn>
    <tableColumn id="11" xr3:uid="{00000000-0010-0000-0000-00000B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100-000001000000}" name="Item" dataDxfId="142">
      <calculatedColumnFormula>A61+1</calculatedColumnFormula>
    </tableColumn>
    <tableColumn id="2" xr3:uid="{00000000-0010-0000-0100-000002000000}" name="Material" dataDxfId="141"/>
    <tableColumn id="3" xr3:uid="{00000000-0010-0000-0100-000003000000}" name="Categoría" dataDxfId="140"/>
    <tableColumn id="4" xr3:uid="{00000000-0010-0000-0100-000004000000}" name="Unidad de Compra Almacen" dataDxfId="139"/>
    <tableColumn id="5" xr3:uid="{00000000-0010-0000-0100-000005000000}" name="Precio_x000a_Unidad de Compra ( $)" dataDxfId="138" dataCellStyle="Millares"/>
    <tableColumn id="6" xr3:uid="{00000000-0010-0000-0100-000006000000}" name="Unidad Despacho Almacen" dataDxfId="137"/>
    <tableColumn id="7" xr3:uid="{00000000-0010-0000-0100-000007000000}" name="Valor /U Despacho en Almacen" dataDxfId="136">
      <calculatedColumnFormula>IF(BD!$E62="","",(E62/(H62*I62)))</calculatedColumnFormula>
    </tableColumn>
    <tableColumn id="8" xr3:uid="{00000000-0010-0000-0100-000008000000}" name="Magnitud_x000a_1 en U" dataDxfId="135" dataCellStyle="Normal 3"/>
    <tableColumn id="9" xr3:uid="{00000000-0010-0000-0100-000009000000}" name="Magnitud_x000a_2 en U" dataDxfId="134" dataCellStyle="Normal 3"/>
    <tableColumn id="10" xr3:uid="{00000000-0010-0000-0100-00000A000000}" name="Codigo en el  Almacén" dataDxfId="133">
      <calculatedColumnFormula>CONCATENATE(LEFT(C62,1),"_",TEXT(A62,"000"))</calculatedColumnFormula>
    </tableColumn>
    <tableColumn id="11" xr3:uid="{00000000-0010-0000-0100-00000B000000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200-000001000000}" name="Item" dataDxfId="130"/>
    <tableColumn id="2" xr3:uid="{00000000-0010-0000-0200-000002000000}" name="Material" dataDxfId="129"/>
    <tableColumn id="3" xr3:uid="{00000000-0010-0000-0200-000003000000}" name="Categoría" dataDxfId="128"/>
    <tableColumn id="4" xr3:uid="{00000000-0010-0000-0200-000004000000}" name="Unidad de Compra Almacen" dataDxfId="127"/>
    <tableColumn id="5" xr3:uid="{00000000-0010-0000-0200-000005000000}" name="Precio_x000a_Unidad de Compra ( $)" dataDxfId="126" dataCellStyle="Millares"/>
    <tableColumn id="6" xr3:uid="{00000000-0010-0000-0200-000006000000}" name="Unidad Despacho Almacen" dataDxfId="125"/>
    <tableColumn id="7" xr3:uid="{00000000-0010-0000-0200-000007000000}" name="Valor /U Despacho en Almacen" dataDxfId="124"/>
    <tableColumn id="8" xr3:uid="{00000000-0010-0000-0200-000008000000}" name="Magnitud_x000a_1 en U" dataDxfId="123" dataCellStyle="Normal 3"/>
    <tableColumn id="9" xr3:uid="{00000000-0010-0000-0200-000009000000}" name="Magnitud_x000a_2 en U" dataDxfId="122" dataCellStyle="Normal 3"/>
    <tableColumn id="10" xr3:uid="{00000000-0010-0000-0200-00000A000000}" name="Codigo en el  Almacén" dataDxfId="121">
      <calculatedColumnFormula>CONCATENATE(LEFT(C217,1),MID(C217,SEARCH("_",C217)+1,2),TEXT(A217,"000"))</calculatedColumnFormula>
    </tableColumn>
    <tableColumn id="11" xr3:uid="{00000000-0010-0000-0200-00000B000000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3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300-000001000000}" name="Item" dataDxfId="118">
      <calculatedColumnFormula>A1108+1</calculatedColumnFormula>
    </tableColumn>
    <tableColumn id="2" xr3:uid="{00000000-0010-0000-0300-000002000000}" name="Material" dataDxfId="117"/>
    <tableColumn id="3" xr3:uid="{00000000-0010-0000-0300-000003000000}" name="Categoría" dataDxfId="116"/>
    <tableColumn id="4" xr3:uid="{00000000-0010-0000-0300-000004000000}" name="Unidad de Compra Almacen" dataDxfId="115"/>
    <tableColumn id="5" xr3:uid="{00000000-0010-0000-0300-000005000000}" name="Precio_x000a_Unidad de Compra ( $)" dataDxfId="114" dataCellStyle="Millares"/>
    <tableColumn id="6" xr3:uid="{00000000-0010-0000-0300-000006000000}" name="Unidad Despacho Almacen" dataDxfId="113"/>
    <tableColumn id="7" xr3:uid="{00000000-0010-0000-03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300-000008000000}" name="Magnitud_x000a_1 en U" dataDxfId="111" dataCellStyle="Normal 3"/>
    <tableColumn id="9" xr3:uid="{00000000-0010-0000-0300-000009000000}" name="Magnitud_x000a_2 en U" dataDxfId="110" dataCellStyle="Normal 3"/>
    <tableColumn id="10" xr3:uid="{00000000-0010-0000-0300-00000A000000}" name="Codigo en el  Almacén" dataDxfId="109">
      <calculatedColumnFormula>IFERROR(CONCATENATE(LEFT(C1109,1),MID(C1109,SEARCH("_",C1109)+1,2),TEXT(A1109,"000")),"")</calculatedColumnFormula>
    </tableColumn>
    <tableColumn id="11" xr3:uid="{00000000-0010-0000-0300-00000B000000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4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400-000001000000}" name="Item" dataDxfId="105"/>
    <tableColumn id="2" xr3:uid="{00000000-0010-0000-0400-000002000000}" name="Material" dataDxfId="104"/>
    <tableColumn id="3" xr3:uid="{00000000-0010-0000-0400-000003000000}" name="Categoría" dataDxfId="103"/>
    <tableColumn id="4" xr3:uid="{00000000-0010-0000-0400-000004000000}" name="Unidad de Compra Almacen" dataDxfId="102"/>
    <tableColumn id="5" xr3:uid="{00000000-0010-0000-0400-000005000000}" name="Precio_x000a_Unidad de Compra ( $)" dataDxfId="101" dataCellStyle="Millares"/>
    <tableColumn id="6" xr3:uid="{00000000-0010-0000-0400-000006000000}" name="Unidad Despacho Almacen" dataDxfId="100"/>
    <tableColumn id="7" xr3:uid="{00000000-0010-0000-0400-000007000000}" name="Valor /U Despacho en Almacen" dataDxfId="99">
      <calculatedColumnFormula>IF(BD!$E1418="","",(E1418/(H1418*I1418)))</calculatedColumnFormula>
    </tableColumn>
    <tableColumn id="8" xr3:uid="{00000000-0010-0000-0400-000008000000}" name="Magnitud_x000a_1 en U" dataDxfId="98" dataCellStyle="Normal 3"/>
    <tableColumn id="9" xr3:uid="{00000000-0010-0000-0400-000009000000}" name="Magnitud_x000a_2 en U" dataDxfId="97" dataCellStyle="Normal 3"/>
    <tableColumn id="10" xr3:uid="{00000000-0010-0000-0400-00000A000000}" name="Codigo en el  Almacén" dataDxfId="96">
      <calculatedColumnFormula>CONCATENATE(LEFT(C1418,1),MID(C1418,SEARCH("_",C1418)+1,2),TEXT(A1418,"000"))</calculatedColumnFormula>
    </tableColumn>
    <tableColumn id="11" xr3:uid="{00000000-0010-0000-0400-00000B000000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500-000001000000}" name="Material" dataDxfId="93"/>
    <tableColumn id="2" xr3:uid="{00000000-0010-0000-0500-000002000000}" name="Categoría" dataDxfId="92"/>
    <tableColumn id="3" xr3:uid="{00000000-0010-0000-0500-000003000000}" name="Unidad de Compra Almacen" dataDxfId="91"/>
    <tableColumn id="4" xr3:uid="{00000000-0010-0000-0500-000004000000}" name="Precio_x000a_Unidad de Compra ( $)" dataDxfId="90" dataCellStyle="Millares"/>
    <tableColumn id="5" xr3:uid="{00000000-0010-0000-0500-000005000000}" name="Unidad Despacho Almacen" dataDxfId="89"/>
    <tableColumn id="6" xr3:uid="{00000000-0010-0000-0500-000006000000}" name="Valor /U Despacho en Almacen" dataDxfId="88"/>
    <tableColumn id="7" xr3:uid="{00000000-0010-0000-0500-000007000000}" name="Magnitud_x000a_1 en U" dataDxfId="87"/>
    <tableColumn id="8" xr3:uid="{00000000-0010-0000-0500-000008000000}" name="Magnitud_x000a_2 en U" dataDxfId="86"/>
    <tableColumn id="9" xr3:uid="{00000000-0010-0000-0500-000009000000}" name="Codigo en el  Almacén" dataDxfId="85"/>
    <tableColumn id="10" xr3:uid="{00000000-0010-0000-0500-00000A000000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6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600-000001000000}" name="Item" dataDxfId="83"/>
    <tableColumn id="2" xr3:uid="{00000000-0010-0000-0600-000002000000}" name="Material" dataDxfId="82"/>
    <tableColumn id="3" xr3:uid="{00000000-0010-0000-0600-000003000000}" name="Categoría" dataDxfId="81"/>
    <tableColumn id="4" xr3:uid="{00000000-0010-0000-0600-000004000000}" name="Unidad de Compra Almacen" dataDxfId="80"/>
    <tableColumn id="5" xr3:uid="{00000000-0010-0000-0600-000005000000}" name="Precio_x000a_Unidad de Compra ( $)" dataDxfId="79" dataCellStyle="Millares"/>
    <tableColumn id="6" xr3:uid="{00000000-0010-0000-0600-000006000000}" name="Unidad Despacho Almacen" dataDxfId="78"/>
    <tableColumn id="7" xr3:uid="{00000000-0010-0000-0600-000007000000}" name="Valor /U Despacho en Almacen" dataDxfId="77">
      <calculatedColumnFormula>IF(BD!$E614="","",(E614/(H614*I614)))</calculatedColumnFormula>
    </tableColumn>
    <tableColumn id="8" xr3:uid="{00000000-0010-0000-0600-000008000000}" name="Magnitud_x000a_1 en U" dataDxfId="76" dataCellStyle="Normal 3"/>
    <tableColumn id="9" xr3:uid="{00000000-0010-0000-0600-000009000000}" name="Magnitud_x000a_2 en U" dataDxfId="75" dataCellStyle="Normal 3"/>
    <tableColumn id="10" xr3:uid="{00000000-0010-0000-0600-00000A000000}" name="Codigo en el  Almacén" dataDxfId="74">
      <calculatedColumnFormula>CONCATENATE(LEFT(C614,1),"_",TEXT(A614,"000"))</calculatedColumnFormula>
    </tableColumn>
    <tableColumn id="11" xr3:uid="{00000000-0010-0000-0600-00000B000000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9" displayName="Tabla9" ref="A659:K1080" totalsRowShown="0" tableBorderDxfId="72">
  <autoFilter ref="A659:K1080" xr:uid="{00000000-0009-0000-0100-000009000000}"/>
  <sortState ref="A660:K1080">
    <sortCondition ref="B659:B1080"/>
  </sortState>
  <tableColumns count="11">
    <tableColumn id="1" xr3:uid="{00000000-0010-0000-0700-000001000000}" name="Item" dataDxfId="71">
      <calculatedColumnFormula>A659+1</calculatedColumnFormula>
    </tableColumn>
    <tableColumn id="2" xr3:uid="{00000000-0010-0000-0700-000002000000}" name="Material" dataDxfId="70"/>
    <tableColumn id="3" xr3:uid="{00000000-0010-0000-0700-000003000000}" name="Categoría" dataDxfId="69"/>
    <tableColumn id="4" xr3:uid="{00000000-0010-0000-0700-000004000000}" name="Unidad de Compra Almacen" dataDxfId="68"/>
    <tableColumn id="5" xr3:uid="{00000000-0010-0000-0700-000005000000}" name="Precio_x000a_Unidad de Compra ( $)" dataDxfId="67" dataCellStyle="Millares"/>
    <tableColumn id="6" xr3:uid="{00000000-0010-0000-0700-000006000000}" name="Unidad Despacho Almacen" dataDxfId="66"/>
    <tableColumn id="7" xr3:uid="{00000000-0010-0000-0700-000007000000}" name="Valor /U Despacho en Almacen" dataDxfId="65">
      <calculatedColumnFormula>IF(Tabla9[[#This Row],[Precio
Unidad de Compra ( $)]]="","",(E660/(H660*I660)))</calculatedColumnFormula>
    </tableColumn>
    <tableColumn id="8" xr3:uid="{00000000-0010-0000-0700-000008000000}" name="Magnitud_x000a_1 en U" dataDxfId="64" dataCellStyle="Normal 3"/>
    <tableColumn id="9" xr3:uid="{00000000-0010-0000-0700-000009000000}" name="Magnitud_x000a_2 en U" dataDxfId="63" dataCellStyle="Normal 3"/>
    <tableColumn id="10" xr3:uid="{00000000-0010-0000-0700-00000A000000}" name="Codigo en el  Almacén" dataDxfId="62"/>
    <tableColumn id="11" xr3:uid="{00000000-0010-0000-0700-00000B000000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la13" displayName="Tabla13" ref="B1276:K1316" totalsRowShown="0" tableBorderDxfId="60">
  <autoFilter ref="B1276:K1316" xr:uid="{00000000-0009-0000-0100-00000D000000}"/>
  <sortState ref="B1277:K1316">
    <sortCondition ref="B1276:B1316"/>
  </sortState>
  <tableColumns count="10">
    <tableColumn id="1" xr3:uid="{00000000-0010-0000-0800-000001000000}" name="Material" dataDxfId="59" totalsRowDxfId="58"/>
    <tableColumn id="2" xr3:uid="{00000000-0010-0000-0800-000002000000}" name="Categoría" dataDxfId="57" totalsRowDxfId="56"/>
    <tableColumn id="3" xr3:uid="{00000000-0010-0000-0800-000003000000}" name="Unidad de Compra Almacen" dataDxfId="55" totalsRowDxfId="54"/>
    <tableColumn id="4" xr3:uid="{00000000-0010-0000-0800-000004000000}" name="Precio_x000a_Unidad de Compra ( $)" dataDxfId="53" totalsRowDxfId="52" dataCellStyle="Millares"/>
    <tableColumn id="5" xr3:uid="{00000000-0010-0000-0800-000005000000}" name="Unidad Despacho Almacen" dataDxfId="51" totalsRowDxfId="50"/>
    <tableColumn id="6" xr3:uid="{00000000-0010-0000-0800-000006000000}" name="Valor /U Despacho en Almacen" dataDxfId="49" totalsRowDxfId="48">
      <calculatedColumnFormula>IF(BD!$E1277="","",(E1277/(H1277*I1277)))</calculatedColumnFormula>
    </tableColumn>
    <tableColumn id="7" xr3:uid="{00000000-0010-0000-0800-000007000000}" name="Magnitud_x000a_1 en U" dataDxfId="47" totalsRowDxfId="46" dataCellStyle="Normal 3 2"/>
    <tableColumn id="8" xr3:uid="{00000000-0010-0000-0800-000008000000}" name="Magnitud_x000a_2 en U" dataDxfId="45" totalsRowDxfId="44" dataCellStyle="Normal 3 2"/>
    <tableColumn id="9" xr3:uid="{00000000-0010-0000-0800-000009000000}" name="Codigo en el  Almacén" dataDxfId="43" totalsRowDxfId="42">
      <calculatedColumnFormula>CONCATENATE(LEFT(C1277,1),"_",TEXT(A1277,"000"))</calculatedColumnFormula>
    </tableColumn>
    <tableColumn id="10" xr3:uid="{00000000-0010-0000-0800-00000A000000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Suelas_" displayName="Suelas_" ref="B1168:K1230" totalsRowShown="0" tableBorderDxfId="39">
  <autoFilter ref="B1168:K1230" xr:uid="{00000000-0009-0000-0100-000006000000}"/>
  <sortState ref="B1169:K1230">
    <sortCondition ref="B1168:B1230"/>
  </sortState>
  <tableColumns count="10">
    <tableColumn id="1" xr3:uid="{00000000-0010-0000-0900-000001000000}" name="Material" dataDxfId="38"/>
    <tableColumn id="2" xr3:uid="{00000000-0010-0000-0900-000002000000}" name="Categoría" dataDxfId="37"/>
    <tableColumn id="3" xr3:uid="{00000000-0010-0000-0900-000003000000}" name="Unidad de Compra Almacen" dataDxfId="36"/>
    <tableColumn id="4" xr3:uid="{00000000-0010-0000-0900-000004000000}" name="Precio_x000a_Unidad de Compra ( $)" dataDxfId="35" dataCellStyle="Millares"/>
    <tableColumn id="5" xr3:uid="{00000000-0010-0000-0900-000005000000}" name="Unidad Despacho Almacen" dataDxfId="34"/>
    <tableColumn id="6" xr3:uid="{00000000-0010-0000-0900-000006000000}" name="Valor /U Despacho en Almacen" dataDxfId="33">
      <calculatedColumnFormula>IF(BD!$E1168="","",(E1169/(H1169*I1169)))</calculatedColumnFormula>
    </tableColumn>
    <tableColumn id="7" xr3:uid="{00000000-0010-0000-0900-000007000000}" name="Magnitud_x000a_1 en U" dataDxfId="32" dataCellStyle="Normal 3"/>
    <tableColumn id="8" xr3:uid="{00000000-0010-0000-0900-000008000000}" name="Magnitud_x000a_2 en U" dataDxfId="31" dataCellStyle="Normal 3"/>
    <tableColumn id="9" xr3:uid="{00000000-0010-0000-0900-000009000000}" name="Codigo en el  Almacén" dataDxfId="30">
      <calculatedColumnFormula>CONCATENATE(LEFT(C1169,1),"_",TEXT(A1169,"000"))</calculatedColumnFormula>
    </tableColumn>
    <tableColumn id="10" xr3:uid="{00000000-0010-0000-0900-00000A000000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a12" displayName="Tabla12" ref="A1332:K1396" totalsRowShown="0" tableBorderDxfId="28">
  <autoFilter ref="A1332:K1396" xr:uid="{00000000-0009-0000-0100-00000C000000}"/>
  <sortState ref="A1333:K1396">
    <sortCondition ref="B1332:B1396"/>
  </sortState>
  <tableColumns count="11">
    <tableColumn id="1" xr3:uid="{00000000-0010-0000-0A00-000001000000}" name="219" dataDxfId="27">
      <calculatedColumnFormula>A1332+1</calculatedColumnFormula>
    </tableColumn>
    <tableColumn id="2" xr3:uid="{00000000-0010-0000-0A00-000002000000}" name="Material"/>
    <tableColumn id="3" xr3:uid="{00000000-0010-0000-0A00-000003000000}" name="Categoría" dataDxfId="26"/>
    <tableColumn id="4" xr3:uid="{00000000-0010-0000-0A00-000004000000}" name="Unidad de Compra Almacen"/>
    <tableColumn id="5" xr3:uid="{00000000-0010-0000-0A00-000005000000}" name="Precio_x000a_Unidad de Compra ( $)" dataDxfId="25" dataCellStyle="Millares"/>
    <tableColumn id="6" xr3:uid="{00000000-0010-0000-0A00-000006000000}" name="Unidad Despacho Almacen" dataDxfId="24"/>
    <tableColumn id="7" xr3:uid="{00000000-0010-0000-0A00-000007000000}" name="Valor /U Despacho en Almacen"/>
    <tableColumn id="8" xr3:uid="{00000000-0010-0000-0A00-000008000000}" name="Magnitud_x000a_1 en U"/>
    <tableColumn id="9" xr3:uid="{00000000-0010-0000-0A00-000009000000}" name="Magnitud_x000a_2 en U"/>
    <tableColumn id="10" xr3:uid="{00000000-0010-0000-0A00-00000A000000}" name="Codigo en el  Almacén" dataDxfId="23"/>
    <tableColumn id="11" xr3:uid="{00000000-0010-0000-0A00-00000B000000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B00-000001000000}" name="Nombre  de la_x000a_Unidades"/>
    <tableColumn id="2" xr3:uid="{00000000-0010-0000-0B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C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C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D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E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E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F00-000001000000}" name="Instructores"/>
    <tableColumn id="2" xr3:uid="{00000000-0010-0000-0F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Tabla5" displayName="Tabla5" ref="D2:D8" totalsRowShown="0" headerRowDxfId="3" headerRowBorderDxfId="2" tableBorderDxfId="1" totalsRowBorderDxfId="0">
  <autoFilter ref="D2:D8" xr:uid="{00000000-0009-0000-0100-000005000000}"/>
  <tableColumns count="1">
    <tableColumn id="1" xr3:uid="{00000000-0010-0000-1000-000001000000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Q14" sqref="Q14:R14"/>
    </sheetView>
  </sheetViews>
  <sheetFormatPr baseColWidth="10" defaultColWidth="0" defaultRowHeight="0" customHeight="1" zeroHeight="1"/>
  <cols>
    <col min="1" max="1" width="5" customWidth="1"/>
    <col min="2" max="3" width="7.28515625" customWidth="1"/>
    <col min="4" max="4" width="6" customWidth="1"/>
    <col min="5" max="5" width="3.7109375" customWidth="1"/>
    <col min="6" max="6" width="5.28515625" customWidth="1"/>
    <col min="7" max="7" width="3.7109375" customWidth="1"/>
    <col min="8" max="8" width="4.28515625" customWidth="1"/>
    <col min="9" max="9" width="6.28515625" customWidth="1"/>
    <col min="10" max="10" width="4.42578125" customWidth="1"/>
    <col min="11" max="11" width="5.7109375" customWidth="1"/>
    <col min="12" max="12" width="6" customWidth="1"/>
    <col min="13" max="13" width="6.7109375" customWidth="1"/>
    <col min="14" max="14" width="7.28515625" customWidth="1"/>
    <col min="15" max="15" width="6.28515625" customWidth="1"/>
    <col min="16" max="16" width="5.5703125" customWidth="1"/>
    <col min="17" max="17" width="6.7109375" customWidth="1"/>
    <col min="18" max="18" width="8.7109375" customWidth="1"/>
    <col min="19" max="20" width="5.7109375" customWidth="1"/>
    <col min="21" max="21" width="7.42578125" customWidth="1"/>
    <col min="22" max="22" width="8.7109375" customWidth="1"/>
    <col min="23" max="23" width="4.28515625" customWidth="1"/>
    <col min="24" max="24" width="5.7109375" customWidth="1"/>
    <col min="25" max="25" width="8.28515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ER2908-1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45898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1349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>
        <f>IF(E2="","",INDEX(Listas!H2:I30,MATCH('Soli_citud '!E2,Intructores,0),2))</f>
        <v>32142539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8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3190208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1388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5483.755162859974</v>
      </c>
      <c r="E5" s="387"/>
      <c r="F5" s="388"/>
      <c r="G5" s="364" t="s">
        <v>15</v>
      </c>
      <c r="H5" s="389"/>
      <c r="I5" s="389"/>
      <c r="J5" s="365"/>
      <c r="K5" s="328">
        <v>30</v>
      </c>
      <c r="L5" s="328"/>
      <c r="M5" s="329" t="s">
        <v>16</v>
      </c>
      <c r="N5" s="329"/>
      <c r="O5" s="325">
        <f>IFERROR(IF(K5=0,"",D5*K5),"")</f>
        <v>164512.65488579922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3.3333333333333333E-2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36</v>
      </c>
      <c r="B10" s="299"/>
      <c r="C10" s="300"/>
      <c r="D10" s="390" t="s">
        <v>466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dm2</v>
      </c>
      <c r="P10" s="305"/>
      <c r="Q10" s="306">
        <v>3.03</v>
      </c>
      <c r="R10" s="307"/>
      <c r="S10" s="308">
        <f>IFERROR(IF(Q10="Unidad","1",(Q10*$K$5)),"")</f>
        <v>90.899999999999991</v>
      </c>
      <c r="T10" s="309"/>
      <c r="U10" s="310"/>
      <c r="V10" s="393"/>
      <c r="W10" s="311">
        <f>IFERROR(IF(D10="","",INDEX(Tabla_Completa,MATCH('Soli_citud '!D10,Materiales,0),7)*S10),"")</f>
        <v>152106.01514999999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1057</v>
      </c>
      <c r="B11" s="299"/>
      <c r="C11" s="300"/>
      <c r="D11" s="394" t="s">
        <v>1090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Rollo</v>
      </c>
      <c r="P11" s="305"/>
      <c r="Q11" s="306">
        <v>0.02</v>
      </c>
      <c r="R11" s="307"/>
      <c r="S11" s="308">
        <f t="shared" ref="S11:S31" si="1">IFERROR(IF(Q11="Unidad","1",(Q11*$K$5)),"")</f>
        <v>0.6</v>
      </c>
      <c r="T11" s="309"/>
      <c r="U11" s="310"/>
      <c r="V11" s="310"/>
      <c r="W11" s="311">
        <f>IFERROR(IF(D11="","",INDEX(Tabla_Completa,MATCH('Soli_citud '!D11,Materiales,0),7)*S11),"")</f>
        <v>2508</v>
      </c>
      <c r="X11" s="311"/>
      <c r="Y11" s="311"/>
    </row>
    <row r="12" spans="1:31" ht="15.75" customHeight="1">
      <c r="A12" s="298" t="s">
        <v>47</v>
      </c>
      <c r="B12" s="299"/>
      <c r="C12" s="300"/>
      <c r="D12" s="390" t="s">
        <v>1187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Rollo</v>
      </c>
      <c r="P12" s="305"/>
      <c r="Q12" s="306">
        <v>0.04</v>
      </c>
      <c r="R12" s="307"/>
      <c r="S12" s="308">
        <f t="shared" si="1"/>
        <v>1.2</v>
      </c>
      <c r="T12" s="309"/>
      <c r="U12" s="310"/>
      <c r="V12" s="310"/>
      <c r="W12" s="311">
        <f>IFERROR(IF(D12="","",INDEX(Tabla_Completa,MATCH('Soli_citud '!D12,Materiales,0),7)*S12),"")</f>
        <v>6466.2</v>
      </c>
      <c r="X12" s="311"/>
      <c r="Y12" s="311"/>
    </row>
    <row r="13" spans="1:31" ht="15.75" customHeight="1">
      <c r="A13" s="298" t="s">
        <v>39</v>
      </c>
      <c r="B13" s="299"/>
      <c r="C13" s="300"/>
      <c r="D13" s="394" t="s">
        <v>849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U</v>
      </c>
      <c r="P13" s="305"/>
      <c r="Q13" s="306">
        <v>1</v>
      </c>
      <c r="R13" s="307"/>
      <c r="S13" s="308">
        <f t="shared" si="1"/>
        <v>30</v>
      </c>
      <c r="T13" s="309"/>
      <c r="U13" s="310"/>
      <c r="V13" s="310"/>
      <c r="W13" s="311">
        <f>IFERROR(IF(D13="","",INDEX(Tabla_Completa,MATCH('Soli_citud '!D13,Materiales,0),7)*S13),"")</f>
        <v>3427.2</v>
      </c>
      <c r="X13" s="311"/>
      <c r="Y13" s="311"/>
    </row>
    <row r="14" spans="1:31" ht="17.25" customHeight="1">
      <c r="A14" s="298" t="s">
        <v>1057</v>
      </c>
      <c r="B14" s="299"/>
      <c r="C14" s="300"/>
      <c r="D14" s="394" t="s">
        <v>1088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Pliego</v>
      </c>
      <c r="P14" s="305"/>
      <c r="Q14" s="306">
        <v>1.2</v>
      </c>
      <c r="R14" s="307"/>
      <c r="S14" s="308">
        <f t="shared" si="1"/>
        <v>36</v>
      </c>
      <c r="T14" s="309"/>
      <c r="U14" s="310"/>
      <c r="V14" s="310"/>
      <c r="W14" s="311" t="str">
        <f>IFERROR(IF(D14="","",INDEX(Tabla_Completa,MATCH('Soli_citud '!D14,Materiales,0),7)*S14),"")</f>
        <v/>
      </c>
      <c r="X14" s="311"/>
      <c r="Y14" s="311"/>
    </row>
    <row r="15" spans="1:31" ht="15.75" customHeight="1">
      <c r="A15" s="298" t="s">
        <v>30</v>
      </c>
      <c r="B15" s="299"/>
      <c r="C15" s="300"/>
      <c r="D15" s="394" t="s">
        <v>106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ml</v>
      </c>
      <c r="P15" s="305"/>
      <c r="Q15" s="306">
        <v>0.01</v>
      </c>
      <c r="R15" s="307"/>
      <c r="S15" s="308">
        <f t="shared" si="1"/>
        <v>0.3</v>
      </c>
      <c r="T15" s="309"/>
      <c r="U15" s="310"/>
      <c r="V15" s="310"/>
      <c r="W15" s="311">
        <f>IFERROR(IF(D15="","",INDEX(Tabla_Completa,MATCH('Soli_citud '!D15,Materiales,0),7)*S15),"")</f>
        <v>5.2397357992073967</v>
      </c>
      <c r="X15" s="311"/>
      <c r="Y15" s="311"/>
    </row>
    <row r="16" spans="1:31" ht="15.75" customHeight="1">
      <c r="A16" s="298" t="s">
        <v>1214</v>
      </c>
      <c r="B16" s="299"/>
      <c r="C16" s="300"/>
      <c r="D16" s="394" t="s">
        <v>1236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ml</v>
      </c>
      <c r="P16" s="305"/>
      <c r="Q16" s="306">
        <v>1.0999999999999999E-2</v>
      </c>
      <c r="R16" s="307"/>
      <c r="S16" s="308">
        <f t="shared" si="1"/>
        <v>0.32999999999999996</v>
      </c>
      <c r="T16" s="309"/>
      <c r="U16" s="310"/>
      <c r="V16" s="310"/>
      <c r="W16" s="311">
        <f>IFERROR(IF(D16="","",INDEX(Tabla_Completa,MATCH('Soli_citud '!D16,Materiales,0),7)*S16),"")</f>
        <v>0</v>
      </c>
      <c r="X16" s="311"/>
      <c r="Y16" s="311"/>
    </row>
    <row r="17" spans="1:25" ht="15.75" customHeight="1">
      <c r="A17" s="298"/>
      <c r="B17" s="299"/>
      <c r="C17" s="300"/>
      <c r="D17" s="394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4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00000000-0002-0000-0000-000000000000}">
      <formula1>Destinación</formula1>
    </dataValidation>
    <dataValidation type="list" allowBlank="1" showInputMessage="1" showErrorMessage="1" sqref="E3:K3" xr:uid="{00000000-0002-0000-0000-000001000000}">
      <formula1>Programas</formula1>
    </dataValidation>
    <dataValidation type="list" allowBlank="1" showInputMessage="1" showErrorMessage="1" sqref="E2:K2" xr:uid="{00000000-0002-0000-0000-000002000000}">
      <formula1>Intructores</formula1>
    </dataValidation>
    <dataValidation type="list" allowBlank="1" showInputMessage="1" showErrorMessage="1" sqref="A10 A11:C31" xr:uid="{00000000-0002-0000-0000-000003000000}">
      <formula1>CATEGORIAS</formula1>
    </dataValidation>
    <dataValidation type="list" allowBlank="1" showInputMessage="1" sqref="U10:V31" xr:uid="{00000000-0002-0000-0000-000004000000}">
      <formula1>Observaciones</formula1>
    </dataValidation>
    <dataValidation type="list" allowBlank="1" showInputMessage="1" sqref="D10:N31" xr:uid="{00000000-0002-0000-0000-000005000000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J19" sqref="J19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28515625" customWidth="1"/>
    <col min="11" max="11" width="10.71093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52</v>
      </c>
      <c r="E1" s="457"/>
      <c r="F1" s="457"/>
      <c r="G1" s="457"/>
      <c r="H1" s="457"/>
      <c r="I1" s="458"/>
      <c r="J1" s="485" t="s">
        <v>53</v>
      </c>
      <c r="K1" s="486"/>
      <c r="L1" s="486"/>
      <c r="M1" s="487"/>
      <c r="N1" s="488">
        <f>IF('Soli_citud '!O1="","",'Soli_citud '!O1)</f>
        <v>45898</v>
      </c>
      <c r="O1" s="489"/>
      <c r="P1" s="427" t="s">
        <v>54</v>
      </c>
      <c r="Q1" s="428"/>
      <c r="R1" s="433" t="str">
        <f>IF('Soli_citud '!D4="","",'Soli_citud '!D4)</f>
        <v>LLAVERO PIROGRABADO</v>
      </c>
      <c r="S1" s="434"/>
      <c r="Z1" t="s">
        <v>55</v>
      </c>
      <c r="AA1" s="241" t="s">
        <v>55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56</v>
      </c>
      <c r="K2" s="491"/>
      <c r="L2" s="491"/>
      <c r="M2" s="492"/>
      <c r="N2" s="493" t="str">
        <f>'Soli_citud '!F1</f>
        <v>ER2908-1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57</v>
      </c>
      <c r="K3" s="494"/>
      <c r="L3" s="494"/>
      <c r="M3" s="494"/>
      <c r="N3" s="495">
        <f>IF('Soli_citud '!O3="","",'Soli_citud '!O3)</f>
        <v>3190208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58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59</v>
      </c>
      <c r="C6" s="446"/>
      <c r="D6" s="447"/>
      <c r="E6" s="451" t="s">
        <v>60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5483.755162859974</v>
      </c>
      <c r="C8" s="420"/>
      <c r="D8" s="421"/>
      <c r="E8" s="422" t="s">
        <v>61</v>
      </c>
      <c r="F8" s="423"/>
      <c r="G8" s="423"/>
      <c r="H8" s="423"/>
      <c r="I8" s="424"/>
      <c r="J8" s="425" t="str">
        <f>IF('Soli_citud '!E2="","",'Soli_citud '!E2)</f>
        <v>Emely Rivera Delgado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62</v>
      </c>
      <c r="C9" s="466"/>
      <c r="D9" s="469"/>
      <c r="E9" s="470" t="s">
        <v>63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64</v>
      </c>
      <c r="K10" s="477"/>
      <c r="L10" s="478"/>
      <c r="M10" s="250">
        <f>'[1]Soli_citud '!K5</f>
        <v>1</v>
      </c>
      <c r="N10" s="440" t="s">
        <v>65</v>
      </c>
      <c r="O10" s="441"/>
      <c r="P10" s="431"/>
      <c r="Q10" s="432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0" t="s">
        <v>69</v>
      </c>
      <c r="D11" s="411"/>
      <c r="E11" s="411"/>
      <c r="F11" s="41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3" t="s">
        <v>24</v>
      </c>
      <c r="M11" s="41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ER2908-1</v>
      </c>
      <c r="C12" s="407" t="str">
        <f>IFERROR(IF('Soli_citud '!D10="","",'Soli_citud '!D10),"")</f>
        <v xml:space="preserve">CUERO TALA #2
</v>
      </c>
      <c r="D12" s="407"/>
      <c r="E12" s="407"/>
      <c r="F12" s="407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90.899999999999991</v>
      </c>
      <c r="I12" s="214">
        <v>45904</v>
      </c>
      <c r="J12" s="215">
        <v>90.9</v>
      </c>
      <c r="K12" s="197" t="str" cm="1">
        <f t="array" ref="K12">IFERROR(_xlfn.IFS(H12="","",J12=H12,"Cumplido",J12&lt;H12,H12-J12,J12&gt;H12,"Revisar"),"")</f>
        <v>Cumplido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ER2908-1</v>
      </c>
      <c r="C13" s="407" t="str">
        <f>IFERROR(IF('Soli_citud '!D11="","",'Soli_citud '!D11),"")</f>
        <v>CINTA  DE ENMASCARAR</v>
      </c>
      <c r="D13" s="407"/>
      <c r="E13" s="407"/>
      <c r="F13" s="407"/>
      <c r="G13" s="213" t="str">
        <f>IF('Soli_citud '!O11="","",'Soli_citud '!O11)</f>
        <v>Rollo</v>
      </c>
      <c r="H13" s="213" cm="1">
        <f t="array" ref="H13">_xlfn.IFS('Soli_citud '!S11="","",'Soli_citud '!S11&lt;=0,"",'Soli_citud '!S11&gt;0,'Soli_citud '!S11)</f>
        <v>0.6</v>
      </c>
      <c r="I13" s="214">
        <v>45904</v>
      </c>
      <c r="J13" s="216">
        <v>0.6</v>
      </c>
      <c r="K13" s="197" t="str" cm="1">
        <f t="array" ref="K13">IFERROR(_xlfn.IFS(H13="","",J13=H13,"Cumplido",J13&lt;H13,H13-J13,J13&gt;H13,"Revisar"),"")</f>
        <v>Cumplido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ER2908-1</v>
      </c>
      <c r="C14" s="407" t="str">
        <f>IFERROR(IF('Soli_citud '!D12="","",'Soli_citud '!D12),"")</f>
        <v>PAPEL CONTACT TRANSPARENTE ORIGINAL</v>
      </c>
      <c r="D14" s="407"/>
      <c r="E14" s="407"/>
      <c r="F14" s="407"/>
      <c r="G14" s="213" t="str">
        <f>IF('Soli_citud '!O12="","",'Soli_citud '!O12)</f>
        <v>Rollo</v>
      </c>
      <c r="H14" s="213" cm="1">
        <f t="array" ref="H14">_xlfn.IFS('Soli_citud '!S12="","",'Soli_citud '!S12&lt;=0,"",'Soli_citud '!S12&gt;0,'Soli_citud '!S12)</f>
        <v>1.2</v>
      </c>
      <c r="I14" s="214">
        <v>45904</v>
      </c>
      <c r="J14" s="216"/>
      <c r="K14" s="197" cm="1">
        <f t="array" ref="K14">IFERROR(_xlfn.IFS(H14="","",J14=H14,"Cumplido",J14&lt;H14,H14-J14,J14&gt;H14,"Revisar"),"")</f>
        <v>1.2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ER2908-1</v>
      </c>
      <c r="C15" s="407" t="str">
        <f>IFERROR(IF('Soli_citud '!D13="","",'Soli_citud '!D13),"")</f>
        <v>REMACHE HONGO # 9 PAVÓN</v>
      </c>
      <c r="D15" s="407"/>
      <c r="E15" s="407"/>
      <c r="F15" s="407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30</v>
      </c>
      <c r="I15" s="214">
        <v>45904</v>
      </c>
      <c r="J15" s="216">
        <v>30</v>
      </c>
      <c r="K15" s="197" t="str" cm="1">
        <f t="array" ref="K15">IFERROR(_xlfn.IFS(H15="","",J15=H15,"Cumplido",J15&lt;H15,H15-J15,J15&gt;H15,"Revisar"),"")</f>
        <v>Cumplido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ER2908-1</v>
      </c>
      <c r="C16" s="407" t="str">
        <f>IFERROR(IF('Soli_citud '!D14="","",'Soli_citud '!D14),"")</f>
        <v xml:space="preserve">CARTULINA PLANA </v>
      </c>
      <c r="D16" s="407"/>
      <c r="E16" s="407"/>
      <c r="F16" s="407"/>
      <c r="G16" s="213" t="str">
        <f>IF('Soli_citud '!O14="","",'Soli_citud '!O14)</f>
        <v>Pliego</v>
      </c>
      <c r="H16" s="213" cm="1">
        <f t="array" ref="H16">_xlfn.IFS('Soli_citud '!S14="","",'Soli_citud '!S14&lt;=0,"",'Soli_citud '!S14&gt;0,'Soli_citud '!S14)</f>
        <v>36</v>
      </c>
      <c r="I16" s="214">
        <v>45904</v>
      </c>
      <c r="J16" s="216">
        <v>25</v>
      </c>
      <c r="K16" s="197" cm="1">
        <f t="array" ref="K16">IFERROR(_xlfn.IFS(H16="","",J16=H16,"Cumplido",J16&lt;H16,H16-J16,J16&gt;H16,"Revisar"),"")</f>
        <v>11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ER2908-1</v>
      </c>
      <c r="C17" s="407" t="str">
        <f>IFERROR(IF('Soli_citud '!D15="","",'Soli_citud '!D15),"")</f>
        <v xml:space="preserve">PEGANTE CEMENTO DE CONTACTO BASE CLOROPRENO
</v>
      </c>
      <c r="D17" s="407"/>
      <c r="E17" s="407"/>
      <c r="F17" s="407"/>
      <c r="G17" s="213" t="str">
        <f>IF('Soli_citud '!O15="","",'Soli_citud '!O15)</f>
        <v>ml</v>
      </c>
      <c r="H17" s="213" cm="1">
        <f t="array" ref="H17">_xlfn.IFS('Soli_citud '!S15="","",'Soli_citud '!S15&lt;=0,"",'Soli_citud '!S15&gt;0,'Soli_citud '!S15)</f>
        <v>0.3</v>
      </c>
      <c r="I17" s="214">
        <v>45904</v>
      </c>
      <c r="J17" s="216">
        <v>0.3</v>
      </c>
      <c r="K17" s="197" t="str" cm="1">
        <f t="array" ref="K17">IFERROR(_xlfn.IFS(H17="","",J17=H17,"Cumplido",J17&lt;H17,H17-J17,J17&gt;H17,"Revisar"),"")</f>
        <v>Cumplido</v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ER2908-1</v>
      </c>
      <c r="C18" s="407" t="str">
        <f>IFERROR(IF('Soli_citud '!D16="","",'Soli_citud '!D16),"")</f>
        <v>Emulsión</v>
      </c>
      <c r="D18" s="407"/>
      <c r="E18" s="407"/>
      <c r="F18" s="407"/>
      <c r="G18" s="213" t="str">
        <f>IF('Soli_citud '!O16="","",'Soli_citud '!O16)</f>
        <v>ml</v>
      </c>
      <c r="H18" s="213" cm="1">
        <f t="array" ref="H18">_xlfn.IFS('Soli_citud '!S16="","",'Soli_citud '!S16&lt;=0,"",'Soli_citud '!S16&gt;0,'Soli_citud '!S16)</f>
        <v>0.32999999999999996</v>
      </c>
      <c r="I18" s="214">
        <v>45904</v>
      </c>
      <c r="J18" s="216">
        <v>0.33</v>
      </c>
      <c r="K18" s="197" t="str" cm="1">
        <f t="array" ref="K18">IFERROR(_xlfn.IFS(H18="","",J18=H18,"Cumplido",J18&lt;H18,H18-J18,J18&gt;H18,"Revisar"),"")</f>
        <v>Cumplido</v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00000000-0002-0000-0100-000000000000}">
      <formula1>"Aprobar Pedido,Modificar Pedido,Condicionado"</formula1>
    </dataValidation>
    <dataValidation type="list" allowBlank="1" showInputMessage="1" sqref="J6" xr:uid="{00000000-0002-0000-0100-000001000000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7109375" customWidth="1"/>
    <col min="2" max="2" width="48.7109375" style="35" customWidth="1"/>
    <col min="3" max="3" width="23.28515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7109375" customWidth="1"/>
    <col min="8" max="8" width="10.5703125" style="10" customWidth="1"/>
    <col min="9" max="9" width="11.7109375" style="10" customWidth="1"/>
    <col min="10" max="10" width="24.7109375" customWidth="1"/>
    <col min="11" max="11" width="26.71093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81</v>
      </c>
      <c r="F1" s="505"/>
      <c r="H1" s="278" t="s">
        <v>82</v>
      </c>
      <c r="Z1" s="241" t="s">
        <v>83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00000000-0002-0000-0200-000002000000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28515625" customWidth="1"/>
    <col min="10" max="10" width="1" style="15" customWidth="1"/>
    <col min="11" max="11" width="15.28515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2025-11-25T14:38:21Z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6245d8-e5f4-42ac-a19d-923c969a5d0b_Enabled">
    <vt:lpwstr>true</vt:lpwstr>
  </property>
  <property fmtid="{D5CDD505-2E9C-101B-9397-08002B2CF9AE}" pid="3" name="MSIP_Label_516245d8-e5f4-42ac-a19d-923c969a5d0b_SetDate">
    <vt:lpwstr>2025-08-08T16:58:53Z</vt:lpwstr>
  </property>
  <property fmtid="{D5CDD505-2E9C-101B-9397-08002B2CF9AE}" pid="4" name="MSIP_Label_516245d8-e5f4-42ac-a19d-923c969a5d0b_Method">
    <vt:lpwstr>Privileged</vt:lpwstr>
  </property>
  <property fmtid="{D5CDD505-2E9C-101B-9397-08002B2CF9AE}" pid="5" name="MSIP_Label_516245d8-e5f4-42ac-a19d-923c969a5d0b_Name">
    <vt:lpwstr>Confidential</vt:lpwstr>
  </property>
  <property fmtid="{D5CDD505-2E9C-101B-9397-08002B2CF9AE}" pid="6" name="MSIP_Label_516245d8-e5f4-42ac-a19d-923c969a5d0b_SiteId">
    <vt:lpwstr>cbc2c381-2f2e-4d93-91d1-506c9316ace7</vt:lpwstr>
  </property>
  <property fmtid="{D5CDD505-2E9C-101B-9397-08002B2CF9AE}" pid="7" name="MSIP_Label_516245d8-e5f4-42ac-a19d-923c969a5d0b_ActionId">
    <vt:lpwstr>b962d34e-0c9f-418e-9d62-88e3c90a3ad0</vt:lpwstr>
  </property>
  <property fmtid="{D5CDD505-2E9C-101B-9397-08002B2CF9AE}" pid="8" name="MSIP_Label_516245d8-e5f4-42ac-a19d-923c969a5d0b_ContentBits">
    <vt:lpwstr>0</vt:lpwstr>
  </property>
  <property fmtid="{D5CDD505-2E9C-101B-9397-08002B2CF9AE}" pid="9" name="MSIP_Label_516245d8-e5f4-42ac-a19d-923c969a5d0b_Tag">
    <vt:lpwstr>10, 0, 1, 1</vt:lpwstr>
  </property>
</Properties>
</file>