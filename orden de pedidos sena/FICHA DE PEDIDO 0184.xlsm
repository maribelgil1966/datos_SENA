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1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grajalesp\Desktop\"/>
    </mc:Choice>
  </mc:AlternateContent>
  <xr:revisionPtr revIDLastSave="16" documentId="8_{56D3DBA0-FDBE-4455-910A-E9DC1737437C}" xr6:coauthVersionLast="47" xr6:coauthVersionMax="47" xr10:uidLastSave="{DFAF9B0C-5B64-4AB8-976A-7DAC11E57245}"/>
  <bookViews>
    <workbookView xWindow="1770" yWindow="1770" windowWidth="21600" windowHeight="11385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/>
  <c r="P24" i="59" a="1"/>
  <c r="P24" i="59" s="1"/>
  <c r="P25" i="59" a="1"/>
  <c r="P25" i="59" s="1"/>
  <c r="P26" i="59" a="1"/>
  <c r="P26" i="59"/>
  <c r="P27" i="59" a="1"/>
  <c r="P27" i="59"/>
  <c r="P28" i="59" a="1"/>
  <c r="P28" i="59" s="1"/>
  <c r="P29" i="59" a="1"/>
  <c r="P29" i="59" s="1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A1111" i="38" s="1"/>
  <c r="A1112" i="38" s="1"/>
  <c r="J1112" i="38" s="1"/>
  <c r="J1107" i="38"/>
  <c r="J1067" i="38"/>
  <c r="J1068" i="38"/>
  <c r="A888" i="38"/>
  <c r="A889" i="38"/>
  <c r="A890" i="38" s="1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/>
  <c r="A1527" i="38" s="1"/>
  <c r="A1528" i="38" s="1"/>
  <c r="A1529" i="38" s="1"/>
  <c r="A1530" i="38" s="1"/>
  <c r="A1531" i="38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/>
  <c r="J1430" i="38"/>
  <c r="A1012" i="38"/>
  <c r="A1013" i="38" s="1"/>
  <c r="J1013" i="38" s="1"/>
  <c r="A517" i="38"/>
  <c r="A518" i="38" s="1"/>
  <c r="A163" i="38"/>
  <c r="A164" i="38" s="1"/>
  <c r="J164" i="38" s="1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6" i="43" s="1"/>
  <c r="G18" i="59" s="1"/>
  <c r="O11" i="43"/>
  <c r="G13" i="59" s="1"/>
  <c r="W29" i="43"/>
  <c r="W30" i="43"/>
  <c r="B1065" i="38"/>
  <c r="B1520" i="38"/>
  <c r="A9" i="38"/>
  <c r="A10" i="38"/>
  <c r="J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A1070" i="38" s="1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 s="1"/>
  <c r="N3" i="59"/>
  <c r="F1" i="43"/>
  <c r="N2" i="59" s="1"/>
  <c r="N1" i="59"/>
  <c r="V8" i="43"/>
  <c r="Y8" i="43" s="1"/>
  <c r="J9" i="38"/>
  <c r="J1011" i="38"/>
  <c r="J562" i="38"/>
  <c r="W17" i="43"/>
  <c r="J517" i="38"/>
  <c r="J563" i="38"/>
  <c r="J163" i="38"/>
  <c r="J35" i="38"/>
  <c r="J1429" i="38"/>
  <c r="E3" i="38"/>
  <c r="O10" i="43"/>
  <c r="G12" i="59" s="1"/>
  <c r="J888" i="38"/>
  <c r="J565" i="38"/>
  <c r="J564" i="38"/>
  <c r="A1329" i="38"/>
  <c r="A1330" i="38" s="1"/>
  <c r="A1331" i="38" s="1"/>
  <c r="J1331" i="38" s="1"/>
  <c r="J1328" i="38"/>
  <c r="J890" i="38"/>
  <c r="A891" i="38"/>
  <c r="J1012" i="38"/>
  <c r="A11" i="38"/>
  <c r="A12" i="38" s="1"/>
  <c r="A13" i="38" s="1"/>
  <c r="J13" i="38" s="1"/>
  <c r="J1108" i="38"/>
  <c r="O14" i="43"/>
  <c r="G16" i="59" s="1"/>
  <c r="O13" i="43"/>
  <c r="G15" i="59" s="1"/>
  <c r="A37" i="38"/>
  <c r="J36" i="38"/>
  <c r="A165" i="38"/>
  <c r="J165" i="38" s="1"/>
  <c r="A1431" i="38"/>
  <c r="O12" i="43"/>
  <c r="G14" i="59" s="1"/>
  <c r="O15" i="43"/>
  <c r="G17" i="59" s="1"/>
  <c r="J1110" i="38"/>
  <c r="J1109" i="38"/>
  <c r="J1329" i="38"/>
  <c r="A1332" i="38"/>
  <c r="J11" i="38"/>
  <c r="J1330" i="38"/>
  <c r="A166" i="38"/>
  <c r="J1111" i="38"/>
  <c r="A38" i="38"/>
  <c r="J37" i="38"/>
  <c r="J12" i="38"/>
  <c r="A1113" i="38"/>
  <c r="J1113" i="38" s="1"/>
  <c r="G9" i="59"/>
  <c r="A14" i="38"/>
  <c r="J14" i="38" s="1"/>
  <c r="A15" i="38"/>
  <c r="A1014" i="38"/>
  <c r="J1014" i="38" s="1"/>
  <c r="A1015" i="38"/>
  <c r="A1016" i="38" s="1"/>
  <c r="J1016" i="38" s="1"/>
  <c r="J1015" i="38"/>
  <c r="A567" i="38" l="1"/>
  <c r="J566" i="38"/>
  <c r="A1017" i="38"/>
  <c r="R7" i="59"/>
  <c r="R6" i="59"/>
  <c r="A167" i="38"/>
  <c r="J166" i="38"/>
  <c r="J1431" i="38"/>
  <c r="A1432" i="38"/>
  <c r="J15" i="38"/>
  <c r="A16" i="38"/>
  <c r="A892" i="38"/>
  <c r="J891" i="38"/>
  <c r="J38" i="38"/>
  <c r="A39" i="38"/>
  <c r="A1114" i="38"/>
  <c r="J1332" i="38"/>
  <c r="A1333" i="38"/>
  <c r="A519" i="38"/>
  <c r="J518" i="38"/>
  <c r="A1071" i="38"/>
  <c r="J1070" i="38"/>
  <c r="W14" i="43"/>
  <c r="W15" i="43"/>
  <c r="W11" i="43"/>
  <c r="O17" i="43"/>
  <c r="G19" i="59" s="1"/>
  <c r="O19" i="43"/>
  <c r="G21" i="59" s="1"/>
  <c r="W19" i="43"/>
  <c r="W12" i="43"/>
  <c r="J889" i="38"/>
  <c r="O18" i="43"/>
  <c r="G20" i="59" s="1"/>
  <c r="W18" i="43"/>
  <c r="W10" i="43"/>
  <c r="W13" i="43"/>
  <c r="W16" i="43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A1115" i="38" l="1"/>
  <c r="J1114" i="38"/>
  <c r="J39" i="38"/>
  <c r="A40" i="38"/>
  <c r="A168" i="38"/>
  <c r="J167" i="38"/>
  <c r="A1072" i="38"/>
  <c r="J1071" i="38"/>
  <c r="A893" i="38"/>
  <c r="J892" i="38"/>
  <c r="J519" i="38"/>
  <c r="A520" i="38"/>
  <c r="A17" i="38"/>
  <c r="J16" i="38"/>
  <c r="A1018" i="38"/>
  <c r="J1017" i="38"/>
  <c r="J1333" i="38"/>
  <c r="A1334" i="38"/>
  <c r="A1433" i="38"/>
  <c r="J1432" i="38"/>
  <c r="A568" i="38"/>
  <c r="J567" i="38"/>
  <c r="D5" i="43"/>
  <c r="B8" i="59" s="1"/>
  <c r="J1018" i="38" l="1"/>
  <c r="A1019" i="38"/>
  <c r="J1072" i="38"/>
  <c r="A1073" i="38"/>
  <c r="J1073" i="38" s="1"/>
  <c r="A569" i="38"/>
  <c r="J568" i="38"/>
  <c r="A18" i="38"/>
  <c r="J17" i="38"/>
  <c r="J168" i="38"/>
  <c r="A169" i="38"/>
  <c r="A521" i="38"/>
  <c r="J520" i="38"/>
  <c r="J40" i="38"/>
  <c r="A41" i="38"/>
  <c r="J1433" i="38"/>
  <c r="A1434" i="38"/>
  <c r="A1335" i="38"/>
  <c r="J1334" i="38"/>
  <c r="A894" i="38"/>
  <c r="J893" i="38"/>
  <c r="A1116" i="38"/>
  <c r="J1115" i="38"/>
  <c r="O5" i="43"/>
  <c r="A42" i="38" l="1"/>
  <c r="J41" i="38"/>
  <c r="J569" i="38"/>
  <c r="A570" i="38"/>
  <c r="J18" i="38"/>
  <c r="A19" i="38"/>
  <c r="A1117" i="38"/>
  <c r="J1116" i="38"/>
  <c r="A895" i="38"/>
  <c r="J894" i="38"/>
  <c r="A522" i="38"/>
  <c r="J521" i="38"/>
  <c r="A170" i="38"/>
  <c r="J169" i="38"/>
  <c r="J1019" i="38"/>
  <c r="A1020" i="38"/>
  <c r="A1435" i="38"/>
  <c r="J1434" i="38"/>
  <c r="A1336" i="38"/>
  <c r="J1335" i="38"/>
  <c r="A20" i="38" l="1"/>
  <c r="J20" i="38" s="1"/>
  <c r="J19" i="38"/>
  <c r="A571" i="38"/>
  <c r="J570" i="38"/>
  <c r="A1118" i="38"/>
  <c r="J1117" i="38"/>
  <c r="J170" i="38"/>
  <c r="A171" i="38"/>
  <c r="A523" i="38"/>
  <c r="J522" i="38"/>
  <c r="J1020" i="38"/>
  <c r="A1021" i="38"/>
  <c r="J1336" i="38"/>
  <c r="A1337" i="38"/>
  <c r="J1435" i="38"/>
  <c r="A1436" i="38"/>
  <c r="J895" i="38"/>
  <c r="A896" i="38"/>
  <c r="J42" i="38"/>
  <c r="A43" i="38"/>
  <c r="A1119" i="38" l="1"/>
  <c r="J1118" i="38"/>
  <c r="J1337" i="38"/>
  <c r="A1338" i="38"/>
  <c r="A44" i="38"/>
  <c r="J43" i="38"/>
  <c r="J571" i="38"/>
  <c r="A572" i="38"/>
  <c r="J1436" i="38"/>
  <c r="A1437" i="38"/>
  <c r="A172" i="38"/>
  <c r="J171" i="38"/>
  <c r="A1022" i="38"/>
  <c r="J1021" i="38"/>
  <c r="A897" i="38"/>
  <c r="J896" i="38"/>
  <c r="A524" i="38"/>
  <c r="J523" i="38"/>
  <c r="J1022" i="38" l="1"/>
  <c r="A1023" i="38"/>
  <c r="A45" i="38"/>
  <c r="J44" i="38"/>
  <c r="J1338" i="38"/>
  <c r="A1339" i="38"/>
  <c r="J172" i="38"/>
  <c r="A173" i="38"/>
  <c r="J572" i="38"/>
  <c r="A573" i="38"/>
  <c r="A898" i="38"/>
  <c r="J897" i="38"/>
  <c r="A1438" i="38"/>
  <c r="J1437" i="38"/>
  <c r="A525" i="38"/>
  <c r="J524" i="38"/>
  <c r="A1120" i="38"/>
  <c r="J1119" i="38"/>
  <c r="A1340" i="38" l="1"/>
  <c r="J1339" i="38"/>
  <c r="A1121" i="38"/>
  <c r="J1120" i="38"/>
  <c r="A174" i="38"/>
  <c r="J173" i="38"/>
  <c r="A526" i="38"/>
  <c r="J525" i="38"/>
  <c r="A899" i="38"/>
  <c r="J898" i="38"/>
  <c r="J45" i="38"/>
  <c r="A46" i="38"/>
  <c r="J1438" i="38"/>
  <c r="A1439" i="38"/>
  <c r="J573" i="38"/>
  <c r="A574" i="38"/>
  <c r="A1024" i="38"/>
  <c r="J1023" i="38"/>
  <c r="A175" i="38" l="1"/>
  <c r="J174" i="38"/>
  <c r="A575" i="38"/>
  <c r="J574" i="38"/>
  <c r="A527" i="38"/>
  <c r="J526" i="38"/>
  <c r="A47" i="38"/>
  <c r="J46" i="38"/>
  <c r="A1122" i="38"/>
  <c r="J1121" i="38"/>
  <c r="A1440" i="38"/>
  <c r="J1439" i="38"/>
  <c r="J1024" i="38"/>
  <c r="A1025" i="38"/>
  <c r="A900" i="38"/>
  <c r="J899" i="38"/>
  <c r="J1340" i="38"/>
  <c r="A1341" i="38"/>
  <c r="A901" i="38" l="1"/>
  <c r="J900" i="38"/>
  <c r="A48" i="38"/>
  <c r="J47" i="38"/>
  <c r="J527" i="38"/>
  <c r="A528" i="38"/>
  <c r="A1026" i="38"/>
  <c r="J1025" i="38"/>
  <c r="A1441" i="38"/>
  <c r="J1440" i="38"/>
  <c r="J575" i="38"/>
  <c r="A576" i="38"/>
  <c r="J1341" i="38"/>
  <c r="A1342" i="38"/>
  <c r="A1123" i="38"/>
  <c r="J1122" i="38"/>
  <c r="J175" i="38"/>
  <c r="A176" i="38"/>
  <c r="A1124" i="38" l="1"/>
  <c r="J1123" i="38"/>
  <c r="A1027" i="38"/>
  <c r="J1026" i="38"/>
  <c r="A1343" i="38"/>
  <c r="J1342" i="38"/>
  <c r="A529" i="38"/>
  <c r="J528" i="38"/>
  <c r="A49" i="38"/>
  <c r="J48" i="38"/>
  <c r="A577" i="38"/>
  <c r="J576" i="38"/>
  <c r="J176" i="38"/>
  <c r="A177" i="38"/>
  <c r="A1442" i="38"/>
  <c r="J1441" i="38"/>
  <c r="J901" i="38"/>
  <c r="A902" i="38"/>
  <c r="J1343" i="38" l="1"/>
  <c r="A1344" i="38"/>
  <c r="J577" i="38"/>
  <c r="A578" i="38"/>
  <c r="J1027" i="38"/>
  <c r="A1028" i="38"/>
  <c r="J1442" i="38"/>
  <c r="A1443" i="38"/>
  <c r="A530" i="38"/>
  <c r="J529" i="38"/>
  <c r="J177" i="38"/>
  <c r="A178" i="38"/>
  <c r="A903" i="38"/>
  <c r="J902" i="38"/>
  <c r="J49" i="38"/>
  <c r="A50" i="38"/>
  <c r="A1125" i="38"/>
  <c r="J1124" i="38"/>
  <c r="A1029" i="38" l="1"/>
  <c r="J1028" i="38"/>
  <c r="A904" i="38"/>
  <c r="J903" i="38"/>
  <c r="A179" i="38"/>
  <c r="J178" i="38"/>
  <c r="J578" i="38"/>
  <c r="A579" i="38"/>
  <c r="J1344" i="38"/>
  <c r="A1345" i="38"/>
  <c r="J50" i="38"/>
  <c r="A51" i="38"/>
  <c r="A1444" i="38"/>
  <c r="J1443" i="38"/>
  <c r="A1126" i="38"/>
  <c r="J1125" i="38"/>
  <c r="J530" i="38"/>
  <c r="A531" i="38"/>
  <c r="J1444" i="38" l="1"/>
  <c r="A1445" i="38"/>
  <c r="J179" i="38"/>
  <c r="A180" i="38"/>
  <c r="A580" i="38"/>
  <c r="J579" i="38"/>
  <c r="A1127" i="38"/>
  <c r="J1126" i="38"/>
  <c r="J904" i="38"/>
  <c r="A905" i="38"/>
  <c r="A52" i="38"/>
  <c r="J51" i="38"/>
  <c r="A532" i="38"/>
  <c r="J531" i="38"/>
  <c r="J1345" i="38"/>
  <c r="A1346" i="38"/>
  <c r="J1029" i="38"/>
  <c r="A1030" i="38"/>
  <c r="J532" i="38" l="1"/>
  <c r="A533" i="38"/>
  <c r="A581" i="38"/>
  <c r="J580" i="38"/>
  <c r="J1346" i="38"/>
  <c r="A1347" i="38"/>
  <c r="A1128" i="38"/>
  <c r="J1127" i="38"/>
  <c r="A181" i="38"/>
  <c r="J180" i="38"/>
  <c r="J52" i="38"/>
  <c r="A53" i="38"/>
  <c r="J1030" i="38"/>
  <c r="A1031" i="38"/>
  <c r="J905" i="38"/>
  <c r="A906" i="38"/>
  <c r="J1445" i="38"/>
  <c r="A1446" i="38"/>
  <c r="A907" i="38" l="1"/>
  <c r="J906" i="38"/>
  <c r="A1129" i="38"/>
  <c r="J1128" i="38"/>
  <c r="J1031" i="38"/>
  <c r="A1032" i="38"/>
  <c r="A1348" i="38"/>
  <c r="J1347" i="38"/>
  <c r="J53" i="38"/>
  <c r="A54" i="38"/>
  <c r="J581" i="38"/>
  <c r="A582" i="38"/>
  <c r="A1447" i="38"/>
  <c r="J1446" i="38"/>
  <c r="A534" i="38"/>
  <c r="J533" i="38"/>
  <c r="J181" i="38"/>
  <c r="A182" i="38"/>
  <c r="A1033" i="38" l="1"/>
  <c r="J1032" i="38"/>
  <c r="J534" i="38"/>
  <c r="A535" i="38"/>
  <c r="A1349" i="38"/>
  <c r="J1348" i="38"/>
  <c r="J1447" i="38"/>
  <c r="A1448" i="38"/>
  <c r="A583" i="38"/>
  <c r="J582" i="38"/>
  <c r="A1130" i="38"/>
  <c r="J1129" i="38"/>
  <c r="A183" i="38"/>
  <c r="J182" i="38"/>
  <c r="J54" i="38"/>
  <c r="A55" i="38"/>
  <c r="J907" i="38"/>
  <c r="A908" i="38"/>
  <c r="A184" i="38" l="1"/>
  <c r="J183" i="38"/>
  <c r="J1349" i="38"/>
  <c r="A1350" i="38"/>
  <c r="A56" i="38"/>
  <c r="J55" i="38"/>
  <c r="J1448" i="38"/>
  <c r="A1449" i="38"/>
  <c r="A536" i="38"/>
  <c r="J535" i="38"/>
  <c r="A1131" i="38"/>
  <c r="J1130" i="38"/>
  <c r="A909" i="38"/>
  <c r="J908" i="38"/>
  <c r="J583" i="38"/>
  <c r="A584" i="38"/>
  <c r="J1033" i="38"/>
  <c r="A1034" i="38"/>
  <c r="A585" i="38" l="1"/>
  <c r="J584" i="38"/>
  <c r="J1449" i="38"/>
  <c r="A1450" i="38"/>
  <c r="A910" i="38"/>
  <c r="J909" i="38"/>
  <c r="J56" i="38"/>
  <c r="A57" i="38"/>
  <c r="A1351" i="38"/>
  <c r="J1350" i="38"/>
  <c r="A1132" i="38"/>
  <c r="J1131" i="38"/>
  <c r="A1035" i="38"/>
  <c r="J1034" i="38"/>
  <c r="J536" i="38"/>
  <c r="A537" i="38"/>
  <c r="A185" i="38"/>
  <c r="J184" i="38"/>
  <c r="J1035" i="38" l="1"/>
  <c r="A1036" i="38"/>
  <c r="J910" i="38"/>
  <c r="A911" i="38"/>
  <c r="J1450" i="38"/>
  <c r="A1451" i="38"/>
  <c r="J537" i="38"/>
  <c r="A538" i="38"/>
  <c r="J538" i="38" s="1"/>
  <c r="A58" i="38"/>
  <c r="J57" i="38"/>
  <c r="A1133" i="38"/>
  <c r="J1132" i="38"/>
  <c r="A186" i="38"/>
  <c r="J185" i="38"/>
  <c r="A1352" i="38"/>
  <c r="J1351" i="38"/>
  <c r="A586" i="38"/>
  <c r="J585" i="38"/>
  <c r="J1451" i="38" l="1"/>
  <c r="A1452" i="38"/>
  <c r="J911" i="38"/>
  <c r="A912" i="38"/>
  <c r="A187" i="38"/>
  <c r="J186" i="38"/>
  <c r="A1134" i="38"/>
  <c r="J1133" i="38"/>
  <c r="J1352" i="38"/>
  <c r="A1353" i="38"/>
  <c r="A1037" i="38"/>
  <c r="J1036" i="38"/>
  <c r="A587" i="38"/>
  <c r="J586" i="38"/>
  <c r="A59" i="38"/>
  <c r="J58" i="38"/>
  <c r="J587" i="38" l="1"/>
  <c r="A588" i="38"/>
  <c r="J187" i="38"/>
  <c r="A188" i="38"/>
  <c r="J59" i="38"/>
  <c r="A60" i="38"/>
  <c r="A1135" i="38"/>
  <c r="J1134" i="38"/>
  <c r="J912" i="38"/>
  <c r="A913" i="38"/>
  <c r="J1037" i="38"/>
  <c r="A1038" i="38"/>
  <c r="A1354" i="38"/>
  <c r="J1353" i="38"/>
  <c r="J1452" i="38"/>
  <c r="A1453" i="38"/>
  <c r="A61" i="38" l="1"/>
  <c r="J60" i="38"/>
  <c r="A1136" i="38"/>
  <c r="J1135" i="38"/>
  <c r="J1354" i="38"/>
  <c r="A1355" i="38"/>
  <c r="J1038" i="38"/>
  <c r="A1039" i="38"/>
  <c r="J188" i="38"/>
  <c r="A189" i="38"/>
  <c r="A914" i="38"/>
  <c r="J913" i="38"/>
  <c r="J588" i="38"/>
  <c r="A589" i="38"/>
  <c r="J1453" i="38"/>
  <c r="A1454" i="38"/>
  <c r="A590" i="38" l="1"/>
  <c r="J589" i="38"/>
  <c r="J1355" i="38"/>
  <c r="A1356" i="38"/>
  <c r="J1454" i="38"/>
  <c r="A1455" i="38"/>
  <c r="J914" i="38"/>
  <c r="A915" i="38"/>
  <c r="A1137" i="38"/>
  <c r="J1136" i="38"/>
  <c r="A190" i="38"/>
  <c r="J189" i="38"/>
  <c r="A1040" i="38"/>
  <c r="J1039" i="38"/>
  <c r="J61" i="38"/>
  <c r="A62" i="38"/>
  <c r="A916" i="38" l="1"/>
  <c r="J915" i="38"/>
  <c r="J1356" i="38"/>
  <c r="A1357" i="38"/>
  <c r="J62" i="38"/>
  <c r="A63" i="38"/>
  <c r="J1455" i="38"/>
  <c r="A1456" i="38"/>
  <c r="J1040" i="38"/>
  <c r="A1041" i="38"/>
  <c r="J190" i="38"/>
  <c r="A191" i="38"/>
  <c r="A1138" i="38"/>
  <c r="J1137" i="38"/>
  <c r="J590" i="38"/>
  <c r="A591" i="38"/>
  <c r="J63" i="38" l="1"/>
  <c r="A64" i="38"/>
  <c r="A592" i="38"/>
  <c r="J591" i="38"/>
  <c r="J1456" i="38"/>
  <c r="A1457" i="38"/>
  <c r="A1139" i="38"/>
  <c r="J1138" i="38"/>
  <c r="J191" i="38"/>
  <c r="A192" i="38"/>
  <c r="A1358" i="38"/>
  <c r="J1357" i="38"/>
  <c r="J1041" i="38"/>
  <c r="A1042" i="38"/>
  <c r="J916" i="38"/>
  <c r="A917" i="38"/>
  <c r="A1140" i="38" l="1"/>
  <c r="J1139" i="38"/>
  <c r="A1043" i="38"/>
  <c r="J1043" i="38" s="1"/>
  <c r="J1042" i="38"/>
  <c r="J1457" i="38"/>
  <c r="A1458" i="38"/>
  <c r="J917" i="38"/>
  <c r="A918" i="38"/>
  <c r="J1358" i="38"/>
  <c r="A1359" i="38"/>
  <c r="A593" i="38"/>
  <c r="J592" i="38"/>
  <c r="A193" i="38"/>
  <c r="J192" i="38"/>
  <c r="J64" i="38"/>
  <c r="A65" i="38"/>
  <c r="A1459" i="38" l="1"/>
  <c r="J1458" i="38"/>
  <c r="A66" i="38"/>
  <c r="J65" i="38"/>
  <c r="J918" i="38"/>
  <c r="A919" i="38"/>
  <c r="A594" i="38"/>
  <c r="J593" i="38"/>
  <c r="A1360" i="38"/>
  <c r="J1359" i="38"/>
  <c r="J193" i="38"/>
  <c r="A194" i="38"/>
  <c r="A1141" i="38"/>
  <c r="J1140" i="38"/>
  <c r="A920" i="38" l="1"/>
  <c r="J919" i="38"/>
  <c r="J66" i="38"/>
  <c r="A67" i="38"/>
  <c r="A595" i="38"/>
  <c r="J594" i="38"/>
  <c r="A1142" i="38"/>
  <c r="J1141" i="38"/>
  <c r="A195" i="38"/>
  <c r="J194" i="38"/>
  <c r="A1361" i="38"/>
  <c r="J1360" i="38"/>
  <c r="A1460" i="38"/>
  <c r="J1459" i="38"/>
  <c r="A1143" i="38" l="1"/>
  <c r="J1142" i="38"/>
  <c r="J1460" i="38"/>
  <c r="A1461" i="38"/>
  <c r="J595" i="38"/>
  <c r="A596" i="38"/>
  <c r="A68" i="38"/>
  <c r="J67" i="38"/>
  <c r="A1362" i="38"/>
  <c r="J1361" i="38"/>
  <c r="A196" i="38"/>
  <c r="J195" i="38"/>
  <c r="A921" i="38"/>
  <c r="J920" i="38"/>
  <c r="A597" i="38" l="1"/>
  <c r="J596" i="38"/>
  <c r="A69" i="38"/>
  <c r="J68" i="38"/>
  <c r="A922" i="38"/>
  <c r="J921" i="38"/>
  <c r="J1461" i="38"/>
  <c r="A1462" i="38"/>
  <c r="J196" i="38"/>
  <c r="A197" i="38"/>
  <c r="A1363" i="38"/>
  <c r="J1362" i="38"/>
  <c r="A1144" i="38"/>
  <c r="J1143" i="38"/>
  <c r="J922" i="38" l="1"/>
  <c r="A923" i="38"/>
  <c r="A1463" i="38"/>
  <c r="J1462" i="38"/>
  <c r="A1364" i="38"/>
  <c r="J1363" i="38"/>
  <c r="A70" i="38"/>
  <c r="J69" i="38"/>
  <c r="A1145" i="38"/>
  <c r="J1144" i="38"/>
  <c r="A198" i="38"/>
  <c r="J197" i="38"/>
  <c r="A598" i="38"/>
  <c r="J597" i="38"/>
  <c r="J70" i="38" l="1"/>
  <c r="A71" i="38"/>
  <c r="J1364" i="38"/>
  <c r="A1365" i="38"/>
  <c r="A199" i="38"/>
  <c r="J198" i="38"/>
  <c r="A1464" i="38"/>
  <c r="J1463" i="38"/>
  <c r="A599" i="38"/>
  <c r="J598" i="38"/>
  <c r="J923" i="38"/>
  <c r="A924" i="38"/>
  <c r="A1146" i="38"/>
  <c r="J1145" i="38"/>
  <c r="A1147" i="38" l="1"/>
  <c r="J1146" i="38"/>
  <c r="A200" i="38"/>
  <c r="J199" i="38"/>
  <c r="A1465" i="38"/>
  <c r="J1464" i="38"/>
  <c r="A925" i="38"/>
  <c r="J924" i="38"/>
  <c r="A1366" i="38"/>
  <c r="J1365" i="38"/>
  <c r="J71" i="38"/>
  <c r="A72" i="38"/>
  <c r="J599" i="38"/>
  <c r="A600" i="38"/>
  <c r="A926" i="38" l="1"/>
  <c r="J925" i="38"/>
  <c r="J600" i="38"/>
  <c r="A601" i="38"/>
  <c r="A1466" i="38"/>
  <c r="J1465" i="38"/>
  <c r="A201" i="38"/>
  <c r="J200" i="38"/>
  <c r="A73" i="38"/>
  <c r="J72" i="38"/>
  <c r="J1366" i="38"/>
  <c r="A1367" i="38"/>
  <c r="A1148" i="38"/>
  <c r="J1147" i="38"/>
  <c r="A202" i="38" l="1"/>
  <c r="J201" i="38"/>
  <c r="A1149" i="38"/>
  <c r="J1148" i="38"/>
  <c r="A1467" i="38"/>
  <c r="J1466" i="38"/>
  <c r="A1368" i="38"/>
  <c r="J1367" i="38"/>
  <c r="A602" i="38"/>
  <c r="J601" i="38"/>
  <c r="A74" i="38"/>
  <c r="J73" i="38"/>
  <c r="A927" i="38"/>
  <c r="J926" i="38"/>
  <c r="J927" i="38" l="1"/>
  <c r="A928" i="38"/>
  <c r="A1468" i="38"/>
  <c r="J1467" i="38"/>
  <c r="A75" i="38"/>
  <c r="J74" i="38"/>
  <c r="A1150" i="38"/>
  <c r="J1149" i="38"/>
  <c r="J1368" i="38"/>
  <c r="A1369" i="38"/>
  <c r="A603" i="38"/>
  <c r="J602" i="38"/>
  <c r="J202" i="38"/>
  <c r="A203" i="38"/>
  <c r="A1151" i="38" l="1"/>
  <c r="J1150" i="38"/>
  <c r="J75" i="38"/>
  <c r="A76" i="38"/>
  <c r="A204" i="38"/>
  <c r="J203" i="38"/>
  <c r="J603" i="38"/>
  <c r="A604" i="38"/>
  <c r="A1469" i="38"/>
  <c r="J1468" i="38"/>
  <c r="A1370" i="38"/>
  <c r="J1369" i="38"/>
  <c r="J928" i="38"/>
  <c r="A929" i="38"/>
  <c r="A205" i="38" l="1"/>
  <c r="J204" i="38"/>
  <c r="J929" i="38"/>
  <c r="A930" i="38"/>
  <c r="A77" i="38"/>
  <c r="J76" i="38"/>
  <c r="A605" i="38"/>
  <c r="J604" i="38"/>
  <c r="J1370" i="38"/>
  <c r="A1371" i="38"/>
  <c r="J1469" i="38"/>
  <c r="A1470" i="38"/>
  <c r="A1152" i="38"/>
  <c r="J1151" i="38"/>
  <c r="A1153" i="38" l="1"/>
  <c r="J1152" i="38"/>
  <c r="J77" i="38"/>
  <c r="A78" i="38"/>
  <c r="A606" i="38"/>
  <c r="J605" i="38"/>
  <c r="A1471" i="38"/>
  <c r="J1470" i="38"/>
  <c r="A931" i="38"/>
  <c r="J930" i="38"/>
  <c r="A1372" i="38"/>
  <c r="J1371" i="38"/>
  <c r="A206" i="38"/>
  <c r="J205" i="38"/>
  <c r="A207" i="38" l="1"/>
  <c r="J206" i="38"/>
  <c r="A607" i="38"/>
  <c r="J606" i="38"/>
  <c r="J78" i="38"/>
  <c r="A79" i="38"/>
  <c r="J1471" i="38"/>
  <c r="A1472" i="38"/>
  <c r="J1372" i="38"/>
  <c r="A1373" i="38"/>
  <c r="J931" i="38"/>
  <c r="A932" i="38"/>
  <c r="A1154" i="38"/>
  <c r="J1153" i="38"/>
  <c r="J79" i="38" l="1"/>
  <c r="A80" i="38"/>
  <c r="A1473" i="38"/>
  <c r="J1472" i="38"/>
  <c r="J607" i="38"/>
  <c r="A608" i="38"/>
  <c r="A1155" i="38"/>
  <c r="J1154" i="38"/>
  <c r="A933" i="38"/>
  <c r="J932" i="38"/>
  <c r="A1374" i="38"/>
  <c r="J1373" i="38"/>
  <c r="J207" i="38"/>
  <c r="A208" i="38"/>
  <c r="A1156" i="38" l="1"/>
  <c r="J1155" i="38"/>
  <c r="A209" i="38"/>
  <c r="J208" i="38"/>
  <c r="J608" i="38"/>
  <c r="A609" i="38"/>
  <c r="J1374" i="38"/>
  <c r="A1375" i="38"/>
  <c r="J1473" i="38"/>
  <c r="A1474" i="38"/>
  <c r="A81" i="38"/>
  <c r="J80" i="38"/>
  <c r="A934" i="38"/>
  <c r="J933" i="38"/>
  <c r="A610" i="38" l="1"/>
  <c r="J609" i="38"/>
  <c r="A1376" i="38"/>
  <c r="J1375" i="38"/>
  <c r="J81" i="38"/>
  <c r="A82" i="38"/>
  <c r="J209" i="38"/>
  <c r="A210" i="38"/>
  <c r="A935" i="38"/>
  <c r="J934" i="38"/>
  <c r="A1475" i="38"/>
  <c r="J1474" i="38"/>
  <c r="J1156" i="38"/>
  <c r="A1157" i="38"/>
  <c r="A83" i="38" l="1"/>
  <c r="J82" i="38"/>
  <c r="A1476" i="38"/>
  <c r="J1475" i="38"/>
  <c r="A1377" i="38"/>
  <c r="J1376" i="38"/>
  <c r="J210" i="38"/>
  <c r="A211" i="38"/>
  <c r="A1158" i="38"/>
  <c r="J1157" i="38"/>
  <c r="J935" i="38"/>
  <c r="A936" i="38"/>
  <c r="A611" i="38"/>
  <c r="J610" i="38"/>
  <c r="A612" i="38" l="1"/>
  <c r="J611" i="38"/>
  <c r="J1377" i="38"/>
  <c r="A1378" i="38"/>
  <c r="A1477" i="38"/>
  <c r="J1476" i="38"/>
  <c r="A212" i="38"/>
  <c r="J211" i="38"/>
  <c r="A937" i="38"/>
  <c r="J936" i="38"/>
  <c r="A1159" i="38"/>
  <c r="J1158" i="38"/>
  <c r="J83" i="38"/>
  <c r="A84" i="38"/>
  <c r="J1477" i="38" l="1"/>
  <c r="A1478" i="38"/>
  <c r="J1378" i="38"/>
  <c r="A1379" i="38"/>
  <c r="A213" i="38"/>
  <c r="J212" i="38"/>
  <c r="J84" i="38"/>
  <c r="A85" i="38"/>
  <c r="J1159" i="38"/>
  <c r="A1160" i="38"/>
  <c r="A938" i="38"/>
  <c r="J937" i="38"/>
  <c r="J612" i="38"/>
  <c r="A613" i="38"/>
  <c r="A86" i="38" l="1"/>
  <c r="J85" i="38"/>
  <c r="A614" i="38"/>
  <c r="J613" i="38"/>
  <c r="A214" i="38"/>
  <c r="J213" i="38"/>
  <c r="A1380" i="38"/>
  <c r="J1379" i="38"/>
  <c r="J938" i="38"/>
  <c r="A939" i="38"/>
  <c r="A1161" i="38"/>
  <c r="J1160" i="38"/>
  <c r="A1479" i="38"/>
  <c r="J1478" i="38"/>
  <c r="J1479" i="38" l="1"/>
  <c r="A1480" i="38"/>
  <c r="A215" i="38"/>
  <c r="J214" i="38"/>
  <c r="A1162" i="38"/>
  <c r="J1161" i="38"/>
  <c r="J614" i="38"/>
  <c r="A615" i="38"/>
  <c r="J1380" i="38"/>
  <c r="A1381" i="38"/>
  <c r="J939" i="38"/>
  <c r="A940" i="38"/>
  <c r="A87" i="38"/>
  <c r="J86" i="38"/>
  <c r="A88" i="38" l="1"/>
  <c r="J87" i="38"/>
  <c r="J1162" i="38"/>
  <c r="A1163" i="38"/>
  <c r="J940" i="38"/>
  <c r="A941" i="38"/>
  <c r="A616" i="38"/>
  <c r="J615" i="38"/>
  <c r="A216" i="38"/>
  <c r="J215" i="38"/>
  <c r="A1382" i="38"/>
  <c r="J1381" i="38"/>
  <c r="A1481" i="38"/>
  <c r="J1480" i="38"/>
  <c r="J941" i="38" l="1"/>
  <c r="A942" i="38"/>
  <c r="J616" i="38"/>
  <c r="A617" i="38"/>
  <c r="A1482" i="38"/>
  <c r="J1481" i="38"/>
  <c r="A1164" i="38"/>
  <c r="J1163" i="38"/>
  <c r="A1383" i="38"/>
  <c r="J1382" i="38"/>
  <c r="A217" i="38"/>
  <c r="J216" i="38"/>
  <c r="A89" i="38"/>
  <c r="J88" i="38"/>
  <c r="A90" i="38" l="1"/>
  <c r="J89" i="38"/>
  <c r="J1482" i="38"/>
  <c r="A1483" i="38"/>
  <c r="J617" i="38"/>
  <c r="A618" i="38"/>
  <c r="A1165" i="38"/>
  <c r="J1164" i="38"/>
  <c r="A943" i="38"/>
  <c r="J942" i="38"/>
  <c r="A218" i="38"/>
  <c r="J217" i="38"/>
  <c r="A1384" i="38"/>
  <c r="J1383" i="38"/>
  <c r="J618" i="38" l="1"/>
  <c r="A619" i="38"/>
  <c r="J1483" i="38"/>
  <c r="A1484" i="38"/>
  <c r="A1385" i="38"/>
  <c r="J1384" i="38"/>
  <c r="A219" i="38"/>
  <c r="J218" i="38"/>
  <c r="A1166" i="38"/>
  <c r="J1165" i="38"/>
  <c r="J943" i="38"/>
  <c r="A944" i="38"/>
  <c r="A91" i="38"/>
  <c r="J90" i="38"/>
  <c r="A92" i="38" l="1"/>
  <c r="J91" i="38"/>
  <c r="A1386" i="38"/>
  <c r="J1385" i="38"/>
  <c r="A220" i="38"/>
  <c r="J219" i="38"/>
  <c r="A945" i="38"/>
  <c r="J944" i="38"/>
  <c r="J1484" i="38"/>
  <c r="A1485" i="38"/>
  <c r="A620" i="38"/>
  <c r="J619" i="38"/>
  <c r="A1167" i="38"/>
  <c r="J1166" i="38"/>
  <c r="A221" i="38" l="1"/>
  <c r="J220" i="38"/>
  <c r="J620" i="38"/>
  <c r="A621" i="38"/>
  <c r="A1387" i="38"/>
  <c r="J1386" i="38"/>
  <c r="A946" i="38"/>
  <c r="J945" i="38"/>
  <c r="A1168" i="38"/>
  <c r="J1167" i="38"/>
  <c r="A1486" i="38"/>
  <c r="J1485" i="38"/>
  <c r="A93" i="38"/>
  <c r="J92" i="38"/>
  <c r="J93" i="38" l="1"/>
  <c r="A94" i="38"/>
  <c r="J1387" i="38"/>
  <c r="A1388" i="38"/>
  <c r="A622" i="38"/>
  <c r="J621" i="38"/>
  <c r="J946" i="38"/>
  <c r="A947" i="38"/>
  <c r="J1486" i="38"/>
  <c r="A1487" i="38"/>
  <c r="A1169" i="38"/>
  <c r="J1168" i="38"/>
  <c r="A222" i="38"/>
  <c r="J221" i="38"/>
  <c r="J222" i="38" l="1"/>
  <c r="A223" i="38"/>
  <c r="A623" i="38"/>
  <c r="J622" i="38"/>
  <c r="A948" i="38"/>
  <c r="J947" i="38"/>
  <c r="J1388" i="38"/>
  <c r="A1389" i="38"/>
  <c r="A1170" i="38"/>
  <c r="J1169" i="38"/>
  <c r="A1488" i="38"/>
  <c r="J1487" i="38"/>
  <c r="J94" i="38"/>
  <c r="A95" i="38"/>
  <c r="A1390" i="38" l="1"/>
  <c r="J1389" i="38"/>
  <c r="A949" i="38"/>
  <c r="J948" i="38"/>
  <c r="J95" i="38"/>
  <c r="A96" i="38"/>
  <c r="J1488" i="38"/>
  <c r="A1489" i="38"/>
  <c r="A624" i="38"/>
  <c r="J623" i="38"/>
  <c r="A224" i="38"/>
  <c r="J223" i="38"/>
  <c r="A1171" i="38"/>
  <c r="J1170" i="38"/>
  <c r="J96" i="38" l="1"/>
  <c r="A97" i="38"/>
  <c r="J1489" i="38"/>
  <c r="A1490" i="38"/>
  <c r="A225" i="38"/>
  <c r="J224" i="38"/>
  <c r="J949" i="38"/>
  <c r="A950" i="38"/>
  <c r="A1172" i="38"/>
  <c r="J1171" i="38"/>
  <c r="A625" i="38"/>
  <c r="J624" i="38"/>
  <c r="A1391" i="38"/>
  <c r="J1390" i="38"/>
  <c r="J1391" i="38" l="1"/>
  <c r="A1392" i="38"/>
  <c r="A226" i="38"/>
  <c r="J225" i="38"/>
  <c r="A1491" i="38"/>
  <c r="J1490" i="38"/>
  <c r="A98" i="38"/>
  <c r="J97" i="38"/>
  <c r="A951" i="38"/>
  <c r="J950" i="38"/>
  <c r="A626" i="38"/>
  <c r="J625" i="38"/>
  <c r="J1172" i="38"/>
  <c r="A1173" i="38"/>
  <c r="J1491" i="38" l="1"/>
  <c r="A1492" i="38"/>
  <c r="A627" i="38"/>
  <c r="J626" i="38"/>
  <c r="A227" i="38"/>
  <c r="J226" i="38"/>
  <c r="A1393" i="38"/>
  <c r="J1392" i="38"/>
  <c r="J98" i="38"/>
  <c r="A99" i="38"/>
  <c r="A1174" i="38"/>
  <c r="J1173" i="38"/>
  <c r="A952" i="38"/>
  <c r="J951" i="38"/>
  <c r="J1393" i="38" l="1"/>
  <c r="A1394" i="38"/>
  <c r="J952" i="38"/>
  <c r="A953" i="38"/>
  <c r="A228" i="38"/>
  <c r="J227" i="38"/>
  <c r="A1175" i="38"/>
  <c r="J1174" i="38"/>
  <c r="A628" i="38"/>
  <c r="J627" i="38"/>
  <c r="J99" i="38"/>
  <c r="A100" i="38"/>
  <c r="J1492" i="38"/>
  <c r="A1493" i="38"/>
  <c r="A1176" i="38" l="1"/>
  <c r="J1175" i="38"/>
  <c r="A229" i="38"/>
  <c r="J228" i="38"/>
  <c r="A101" i="38"/>
  <c r="J100" i="38"/>
  <c r="A954" i="38"/>
  <c r="J953" i="38"/>
  <c r="A1494" i="38"/>
  <c r="J1493" i="38"/>
  <c r="A1395" i="38"/>
  <c r="J1394" i="38"/>
  <c r="A629" i="38"/>
  <c r="J628" i="38"/>
  <c r="A630" i="38" l="1"/>
  <c r="J629" i="38"/>
  <c r="J101" i="38"/>
  <c r="A102" i="38"/>
  <c r="A955" i="38"/>
  <c r="J954" i="38"/>
  <c r="A1396" i="38"/>
  <c r="J1395" i="38"/>
  <c r="A230" i="38"/>
  <c r="J229" i="38"/>
  <c r="A1495" i="38"/>
  <c r="J1494" i="38"/>
  <c r="J1176" i="38"/>
  <c r="A1177" i="38"/>
  <c r="J955" i="38" l="1"/>
  <c r="A956" i="38"/>
  <c r="J102" i="38"/>
  <c r="A103" i="38"/>
  <c r="J1396" i="38"/>
  <c r="A1397" i="38"/>
  <c r="J1495" i="38"/>
  <c r="A1496" i="38"/>
  <c r="A1178" i="38"/>
  <c r="J1177" i="38"/>
  <c r="A231" i="38"/>
  <c r="J230" i="38"/>
  <c r="A631" i="38"/>
  <c r="J630" i="38"/>
  <c r="J1397" i="38" l="1"/>
  <c r="A1398" i="38"/>
  <c r="A104" i="38"/>
  <c r="J103" i="38"/>
  <c r="J1496" i="38"/>
  <c r="A1497" i="38"/>
  <c r="J631" i="38"/>
  <c r="A632" i="38"/>
  <c r="J231" i="38"/>
  <c r="A232" i="38"/>
  <c r="A957" i="38"/>
  <c r="J956" i="38"/>
  <c r="A1179" i="38"/>
  <c r="J1178" i="38"/>
  <c r="A1498" i="38" l="1"/>
  <c r="J1497" i="38"/>
  <c r="A1180" i="38"/>
  <c r="J1179" i="38"/>
  <c r="J104" i="38"/>
  <c r="A105" i="38"/>
  <c r="A633" i="38"/>
  <c r="J632" i="38"/>
  <c r="A958" i="38"/>
  <c r="J957" i="38"/>
  <c r="A233" i="38"/>
  <c r="J232" i="38"/>
  <c r="J1398" i="38"/>
  <c r="A1399" i="38"/>
  <c r="J633" i="38" l="1"/>
  <c r="A634" i="38"/>
  <c r="A1400" i="38"/>
  <c r="J1399" i="38"/>
  <c r="J105" i="38"/>
  <c r="A106" i="38"/>
  <c r="J233" i="38"/>
  <c r="A234" i="38"/>
  <c r="A1181" i="38"/>
  <c r="J1180" i="38"/>
  <c r="A959" i="38"/>
  <c r="J958" i="38"/>
  <c r="A1499" i="38"/>
  <c r="J1498" i="38"/>
  <c r="J106" i="38" l="1"/>
  <c r="A107" i="38"/>
  <c r="A235" i="38"/>
  <c r="J234" i="38"/>
  <c r="J959" i="38"/>
  <c r="A960" i="38"/>
  <c r="J1400" i="38"/>
  <c r="A1401" i="38"/>
  <c r="A635" i="38"/>
  <c r="J634" i="38"/>
  <c r="J1499" i="38"/>
  <c r="A1500" i="38"/>
  <c r="A1182" i="38"/>
  <c r="J1181" i="38"/>
  <c r="J960" i="38" l="1"/>
  <c r="A961" i="38"/>
  <c r="A236" i="38"/>
  <c r="J235" i="38"/>
  <c r="A1402" i="38"/>
  <c r="J1401" i="38"/>
  <c r="A1183" i="38"/>
  <c r="J1182" i="38"/>
  <c r="A1501" i="38"/>
  <c r="J1500" i="38"/>
  <c r="J107" i="38"/>
  <c r="A108" i="38"/>
  <c r="J635" i="38"/>
  <c r="A636" i="38"/>
  <c r="A1403" i="38" l="1"/>
  <c r="J1402" i="38"/>
  <c r="A237" i="38"/>
  <c r="J236" i="38"/>
  <c r="J961" i="38"/>
  <c r="A962" i="38"/>
  <c r="A1184" i="38"/>
  <c r="J1183" i="38"/>
  <c r="J636" i="38"/>
  <c r="A637" i="38"/>
  <c r="J108" i="38"/>
  <c r="A109" i="38"/>
  <c r="J1501" i="38"/>
  <c r="A1502" i="38"/>
  <c r="A1185" i="38" l="1"/>
  <c r="J1184" i="38"/>
  <c r="J1502" i="38"/>
  <c r="A1503" i="38"/>
  <c r="J962" i="38"/>
  <c r="A963" i="38"/>
  <c r="A238" i="38"/>
  <c r="J237" i="38"/>
  <c r="A110" i="38"/>
  <c r="J109" i="38"/>
  <c r="A638" i="38"/>
  <c r="J637" i="38"/>
  <c r="A1404" i="38"/>
  <c r="J1403" i="38"/>
  <c r="A964" i="38" l="1"/>
  <c r="J963" i="38"/>
  <c r="A1504" i="38"/>
  <c r="J1503" i="38"/>
  <c r="A239" i="38"/>
  <c r="J238" i="38"/>
  <c r="J1404" i="38"/>
  <c r="A1405" i="38"/>
  <c r="J638" i="38"/>
  <c r="A639" i="38"/>
  <c r="J110" i="38"/>
  <c r="A111" i="38"/>
  <c r="A1186" i="38"/>
  <c r="J1185" i="38"/>
  <c r="J1186" i="38" l="1"/>
  <c r="A1187" i="38"/>
  <c r="A240" i="38"/>
  <c r="J239" i="38"/>
  <c r="A1406" i="38"/>
  <c r="J1405" i="38"/>
  <c r="J1504" i="38"/>
  <c r="A1505" i="38"/>
  <c r="J111" i="38"/>
  <c r="A112" i="38"/>
  <c r="A640" i="38"/>
  <c r="J639" i="38"/>
  <c r="A965" i="38"/>
  <c r="J964" i="38"/>
  <c r="J965" i="38" l="1"/>
  <c r="A966" i="38"/>
  <c r="A1407" i="38"/>
  <c r="J1406" i="38"/>
  <c r="A241" i="38"/>
  <c r="J240" i="38"/>
  <c r="J640" i="38"/>
  <c r="A641" i="38"/>
  <c r="A113" i="38"/>
  <c r="J112" i="38"/>
  <c r="A1188" i="38"/>
  <c r="J1187" i="38"/>
  <c r="A1506" i="38"/>
  <c r="J1505" i="38"/>
  <c r="A1507" i="38" l="1"/>
  <c r="J1506" i="38"/>
  <c r="A242" i="38"/>
  <c r="J241" i="38"/>
  <c r="J1188" i="38"/>
  <c r="A1189" i="38"/>
  <c r="A1408" i="38"/>
  <c r="J1407" i="38"/>
  <c r="A967" i="38"/>
  <c r="J966" i="38"/>
  <c r="A642" i="38"/>
  <c r="J641" i="38"/>
  <c r="A114" i="38"/>
  <c r="J113" i="38"/>
  <c r="J1189" i="38" l="1"/>
  <c r="A1190" i="38"/>
  <c r="A643" i="38"/>
  <c r="J642" i="38"/>
  <c r="A243" i="38"/>
  <c r="J242" i="38"/>
  <c r="A1409" i="38"/>
  <c r="J1408" i="38"/>
  <c r="J114" i="38"/>
  <c r="A115" i="38"/>
  <c r="A968" i="38"/>
  <c r="J967" i="38"/>
  <c r="A1508" i="38"/>
  <c r="J1507" i="38"/>
  <c r="J1409" i="38" l="1"/>
  <c r="A1410" i="38"/>
  <c r="J1508" i="38"/>
  <c r="A1509" i="38"/>
  <c r="J243" i="38"/>
  <c r="A244" i="38"/>
  <c r="J643" i="38"/>
  <c r="A644" i="38"/>
  <c r="J968" i="38"/>
  <c r="A969" i="38"/>
  <c r="J115" i="38"/>
  <c r="A116" i="38"/>
  <c r="J1190" i="38"/>
  <c r="A1191" i="38"/>
  <c r="J1191" i="38" l="1"/>
  <c r="A1192" i="38"/>
  <c r="J244" i="38"/>
  <c r="A245" i="38"/>
  <c r="A645" i="38"/>
  <c r="J644" i="38"/>
  <c r="A117" i="38"/>
  <c r="J116" i="38"/>
  <c r="J1509" i="38"/>
  <c r="A1510" i="38"/>
  <c r="J1510" i="38" s="1"/>
  <c r="A970" i="38"/>
  <c r="J969" i="38"/>
  <c r="J1410" i="38"/>
  <c r="A1411" i="38"/>
  <c r="A646" i="38" l="1"/>
  <c r="J645" i="38"/>
  <c r="A246" i="38"/>
  <c r="J245" i="38"/>
  <c r="J970" i="38"/>
  <c r="A971" i="38"/>
  <c r="A1193" i="38"/>
  <c r="J1192" i="38"/>
  <c r="A118" i="38"/>
  <c r="J117" i="38"/>
  <c r="A1412" i="38"/>
  <c r="J1411" i="38"/>
  <c r="A1194" i="38" l="1"/>
  <c r="J1193" i="38"/>
  <c r="A1413" i="38"/>
  <c r="J1412" i="38"/>
  <c r="A247" i="38"/>
  <c r="J246" i="38"/>
  <c r="A972" i="38"/>
  <c r="J971" i="38"/>
  <c r="A119" i="38"/>
  <c r="J118" i="38"/>
  <c r="J646" i="38"/>
  <c r="A647" i="38"/>
  <c r="A973" i="38" l="1"/>
  <c r="J972" i="38"/>
  <c r="A248" i="38"/>
  <c r="J247" i="38"/>
  <c r="A1414" i="38"/>
  <c r="J1413" i="38"/>
  <c r="A648" i="38"/>
  <c r="J647" i="38"/>
  <c r="J119" i="38"/>
  <c r="A120" i="38"/>
  <c r="A1195" i="38"/>
  <c r="J1194" i="38"/>
  <c r="A649" i="38" l="1"/>
  <c r="J648" i="38"/>
  <c r="J1414" i="38"/>
  <c r="A1415" i="38"/>
  <c r="J1415" i="38" s="1"/>
  <c r="A1196" i="38"/>
  <c r="J1195" i="38"/>
  <c r="A249" i="38"/>
  <c r="J248" i="38"/>
  <c r="J120" i="38"/>
  <c r="A121" i="38"/>
  <c r="A974" i="38"/>
  <c r="J973" i="38"/>
  <c r="A250" i="38" l="1"/>
  <c r="J249" i="38"/>
  <c r="A1197" i="38"/>
  <c r="J1196" i="38"/>
  <c r="A975" i="38"/>
  <c r="J974" i="38"/>
  <c r="J121" i="38"/>
  <c r="A122" i="38"/>
  <c r="J649" i="38"/>
  <c r="A650" i="38"/>
  <c r="J650" i="38" l="1"/>
  <c r="A651" i="38"/>
  <c r="A123" i="38"/>
  <c r="J122" i="38"/>
  <c r="J975" i="38"/>
  <c r="A976" i="38"/>
  <c r="A1198" i="38"/>
  <c r="J1197" i="38"/>
  <c r="A251" i="38"/>
  <c r="J250" i="38"/>
  <c r="A977" i="38" l="1"/>
  <c r="J976" i="38"/>
  <c r="A124" i="38"/>
  <c r="J123" i="38"/>
  <c r="J651" i="38"/>
  <c r="A652" i="38"/>
  <c r="A1199" i="38"/>
  <c r="J1198" i="38"/>
  <c r="A252" i="38"/>
  <c r="J251" i="38"/>
  <c r="J1199" i="38" l="1"/>
  <c r="A1200" i="38"/>
  <c r="J124" i="38"/>
  <c r="A125" i="38"/>
  <c r="A653" i="38"/>
  <c r="J652" i="38"/>
  <c r="J252" i="38"/>
  <c r="A253" i="38"/>
  <c r="J977" i="38"/>
  <c r="A978" i="38"/>
  <c r="A254" i="38" l="1"/>
  <c r="J253" i="38"/>
  <c r="A654" i="38"/>
  <c r="J653" i="38"/>
  <c r="A126" i="38"/>
  <c r="J125" i="38"/>
  <c r="J978" i="38"/>
  <c r="A979" i="38"/>
  <c r="J1200" i="38"/>
  <c r="A1201" i="38"/>
  <c r="A980" i="38" l="1"/>
  <c r="J979" i="38"/>
  <c r="A127" i="38"/>
  <c r="J126" i="38"/>
  <c r="A655" i="38"/>
  <c r="J654" i="38"/>
  <c r="J1201" i="38"/>
  <c r="A1202" i="38"/>
  <c r="A255" i="38"/>
  <c r="J254" i="38"/>
  <c r="J1202" i="38" l="1"/>
  <c r="A1203" i="38"/>
  <c r="A656" i="38"/>
  <c r="J655" i="38"/>
  <c r="J127" i="38"/>
  <c r="A128" i="38"/>
  <c r="A256" i="38"/>
  <c r="J255" i="38"/>
  <c r="A981" i="38"/>
  <c r="J980" i="38"/>
  <c r="J981" i="38" l="1"/>
  <c r="A982" i="38"/>
  <c r="A257" i="38"/>
  <c r="J256" i="38"/>
  <c r="A129" i="38"/>
  <c r="J128" i="38"/>
  <c r="A657" i="38"/>
  <c r="J656" i="38"/>
  <c r="J1203" i="38"/>
  <c r="A1204" i="38"/>
  <c r="A658" i="38" l="1"/>
  <c r="J657" i="38"/>
  <c r="A130" i="38"/>
  <c r="J129" i="38"/>
  <c r="A258" i="38"/>
  <c r="J257" i="38"/>
  <c r="J1204" i="38"/>
  <c r="A1205" i="38"/>
  <c r="J982" i="38"/>
  <c r="A983" i="38"/>
  <c r="J983" i="38" s="1"/>
  <c r="A259" i="38" l="1"/>
  <c r="J258" i="38"/>
  <c r="J130" i="38"/>
  <c r="A131" i="38"/>
  <c r="A1206" i="38"/>
  <c r="J1205" i="38"/>
  <c r="A659" i="38"/>
  <c r="J658" i="38"/>
  <c r="J659" i="38" l="1"/>
  <c r="A660" i="38"/>
  <c r="J1206" i="38"/>
  <c r="A1207" i="38"/>
  <c r="A132" i="38"/>
  <c r="J131" i="38"/>
  <c r="A260" i="38"/>
  <c r="J259" i="38"/>
  <c r="A261" i="38" l="1"/>
  <c r="J260" i="38"/>
  <c r="A133" i="38"/>
  <c r="J132" i="38"/>
  <c r="J1207" i="38"/>
  <c r="A1208" i="38"/>
  <c r="J660" i="38"/>
  <c r="A661" i="38"/>
  <c r="J661" i="38" l="1"/>
  <c r="A662" i="38"/>
  <c r="J1208" i="38"/>
  <c r="A1209" i="38"/>
  <c r="A134" i="38"/>
  <c r="J133" i="38"/>
  <c r="A262" i="38"/>
  <c r="J261" i="38"/>
  <c r="A263" i="38" l="1"/>
  <c r="J262" i="38"/>
  <c r="J134" i="38"/>
  <c r="A135" i="38"/>
  <c r="A1210" i="38"/>
  <c r="J1209" i="38"/>
  <c r="A663" i="38"/>
  <c r="J662" i="38"/>
  <c r="J663" i="38" l="1"/>
  <c r="A664" i="38"/>
  <c r="J1210" i="38"/>
  <c r="A1211" i="38"/>
  <c r="J135" i="38"/>
  <c r="A136" i="38"/>
  <c r="A264" i="38"/>
  <c r="J263" i="38"/>
  <c r="J1211" i="38" l="1"/>
  <c r="A1212" i="38"/>
  <c r="J664" i="38"/>
  <c r="A665" i="38"/>
  <c r="A265" i="38"/>
  <c r="J264" i="38"/>
  <c r="J136" i="38"/>
  <c r="A137" i="38"/>
  <c r="A266" i="38" l="1"/>
  <c r="J265" i="38"/>
  <c r="A138" i="38"/>
  <c r="J137" i="38"/>
  <c r="A666" i="38"/>
  <c r="J665" i="38"/>
  <c r="J1212" i="38"/>
  <c r="A1213" i="38"/>
  <c r="A1214" i="38" l="1"/>
  <c r="J1213" i="38"/>
  <c r="A667" i="38"/>
  <c r="J666" i="38"/>
  <c r="A139" i="38"/>
  <c r="J138" i="38"/>
  <c r="A267" i="38"/>
  <c r="J266" i="38"/>
  <c r="A268" i="38" l="1"/>
  <c r="J267" i="38"/>
  <c r="A140" i="38"/>
  <c r="J139" i="38"/>
  <c r="J667" i="38"/>
  <c r="A668" i="38"/>
  <c r="A1215" i="38"/>
  <c r="J1214" i="38"/>
  <c r="J1215" i="38" l="1"/>
  <c r="A1216" i="38"/>
  <c r="A669" i="38"/>
  <c r="J668" i="38"/>
  <c r="J140" i="38"/>
  <c r="A141" i="38"/>
  <c r="J141" i="38" s="1"/>
  <c r="A269" i="38"/>
  <c r="J268" i="38"/>
  <c r="J669" i="38" l="1"/>
  <c r="A670" i="38"/>
  <c r="J1216" i="38"/>
  <c r="A1217" i="38"/>
  <c r="A270" i="38"/>
  <c r="J269" i="38"/>
  <c r="A271" i="38" l="1"/>
  <c r="J270" i="38"/>
  <c r="J1217" i="38"/>
  <c r="A1218" i="38"/>
  <c r="A671" i="38"/>
  <c r="J670" i="38"/>
  <c r="J671" i="38" l="1"/>
  <c r="A672" i="38"/>
  <c r="J1218" i="38"/>
  <c r="A1219" i="38"/>
  <c r="J271" i="38"/>
  <c r="A272" i="38"/>
  <c r="A1220" i="38" l="1"/>
  <c r="J1219" i="38"/>
  <c r="J672" i="38"/>
  <c r="A673" i="38"/>
  <c r="A273" i="38"/>
  <c r="J272" i="38"/>
  <c r="A274" i="38" l="1"/>
  <c r="J273" i="38"/>
  <c r="A674" i="38"/>
  <c r="J673" i="38"/>
  <c r="J1220" i="38"/>
  <c r="A1221" i="38"/>
  <c r="A1222" i="38" l="1"/>
  <c r="J1221" i="38"/>
  <c r="A675" i="38"/>
  <c r="J674" i="38"/>
  <c r="A275" i="38"/>
  <c r="J274" i="38"/>
  <c r="A276" i="38" l="1"/>
  <c r="J275" i="38"/>
  <c r="J675" i="38"/>
  <c r="A676" i="38"/>
  <c r="A1223" i="38"/>
  <c r="J1222" i="38"/>
  <c r="A1224" i="38" l="1"/>
  <c r="J1223" i="38"/>
  <c r="A677" i="38"/>
  <c r="J676" i="38"/>
  <c r="A277" i="38"/>
  <c r="J276" i="38"/>
  <c r="A278" i="38" l="1"/>
  <c r="J277" i="38"/>
  <c r="A678" i="38"/>
  <c r="J677" i="38"/>
  <c r="J1224" i="38"/>
  <c r="A1225" i="38"/>
  <c r="J1225" i="38" l="1"/>
  <c r="A1226" i="38"/>
  <c r="A679" i="38"/>
  <c r="J678" i="38"/>
  <c r="A279" i="38"/>
  <c r="J278" i="38"/>
  <c r="A280" i="38" l="1"/>
  <c r="J279" i="38"/>
  <c r="A680" i="38"/>
  <c r="J679" i="38"/>
  <c r="A1227" i="38"/>
  <c r="J1226" i="38"/>
  <c r="A1228" i="38" l="1"/>
  <c r="J1227" i="38"/>
  <c r="J680" i="38"/>
  <c r="A681" i="38"/>
  <c r="J280" i="38"/>
  <c r="A281" i="38"/>
  <c r="A282" i="38" l="1"/>
  <c r="J281" i="38"/>
  <c r="A682" i="38"/>
  <c r="J681" i="38"/>
  <c r="A1229" i="38"/>
  <c r="J1228" i="38"/>
  <c r="J1229" i="38" l="1"/>
  <c r="A1230" i="38"/>
  <c r="A683" i="38"/>
  <c r="J682" i="38"/>
  <c r="A283" i="38"/>
  <c r="J282" i="38"/>
  <c r="A284" i="38" l="1"/>
  <c r="J283" i="38"/>
  <c r="A684" i="38"/>
  <c r="J683" i="38"/>
  <c r="A1231" i="38"/>
  <c r="J1230" i="38"/>
  <c r="J1231" i="38" l="1"/>
  <c r="A1232" i="38"/>
  <c r="J684" i="38"/>
  <c r="A685" i="38"/>
  <c r="A285" i="38"/>
  <c r="J284" i="38"/>
  <c r="A286" i="38" l="1"/>
  <c r="J285" i="38"/>
  <c r="J685" i="38"/>
  <c r="A686" i="38"/>
  <c r="A1233" i="38"/>
  <c r="J1232" i="38"/>
  <c r="J1233" i="38" l="1"/>
  <c r="A1234" i="38"/>
  <c r="A687" i="38"/>
  <c r="J686" i="38"/>
  <c r="A287" i="38"/>
  <c r="J286" i="38"/>
  <c r="J287" i="38" l="1"/>
  <c r="A288" i="38"/>
  <c r="J687" i="38"/>
  <c r="A688" i="38"/>
  <c r="J1234" i="38"/>
  <c r="A1235" i="38"/>
  <c r="J1235" i="38" l="1"/>
  <c r="A1236" i="38"/>
  <c r="A689" i="38"/>
  <c r="J688" i="38"/>
  <c r="A289" i="38"/>
  <c r="J289" i="38" s="1"/>
  <c r="J288" i="38"/>
  <c r="A690" i="38" l="1"/>
  <c r="J689" i="38"/>
  <c r="J1236" i="38"/>
  <c r="A1237" i="38"/>
  <c r="J1237" i="38" l="1"/>
  <c r="A1238" i="38"/>
  <c r="A691" i="38"/>
  <c r="J690" i="38"/>
  <c r="A692" i="38" l="1"/>
  <c r="J691" i="38"/>
  <c r="J1238" i="38"/>
  <c r="A1239" i="38"/>
  <c r="A1240" i="38" l="1"/>
  <c r="J1239" i="38"/>
  <c r="J692" i="38"/>
  <c r="A693" i="38"/>
  <c r="A694" i="38" l="1"/>
  <c r="J693" i="38"/>
  <c r="J1240" i="38"/>
  <c r="A1241" i="38"/>
  <c r="A1242" i="38" l="1"/>
  <c r="J1241" i="38"/>
  <c r="J694" i="38"/>
  <c r="A695" i="38"/>
  <c r="A696" i="38" l="1"/>
  <c r="J695" i="38"/>
  <c r="J1242" i="38"/>
  <c r="A1243" i="38"/>
  <c r="J1243" i="38" l="1"/>
  <c r="A1244" i="38"/>
  <c r="A697" i="38"/>
  <c r="J696" i="38"/>
  <c r="A698" i="38" l="1"/>
  <c r="J697" i="38"/>
  <c r="A1245" i="38"/>
  <c r="J1244" i="38"/>
  <c r="A1246" i="38" l="1"/>
  <c r="J1245" i="38"/>
  <c r="J698" i="38"/>
  <c r="A699" i="38"/>
  <c r="A700" i="38" l="1"/>
  <c r="J699" i="38"/>
  <c r="A1247" i="38"/>
  <c r="J1246" i="38"/>
  <c r="A1248" i="38" l="1"/>
  <c r="J1247" i="38"/>
  <c r="A701" i="38"/>
  <c r="J700" i="38"/>
  <c r="J701" i="38" l="1"/>
  <c r="A702" i="38"/>
  <c r="A1249" i="38"/>
  <c r="J1248" i="38"/>
  <c r="J1249" i="38" l="1"/>
  <c r="A1250" i="38"/>
  <c r="A703" i="38"/>
  <c r="J702" i="38"/>
  <c r="A704" i="38" l="1"/>
  <c r="J703" i="38"/>
  <c r="J1250" i="38"/>
  <c r="A1251" i="38"/>
  <c r="A1252" i="38" l="1"/>
  <c r="J1251" i="38"/>
  <c r="A705" i="38"/>
  <c r="J704" i="38"/>
  <c r="A706" i="38" l="1"/>
  <c r="J705" i="38"/>
  <c r="J1252" i="38"/>
  <c r="A1253" i="38"/>
  <c r="A1254" i="38" l="1"/>
  <c r="J1253" i="38"/>
  <c r="A707" i="38"/>
  <c r="J706" i="38"/>
  <c r="A708" i="38" l="1"/>
  <c r="J707" i="38"/>
  <c r="A1255" i="38"/>
  <c r="J1254" i="38"/>
  <c r="A1256" i="38" l="1"/>
  <c r="J1255" i="38"/>
  <c r="A709" i="38"/>
  <c r="J708" i="38"/>
  <c r="A710" i="38" l="1"/>
  <c r="J709" i="38"/>
  <c r="J1256" i="38"/>
  <c r="A1257" i="38"/>
  <c r="A1258" i="38" l="1"/>
  <c r="J1257" i="38"/>
  <c r="A711" i="38"/>
  <c r="J710" i="38"/>
  <c r="A712" i="38" l="1"/>
  <c r="J711" i="38"/>
  <c r="J1258" i="38"/>
  <c r="A1259" i="38"/>
  <c r="J1259" i="38" l="1"/>
  <c r="A1260" i="38"/>
  <c r="J712" i="38"/>
  <c r="A713" i="38"/>
  <c r="A714" i="38" l="1"/>
  <c r="J713" i="38"/>
  <c r="A1261" i="38"/>
  <c r="J1260" i="38"/>
  <c r="J1261" i="38" l="1"/>
  <c r="A1262" i="38"/>
  <c r="A715" i="38"/>
  <c r="J714" i="38"/>
  <c r="A716" i="38" l="1"/>
  <c r="J715" i="38"/>
  <c r="A1263" i="38"/>
  <c r="J1262" i="38"/>
  <c r="J1263" i="38" l="1"/>
  <c r="A1264" i="38"/>
  <c r="A717" i="38"/>
  <c r="J716" i="38"/>
  <c r="A718" i="38" l="1"/>
  <c r="J717" i="38"/>
  <c r="J1264" i="38"/>
  <c r="A1265" i="38"/>
  <c r="A1266" i="38" l="1"/>
  <c r="J1265" i="38"/>
  <c r="J718" i="38"/>
  <c r="A719" i="38"/>
  <c r="A720" i="38" l="1"/>
  <c r="J719" i="38"/>
  <c r="J1266" i="38"/>
  <c r="A1267" i="38"/>
  <c r="A1268" i="38" l="1"/>
  <c r="J1267" i="38"/>
  <c r="J720" i="38"/>
  <c r="A721" i="38"/>
  <c r="J721" i="38" l="1"/>
  <c r="A722" i="38"/>
  <c r="A1269" i="38"/>
  <c r="J1268" i="38"/>
  <c r="J1269" i="38" l="1"/>
  <c r="A1270" i="38"/>
  <c r="A723" i="38"/>
  <c r="J722" i="38"/>
  <c r="J723" i="38" l="1"/>
  <c r="A724" i="38"/>
  <c r="A1271" i="38"/>
  <c r="J1270" i="38"/>
  <c r="A1272" i="38" l="1"/>
  <c r="J1271" i="38"/>
  <c r="J724" i="38"/>
  <c r="A725" i="38"/>
  <c r="A726" i="38" l="1"/>
  <c r="J725" i="38"/>
  <c r="J1272" i="38"/>
  <c r="A1273" i="38"/>
  <c r="A1274" i="38" l="1"/>
  <c r="J1273" i="38"/>
  <c r="A727" i="38"/>
  <c r="J726" i="38"/>
  <c r="A728" i="38" l="1"/>
  <c r="J727" i="38"/>
  <c r="A1275" i="38"/>
  <c r="J1274" i="38"/>
  <c r="J1275" i="38" l="1"/>
  <c r="A1276" i="38"/>
  <c r="A1277" i="38" s="1"/>
  <c r="J728" i="38"/>
  <c r="A729" i="38"/>
  <c r="J729" i="38" l="1"/>
  <c r="A730" i="38"/>
  <c r="J1277" i="38"/>
  <c r="A1278" i="38"/>
  <c r="A1279" i="38" l="1"/>
  <c r="J1278" i="38"/>
  <c r="A731" i="38"/>
  <c r="J730" i="38"/>
  <c r="J731" i="38" l="1"/>
  <c r="A732" i="38"/>
  <c r="J1279" i="38"/>
  <c r="A1280" i="38"/>
  <c r="J1280" i="38" l="1"/>
  <c r="A1281" i="38"/>
  <c r="A733" i="38"/>
  <c r="J732" i="38"/>
  <c r="J733" i="38" l="1"/>
  <c r="A734" i="38"/>
  <c r="A1282" i="38"/>
  <c r="A1283" i="38" s="1"/>
  <c r="J1281" i="38"/>
  <c r="A1284" i="38" l="1"/>
  <c r="J1283" i="38"/>
  <c r="A735" i="38"/>
  <c r="J734" i="38"/>
  <c r="A736" i="38" l="1"/>
  <c r="J735" i="38"/>
  <c r="J1284" i="38"/>
  <c r="A1285" i="38"/>
  <c r="A1286" i="38" l="1"/>
  <c r="J1285" i="38"/>
  <c r="A737" i="38"/>
  <c r="J736" i="38"/>
  <c r="A738" i="38" l="1"/>
  <c r="J737" i="38"/>
  <c r="A1287" i="38"/>
  <c r="J1286" i="38"/>
  <c r="J1287" i="38" l="1"/>
  <c r="A1288" i="38"/>
  <c r="J738" i="38"/>
  <c r="A739" i="38"/>
  <c r="J739" i="38" l="1"/>
  <c r="A740" i="38"/>
  <c r="J1288" i="38"/>
  <c r="A1289" i="38"/>
  <c r="J1289" i="38" l="1"/>
  <c r="A1290" i="38"/>
  <c r="J1290" i="38" s="1"/>
  <c r="A741" i="38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J747" i="38" l="1"/>
  <c r="A748" i="38"/>
  <c r="A749" i="38" l="1"/>
  <c r="J748" i="38"/>
  <c r="J749" i="38" l="1"/>
  <c r="A750" i="38"/>
  <c r="J750" i="38" l="1"/>
  <c r="A751" i="38"/>
  <c r="J751" i="38" l="1"/>
  <c r="A752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J759" i="38" l="1"/>
  <c r="A760" i="38"/>
  <c r="A761" i="38" l="1"/>
  <c r="J760" i="38"/>
  <c r="A762" i="38" l="1"/>
  <c r="J761" i="38"/>
  <c r="A763" i="38" l="1"/>
  <c r="J762" i="38"/>
  <c r="J763" i="38" l="1"/>
  <c r="A764" i="38"/>
  <c r="A765" i="38" l="1"/>
  <c r="J764" i="38"/>
  <c r="A766" i="38" l="1"/>
  <c r="J765" i="38"/>
  <c r="A767" i="38" l="1"/>
  <c r="J766" i="38"/>
  <c r="J767" i="38" l="1"/>
  <c r="A768" i="38"/>
  <c r="A769" i="38" l="1"/>
  <c r="J768" i="38"/>
  <c r="A770" i="38" l="1"/>
  <c r="J769" i="38"/>
  <c r="J770" i="38" l="1"/>
  <c r="A771" i="38"/>
  <c r="J771" i="38" l="1"/>
  <c r="A772" i="38"/>
  <c r="A773" i="38" l="1"/>
  <c r="J772" i="38"/>
  <c r="A774" i="38" l="1"/>
  <c r="J773" i="38"/>
  <c r="A775" i="38" l="1"/>
  <c r="J774" i="38"/>
  <c r="J775" i="38" l="1"/>
  <c r="A776" i="38"/>
  <c r="A777" i="38" l="1"/>
  <c r="J776" i="38"/>
  <c r="J777" i="38" l="1"/>
  <c r="A778" i="38"/>
  <c r="A779" i="38" l="1"/>
  <c r="J778" i="38"/>
  <c r="J779" i="38" l="1"/>
  <c r="A780" i="38"/>
  <c r="A781" i="38" l="1"/>
  <c r="J780" i="38"/>
  <c r="J781" i="38" l="1"/>
  <c r="A782" i="38"/>
  <c r="A783" i="38" l="1"/>
  <c r="J782" i="38"/>
  <c r="J783" i="38" l="1"/>
  <c r="A784" i="38"/>
  <c r="A785" i="38" l="1"/>
  <c r="J784" i="38"/>
  <c r="A786" i="38" l="1"/>
  <c r="J785" i="38"/>
  <c r="A787" i="38" l="1"/>
  <c r="J786" i="38"/>
  <c r="J787" i="38" l="1"/>
  <c r="A788" i="38"/>
  <c r="A789" i="38" l="1"/>
  <c r="J788" i="38"/>
  <c r="J789" i="38" l="1"/>
  <c r="A790" i="38"/>
  <c r="A791" i="38" l="1"/>
  <c r="J790" i="38"/>
  <c r="J791" i="38" l="1"/>
  <c r="A792" i="38"/>
  <c r="A793" i="38" l="1"/>
  <c r="J792" i="38"/>
  <c r="A794" i="38" l="1"/>
  <c r="J793" i="38"/>
  <c r="A795" i="38" l="1"/>
  <c r="J794" i="38"/>
  <c r="J795" i="38" l="1"/>
  <c r="A796" i="38"/>
  <c r="A797" i="38" l="1"/>
  <c r="J796" i="38"/>
  <c r="A798" i="38" l="1"/>
  <c r="J797" i="38"/>
  <c r="A799" i="38" l="1"/>
  <c r="J798" i="38"/>
  <c r="J799" i="38" l="1"/>
  <c r="A800" i="38"/>
  <c r="J800" i="38" l="1"/>
  <c r="A801" i="38"/>
  <c r="A802" i="38" l="1"/>
  <c r="J801" i="38"/>
  <c r="J802" i="38" l="1"/>
  <c r="A803" i="38"/>
  <c r="J803" i="38" l="1"/>
  <c r="A804" i="38"/>
  <c r="A805" i="38" l="1"/>
  <c r="J804" i="38"/>
  <c r="A806" i="38" l="1"/>
  <c r="J805" i="38"/>
  <c r="J806" i="38" l="1"/>
  <c r="A807" i="38"/>
  <c r="J807" i="38" l="1"/>
  <c r="A808" i="38"/>
  <c r="A809" i="38" l="1"/>
  <c r="J808" i="38"/>
  <c r="J809" i="38" l="1"/>
  <c r="A810" i="38"/>
  <c r="A811" i="38" l="1"/>
  <c r="J810" i="38"/>
  <c r="J811" i="38" l="1"/>
  <c r="A812" i="38"/>
  <c r="A813" i="38" l="1"/>
  <c r="J812" i="38"/>
  <c r="J813" i="38" l="1"/>
  <c r="A814" i="38"/>
  <c r="J814" i="38" l="1"/>
  <c r="A815" i="38"/>
  <c r="J815" i="38" l="1"/>
  <c r="A816" i="38"/>
  <c r="A817" i="38" l="1"/>
  <c r="J816" i="38"/>
  <c r="A818" i="38" l="1"/>
  <c r="J817" i="38"/>
  <c r="A819" i="38" l="1"/>
  <c r="J818" i="38"/>
  <c r="J819" i="38" l="1"/>
  <c r="A820" i="38"/>
  <c r="A821" i="38" l="1"/>
  <c r="J820" i="38"/>
  <c r="J821" i="38" l="1"/>
  <c r="A822" i="38"/>
  <c r="A823" i="38" l="1"/>
  <c r="J822" i="38"/>
  <c r="J823" i="38" l="1"/>
  <c r="A824" i="38"/>
  <c r="A825" i="38" l="1"/>
  <c r="J824" i="38"/>
  <c r="A826" i="38" l="1"/>
  <c r="J825" i="38"/>
  <c r="A827" i="38" l="1"/>
  <c r="J826" i="38"/>
  <c r="J827" i="38" l="1"/>
  <c r="A828" i="38"/>
  <c r="A829" i="38" l="1"/>
  <c r="J828" i="38"/>
  <c r="A830" i="38" l="1"/>
  <c r="J829" i="38"/>
  <c r="A831" i="38" l="1"/>
  <c r="J830" i="38"/>
  <c r="J831" i="38" l="1"/>
  <c r="A832" i="38"/>
  <c r="A833" i="38" l="1"/>
  <c r="J832" i="38"/>
  <c r="A834" i="38" l="1"/>
  <c r="J833" i="38"/>
  <c r="J834" i="38" l="1"/>
  <c r="A835" i="38"/>
  <c r="J835" i="38" l="1"/>
  <c r="A836" i="38"/>
  <c r="A837" i="38" l="1"/>
  <c r="J836" i="38"/>
  <c r="A838" i="38" l="1"/>
  <c r="J837" i="38"/>
  <c r="J838" i="38" l="1"/>
  <c r="A839" i="38"/>
  <c r="J839" i="38" l="1"/>
  <c r="A840" i="38"/>
  <c r="A841" i="38" l="1"/>
  <c r="J840" i="38"/>
  <c r="J841" i="38" l="1"/>
  <c r="A842" i="38"/>
  <c r="A843" i="38" l="1"/>
  <c r="J842" i="38"/>
  <c r="J843" i="38" l="1"/>
  <c r="A844" i="38"/>
  <c r="A845" i="38" l="1"/>
  <c r="J844" i="38"/>
  <c r="J845" i="38" l="1"/>
  <c r="A846" i="38"/>
  <c r="J846" i="38" l="1"/>
  <c r="A847" i="38"/>
  <c r="J847" i="38" l="1"/>
  <c r="A848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J855" i="38" l="1"/>
  <c r="A856" i="38"/>
  <c r="A857" i="38" l="1"/>
  <c r="J856" i="38"/>
  <c r="A858" i="38" l="1"/>
  <c r="J857" i="38"/>
  <c r="A859" i="38" l="1"/>
  <c r="J858" i="38"/>
  <c r="J859" i="38" l="1"/>
  <c r="A860" i="38"/>
  <c r="A861" i="38" l="1"/>
  <c r="J860" i="38"/>
  <c r="A862" i="38" l="1"/>
  <c r="J861" i="38"/>
  <c r="A863" i="38" l="1"/>
  <c r="J862" i="38"/>
  <c r="J863" i="38" l="1"/>
  <c r="A864" i="38"/>
  <c r="J864" i="38" l="1"/>
  <c r="A865" i="38"/>
  <c r="A866" i="38" l="1"/>
  <c r="J865" i="38"/>
  <c r="A867" i="38" l="1"/>
  <c r="J866" i="38"/>
  <c r="J867" i="38" l="1"/>
  <c r="A868" i="38"/>
  <c r="A869" i="38" l="1"/>
  <c r="J868" i="38"/>
  <c r="A870" i="38" l="1"/>
  <c r="J869" i="38"/>
  <c r="A871" i="38" l="1"/>
  <c r="J870" i="38"/>
  <c r="J871" i="38" l="1"/>
  <c r="A872" i="38"/>
  <c r="A873" i="38" l="1"/>
  <c r="J872" i="38"/>
  <c r="J873" i="38" l="1"/>
  <c r="A874" i="38"/>
  <c r="A875" i="38" l="1"/>
  <c r="J874" i="38"/>
  <c r="J875" i="38" l="1"/>
  <c r="A876" i="38"/>
  <c r="A877" i="38" l="1"/>
  <c r="J876" i="38"/>
  <c r="A878" i="38" l="1"/>
  <c r="J877" i="38"/>
  <c r="J878" i="38" l="1"/>
  <c r="A879" i="38"/>
  <c r="J879" i="38" l="1"/>
  <c r="A880" i="38"/>
  <c r="A881" i="38" l="1"/>
  <c r="J880" i="38"/>
  <c r="A882" i="38" l="1"/>
  <c r="J881" i="38"/>
  <c r="A883" i="38" l="1"/>
  <c r="J882" i="38"/>
  <c r="J883" i="38" l="1"/>
  <c r="A884" i="38"/>
  <c r="A885" i="38" l="1"/>
  <c r="J884" i="38"/>
  <c r="J885" i="38" l="1"/>
  <c r="A886" i="38"/>
  <c r="J88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<sst xmlns="http://schemas.openxmlformats.org/spreadsheetml/2006/main" count="5069" uniqueCount="1398">
  <si>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</si>
  <si>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</si>
  <si>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</si>
  <si>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</si>
  <si>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</si>
  <si>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</si>
  <si>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</si>
  <si>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</si>
  <si>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</si>
  <si>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COMPLEMENTARIO MARROQUINERIA</t>
  </si>
  <si>
    <t>FICHA(#)</t>
  </si>
  <si>
    <t>NOMBRE DEL PRODUCTO</t>
  </si>
  <si>
    <t>CAMPESENA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</si>
  <si>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</si>
  <si>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</si>
  <si>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</si>
  <si>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</si>
  <si>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</si>
  <si>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</si>
  <si>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</si>
  <si>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</si>
  <si>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</si>
  <si>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</si>
  <si>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</si>
  <si>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</si>
  <si>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</si>
  <si>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 xml:space="preserve">TRABILLA 1 1/2" NÍQUEL </t>
  </si>
  <si>
    <t>3cm de paso</t>
  </si>
  <si>
    <t xml:space="preserve">CUADRANTE 1 1/2" NÍQUEL </t>
  </si>
  <si>
    <t xml:space="preserve">LLAVE METÁLICA DESLIZADOR   #6 PARA CREMALLERA - NÍQUEL </t>
  </si>
  <si>
    <t>SECUNDARIO_MEDULAR</t>
  </si>
  <si>
    <t>CREMALLERA POLIÉSTER #6</t>
  </si>
  <si>
    <t>CREMALLERA POLIÉSTER #3</t>
  </si>
  <si>
    <t xml:space="preserve">LLAVE METÁLICA DESLIZADOR   #3 PARA CREMALLERA - NÍQUEL </t>
  </si>
  <si>
    <t>SiNTETICOS_TEXTILES</t>
  </si>
  <si>
    <t>SEDA TAFETA  BRIONI 100% POLIESTER</t>
  </si>
  <si>
    <t xml:space="preserve">HILO NYLON #20
</t>
  </si>
  <si>
    <t>café y beige</t>
  </si>
  <si>
    <t>café delgada 3cm</t>
  </si>
  <si>
    <t>FORRO BADANA SINTETICA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</si>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</sst>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74544</xdr:colOff>
      <xdr:row>0</xdr:row>
      <xdr:rowOff>149088</xdr:rowOff>
    </xdr:from>
    <xdr:to>
      <xdr:col>23</xdr:col>
      <xdr:colOff>0</xdr:colOff>
      <xdr:row>6</xdr:row>
      <xdr:rowOff>199664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3193B45-56FC-4503-8BBE-38C65A84A5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10" b="20178"/>
        <a:stretch/>
      </xdr:blipFill>
      <xdr:spPr>
        <a:xfrm>
          <a:off x="7578587" y="149088"/>
          <a:ext cx="1664804" cy="18230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AP1706-1</v>
      </c>
      <c r="G1" s="332"/>
      <c r="H1" s="333"/>
      <c r="I1" s="334" t="s">
        <v>1</v>
      </c>
      <c r="J1" s="335"/>
      <c r="K1" s="245"/>
      <c r="L1" s="336" t="s">
        <v>2</v>
      </c>
      <c r="M1" s="337"/>
      <c r="N1" s="337"/>
      <c r="O1" s="338">
        <v>45460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>
        <v>3001173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/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14</v>
      </c>
      <c r="B5" s="367"/>
      <c r="C5" s="367"/>
      <c r="D5" s="368">
        <f ca="1">IF(K5="","",(SUM(W10:Y28)-(SUMIF(U10:V28,"Restar_Pedido",W10:Y28)))/$K$5)</f>
        <v>8542.4672619047615</v>
      </c>
      <c r="E5" s="369"/>
      <c r="F5" s="370"/>
      <c r="G5" s="353" t="s">
        <v>15</v>
      </c>
      <c r="H5" s="371"/>
      <c r="I5" s="371"/>
      <c r="J5" s="354"/>
      <c r="K5" s="327">
        <v>25</v>
      </c>
      <c r="L5" s="327"/>
      <c r="M5" s="328" t="s">
        <v>16</v>
      </c>
      <c r="N5" s="328"/>
      <c r="O5" s="381">
        <f ca="1">IFERROR(IF(K5=0,"",D5*K5),"")</f>
        <v>213561.68154761902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17</v>
      </c>
      <c r="B7" s="358"/>
      <c r="C7" s="358"/>
      <c r="D7" s="359" t="s">
        <v>18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19</v>
      </c>
      <c r="P7" s="360"/>
      <c r="Q7" s="361" t="s">
        <v>20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21</v>
      </c>
      <c r="T8" s="373"/>
      <c r="U8" s="373"/>
      <c r="V8" s="374">
        <f>IF(K5="","",1/K5)</f>
        <v>0.04</v>
      </c>
      <c r="W8" s="375"/>
      <c r="X8" s="107">
        <v>400</v>
      </c>
      <c r="Y8" s="108">
        <f>IFERROR((V8*X8)," ")</f>
        <v>16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22</v>
      </c>
      <c r="T9" s="372"/>
      <c r="U9" s="360" t="s">
        <v>23</v>
      </c>
      <c r="V9" s="360"/>
      <c r="W9" s="360" t="s">
        <v>24</v>
      </c>
      <c r="X9" s="360"/>
      <c r="Y9" s="360"/>
    </row>
    <row r="10" spans="1:28" ht="17.25" customHeight="1">
      <c r="A10" s="308" t="s">
        <v>25</v>
      </c>
      <c r="B10" s="308"/>
      <c r="C10" s="309"/>
      <c r="D10" s="321" t="s">
        <v>26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U</v>
      </c>
      <c r="P10" s="314"/>
      <c r="Q10" s="315">
        <v>2</v>
      </c>
      <c r="R10" s="316"/>
      <c r="S10" s="317">
        <f>IFERROR(IF(Q10="Unidad","1",(Q10*$K$5)),"")</f>
        <v>50</v>
      </c>
      <c r="T10" s="318"/>
      <c r="U10" s="319" t="s">
        <v>27</v>
      </c>
      <c r="V10" s="325"/>
      <c r="W10" s="320">
        <f ca="1">IFERROR(IF(D10="","",INDEX(Tabla_Completa,MATCH('Soli_citud '!D10,Materiales,0),7)*S10),"")</f>
        <v>49920.5</v>
      </c>
      <c r="X10" s="320"/>
      <c r="Y10" s="320"/>
      <c r="Z10" s="34"/>
    </row>
    <row r="11" spans="1:28" ht="17.25" customHeight="1">
      <c r="A11" s="307" t="s">
        <v>25</v>
      </c>
      <c r="B11" s="308"/>
      <c r="C11" s="309"/>
      <c r="D11" s="321" t="s">
        <v>28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U</v>
      </c>
      <c r="P11" s="314"/>
      <c r="Q11" s="315">
        <v>2</v>
      </c>
      <c r="R11" s="316"/>
      <c r="S11" s="317">
        <f t="shared" ref="S11:S31" si="1">IFERROR(IF(Q11="Unidad","1",(Q11*$K$5)),"")</f>
        <v>50</v>
      </c>
      <c r="T11" s="318"/>
      <c r="U11" s="319" t="s">
        <v>27</v>
      </c>
      <c r="V11" s="319"/>
      <c r="W11" s="320">
        <f ca="1">IFERROR(IF(D11="","",INDEX(Tabla_Completa,MATCH('Soli_citud '!D11,Materiales,0),7)*S11),"")</f>
        <v>49920.5</v>
      </c>
      <c r="X11" s="320"/>
      <c r="Y11" s="320"/>
    </row>
    <row r="12" spans="1:28" ht="15.75" customHeight="1">
      <c r="A12" s="307" t="s">
        <v>25</v>
      </c>
      <c r="B12" s="308"/>
      <c r="C12" s="309"/>
      <c r="D12" s="324" t="s">
        <v>29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U</v>
      </c>
      <c r="P12" s="314"/>
      <c r="Q12" s="315">
        <v>1</v>
      </c>
      <c r="R12" s="316"/>
      <c r="S12" s="317">
        <f t="shared" si="1"/>
        <v>25</v>
      </c>
      <c r="T12" s="318"/>
      <c r="U12" s="319"/>
      <c r="V12" s="319"/>
      <c r="W12" s="320">
        <f ca="1">IFERROR(IF(D12="","",INDEX(Tabla_Completa,MATCH('Soli_citud '!D12,Materiales,0),7)*S12),"")</f>
        <v>11391.65625</v>
      </c>
      <c r="X12" s="320"/>
      <c r="Y12" s="320"/>
    </row>
    <row r="13" spans="1:28" ht="15.75" customHeight="1">
      <c r="A13" s="307" t="s">
        <v>30</v>
      </c>
      <c r="B13" s="308"/>
      <c r="C13" s="309"/>
      <c r="D13" s="321" t="s">
        <v>31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cm</v>
      </c>
      <c r="P13" s="314"/>
      <c r="Q13" s="315">
        <v>52</v>
      </c>
      <c r="R13" s="316"/>
      <c r="S13" s="317">
        <f t="shared" si="1"/>
        <v>1300</v>
      </c>
      <c r="T13" s="318"/>
      <c r="U13" s="319"/>
      <c r="V13" s="319"/>
      <c r="W13" s="320">
        <f ca="1">IFERROR(IF(D13="","",INDEX(Tabla_Completa,MATCH('Soli_citud '!D13,Materiales,0),7)*S13),"")</f>
        <v>15899</v>
      </c>
      <c r="X13" s="320"/>
      <c r="Y13" s="320"/>
    </row>
    <row r="14" spans="1:28" ht="17.25" customHeight="1">
      <c r="A14" s="307" t="s">
        <v>30</v>
      </c>
      <c r="B14" s="308"/>
      <c r="C14" s="309"/>
      <c r="D14" s="321" t="s">
        <v>32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cm</v>
      </c>
      <c r="P14" s="314"/>
      <c r="Q14" s="315">
        <v>22</v>
      </c>
      <c r="R14" s="316"/>
      <c r="S14" s="317">
        <f t="shared" si="1"/>
        <v>550</v>
      </c>
      <c r="T14" s="318"/>
      <c r="U14" s="319"/>
      <c r="V14" s="319"/>
      <c r="W14" s="320">
        <f ca="1">IFERROR(IF(D14="","",INDEX(Tabla_Completa,MATCH('Soli_citud '!D14,Materiales,0),7)*S14),"")</f>
        <v>5189.25</v>
      </c>
      <c r="X14" s="320"/>
      <c r="Y14" s="320"/>
    </row>
    <row r="15" spans="1:28" ht="15.75" customHeight="1">
      <c r="A15" s="307" t="s">
        <v>25</v>
      </c>
      <c r="B15" s="308"/>
      <c r="C15" s="309"/>
      <c r="D15" s="321" t="s">
        <v>33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U</v>
      </c>
      <c r="P15" s="314"/>
      <c r="Q15" s="315">
        <v>1</v>
      </c>
      <c r="R15" s="316"/>
      <c r="S15" s="317">
        <f t="shared" si="1"/>
        <v>25</v>
      </c>
      <c r="T15" s="318"/>
      <c r="U15" s="319"/>
      <c r="V15" s="319"/>
      <c r="W15" s="320">
        <f ca="1">IFERROR(IF(D15="","",INDEX(Tabla_Completa,MATCH('Soli_citud '!D15,Materiales,0),7)*S15),"")</f>
        <v>11391.65625</v>
      </c>
      <c r="X15" s="320"/>
      <c r="Y15" s="320"/>
    </row>
    <row r="16" spans="1:28" ht="15.75" customHeight="1">
      <c r="A16" s="307" t="s">
        <v>34</v>
      </c>
      <c r="B16" s="308"/>
      <c r="C16" s="309"/>
      <c r="D16" s="321" t="s">
        <v>35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cm2</v>
      </c>
      <c r="P16" s="314"/>
      <c r="Q16" s="315">
        <v>4580</v>
      </c>
      <c r="R16" s="316"/>
      <c r="S16" s="317">
        <f t="shared" si="1"/>
        <v>114500</v>
      </c>
      <c r="T16" s="318"/>
      <c r="U16" s="319"/>
      <c r="V16" s="319"/>
      <c r="W16" s="320">
        <f ca="1">IFERROR(IF(D16="","",INDEX(Tabla_Completa,MATCH('Soli_citud '!D16,Materiales,0),7)*S16),"")</f>
        <v>33515.78571428571</v>
      </c>
      <c r="X16" s="320"/>
      <c r="Y16" s="320"/>
    </row>
    <row r="17" spans="1:25" ht="15.75" customHeight="1">
      <c r="A17" s="307" t="s">
        <v>30</v>
      </c>
      <c r="B17" s="308"/>
      <c r="C17" s="309"/>
      <c r="D17" s="321" t="s">
        <v>36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Cono</v>
      </c>
      <c r="P17" s="314"/>
      <c r="Q17" s="315">
        <v>0.2</v>
      </c>
      <c r="R17" s="316"/>
      <c r="S17" s="317">
        <f t="shared" si="1"/>
        <v>5</v>
      </c>
      <c r="T17" s="318"/>
      <c r="U17" s="319" t="s">
        <v>37</v>
      </c>
      <c r="V17" s="319"/>
      <c r="W17" s="320">
        <f ca="1">IFERROR(IF(D17="","",INDEX(Tabla_Completa,MATCH('Soli_citud '!D17,Materiales,0),7)*S17),"")</f>
        <v>36333.333333333336</v>
      </c>
      <c r="X17" s="320"/>
      <c r="Y17" s="320"/>
    </row>
    <row r="18" spans="1:25" ht="15.75" customHeight="1">
      <c r="A18" s="307"/>
      <c r="B18" s="308"/>
      <c r="C18" s="309"/>
      <c r="D18" s="321"/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/>
      </c>
      <c r="P18" s="314"/>
      <c r="Q18" s="315">
        <v>100</v>
      </c>
      <c r="R18" s="316"/>
      <c r="S18" s="317">
        <f t="shared" si="1"/>
        <v>2500</v>
      </c>
      <c r="T18" s="318"/>
      <c r="U18" s="319" t="s">
        <v>38</v>
      </c>
      <c r="V18" s="319"/>
      <c r="W18" s="320" t="str">
        <f ca="1">IFERROR(IF(D18="","",INDEX(Tabla_Completa,MATCH('Soli_citud '!D18,Materiales,0),7)*S18),"")</f>
        <v/>
      </c>
      <c r="X18" s="320"/>
      <c r="Y18" s="320"/>
    </row>
    <row r="19" spans="1:25" ht="15.75">
      <c r="A19" s="307"/>
      <c r="B19" s="308"/>
      <c r="C19" s="309"/>
      <c r="D19" s="310" t="s">
        <v>39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>
        <v>1200</v>
      </c>
      <c r="R19" s="316"/>
      <c r="S19" s="317">
        <f t="shared" si="1"/>
        <v>30000</v>
      </c>
      <c r="T19" s="318"/>
      <c r="U19" s="319"/>
      <c r="V19" s="319"/>
      <c r="W19" s="320" t="str">
        <f ca="1">IFERROR(IF(D19="","",INDEX(Tabla_Completa,MATCH('Soli_citud '!D19,Materiales,0),7)*S19),"")</f>
        <v/>
      </c>
      <c r="X19" s="320"/>
      <c r="Y19" s="320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 ca="1">IFERROR(IF(D20="","",INDEX(Tabla_Completa,MATCH('Soli_citud '!D20,Materiales,0),7)*S20),"")</f>
        <v/>
      </c>
      <c r="X20" s="320"/>
      <c r="Y20" s="320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40</v>
      </c>
      <c r="B39" s="401"/>
      <c r="C39" s="401"/>
      <c r="D39" s="402" t="s">
        <v>41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42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43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44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45</v>
      </c>
      <c r="O44" s="391"/>
      <c r="P44" s="391"/>
      <c r="Q44" s="391"/>
      <c r="R44" s="397" t="s">
        <v>46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47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48</v>
      </c>
      <c r="O45" s="391"/>
      <c r="P45" s="391"/>
      <c r="Q45" s="391"/>
      <c r="R45" s="398" t="s">
        <v>49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50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51</v>
      </c>
      <c r="O46" s="391"/>
      <c r="P46" s="391"/>
      <c r="Q46" s="391"/>
      <c r="R46" s="390" t="s">
        <v>52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53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25</v>
      </c>
      <c r="O47" s="391"/>
      <c r="P47" s="391"/>
      <c r="Q47" s="391"/>
      <c r="R47" s="390" t="s">
        <v>54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55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56</v>
      </c>
      <c r="O48" s="391"/>
      <c r="P48" s="391"/>
      <c r="Q48" s="391"/>
      <c r="R48" s="390" t="s">
        <v>57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58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59</v>
      </c>
      <c r="O49" s="392"/>
      <c r="P49" s="392"/>
      <c r="Q49" s="392"/>
      <c r="R49" s="398" t="s">
        <v>60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61</v>
      </c>
      <c r="O50" s="391"/>
      <c r="P50" s="391"/>
      <c r="Q50" s="391"/>
      <c r="R50" s="390" t="s">
        <v>62</v>
      </c>
      <c r="S50" s="390"/>
      <c r="T50" s="390"/>
      <c r="U50" s="390"/>
      <c r="V50" s="390"/>
      <c r="W50" s="390"/>
      <c r="X50" s="390"/>
    </row>
    <row r="51" spans="1:24" ht="15.75">
      <c r="N51" s="391" t="s">
        <v>34</v>
      </c>
      <c r="O51" s="391"/>
      <c r="P51" s="391"/>
      <c r="Q51" s="391"/>
      <c r="R51" s="390" t="s">
        <v>63</v>
      </c>
      <c r="S51" s="390"/>
      <c r="T51" s="390"/>
      <c r="U51" s="390"/>
      <c r="V51" s="390"/>
      <c r="W51" s="390"/>
      <c r="X51" s="390"/>
    </row>
    <row r="52" spans="1:24" ht="15.75">
      <c r="N52" s="391" t="s">
        <v>64</v>
      </c>
      <c r="O52" s="391"/>
      <c r="P52" s="391"/>
      <c r="Q52" s="391"/>
      <c r="R52" s="390" t="s">
        <v>54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H17" sqref="H17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65</v>
      </c>
      <c r="E1" s="474"/>
      <c r="F1" s="474"/>
      <c r="G1" s="474"/>
      <c r="H1" s="474"/>
      <c r="I1" s="474"/>
      <c r="J1" s="479" t="s">
        <v>66</v>
      </c>
      <c r="K1" s="480"/>
      <c r="L1" s="480"/>
      <c r="M1" s="481"/>
      <c r="N1" s="475">
        <f>IF('Soli_citud '!O1="","",'Soli_citud '!O1)</f>
        <v>45460</v>
      </c>
      <c r="O1" s="476"/>
      <c r="P1" s="409" t="s">
        <v>67</v>
      </c>
      <c r="Q1" s="410"/>
      <c r="R1" s="405" t="str">
        <f>IF('Soli_citud '!D4="","",'Soli_citud '!D4)</f>
        <v>CAMPESENA</v>
      </c>
      <c r="S1" s="406"/>
      <c r="Z1" t="s">
        <v>68</v>
      </c>
      <c r="AA1" s="251" t="s">
        <v>68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69</v>
      </c>
      <c r="K2" s="457"/>
      <c r="L2" s="457"/>
      <c r="M2" s="458"/>
      <c r="N2" s="477" t="str">
        <f>'Soli_citud '!F1</f>
        <v>AP1706-1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70</v>
      </c>
      <c r="K3" s="478"/>
      <c r="L3" s="478"/>
      <c r="M3" s="478"/>
      <c r="N3" s="465">
        <f>IF('Soli_citud '!O3="","",'Soli_citud '!O3)</f>
        <v>3001173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71</v>
      </c>
      <c r="K4" s="470"/>
      <c r="L4" s="470"/>
      <c r="M4" s="471" t="str">
        <f>IF('Soli_citud '!O4="","",'Soli_citud '!O4)</f>
        <v/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72</v>
      </c>
      <c r="C6" s="451"/>
      <c r="D6" s="452"/>
      <c r="E6" s="467" t="s">
        <v>73</v>
      </c>
      <c r="F6" s="467"/>
      <c r="G6" s="467"/>
      <c r="H6" s="467"/>
      <c r="I6" s="468"/>
      <c r="J6" s="441" t="s">
        <v>74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8542.4672619047615</v>
      </c>
      <c r="C8" s="429"/>
      <c r="D8" s="430"/>
      <c r="E8" s="447" t="s">
        <v>75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76</v>
      </c>
      <c r="C9" s="432"/>
      <c r="D9" s="424"/>
      <c r="E9" s="423" t="s">
        <v>77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78</v>
      </c>
      <c r="K10" s="463"/>
      <c r="L10" s="464"/>
      <c r="M10" s="241">
        <f>'Soli_citud '!K5</f>
        <v>25</v>
      </c>
      <c r="N10" s="445" t="s">
        <v>79</v>
      </c>
      <c r="O10" s="446"/>
      <c r="P10" s="413"/>
      <c r="Q10" s="414"/>
      <c r="R10" s="242" t="s">
        <v>80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81</v>
      </c>
      <c r="B11" s="263" t="s">
        <v>82</v>
      </c>
      <c r="C11" s="425" t="s">
        <v>83</v>
      </c>
      <c r="D11" s="426"/>
      <c r="E11" s="426"/>
      <c r="F11" s="427"/>
      <c r="G11" s="112" t="s">
        <v>84</v>
      </c>
      <c r="H11" s="112" t="s">
        <v>85</v>
      </c>
      <c r="I11" s="236" t="s">
        <v>86</v>
      </c>
      <c r="J11" s="110" t="s">
        <v>87</v>
      </c>
      <c r="K11" s="222" t="s">
        <v>88</v>
      </c>
      <c r="L11" s="461" t="s">
        <v>23</v>
      </c>
      <c r="M11" s="462"/>
      <c r="N11" s="239" t="s">
        <v>89</v>
      </c>
      <c r="O11" s="239" t="s">
        <v>90</v>
      </c>
      <c r="P11" s="243" t="s">
        <v>91</v>
      </c>
      <c r="Q11" s="244" t="s">
        <v>92</v>
      </c>
      <c r="R11" s="235" t="s">
        <v>93</v>
      </c>
      <c r="S11" s="223" t="s">
        <v>94</v>
      </c>
    </row>
    <row r="12" spans="1:27" ht="19.5" customHeight="1">
      <c r="A12" s="78">
        <v>1</v>
      </c>
      <c r="B12" s="264" t="str">
        <f>IF(H12="","",$N$2)</f>
        <v>AP1706-1</v>
      </c>
      <c r="C12" s="422" t="str">
        <f>IFERROR(IF('Soli_citud '!D10="","",'Soli_citud '!D10),"")</f>
        <v xml:space="preserve">TRABILLA 1 1/2" NÍQUEL </v>
      </c>
      <c r="D12" s="422"/>
      <c r="E12" s="422"/>
      <c r="F12" s="422"/>
      <c r="G12" s="225" t="str">
        <f ca="1">IF('Soli_citud '!O10="","",'Soli_citud '!O10)</f>
        <v>U</v>
      </c>
      <c r="H12" s="225" cm="1">
        <f t="array" ref="H12">_xlfn.IFS('Soli_citud '!S10="","",'Soli_citud '!S10&lt;=0,"",'Soli_citud '!S10&gt;0,'Soli_citud '!S10)</f>
        <v>50</v>
      </c>
      <c r="I12" s="226">
        <v>45461</v>
      </c>
      <c r="J12" s="227">
        <v>50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AP1706-1</v>
      </c>
      <c r="C13" s="422" t="str">
        <f>IFERROR(IF('Soli_citud '!D11="","",'Soli_citud '!D11),"")</f>
        <v xml:space="preserve">CUADRANTE 1 1/2" NÍQUEL </v>
      </c>
      <c r="D13" s="422"/>
      <c r="E13" s="422"/>
      <c r="F13" s="422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50</v>
      </c>
      <c r="I13" s="226">
        <v>45461</v>
      </c>
      <c r="J13" s="228">
        <v>50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31.5" customHeight="1">
      <c r="A14" s="78"/>
      <c r="B14" s="264" t="str">
        <f t="shared" si="1"/>
        <v>AP1706-1</v>
      </c>
      <c r="C14" s="422" t="str">
        <f>IFERROR(IF('Soli_citud '!D12="","",'Soli_citud '!D12),"")</f>
        <v xml:space="preserve">LLAVE METÁLICA DESLIZADOR   #6 PARA CREMALLERA - NÍQUEL </v>
      </c>
      <c r="D14" s="422"/>
      <c r="E14" s="422"/>
      <c r="F14" s="422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25</v>
      </c>
      <c r="I14" s="226">
        <v>45461</v>
      </c>
      <c r="J14" s="228">
        <v>25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AP1706-1</v>
      </c>
      <c r="C15" s="422" t="str">
        <f>IFERROR(IF('Soli_citud '!D13="","",'Soli_citud '!D13),"")</f>
        <v>CREMALLERA POLIÉSTER #6</v>
      </c>
      <c r="D15" s="422"/>
      <c r="E15" s="422"/>
      <c r="F15" s="422"/>
      <c r="G15" s="225" t="str">
        <f ca="1">IF('Soli_citud '!O13="","",'Soli_citud '!O13)</f>
        <v>cm</v>
      </c>
      <c r="H15" s="225" cm="1">
        <f t="array" ref="H15">_xlfn.IFS('Soli_citud '!S13="","",'Soli_citud '!S13&lt;=0,"",'Soli_citud '!S13&gt;0,'Soli_citud '!S13)</f>
        <v>1300</v>
      </c>
      <c r="I15" s="226">
        <v>45463</v>
      </c>
      <c r="J15" s="228">
        <v>1300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AP1706-1</v>
      </c>
      <c r="C16" s="422" t="str">
        <f>IFERROR(IF('Soli_citud '!D14="","",'Soli_citud '!D14),"")</f>
        <v>CREMALLERA POLIÉSTER #3</v>
      </c>
      <c r="D16" s="422"/>
      <c r="E16" s="422"/>
      <c r="F16" s="422"/>
      <c r="G16" s="225" t="str">
        <f ca="1">IF('Soli_citud '!O14="","",'Soli_citud '!O14)</f>
        <v>cm</v>
      </c>
      <c r="H16" s="225" cm="1">
        <f t="array" ref="H16">_xlfn.IFS('Soli_citud '!S14="","",'Soli_citud '!S14&lt;=0,"",'Soli_citud '!S14&gt;0,'Soli_citud '!S14)</f>
        <v>550</v>
      </c>
      <c r="I16" s="226">
        <v>45463</v>
      </c>
      <c r="J16" s="228">
        <v>550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AP1706-1</v>
      </c>
      <c r="C17" s="422" t="str">
        <f>IFERROR(IF('Soli_citud '!D15="","",'Soli_citud '!D15),"")</f>
        <v xml:space="preserve">LLAVE METÁLICA DESLIZADOR   #3 PARA CREMALLERA - NÍQUEL </v>
      </c>
      <c r="D17" s="422"/>
      <c r="E17" s="422"/>
      <c r="F17" s="422"/>
      <c r="G17" s="225" t="str">
        <f ca="1">IF('Soli_citud '!O15="","",'Soli_citud '!O15)</f>
        <v>U</v>
      </c>
      <c r="H17" s="225" cm="1">
        <f t="array" ref="H17">_xlfn.IFS('Soli_citud '!S15="","",'Soli_citud '!S15&lt;=0,"",'Soli_citud '!S15&gt;0,'Soli_citud '!S15)</f>
        <v>25</v>
      </c>
      <c r="I17" s="226">
        <v>45461</v>
      </c>
      <c r="J17" s="228">
        <v>25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AP1706-1</v>
      </c>
      <c r="C18" s="422" t="str">
        <f>IFERROR(IF('Soli_citud '!D16="","",'Soli_citud '!D16),"")</f>
        <v>SEDA TAFETA  BRIONI 100% POLIESTER</v>
      </c>
      <c r="D18" s="422"/>
      <c r="E18" s="422"/>
      <c r="F18" s="422"/>
      <c r="G18" s="225" t="str">
        <f ca="1">IF('Soli_citud '!O16="","",'Soli_citud '!O16)</f>
        <v>cm2</v>
      </c>
      <c r="H18" s="225" cm="1">
        <f t="array" ref="H18">_xlfn.IFS('Soli_citud '!S16="","",'Soli_citud '!S16&lt;=0,"",'Soli_citud '!S16&gt;0,'Soli_citud '!S16)</f>
        <v>114500</v>
      </c>
      <c r="I18" s="226">
        <v>45463</v>
      </c>
      <c r="J18" s="228">
        <v>114500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>
        <v>140</v>
      </c>
      <c r="O18" s="208">
        <f t="shared" si="0"/>
        <v>817.85714285714289</v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AP1706-1</v>
      </c>
      <c r="C19" s="422" t="str">
        <f>IFERROR(IF('Soli_citud '!D17="","",'Soli_citud '!D17),"")</f>
        <v xml:space="preserve">HILO NYLON #20
</v>
      </c>
      <c r="D19" s="422"/>
      <c r="E19" s="422"/>
      <c r="F19" s="422"/>
      <c r="G19" s="225" t="str">
        <f ca="1">IF('Soli_citud '!O17="","",'Soli_citud '!O17)</f>
        <v>Cono</v>
      </c>
      <c r="H19" s="225" cm="1">
        <f t="array" ref="H19">_xlfn.IFS('Soli_citud '!S17="","",'Soli_citud '!S17&lt;=0,"",'Soli_citud '!S17&gt;0,'Soli_citud '!S17)</f>
        <v>5</v>
      </c>
      <c r="I19" s="226">
        <v>45463</v>
      </c>
      <c r="J19" s="228">
        <v>5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AP1706-1</v>
      </c>
      <c r="C20" s="422" t="str">
        <f>IFERROR(IF('Soli_citud '!D18="","",'Soli_citud '!D18),"")</f>
        <v/>
      </c>
      <c r="D20" s="422"/>
      <c r="E20" s="422"/>
      <c r="F20" s="422"/>
      <c r="G20" s="225" t="str">
        <f ca="1">IF('Soli_citud '!O18="","",'Soli_citud '!O18)</f>
        <v/>
      </c>
      <c r="H20" s="225" cm="1">
        <f t="array" ref="H20">_xlfn.IFS('Soli_citud '!S18="","",'Soli_citud '!S18&lt;=0,"",'Soli_citud '!S18&gt;0,'Soli_citud '!S18)</f>
        <v>2500</v>
      </c>
      <c r="I20" s="229"/>
      <c r="J20" s="228"/>
      <c r="K20" s="207" cm="1">
        <f t="array" ref="K20">IFERROR(_xlfn.IFS(H20="","",J20=H20,"Cumplido",J20&lt;H20,H20-J20,J20&gt;H20,"Revisar"),"")</f>
        <v>2500</v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AP1706-1</v>
      </c>
      <c r="C21" s="422" t="str">
        <f>IFERROR(IF('Soli_citud '!D19="","",'Soli_citud '!D19),"")</f>
        <v>FORRO BADANA SINTETICA</v>
      </c>
      <c r="D21" s="422"/>
      <c r="E21" s="422"/>
      <c r="F21" s="422"/>
      <c r="G21" s="225" t="str">
        <f ca="1">IF('Soli_citud '!O19="","",'Soli_citud '!O19)</f>
        <v/>
      </c>
      <c r="H21" s="225" cm="1">
        <f t="array" ref="H21">_xlfn.IFS('Soli_citud '!S19="","",'Soli_citud '!S19&lt;=0,"",'Soli_citud '!S19&gt;0,'Soli_citud '!S19)</f>
        <v>30000</v>
      </c>
      <c r="I21" s="226">
        <v>45463</v>
      </c>
      <c r="J21" s="228">
        <v>30000</v>
      </c>
      <c r="K21" s="207" t="str" cm="1">
        <f t="array" ref="K21">IFERROR(_xlfn.IFS(H21="","",J21=H21,"Cumplido",J21&lt;H21,H21-J21,J21&gt;H21,"Revisar"),"")</f>
        <v>Cumplido</v>
      </c>
      <c r="L21" s="459"/>
      <c r="M21" s="460"/>
      <c r="N21" s="227">
        <v>140</v>
      </c>
      <c r="O21" s="208">
        <f t="shared" si="0"/>
        <v>214.28571428571428</v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95</v>
      </c>
      <c r="F1" s="488"/>
      <c r="Z1" s="251" t="s">
        <v>68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96</v>
      </c>
      <c r="B6" s="303">
        <f>SUBTOTAL(3,(BD!$B$8:$B$20))</f>
        <v>13</v>
      </c>
      <c r="C6" s="484"/>
      <c r="D6" s="485"/>
      <c r="H6" s="482" t="s">
        <v>97</v>
      </c>
      <c r="I6" s="482"/>
    </row>
    <row r="7" spans="1:26" ht="47.25">
      <c r="A7" s="73" t="s">
        <v>81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45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45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45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45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45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45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45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117</v>
      </c>
      <c r="C15" s="140" t="s">
        <v>45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45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45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120</v>
      </c>
      <c r="C18" s="140" t="s">
        <v>45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45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4" t="s">
        <v>45</v>
      </c>
      <c r="D20" s="48" t="s">
        <v>109</v>
      </c>
      <c r="E20" s="43"/>
      <c r="F20" s="188" t="s">
        <v>109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81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124</v>
      </c>
      <c r="C34" s="218" t="s">
        <v>125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8" t="s">
        <v>125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8" t="s">
        <v>125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8" t="s">
        <v>125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8" t="s">
        <v>125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8" t="s">
        <v>125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8" t="s">
        <v>125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8" t="s">
        <v>125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8" t="s">
        <v>125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8" t="s">
        <v>125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8" t="s">
        <v>125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8" t="s">
        <v>125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8" t="s">
        <v>125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8" t="s">
        <v>125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8" t="s">
        <v>125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8" t="s">
        <v>125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8" t="s">
        <v>125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8" t="s">
        <v>125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8" t="s">
        <v>125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8" t="s">
        <v>125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8" t="s">
        <v>125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8" t="s">
        <v>125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8" t="s">
        <v>125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8" t="s">
        <v>125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8" t="s">
        <v>125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8" t="s">
        <v>125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8" t="s">
        <v>125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8" t="s">
        <v>125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8" t="s">
        <v>125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8" t="s">
        <v>125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8" t="s">
        <v>125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8" t="s">
        <v>125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8" t="s">
        <v>125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8" t="s">
        <v>125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8" t="s">
        <v>125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8" t="s">
        <v>125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8" t="s">
        <v>125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8" t="s">
        <v>125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8" t="s">
        <v>125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8" t="s">
        <v>125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8" t="s">
        <v>125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8" t="s">
        <v>125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8" t="s">
        <v>125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8" t="s">
        <v>125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8" t="s">
        <v>125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8" t="s">
        <v>125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8" t="s">
        <v>125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8" t="s">
        <v>125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8" t="s">
        <v>125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8" t="s">
        <v>125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8" t="s">
        <v>125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8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8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8" t="s">
        <v>125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8" t="s">
        <v>125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8" t="s">
        <v>125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8" t="s">
        <v>125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8" t="s">
        <v>125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8" t="s">
        <v>125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8" t="s">
        <v>125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8" t="s">
        <v>125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8" t="s">
        <v>125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8" t="s">
        <v>125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8" t="s">
        <v>125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8" t="s">
        <v>125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8" t="s">
        <v>125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8" t="s">
        <v>125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8" t="s">
        <v>125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8" t="s">
        <v>125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8" t="s">
        <v>125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8" t="s">
        <v>125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8" t="s">
        <v>125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8" t="s">
        <v>125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8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8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8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8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8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8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8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8" t="s">
        <v>125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8" t="s">
        <v>125</v>
      </c>
      <c r="D115" s="48" t="s">
        <v>209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8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8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8" t="s">
        <v>125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8" t="s">
        <v>125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8" t="s">
        <v>125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8" t="s">
        <v>125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8" t="s">
        <v>125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8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8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8" t="s">
        <v>125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8" t="s">
        <v>125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8" t="s">
        <v>125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8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8" t="s">
        <v>125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8" t="s">
        <v>125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8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8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8" t="s">
        <v>125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8" t="s">
        <v>125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8" t="s">
        <v>125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8" t="s">
        <v>125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8" t="s">
        <v>125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8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8" t="s">
        <v>125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8" t="s">
        <v>125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8" t="s">
        <v>125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81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239</v>
      </c>
      <c r="C162" s="218" t="s">
        <v>30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8" t="s">
        <v>30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8" t="s">
        <v>30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18" t="s">
        <v>30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8" t="s">
        <v>30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8" t="s">
        <v>30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8" t="s">
        <v>30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8" t="s">
        <v>30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8" t="s">
        <v>30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8" t="s">
        <v>30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8" t="s">
        <v>30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8" t="s">
        <v>30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8" t="s">
        <v>30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8" t="s">
        <v>30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8" t="s">
        <v>30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8" t="s">
        <v>30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8" t="s">
        <v>30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8" t="s">
        <v>30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8" t="s">
        <v>30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8" t="s">
        <v>30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8" t="s">
        <v>30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8" t="s">
        <v>30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8" t="s">
        <v>30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8" t="s">
        <v>30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8" t="s">
        <v>30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8" t="s">
        <v>30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8" t="s">
        <v>30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8" t="s">
        <v>30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8" t="s">
        <v>30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8" t="s">
        <v>30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8" t="s">
        <v>30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8" t="s">
        <v>30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8" t="s">
        <v>30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8" t="s">
        <v>30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8" t="s">
        <v>30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8" t="s">
        <v>30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8" t="s">
        <v>30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8" t="s">
        <v>30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8" t="s">
        <v>30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8" t="s">
        <v>30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8" t="s">
        <v>30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8" t="s">
        <v>30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8" t="s">
        <v>30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8" t="s">
        <v>30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8" t="s">
        <v>30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8" t="s">
        <v>30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8" t="s">
        <v>30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8" t="s">
        <v>30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8" t="s">
        <v>30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8" t="s">
        <v>30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8" t="s">
        <v>30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8" t="s">
        <v>30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8" t="s">
        <v>30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8" t="s">
        <v>30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8" t="s">
        <v>30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8" t="s">
        <v>30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8" t="s">
        <v>30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8" t="s">
        <v>30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8" t="s">
        <v>30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8" t="s">
        <v>30</v>
      </c>
      <c r="D221" s="48" t="s">
        <v>177</v>
      </c>
      <c r="E221" s="43">
        <v>475.34</v>
      </c>
      <c r="F221" s="299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8" t="s">
        <v>30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8" t="s">
        <v>30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8" t="s">
        <v>30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8" t="s">
        <v>30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8" t="s">
        <v>30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8" t="s">
        <v>30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8" t="s">
        <v>30</v>
      </c>
      <c r="D228" s="48" t="s">
        <v>244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32</v>
      </c>
      <c r="C229" s="218" t="s">
        <v>30</v>
      </c>
      <c r="D229" s="48" t="s">
        <v>244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311</v>
      </c>
      <c r="C230" s="218" t="s">
        <v>30</v>
      </c>
      <c r="D230" s="48" t="s">
        <v>244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</v>
      </c>
      <c r="C231" s="218" t="s">
        <v>30</v>
      </c>
      <c r="D231" s="48" t="s">
        <v>244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8" t="s">
        <v>30</v>
      </c>
      <c r="D232" s="49" t="s">
        <v>241</v>
      </c>
      <c r="E232" s="166">
        <v>16471.25</v>
      </c>
      <c r="F232" s="300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8" t="s">
        <v>30</v>
      </c>
      <c r="D233" s="49" t="s">
        <v>241</v>
      </c>
      <c r="E233" s="166">
        <v>32931.5</v>
      </c>
      <c r="F233" s="300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8" t="s">
        <v>30</v>
      </c>
      <c r="D234" s="49" t="s">
        <v>241</v>
      </c>
      <c r="E234" s="166">
        <v>16209.5</v>
      </c>
      <c r="F234" s="300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8" t="s">
        <v>30</v>
      </c>
      <c r="D235" s="49" t="s">
        <v>241</v>
      </c>
      <c r="E235" s="166">
        <v>32417</v>
      </c>
      <c r="F235" s="300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8" t="s">
        <v>30</v>
      </c>
      <c r="D236" s="49" t="s">
        <v>241</v>
      </c>
      <c r="E236" s="166">
        <v>50250</v>
      </c>
      <c r="F236" s="300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8" t="s">
        <v>30</v>
      </c>
      <c r="D237" s="49" t="s">
        <v>241</v>
      </c>
      <c r="E237" s="166">
        <v>25131.5</v>
      </c>
      <c r="F237" s="300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8" t="s">
        <v>30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8" t="s">
        <v>30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8" t="s">
        <v>30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8" t="s">
        <v>30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322</v>
      </c>
      <c r="C242" s="218" t="s">
        <v>30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323</v>
      </c>
      <c r="C243" s="218" t="s">
        <v>30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324</v>
      </c>
      <c r="C244" s="218" t="s">
        <v>30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325</v>
      </c>
      <c r="C245" s="218" t="s">
        <v>30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326</v>
      </c>
      <c r="C246" s="275" t="s">
        <v>30</v>
      </c>
      <c r="D246" s="48" t="s">
        <v>244</v>
      </c>
      <c r="E246" s="141">
        <v>7000</v>
      </c>
      <c r="F246" s="193" t="s">
        <v>327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328</v>
      </c>
      <c r="C247" s="275" t="s">
        <v>30</v>
      </c>
      <c r="D247" s="48" t="s">
        <v>243</v>
      </c>
      <c r="E247" s="141">
        <v>12000</v>
      </c>
      <c r="F247" s="193" t="s">
        <v>327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36</v>
      </c>
      <c r="C248" s="275" t="s">
        <v>30</v>
      </c>
      <c r="D248" s="48" t="s">
        <v>114</v>
      </c>
      <c r="E248" s="141">
        <v>7266.666666666667</v>
      </c>
      <c r="F248" s="193" t="s">
        <v>327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5" t="s">
        <v>30</v>
      </c>
      <c r="D249" s="48" t="s">
        <v>114</v>
      </c>
      <c r="E249" s="141">
        <v>7266.666666666667</v>
      </c>
      <c r="F249" s="193" t="s">
        <v>327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5" t="s">
        <v>30</v>
      </c>
      <c r="D250" s="276" t="s">
        <v>114</v>
      </c>
      <c r="E250" s="141">
        <v>7266.665</v>
      </c>
      <c r="F250" s="277" t="s">
        <v>327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5" t="s">
        <v>30</v>
      </c>
      <c r="D251" s="276" t="s">
        <v>243</v>
      </c>
      <c r="E251" s="141">
        <v>5000</v>
      </c>
      <c r="F251" s="277" t="s">
        <v>327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5" t="s">
        <v>30</v>
      </c>
      <c r="D252" s="276" t="s">
        <v>244</v>
      </c>
      <c r="E252" s="302">
        <v>7183</v>
      </c>
      <c r="F252" s="277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5" t="s">
        <v>30</v>
      </c>
      <c r="D253" s="276" t="s">
        <v>244</v>
      </c>
      <c r="E253" s="302">
        <v>10597</v>
      </c>
      <c r="F253" s="277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5" t="s">
        <v>30</v>
      </c>
      <c r="D254" s="276" t="s">
        <v>114</v>
      </c>
      <c r="E254" s="141">
        <v>2866.6666666666665</v>
      </c>
      <c r="F254" s="277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5" t="s">
        <v>30</v>
      </c>
      <c r="D255" s="276" t="s">
        <v>114</v>
      </c>
      <c r="E255" s="141">
        <v>2866.6666666666665</v>
      </c>
      <c r="F255" s="277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5" t="s">
        <v>30</v>
      </c>
      <c r="D256" s="276" t="s">
        <v>247</v>
      </c>
      <c r="E256" s="141"/>
      <c r="F256" s="277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5" t="s">
        <v>30</v>
      </c>
      <c r="D257" s="276" t="s">
        <v>241</v>
      </c>
      <c r="E257" s="141">
        <v>8000</v>
      </c>
      <c r="F257" s="277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5" t="s">
        <v>30</v>
      </c>
      <c r="D258" s="276" t="s">
        <v>241</v>
      </c>
      <c r="E258" s="141">
        <v>10000</v>
      </c>
      <c r="F258" s="277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5" t="s">
        <v>30</v>
      </c>
      <c r="D259" s="276" t="s">
        <v>241</v>
      </c>
      <c r="E259" s="141">
        <v>10000</v>
      </c>
      <c r="F259" s="277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5" t="s">
        <v>30</v>
      </c>
      <c r="D260" s="276" t="s">
        <v>247</v>
      </c>
      <c r="E260" s="141"/>
      <c r="F260" s="277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5" t="s">
        <v>30</v>
      </c>
      <c r="D261" s="276" t="s">
        <v>209</v>
      </c>
      <c r="E261" s="141">
        <v>636792</v>
      </c>
      <c r="F261" s="277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5" t="s">
        <v>30</v>
      </c>
      <c r="D262" s="276" t="s">
        <v>310</v>
      </c>
      <c r="E262" s="141">
        <v>28.18</v>
      </c>
      <c r="F262" s="277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5" t="s">
        <v>30</v>
      </c>
      <c r="D263" s="276" t="s">
        <v>310</v>
      </c>
      <c r="E263" s="141">
        <v>2700</v>
      </c>
      <c r="F263" s="277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5" t="s">
        <v>30</v>
      </c>
      <c r="D264" s="276" t="s">
        <v>310</v>
      </c>
      <c r="E264" s="141">
        <v>18.53</v>
      </c>
      <c r="F264" s="277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5" t="s">
        <v>30</v>
      </c>
      <c r="D265" s="276" t="s">
        <v>244</v>
      </c>
      <c r="E265" s="141">
        <v>1800</v>
      </c>
      <c r="F265" s="277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5" t="s">
        <v>30</v>
      </c>
      <c r="D266" s="276" t="s">
        <v>244</v>
      </c>
      <c r="E266" s="141">
        <v>1057</v>
      </c>
      <c r="F266" s="277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347</v>
      </c>
      <c r="C267" s="275" t="s">
        <v>30</v>
      </c>
      <c r="D267" s="276" t="s">
        <v>310</v>
      </c>
      <c r="E267" s="141">
        <v>18.53</v>
      </c>
      <c r="F267" s="277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348</v>
      </c>
      <c r="C268" s="275" t="s">
        <v>30</v>
      </c>
      <c r="D268" s="276" t="s">
        <v>310</v>
      </c>
      <c r="E268" s="141">
        <v>22.8</v>
      </c>
      <c r="F268" s="277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349</v>
      </c>
      <c r="C269" s="275" t="s">
        <v>30</v>
      </c>
      <c r="D269" s="276" t="s">
        <v>310</v>
      </c>
      <c r="E269" s="141">
        <v>22.8</v>
      </c>
      <c r="F269" s="277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350</v>
      </c>
      <c r="C270" s="275" t="s">
        <v>30</v>
      </c>
      <c r="D270" s="276" t="s">
        <v>310</v>
      </c>
      <c r="E270" s="141">
        <v>14.73</v>
      </c>
      <c r="F270" s="277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351</v>
      </c>
      <c r="C271" s="275" t="s">
        <v>30</v>
      </c>
      <c r="D271" s="276" t="s">
        <v>310</v>
      </c>
      <c r="E271" s="141">
        <v>14.73</v>
      </c>
      <c r="F271" s="277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5" t="s">
        <v>30</v>
      </c>
      <c r="D272" s="276" t="s">
        <v>244</v>
      </c>
      <c r="E272" s="141">
        <v>819.99999999999989</v>
      </c>
      <c r="F272" s="277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5" t="s">
        <v>30</v>
      </c>
      <c r="D273" s="276" t="s">
        <v>244</v>
      </c>
      <c r="E273" s="141">
        <v>1170</v>
      </c>
      <c r="F273" s="277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5" t="s">
        <v>30</v>
      </c>
      <c r="D274" s="276" t="s">
        <v>244</v>
      </c>
      <c r="E274" s="141">
        <v>8000</v>
      </c>
      <c r="F274" s="277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5" t="s">
        <v>30</v>
      </c>
      <c r="D275" s="276" t="s">
        <v>244</v>
      </c>
      <c r="E275" s="141">
        <v>11000</v>
      </c>
      <c r="F275" s="277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5" t="s">
        <v>30</v>
      </c>
      <c r="D276" s="276" t="s">
        <v>244</v>
      </c>
      <c r="E276" s="141">
        <v>10858</v>
      </c>
      <c r="F276" s="277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5" t="s">
        <v>30</v>
      </c>
      <c r="D277" s="276" t="s">
        <v>244</v>
      </c>
      <c r="E277" s="141">
        <v>13999.16</v>
      </c>
      <c r="F277" s="277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5" t="s">
        <v>30</v>
      </c>
      <c r="D278" s="276" t="s">
        <v>241</v>
      </c>
      <c r="E278" s="141"/>
      <c r="F278" s="277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5" t="s">
        <v>30</v>
      </c>
      <c r="D279" s="276" t="s">
        <v>247</v>
      </c>
      <c r="E279" s="141"/>
      <c r="F279" s="277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5" t="s">
        <v>30</v>
      </c>
      <c r="D280" s="276" t="s">
        <v>247</v>
      </c>
      <c r="E280" s="141"/>
      <c r="F280" s="277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5" t="s">
        <v>30</v>
      </c>
      <c r="D281" s="276" t="s">
        <v>362</v>
      </c>
      <c r="E281" s="141"/>
      <c r="F281" s="276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5" t="s">
        <v>30</v>
      </c>
      <c r="D282" s="276" t="s">
        <v>219</v>
      </c>
      <c r="E282" s="141">
        <v>4776.666666666667</v>
      </c>
      <c r="F282" s="277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5" t="s">
        <v>30</v>
      </c>
      <c r="D283" s="276" t="s">
        <v>244</v>
      </c>
      <c r="E283" s="141">
        <v>1035.3</v>
      </c>
      <c r="F283" s="277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5" t="s">
        <v>30</v>
      </c>
      <c r="D284" s="276" t="s">
        <v>243</v>
      </c>
      <c r="E284" s="141">
        <v>700</v>
      </c>
      <c r="F284" s="277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5" t="s">
        <v>30</v>
      </c>
      <c r="D285" s="276" t="s">
        <v>243</v>
      </c>
      <c r="E285" s="141">
        <v>1100</v>
      </c>
      <c r="F285" s="277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5" t="s">
        <v>30</v>
      </c>
      <c r="D286" s="276" t="s">
        <v>310</v>
      </c>
      <c r="E286" s="141">
        <v>1000</v>
      </c>
      <c r="F286" s="277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5" t="s">
        <v>30</v>
      </c>
      <c r="D287" s="276" t="s">
        <v>244</v>
      </c>
      <c r="E287" s="141">
        <v>700</v>
      </c>
      <c r="F287" s="277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5" t="s">
        <v>30</v>
      </c>
      <c r="D288" s="48" t="s">
        <v>244</v>
      </c>
      <c r="E288" s="166">
        <v>84</v>
      </c>
      <c r="F288" s="277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5" t="s">
        <v>30</v>
      </c>
      <c r="D289" s="276" t="s">
        <v>244</v>
      </c>
      <c r="E289" s="166">
        <v>10780</v>
      </c>
      <c r="F289" s="277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81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371</v>
      </c>
      <c r="C516" s="218" t="s">
        <v>51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8" t="s">
        <v>51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8" t="s">
        <v>51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8" t="s">
        <v>51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8" t="s">
        <v>51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8" t="s">
        <v>51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8" t="s">
        <v>51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8" t="s">
        <v>51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8" t="s">
        <v>51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8" t="s">
        <v>51</v>
      </c>
      <c r="D525" s="214" t="s">
        <v>372</v>
      </c>
      <c r="E525" s="216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8" t="s">
        <v>51</v>
      </c>
      <c r="D526" s="48" t="s">
        <v>372</v>
      </c>
      <c r="E526" s="215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8" t="s">
        <v>51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8" t="s">
        <v>51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8" t="s">
        <v>51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8" t="s">
        <v>51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8" t="s">
        <v>51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8" t="s">
        <v>51</v>
      </c>
      <c r="D532" s="213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8" t="s">
        <v>51</v>
      </c>
      <c r="D533" s="213" t="s">
        <v>372</v>
      </c>
      <c r="E533" s="217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8" t="s">
        <v>51</v>
      </c>
      <c r="D534" s="213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8" t="s">
        <v>51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8" t="s">
        <v>51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8" t="s">
        <v>51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8" t="s">
        <v>51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96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81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1" t="s">
        <v>395</v>
      </c>
      <c r="C562" s="218" t="s">
        <v>25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396</v>
      </c>
      <c r="C563" s="218" t="s">
        <v>25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397</v>
      </c>
      <c r="C564" s="218" t="s">
        <v>25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398</v>
      </c>
      <c r="C565" s="218" t="s">
        <v>25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399</v>
      </c>
      <c r="C566" s="218" t="s">
        <v>25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400</v>
      </c>
      <c r="C567" s="218" t="s">
        <v>25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401</v>
      </c>
      <c r="C568" s="218" t="s">
        <v>25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402</v>
      </c>
      <c r="C569" s="218" t="s">
        <v>25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8" t="s">
        <v>25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8" t="s">
        <v>25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8" t="s">
        <v>25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8" t="s">
        <v>25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8" t="s">
        <v>25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8" t="s">
        <v>25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8" t="s">
        <v>25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8" t="s">
        <v>25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8" t="s">
        <v>25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8" t="s">
        <v>25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8" t="s">
        <v>25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8" t="s">
        <v>25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8" t="s">
        <v>25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8" t="s">
        <v>25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8" t="s">
        <v>25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8" t="s">
        <v>25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8" t="s">
        <v>25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8" t="s">
        <v>25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8" t="s">
        <v>25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8" t="s">
        <v>25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8" t="s">
        <v>25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8" t="s">
        <v>25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8" t="s">
        <v>25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8" t="s">
        <v>25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8" t="s">
        <v>25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8" t="s">
        <v>25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8" t="s">
        <v>25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8" t="s">
        <v>25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8" t="s">
        <v>25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8" t="s">
        <v>25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8" t="s">
        <v>25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8" t="s">
        <v>25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8" t="s">
        <v>25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8" t="s">
        <v>25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8" t="s">
        <v>25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8" t="s">
        <v>25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8" t="s">
        <v>25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8" t="s">
        <v>25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8" t="s">
        <v>25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8" t="s">
        <v>25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8" t="s">
        <v>25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8" t="s">
        <v>25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8" t="s">
        <v>25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8" t="s">
        <v>25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8" t="s">
        <v>25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8" t="s">
        <v>25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8" t="s">
        <v>25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8" t="s">
        <v>25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8" t="s">
        <v>25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8" t="s">
        <v>25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8" t="s">
        <v>25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8" t="s">
        <v>25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8" t="s">
        <v>25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8" t="s">
        <v>25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8" t="s">
        <v>25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8" t="s">
        <v>25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18" t="s">
        <v>25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8" t="s">
        <v>25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8" t="s">
        <v>25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8" t="s">
        <v>25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8" t="s">
        <v>25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8" t="s">
        <v>25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8" t="s">
        <v>25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466</v>
      </c>
      <c r="C633" s="218" t="s">
        <v>25</v>
      </c>
      <c r="D633" s="48" t="s">
        <v>114</v>
      </c>
      <c r="E633" s="55">
        <v>32000</v>
      </c>
      <c r="F633" s="194" t="s">
        <v>114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8" t="s">
        <v>25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8" t="s">
        <v>25</v>
      </c>
      <c r="D635" s="48" t="s">
        <v>114</v>
      </c>
      <c r="E635" s="55">
        <v>1000</v>
      </c>
      <c r="F635" s="194" t="s">
        <v>114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8" t="s">
        <v>25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8" t="s">
        <v>25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8" t="s">
        <v>25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8" t="s">
        <v>25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8" t="s">
        <v>25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8" t="s">
        <v>25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8" t="s">
        <v>25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8" t="s">
        <v>25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8" t="s">
        <v>25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8" t="s">
        <v>25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8" t="s">
        <v>25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480</v>
      </c>
      <c r="C647" s="218" t="s">
        <v>25</v>
      </c>
      <c r="D647" s="48" t="s">
        <v>114</v>
      </c>
      <c r="E647" s="55">
        <v>6957.9299999999994</v>
      </c>
      <c r="F647" s="194" t="s">
        <v>114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8" t="s">
        <v>25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482</v>
      </c>
      <c r="C649" s="218" t="s">
        <v>25</v>
      </c>
      <c r="D649" s="48" t="s">
        <v>114</v>
      </c>
      <c r="E649" s="43">
        <v>3700</v>
      </c>
      <c r="F649" s="188" t="s">
        <v>114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8" t="s">
        <v>25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8" t="s">
        <v>25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8" t="s">
        <v>25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8" t="s">
        <v>25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8" t="s">
        <v>25</v>
      </c>
      <c r="D654" s="48" t="s">
        <v>114</v>
      </c>
      <c r="E654" s="55">
        <v>1200</v>
      </c>
      <c r="F654" s="194" t="s">
        <v>114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8" t="s">
        <v>25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8" t="s">
        <v>25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8" t="s">
        <v>25</v>
      </c>
      <c r="D657" s="48" t="s">
        <v>114</v>
      </c>
      <c r="E657" s="55">
        <v>873.94</v>
      </c>
      <c r="F657" s="194" t="s">
        <v>114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8" t="s">
        <v>25</v>
      </c>
      <c r="D658" s="48" t="s">
        <v>114</v>
      </c>
      <c r="E658" s="55">
        <v>1173.3399999999999</v>
      </c>
      <c r="F658" s="194" t="s">
        <v>114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8" t="s">
        <v>25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28</v>
      </c>
      <c r="C660" s="218" t="s">
        <v>25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8" t="s">
        <v>25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8" t="s">
        <v>25</v>
      </c>
      <c r="D662" s="48" t="s">
        <v>114</v>
      </c>
      <c r="E662" s="55">
        <v>998.41</v>
      </c>
      <c r="F662" s="194" t="s">
        <v>114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8" t="s">
        <v>25</v>
      </c>
      <c r="D663" s="48" t="s">
        <v>114</v>
      </c>
      <c r="E663" s="55">
        <v>1173.3399999999999</v>
      </c>
      <c r="F663" s="194" t="s">
        <v>114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496</v>
      </c>
      <c r="C664" s="218" t="s">
        <v>25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8" t="s">
        <v>25</v>
      </c>
      <c r="D665" s="48" t="s">
        <v>114</v>
      </c>
      <c r="E665" s="55">
        <v>998.41</v>
      </c>
      <c r="F665" s="194" t="s">
        <v>114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8" t="s">
        <v>25</v>
      </c>
      <c r="D666" s="48" t="s">
        <v>114</v>
      </c>
      <c r="E666" s="55">
        <v>1173.3399999999999</v>
      </c>
      <c r="F666" s="194" t="s">
        <v>114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499</v>
      </c>
      <c r="C667" s="218" t="s">
        <v>25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500</v>
      </c>
      <c r="C668" s="218" t="s">
        <v>25</v>
      </c>
      <c r="D668" s="48" t="s">
        <v>114</v>
      </c>
      <c r="E668" s="55">
        <v>998.41</v>
      </c>
      <c r="F668" s="194" t="s">
        <v>114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501</v>
      </c>
      <c r="C669" s="218" t="s">
        <v>25</v>
      </c>
      <c r="D669" s="48" t="s">
        <v>114</v>
      </c>
      <c r="E669" s="55">
        <v>1018.64</v>
      </c>
      <c r="F669" s="194" t="s">
        <v>114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502</v>
      </c>
      <c r="C670" s="218" t="s">
        <v>25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503</v>
      </c>
      <c r="C671" s="218" t="s">
        <v>25</v>
      </c>
      <c r="D671" s="48" t="s">
        <v>114</v>
      </c>
      <c r="E671" s="55">
        <v>1173.3399999999999</v>
      </c>
      <c r="F671" s="194" t="s">
        <v>114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504</v>
      </c>
      <c r="C672" s="218" t="s">
        <v>25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505</v>
      </c>
      <c r="C673" s="218" t="s">
        <v>25</v>
      </c>
      <c r="D673" s="48" t="s">
        <v>114</v>
      </c>
      <c r="E673" s="55">
        <v>1018.64</v>
      </c>
      <c r="F673" s="194" t="s">
        <v>114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506</v>
      </c>
      <c r="C674" s="218" t="s">
        <v>25</v>
      </c>
      <c r="D674" s="48" t="s">
        <v>114</v>
      </c>
      <c r="E674" s="55">
        <v>2746.52</v>
      </c>
      <c r="F674" s="194" t="s">
        <v>114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507</v>
      </c>
      <c r="C675" s="218" t="s">
        <v>25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18" t="s">
        <v>25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18" t="s">
        <v>25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18" t="s">
        <v>25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18" t="s">
        <v>25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18" t="s">
        <v>25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18" t="s">
        <v>25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18" t="s">
        <v>25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515</v>
      </c>
      <c r="C683" s="218" t="s">
        <v>25</v>
      </c>
      <c r="D683" s="48" t="s">
        <v>114</v>
      </c>
      <c r="E683" s="55">
        <v>1173.3399999999999</v>
      </c>
      <c r="F683" s="194" t="s">
        <v>114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18" t="s">
        <v>25</v>
      </c>
      <c r="D684" s="48" t="s">
        <v>114</v>
      </c>
      <c r="E684" s="55">
        <v>2563</v>
      </c>
      <c r="F684" s="188" t="s">
        <v>114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18" t="s">
        <v>25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18" t="s">
        <v>25</v>
      </c>
      <c r="D686" s="48" t="s">
        <v>114</v>
      </c>
      <c r="E686" s="43">
        <v>2364.5299999999997</v>
      </c>
      <c r="F686" s="188" t="s">
        <v>114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18" t="s">
        <v>25</v>
      </c>
      <c r="D687" s="48" t="s">
        <v>114</v>
      </c>
      <c r="E687" s="43">
        <v>2563</v>
      </c>
      <c r="F687" s="188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18" t="s">
        <v>25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521</v>
      </c>
      <c r="C689" s="218" t="s">
        <v>25</v>
      </c>
      <c r="D689" s="48" t="s">
        <v>114</v>
      </c>
      <c r="E689" s="55">
        <v>2563</v>
      </c>
      <c r="F689" s="194" t="s">
        <v>114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522</v>
      </c>
      <c r="C690" s="218" t="s">
        <v>25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523</v>
      </c>
      <c r="C691" s="218" t="s">
        <v>25</v>
      </c>
      <c r="D691" s="48" t="s">
        <v>114</v>
      </c>
      <c r="E691" s="43">
        <v>2440.69</v>
      </c>
      <c r="F691" s="188" t="s">
        <v>114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524</v>
      </c>
      <c r="C692" s="218" t="s">
        <v>25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525</v>
      </c>
      <c r="C693" s="218" t="s">
        <v>25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526</v>
      </c>
      <c r="C694" s="218" t="s">
        <v>25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527</v>
      </c>
      <c r="C695" s="218" t="s">
        <v>25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528</v>
      </c>
      <c r="C696" s="218" t="s">
        <v>25</v>
      </c>
      <c r="D696" s="48" t="s">
        <v>114</v>
      </c>
      <c r="E696" s="55">
        <v>873.94</v>
      </c>
      <c r="F696" s="194" t="s">
        <v>114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529</v>
      </c>
      <c r="C697" s="218" t="s">
        <v>25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530</v>
      </c>
      <c r="C698" s="218" t="s">
        <v>25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531</v>
      </c>
      <c r="C699" s="218" t="s">
        <v>25</v>
      </c>
      <c r="D699" s="48" t="s">
        <v>114</v>
      </c>
      <c r="E699" s="55">
        <v>1547</v>
      </c>
      <c r="F699" s="194" t="s">
        <v>114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532</v>
      </c>
      <c r="C700" s="218" t="s">
        <v>25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533</v>
      </c>
      <c r="C701" s="218" t="s">
        <v>25</v>
      </c>
      <c r="D701" s="48" t="s">
        <v>114</v>
      </c>
      <c r="E701" s="55">
        <v>1850</v>
      </c>
      <c r="F701" s="194" t="s">
        <v>114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8" t="s">
        <v>25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8" t="s">
        <v>25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8" t="s">
        <v>25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8" t="s">
        <v>25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8" t="s">
        <v>25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8" t="s">
        <v>25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8" t="s">
        <v>25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8" t="s">
        <v>25</v>
      </c>
      <c r="D709" s="48" t="s">
        <v>114</v>
      </c>
      <c r="E709" s="55">
        <v>4799.2700000000004</v>
      </c>
      <c r="F709" s="194" t="s">
        <v>114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8" t="s">
        <v>25</v>
      </c>
      <c r="D710" s="48" t="s">
        <v>114</v>
      </c>
      <c r="E710" s="55">
        <v>1000</v>
      </c>
      <c r="F710" s="194" t="s">
        <v>114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8" t="s">
        <v>25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8" t="s">
        <v>25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8" t="s">
        <v>25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8" t="s">
        <v>25</v>
      </c>
      <c r="D714" s="48" t="s">
        <v>114</v>
      </c>
      <c r="E714" s="55">
        <v>8973.7900000000009</v>
      </c>
      <c r="F714" s="194" t="s">
        <v>114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8" t="s">
        <v>25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8" t="s">
        <v>25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8" t="s">
        <v>25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8" t="s">
        <v>25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8" t="s">
        <v>25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8" t="s">
        <v>25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8" t="s">
        <v>25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8" t="s">
        <v>25</v>
      </c>
      <c r="D722" s="48" t="s">
        <v>114</v>
      </c>
      <c r="E722" s="55">
        <v>3844.89</v>
      </c>
      <c r="F722" s="194" t="s">
        <v>114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8" t="s">
        <v>25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8" t="s">
        <v>25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8" t="s">
        <v>25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8" t="s">
        <v>25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8" t="s">
        <v>25</v>
      </c>
      <c r="D727" s="48" t="s">
        <v>114</v>
      </c>
      <c r="E727" s="55">
        <v>1661.24</v>
      </c>
      <c r="F727" s="194" t="s">
        <v>114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8" t="s">
        <v>25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8" t="s">
        <v>25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8" t="s">
        <v>25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8" t="s">
        <v>25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8" t="s">
        <v>25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8" t="s">
        <v>25</v>
      </c>
      <c r="D733" s="48" t="s">
        <v>114</v>
      </c>
      <c r="E733" s="55">
        <v>690.75</v>
      </c>
      <c r="F733" s="194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8" t="s">
        <v>25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8" t="s">
        <v>25</v>
      </c>
      <c r="D735" s="48" t="s">
        <v>114</v>
      </c>
      <c r="E735" s="43">
        <v>690.75</v>
      </c>
      <c r="F735" s="188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8" t="s">
        <v>25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8" t="s">
        <v>25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8" t="s">
        <v>25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8" t="s">
        <v>25</v>
      </c>
      <c r="D739" s="48" t="s">
        <v>114</v>
      </c>
      <c r="E739" s="55">
        <v>690.75</v>
      </c>
      <c r="F739" s="194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8" t="s">
        <v>25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8" t="s">
        <v>25</v>
      </c>
      <c r="D741" s="48" t="s">
        <v>114</v>
      </c>
      <c r="E741" s="43">
        <v>690.75</v>
      </c>
      <c r="F741" s="188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8" t="s">
        <v>25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8" t="s">
        <v>25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8" t="s">
        <v>25</v>
      </c>
      <c r="D744" s="48" t="s">
        <v>114</v>
      </c>
      <c r="E744" s="55">
        <v>690.75</v>
      </c>
      <c r="F744" s="194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8" t="s">
        <v>25</v>
      </c>
      <c r="D745" s="48" t="s">
        <v>114</v>
      </c>
      <c r="E745" s="43">
        <v>690.75</v>
      </c>
      <c r="F745" s="188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8" t="s">
        <v>25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8" t="s">
        <v>25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8" t="s">
        <v>25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8" t="s">
        <v>25</v>
      </c>
      <c r="D749" s="48" t="s">
        <v>114</v>
      </c>
      <c r="E749" s="55">
        <v>690.75</v>
      </c>
      <c r="F749" s="194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8" t="s">
        <v>25</v>
      </c>
      <c r="D750" s="48" t="s">
        <v>114</v>
      </c>
      <c r="E750" s="43">
        <v>690.75</v>
      </c>
      <c r="F750" s="188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8" t="s">
        <v>25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8" t="s">
        <v>25</v>
      </c>
      <c r="D752" s="48" t="s">
        <v>114</v>
      </c>
      <c r="E752" s="55">
        <v>690.75</v>
      </c>
      <c r="F752" s="194" t="s">
        <v>114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8" t="s">
        <v>25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8" t="s">
        <v>25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8" t="s">
        <v>25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8" t="s">
        <v>25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8" t="s">
        <v>25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8" t="s">
        <v>25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8" t="s">
        <v>25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8" t="s">
        <v>25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8" t="s">
        <v>25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8" t="s">
        <v>25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8" t="s">
        <v>25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8" t="s">
        <v>25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597</v>
      </c>
      <c r="C765" s="218" t="s">
        <v>25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8" t="s">
        <v>25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8" t="s">
        <v>25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8" t="s">
        <v>25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8" t="s">
        <v>25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8" t="s">
        <v>25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8" t="s">
        <v>25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8" t="s">
        <v>25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8" t="s">
        <v>25</v>
      </c>
      <c r="D773" s="48" t="s">
        <v>114</v>
      </c>
      <c r="E773" s="55">
        <v>3850</v>
      </c>
      <c r="F773" s="194" t="s">
        <v>114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8" t="s">
        <v>25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8" t="s">
        <v>25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8" t="s">
        <v>25</v>
      </c>
      <c r="D776" s="48" t="s">
        <v>114</v>
      </c>
      <c r="E776" s="55">
        <v>8973.7900000000009</v>
      </c>
      <c r="F776" s="194" t="s">
        <v>114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8" t="s">
        <v>25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8" t="s">
        <v>25</v>
      </c>
      <c r="D778" s="48" t="s">
        <v>114</v>
      </c>
      <c r="E778" s="55">
        <v>1661.24</v>
      </c>
      <c r="F778" s="194" t="s">
        <v>114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611</v>
      </c>
      <c r="C779" s="218" t="s">
        <v>25</v>
      </c>
      <c r="D779" s="48" t="s">
        <v>114</v>
      </c>
      <c r="E779" s="55">
        <v>690.75</v>
      </c>
      <c r="F779" s="194" t="s">
        <v>114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8" t="s">
        <v>25</v>
      </c>
      <c r="D780" s="48" t="s">
        <v>114</v>
      </c>
      <c r="E780" s="56">
        <v>1505.04</v>
      </c>
      <c r="F780" s="188" t="s">
        <v>114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8" t="s">
        <v>25</v>
      </c>
      <c r="D781" s="48" t="s">
        <v>114</v>
      </c>
      <c r="E781" s="56">
        <v>3628.57</v>
      </c>
      <c r="F781" s="188" t="s">
        <v>114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614</v>
      </c>
      <c r="C782" s="218" t="s">
        <v>25</v>
      </c>
      <c r="D782" s="48" t="s">
        <v>114</v>
      </c>
      <c r="E782" s="56">
        <v>1505.04</v>
      </c>
      <c r="F782" s="188" t="s">
        <v>114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8" t="s">
        <v>25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8" t="s">
        <v>25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8" t="s">
        <v>25</v>
      </c>
      <c r="D785" s="48" t="s">
        <v>114</v>
      </c>
      <c r="E785" s="55">
        <v>2898.84</v>
      </c>
      <c r="F785" s="194" t="s">
        <v>114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8" t="s">
        <v>25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8" t="s">
        <v>25</v>
      </c>
      <c r="D787" s="48" t="s">
        <v>114</v>
      </c>
      <c r="E787" s="55">
        <v>833</v>
      </c>
      <c r="F787" s="194" t="s">
        <v>114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620</v>
      </c>
      <c r="C788" s="218" t="s">
        <v>25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621</v>
      </c>
      <c r="C789" s="218" t="s">
        <v>25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622</v>
      </c>
      <c r="C790" s="218" t="s">
        <v>25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623</v>
      </c>
      <c r="C791" s="218" t="s">
        <v>25</v>
      </c>
      <c r="D791" s="48" t="s">
        <v>114</v>
      </c>
      <c r="E791" s="55">
        <v>1266.6666666666667</v>
      </c>
      <c r="F791" s="194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624</v>
      </c>
      <c r="C792" s="218" t="s">
        <v>25</v>
      </c>
      <c r="D792" s="48" t="s">
        <v>114</v>
      </c>
      <c r="E792" s="43">
        <v>1266.6666666666667</v>
      </c>
      <c r="F792" s="188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625</v>
      </c>
      <c r="C793" s="218" t="s">
        <v>25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626</v>
      </c>
      <c r="C794" s="218" t="s">
        <v>25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627</v>
      </c>
      <c r="C795" s="218" t="s">
        <v>25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628</v>
      </c>
      <c r="C796" s="218" t="s">
        <v>25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629</v>
      </c>
      <c r="C797" s="218" t="s">
        <v>25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630</v>
      </c>
      <c r="C798" s="218" t="s">
        <v>25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631</v>
      </c>
      <c r="C799" s="218" t="s">
        <v>25</v>
      </c>
      <c r="D799" s="48" t="s">
        <v>114</v>
      </c>
      <c r="E799" s="55">
        <v>1266.6666666666667</v>
      </c>
      <c r="F799" s="194" t="s">
        <v>114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33</v>
      </c>
      <c r="C800" s="218" t="s">
        <v>25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632</v>
      </c>
      <c r="C801" s="218" t="s">
        <v>25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633</v>
      </c>
      <c r="C802" s="218" t="s">
        <v>25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634</v>
      </c>
      <c r="C803" s="218" t="s">
        <v>25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635</v>
      </c>
      <c r="C804" s="218" t="s">
        <v>25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29</v>
      </c>
      <c r="C805" s="218" t="s">
        <v>25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636</v>
      </c>
      <c r="C806" s="218" t="s">
        <v>25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637</v>
      </c>
      <c r="C807" s="218" t="s">
        <v>25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638</v>
      </c>
      <c r="C808" s="218" t="s">
        <v>25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639</v>
      </c>
      <c r="C809" s="218" t="s">
        <v>25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640</v>
      </c>
      <c r="C810" s="218" t="s">
        <v>25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641</v>
      </c>
      <c r="C811" s="218" t="s">
        <v>25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642</v>
      </c>
      <c r="C812" s="218" t="s">
        <v>25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643</v>
      </c>
      <c r="C813" s="218" t="s">
        <v>25</v>
      </c>
      <c r="D813" s="48" t="s">
        <v>114</v>
      </c>
      <c r="E813" s="55">
        <v>455.66624999999999</v>
      </c>
      <c r="F813" s="194" t="s">
        <v>114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644</v>
      </c>
      <c r="C814" s="218" t="s">
        <v>25</v>
      </c>
      <c r="D814" s="48" t="s">
        <v>114</v>
      </c>
      <c r="E814" s="43">
        <v>3356</v>
      </c>
      <c r="F814" s="188" t="s">
        <v>114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645</v>
      </c>
      <c r="C815" s="218" t="s">
        <v>25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646</v>
      </c>
      <c r="C816" s="218" t="s">
        <v>25</v>
      </c>
      <c r="D816" s="48" t="s">
        <v>114</v>
      </c>
      <c r="E816" s="55">
        <v>1900</v>
      </c>
      <c r="F816" s="194" t="s">
        <v>114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647</v>
      </c>
      <c r="C817" s="218" t="s">
        <v>25</v>
      </c>
      <c r="D817" s="48" t="s">
        <v>114</v>
      </c>
      <c r="E817" s="55">
        <v>23075</v>
      </c>
      <c r="F817" s="194" t="s">
        <v>114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648</v>
      </c>
      <c r="C818" s="218" t="s">
        <v>25</v>
      </c>
      <c r="D818" s="48" t="s">
        <v>114</v>
      </c>
      <c r="E818" s="55">
        <v>23075.289999999997</v>
      </c>
      <c r="F818" s="188" t="s">
        <v>114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649</v>
      </c>
      <c r="C819" s="218" t="s">
        <v>25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650</v>
      </c>
      <c r="C820" s="218" t="s">
        <v>25</v>
      </c>
      <c r="D820" s="48" t="s">
        <v>114</v>
      </c>
      <c r="E820" s="55">
        <v>1018.64</v>
      </c>
      <c r="F820" s="194" t="s">
        <v>114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651</v>
      </c>
      <c r="C821" s="218" t="s">
        <v>25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652</v>
      </c>
      <c r="C822" s="218" t="s">
        <v>25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653</v>
      </c>
      <c r="C823" s="218" t="s">
        <v>25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654</v>
      </c>
      <c r="C824" s="218" t="s">
        <v>25</v>
      </c>
      <c r="D824" s="48" t="s">
        <v>114</v>
      </c>
      <c r="E824" s="43">
        <v>3356</v>
      </c>
      <c r="F824" s="188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655</v>
      </c>
      <c r="C825" s="218" t="s">
        <v>25</v>
      </c>
      <c r="D825" s="48" t="s">
        <v>114</v>
      </c>
      <c r="E825" s="55">
        <v>3356</v>
      </c>
      <c r="F825" s="194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656</v>
      </c>
      <c r="C826" s="218" t="s">
        <v>25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657</v>
      </c>
      <c r="C827" s="218" t="s">
        <v>25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658</v>
      </c>
      <c r="C828" s="218" t="s">
        <v>25</v>
      </c>
      <c r="D828" s="48" t="s">
        <v>114</v>
      </c>
      <c r="E828" s="43">
        <v>3356</v>
      </c>
      <c r="F828" s="188" t="s">
        <v>114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659</v>
      </c>
      <c r="C829" s="218" t="s">
        <v>25</v>
      </c>
      <c r="D829" s="48" t="s">
        <v>114</v>
      </c>
      <c r="E829" s="55">
        <v>198</v>
      </c>
      <c r="F829" s="194" t="s">
        <v>114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660</v>
      </c>
      <c r="C830" s="218" t="s">
        <v>25</v>
      </c>
      <c r="D830" s="48" t="s">
        <v>114</v>
      </c>
      <c r="E830" s="55">
        <v>3356</v>
      </c>
      <c r="F830" s="194" t="s">
        <v>114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661</v>
      </c>
      <c r="C831" s="218" t="s">
        <v>25</v>
      </c>
      <c r="D831" s="48" t="s">
        <v>114</v>
      </c>
      <c r="E831" s="55">
        <v>198</v>
      </c>
      <c r="F831" s="194" t="s">
        <v>114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662</v>
      </c>
      <c r="C832" s="218" t="s">
        <v>25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663</v>
      </c>
      <c r="C833" s="218" t="s">
        <v>25</v>
      </c>
      <c r="D833" s="48" t="s">
        <v>114</v>
      </c>
      <c r="E833" s="55">
        <v>3356</v>
      </c>
      <c r="F833" s="194" t="s">
        <v>114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664</v>
      </c>
      <c r="C834" s="218" t="s">
        <v>25</v>
      </c>
      <c r="D834" s="48" t="s">
        <v>114</v>
      </c>
      <c r="E834" s="43">
        <v>198</v>
      </c>
      <c r="F834" s="188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665</v>
      </c>
      <c r="C835" s="218" t="s">
        <v>25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666</v>
      </c>
      <c r="C836" s="218" t="s">
        <v>25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667</v>
      </c>
      <c r="C837" s="218" t="s">
        <v>25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668</v>
      </c>
      <c r="C838" s="218" t="s">
        <v>25</v>
      </c>
      <c r="D838" s="48" t="s">
        <v>114</v>
      </c>
      <c r="E838" s="55">
        <v>198</v>
      </c>
      <c r="F838" s="194" t="s">
        <v>114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669</v>
      </c>
      <c r="C839" s="218" t="s">
        <v>25</v>
      </c>
      <c r="D839" s="48" t="s">
        <v>114</v>
      </c>
      <c r="E839" s="55">
        <v>3356</v>
      </c>
      <c r="F839" s="194" t="s">
        <v>114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670</v>
      </c>
      <c r="C840" s="218" t="s">
        <v>25</v>
      </c>
      <c r="D840" s="48" t="s">
        <v>114</v>
      </c>
      <c r="E840" s="55">
        <v>1100</v>
      </c>
      <c r="F840" s="194" t="s">
        <v>114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671</v>
      </c>
      <c r="C841" s="218" t="s">
        <v>25</v>
      </c>
      <c r="D841" s="48" t="s">
        <v>114</v>
      </c>
      <c r="E841" s="55">
        <v>1350</v>
      </c>
      <c r="F841" s="194" t="s">
        <v>114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672</v>
      </c>
      <c r="C842" s="218" t="s">
        <v>25</v>
      </c>
      <c r="D842" s="48" t="s">
        <v>114</v>
      </c>
      <c r="E842" s="55">
        <v>925</v>
      </c>
      <c r="F842" s="194" t="s">
        <v>114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673</v>
      </c>
      <c r="C843" s="218" t="s">
        <v>25</v>
      </c>
      <c r="D843" s="48" t="s">
        <v>114</v>
      </c>
      <c r="E843" s="43">
        <v>3373</v>
      </c>
      <c r="F843" s="188" t="s">
        <v>114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674</v>
      </c>
      <c r="C844" s="218" t="s">
        <v>25</v>
      </c>
      <c r="D844" s="48" t="s">
        <v>114</v>
      </c>
      <c r="E844" s="56">
        <v>1275.68</v>
      </c>
      <c r="F844" s="188" t="s">
        <v>114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675</v>
      </c>
      <c r="C845" s="218" t="s">
        <v>25</v>
      </c>
      <c r="D845" s="48" t="s">
        <v>114</v>
      </c>
      <c r="E845" s="55">
        <v>3373</v>
      </c>
      <c r="F845" s="194" t="s">
        <v>114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676</v>
      </c>
      <c r="C846" s="218" t="s">
        <v>25</v>
      </c>
      <c r="D846" s="48" t="s">
        <v>114</v>
      </c>
      <c r="E846" s="56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677</v>
      </c>
      <c r="C847" s="218" t="s">
        <v>25</v>
      </c>
      <c r="D847" s="48" t="s">
        <v>114</v>
      </c>
      <c r="E847" s="43">
        <v>1275.68</v>
      </c>
      <c r="F847" s="188" t="s">
        <v>114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678</v>
      </c>
      <c r="C848" s="218" t="s">
        <v>25</v>
      </c>
      <c r="D848" s="48" t="s">
        <v>114</v>
      </c>
      <c r="E848" s="55">
        <v>2746.52</v>
      </c>
      <c r="F848" s="194" t="s">
        <v>114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679</v>
      </c>
      <c r="C849" s="218" t="s">
        <v>25</v>
      </c>
      <c r="D849" s="48" t="s">
        <v>114</v>
      </c>
      <c r="E849" s="43">
        <v>1275.68</v>
      </c>
      <c r="F849" s="188" t="s">
        <v>114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680</v>
      </c>
      <c r="C850" s="218" t="s">
        <v>25</v>
      </c>
      <c r="D850" s="48" t="s">
        <v>114</v>
      </c>
      <c r="E850" s="43">
        <v>1225.7</v>
      </c>
      <c r="F850" s="188" t="s">
        <v>114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681</v>
      </c>
      <c r="C851" s="218" t="s">
        <v>25</v>
      </c>
      <c r="D851" s="48" t="s">
        <v>114</v>
      </c>
      <c r="E851" s="43">
        <v>3881.78</v>
      </c>
      <c r="F851" s="188" t="s">
        <v>114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682</v>
      </c>
      <c r="C852" s="218" t="s">
        <v>25</v>
      </c>
      <c r="D852" s="48" t="s">
        <v>114</v>
      </c>
      <c r="E852" s="43">
        <v>1275.68</v>
      </c>
      <c r="F852" s="188" t="s">
        <v>114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683</v>
      </c>
      <c r="C853" s="218" t="s">
        <v>25</v>
      </c>
      <c r="D853" s="48" t="s">
        <v>114</v>
      </c>
      <c r="E853" s="43">
        <v>3881.78</v>
      </c>
      <c r="F853" s="188" t="s">
        <v>114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684</v>
      </c>
      <c r="C854" s="218" t="s">
        <v>25</v>
      </c>
      <c r="D854" s="48" t="s">
        <v>114</v>
      </c>
      <c r="E854" s="55">
        <v>1225.7</v>
      </c>
      <c r="F854" s="194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685</v>
      </c>
      <c r="C855" s="218" t="s">
        <v>25</v>
      </c>
      <c r="D855" s="48" t="s">
        <v>114</v>
      </c>
      <c r="E855" s="43">
        <v>1225.7</v>
      </c>
      <c r="F855" s="188" t="s">
        <v>114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686</v>
      </c>
      <c r="C856" s="218" t="s">
        <v>25</v>
      </c>
      <c r="D856" s="48" t="s">
        <v>114</v>
      </c>
      <c r="E856" s="43">
        <v>2400</v>
      </c>
      <c r="F856" s="188" t="s">
        <v>114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687</v>
      </c>
      <c r="C857" s="218" t="s">
        <v>25</v>
      </c>
      <c r="D857" s="48" t="s">
        <v>114</v>
      </c>
      <c r="E857" s="43">
        <v>1275.68</v>
      </c>
      <c r="F857" s="188" t="s">
        <v>114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688</v>
      </c>
      <c r="C858" s="218" t="s">
        <v>25</v>
      </c>
      <c r="D858" s="48" t="s">
        <v>114</v>
      </c>
      <c r="E858" s="43">
        <v>1225.7</v>
      </c>
      <c r="F858" s="188" t="s">
        <v>114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689</v>
      </c>
      <c r="C859" s="218" t="s">
        <v>25</v>
      </c>
      <c r="D859" s="48" t="s">
        <v>114</v>
      </c>
      <c r="E859" s="43">
        <v>1275.68</v>
      </c>
      <c r="F859" s="188" t="s">
        <v>114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690</v>
      </c>
      <c r="C860" s="218" t="s">
        <v>25</v>
      </c>
      <c r="D860" s="48" t="s">
        <v>114</v>
      </c>
      <c r="E860" s="43">
        <v>2400</v>
      </c>
      <c r="F860" s="188" t="s">
        <v>114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691</v>
      </c>
      <c r="C861" s="218" t="s">
        <v>25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692</v>
      </c>
      <c r="C862" s="218" t="s">
        <v>25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693</v>
      </c>
      <c r="C863" s="218" t="s">
        <v>25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694</v>
      </c>
      <c r="C864" s="218" t="s">
        <v>25</v>
      </c>
      <c r="D864" s="48" t="s">
        <v>114</v>
      </c>
      <c r="E864" s="55">
        <v>873.94</v>
      </c>
      <c r="F864" s="194" t="s">
        <v>114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695</v>
      </c>
      <c r="C865" s="218" t="s">
        <v>25</v>
      </c>
      <c r="D865" s="48" t="s">
        <v>114</v>
      </c>
      <c r="E865" s="43">
        <v>131.97</v>
      </c>
      <c r="F865" s="188" t="s">
        <v>114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696</v>
      </c>
      <c r="C866" s="218" t="s">
        <v>25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697</v>
      </c>
      <c r="C867" s="218" t="s">
        <v>25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698</v>
      </c>
      <c r="C868" s="218" t="s">
        <v>25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699</v>
      </c>
      <c r="C869" s="218" t="s">
        <v>25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700</v>
      </c>
      <c r="C870" s="218" t="s">
        <v>25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701</v>
      </c>
      <c r="C871" s="218" t="s">
        <v>25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702</v>
      </c>
      <c r="C872" s="218" t="s">
        <v>25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703</v>
      </c>
      <c r="C873" s="218" t="s">
        <v>25</v>
      </c>
      <c r="D873" s="48" t="s">
        <v>114</v>
      </c>
      <c r="E873" s="55">
        <v>5450</v>
      </c>
      <c r="F873" s="194" t="s">
        <v>114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704</v>
      </c>
      <c r="C874" s="218" t="s">
        <v>25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705</v>
      </c>
      <c r="C875" s="218" t="s">
        <v>25</v>
      </c>
      <c r="D875" s="48" t="s">
        <v>114</v>
      </c>
      <c r="E875" s="43">
        <v>131.97</v>
      </c>
      <c r="F875" s="188" t="s">
        <v>114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706</v>
      </c>
      <c r="C876" s="218" t="s">
        <v>25</v>
      </c>
      <c r="D876" s="48" t="s">
        <v>114</v>
      </c>
      <c r="E876" s="43">
        <v>249.9</v>
      </c>
      <c r="F876" s="188" t="s">
        <v>114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707</v>
      </c>
      <c r="C877" s="218" t="s">
        <v>25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708</v>
      </c>
      <c r="C878" s="218" t="s">
        <v>25</v>
      </c>
      <c r="D878" s="48" t="s">
        <v>114</v>
      </c>
      <c r="E878" s="43">
        <v>131.97</v>
      </c>
      <c r="F878" s="188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709</v>
      </c>
      <c r="C879" s="218" t="s">
        <v>25</v>
      </c>
      <c r="D879" s="48" t="s">
        <v>114</v>
      </c>
      <c r="E879" s="55">
        <v>131.97</v>
      </c>
      <c r="F879" s="194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710</v>
      </c>
      <c r="C880" s="218" t="s">
        <v>25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711</v>
      </c>
      <c r="C881" s="218" t="s">
        <v>25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712</v>
      </c>
      <c r="C882" s="218" t="s">
        <v>25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713</v>
      </c>
      <c r="C883" s="218" t="s">
        <v>25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714</v>
      </c>
      <c r="C884" s="218" t="s">
        <v>25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715</v>
      </c>
      <c r="C885" s="218" t="s">
        <v>25</v>
      </c>
      <c r="D885" s="48" t="s">
        <v>114</v>
      </c>
      <c r="E885" s="43">
        <v>131.97</v>
      </c>
      <c r="F885" s="188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716</v>
      </c>
      <c r="C886" s="218" t="s">
        <v>25</v>
      </c>
      <c r="D886" s="48" t="s">
        <v>114</v>
      </c>
      <c r="E886" s="43">
        <v>131.97</v>
      </c>
      <c r="F886" s="194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717</v>
      </c>
      <c r="C887" s="218" t="s">
        <v>25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718</v>
      </c>
      <c r="C888" s="218" t="s">
        <v>25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719</v>
      </c>
      <c r="C889" s="218" t="s">
        <v>25</v>
      </c>
      <c r="D889" s="48" t="s">
        <v>114</v>
      </c>
      <c r="E889" s="43">
        <v>131.97</v>
      </c>
      <c r="F889" s="188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720</v>
      </c>
      <c r="C890" s="218" t="s">
        <v>25</v>
      </c>
      <c r="D890" s="48" t="s">
        <v>114</v>
      </c>
      <c r="E890" s="55">
        <v>131.97</v>
      </c>
      <c r="F890" s="194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721</v>
      </c>
      <c r="C891" s="218" t="s">
        <v>25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722</v>
      </c>
      <c r="C892" s="218" t="s">
        <v>25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723</v>
      </c>
      <c r="C893" s="218" t="s">
        <v>25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724</v>
      </c>
      <c r="C894" s="218" t="s">
        <v>25</v>
      </c>
      <c r="D894" s="48" t="s">
        <v>114</v>
      </c>
      <c r="E894" s="43">
        <v>131.97</v>
      </c>
      <c r="F894" s="188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725</v>
      </c>
      <c r="C895" s="218" t="s">
        <v>25</v>
      </c>
      <c r="D895" s="48" t="s">
        <v>114</v>
      </c>
      <c r="E895" s="55">
        <v>131.97</v>
      </c>
      <c r="F895" s="194" t="s">
        <v>114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726</v>
      </c>
      <c r="C896" s="218" t="s">
        <v>25</v>
      </c>
      <c r="D896" s="48" t="s">
        <v>114</v>
      </c>
      <c r="E896" s="55">
        <v>6957.9299999999994</v>
      </c>
      <c r="F896" s="194" t="s">
        <v>114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727</v>
      </c>
      <c r="C897" s="218" t="s">
        <v>25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728</v>
      </c>
      <c r="C898" s="218" t="s">
        <v>25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729</v>
      </c>
      <c r="C899" s="218" t="s">
        <v>25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730</v>
      </c>
      <c r="C900" s="218" t="s">
        <v>25</v>
      </c>
      <c r="D900" s="48" t="s">
        <v>114</v>
      </c>
      <c r="E900" s="55">
        <v>2563</v>
      </c>
      <c r="F900" s="194" t="s">
        <v>114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731</v>
      </c>
      <c r="C901" s="218" t="s">
        <v>25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732</v>
      </c>
      <c r="C902" s="218" t="s">
        <v>25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733</v>
      </c>
      <c r="C903" s="218" t="s">
        <v>25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734</v>
      </c>
      <c r="C904" s="218" t="s">
        <v>25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735</v>
      </c>
      <c r="C905" s="218" t="s">
        <v>25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736</v>
      </c>
      <c r="C906" s="218" t="s">
        <v>25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737</v>
      </c>
      <c r="C907" s="218" t="s">
        <v>25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738</v>
      </c>
      <c r="C908" s="218" t="s">
        <v>25</v>
      </c>
      <c r="D908" s="48" t="s">
        <v>114</v>
      </c>
      <c r="E908" s="55">
        <v>2885.5</v>
      </c>
      <c r="F908" s="194" t="s">
        <v>114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739</v>
      </c>
      <c r="C909" s="218" t="s">
        <v>25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740</v>
      </c>
      <c r="C910" s="218" t="s">
        <v>25</v>
      </c>
      <c r="D910" s="48" t="s">
        <v>114</v>
      </c>
      <c r="E910" s="55">
        <v>2785.5</v>
      </c>
      <c r="F910" s="194" t="s">
        <v>114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741</v>
      </c>
      <c r="C911" s="218" t="s">
        <v>25</v>
      </c>
      <c r="D911" s="48" t="s">
        <v>114</v>
      </c>
      <c r="E911" s="55">
        <v>1</v>
      </c>
      <c r="F911" s="194" t="s">
        <v>114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742</v>
      </c>
      <c r="C912" s="218" t="s">
        <v>25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743</v>
      </c>
      <c r="C913" s="218" t="s">
        <v>25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744</v>
      </c>
      <c r="C914" s="218" t="s">
        <v>25</v>
      </c>
      <c r="D914" s="48" t="s">
        <v>114</v>
      </c>
      <c r="E914" s="55">
        <v>1200</v>
      </c>
      <c r="F914" s="194" t="s">
        <v>114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745</v>
      </c>
      <c r="C915" s="218" t="s">
        <v>25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746</v>
      </c>
      <c r="C916" s="218" t="s">
        <v>25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747</v>
      </c>
      <c r="C917" s="218" t="s">
        <v>25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748</v>
      </c>
      <c r="C918" s="218" t="s">
        <v>25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749</v>
      </c>
      <c r="C919" s="218" t="s">
        <v>25</v>
      </c>
      <c r="D919" s="48" t="s">
        <v>114</v>
      </c>
      <c r="E919" s="55">
        <v>500</v>
      </c>
      <c r="F919" s="194" t="s">
        <v>114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750</v>
      </c>
      <c r="C920" s="218" t="s">
        <v>25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751</v>
      </c>
      <c r="C921" s="218" t="s">
        <v>25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752</v>
      </c>
      <c r="C922" s="218" t="s">
        <v>25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753</v>
      </c>
      <c r="C923" s="218" t="s">
        <v>25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754</v>
      </c>
      <c r="C924" s="218" t="s">
        <v>25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755</v>
      </c>
      <c r="C925" s="218" t="s">
        <v>25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756</v>
      </c>
      <c r="C926" s="218" t="s">
        <v>25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757</v>
      </c>
      <c r="C927" s="218" t="s">
        <v>25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758</v>
      </c>
      <c r="C928" s="218" t="s">
        <v>25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759</v>
      </c>
      <c r="C929" s="218" t="s">
        <v>25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760</v>
      </c>
      <c r="C930" s="218" t="s">
        <v>25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761</v>
      </c>
      <c r="C931" s="218" t="s">
        <v>25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762</v>
      </c>
      <c r="C932" s="218" t="s">
        <v>25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763</v>
      </c>
      <c r="C933" s="218" t="s">
        <v>25</v>
      </c>
      <c r="D933" s="48" t="s">
        <v>114</v>
      </c>
      <c r="E933" s="55">
        <v>114.24</v>
      </c>
      <c r="F933" s="194" t="s">
        <v>114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764</v>
      </c>
      <c r="C934" s="218" t="s">
        <v>25</v>
      </c>
      <c r="D934" s="48" t="s">
        <v>114</v>
      </c>
      <c r="E934" s="55">
        <v>1800</v>
      </c>
      <c r="F934" s="194" t="s">
        <v>114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765</v>
      </c>
      <c r="C935" s="218" t="s">
        <v>25</v>
      </c>
      <c r="D935" s="48" t="s">
        <v>114</v>
      </c>
      <c r="E935" s="55">
        <v>546</v>
      </c>
      <c r="F935" s="194" t="s">
        <v>114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766</v>
      </c>
      <c r="C936" s="218" t="s">
        <v>25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767</v>
      </c>
      <c r="C937" s="218" t="s">
        <v>25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768</v>
      </c>
      <c r="C938" s="218" t="s">
        <v>25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769</v>
      </c>
      <c r="C939" s="218" t="s">
        <v>25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770</v>
      </c>
      <c r="C940" s="218" t="s">
        <v>25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771</v>
      </c>
      <c r="C941" s="218" t="s">
        <v>25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772</v>
      </c>
      <c r="C942" s="218" t="s">
        <v>25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773</v>
      </c>
      <c r="C943" s="218" t="s">
        <v>25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774</v>
      </c>
      <c r="C944" s="218" t="s">
        <v>25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775</v>
      </c>
      <c r="C945" s="218" t="s">
        <v>25</v>
      </c>
      <c r="D945" s="48" t="s">
        <v>114</v>
      </c>
      <c r="E945" s="55">
        <v>114.24</v>
      </c>
      <c r="F945" s="194" t="s">
        <v>114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776</v>
      </c>
      <c r="C946" s="218" t="s">
        <v>25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777</v>
      </c>
      <c r="C947" s="218" t="s">
        <v>25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778</v>
      </c>
      <c r="C948" s="218" t="s">
        <v>25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779</v>
      </c>
      <c r="C949" s="218" t="s">
        <v>25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780</v>
      </c>
      <c r="C950" s="218" t="s">
        <v>25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781</v>
      </c>
      <c r="C951" s="218" t="s">
        <v>25</v>
      </c>
      <c r="D951" s="48" t="s">
        <v>114</v>
      </c>
      <c r="E951" s="55">
        <v>1550</v>
      </c>
      <c r="F951" s="194" t="s">
        <v>114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782</v>
      </c>
      <c r="C952" s="218" t="s">
        <v>25</v>
      </c>
      <c r="D952" s="48" t="s">
        <v>114</v>
      </c>
      <c r="E952" s="55">
        <v>952</v>
      </c>
      <c r="F952" s="194" t="s">
        <v>114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783</v>
      </c>
      <c r="C953" s="218" t="s">
        <v>25</v>
      </c>
      <c r="D953" s="48" t="s">
        <v>114</v>
      </c>
      <c r="E953" s="55">
        <v>925</v>
      </c>
      <c r="F953" s="194" t="s">
        <v>114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784</v>
      </c>
      <c r="C954" s="218" t="s">
        <v>25</v>
      </c>
      <c r="D954" s="48" t="s">
        <v>114</v>
      </c>
      <c r="E954" s="55">
        <v>1100</v>
      </c>
      <c r="F954" s="194" t="s">
        <v>114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785</v>
      </c>
      <c r="C955" s="218" t="s">
        <v>25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786</v>
      </c>
      <c r="C956" s="218" t="s">
        <v>25</v>
      </c>
      <c r="D956" s="48" t="s">
        <v>114</v>
      </c>
      <c r="E956" s="55">
        <v>1350</v>
      </c>
      <c r="F956" s="194" t="s">
        <v>114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787</v>
      </c>
      <c r="C957" s="218" t="s">
        <v>25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788</v>
      </c>
      <c r="C958" s="218" t="s">
        <v>25</v>
      </c>
      <c r="D958" s="48" t="s">
        <v>114</v>
      </c>
      <c r="E958" s="43">
        <v>2727.48</v>
      </c>
      <c r="F958" s="188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789</v>
      </c>
      <c r="C959" s="218" t="s">
        <v>25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790</v>
      </c>
      <c r="C960" s="218" t="s">
        <v>25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791</v>
      </c>
      <c r="C961" s="218" t="s">
        <v>25</v>
      </c>
      <c r="D961" s="48" t="s">
        <v>114</v>
      </c>
      <c r="E961" s="55">
        <v>2727.48</v>
      </c>
      <c r="F961" s="194" t="s">
        <v>114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792</v>
      </c>
      <c r="C962" s="218" t="s">
        <v>25</v>
      </c>
      <c r="D962" s="48" t="s">
        <v>114</v>
      </c>
      <c r="E962" s="55">
        <v>3111.85</v>
      </c>
      <c r="F962" s="194" t="s">
        <v>114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793</v>
      </c>
      <c r="C963" s="218" t="s">
        <v>25</v>
      </c>
      <c r="D963" s="48" t="s">
        <v>114</v>
      </c>
      <c r="E963" s="43">
        <v>1550</v>
      </c>
      <c r="F963" s="188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794</v>
      </c>
      <c r="C964" s="218" t="s">
        <v>25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795</v>
      </c>
      <c r="C965" s="218" t="s">
        <v>25</v>
      </c>
      <c r="D965" s="48" t="s">
        <v>114</v>
      </c>
      <c r="E965" s="55">
        <v>1550</v>
      </c>
      <c r="F965" s="194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796</v>
      </c>
      <c r="C966" s="218" t="s">
        <v>25</v>
      </c>
      <c r="D966" s="48" t="s">
        <v>114</v>
      </c>
      <c r="E966" s="43">
        <v>1550</v>
      </c>
      <c r="F966" s="188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797</v>
      </c>
      <c r="C967" s="218" t="s">
        <v>25</v>
      </c>
      <c r="D967" s="48" t="s">
        <v>114</v>
      </c>
      <c r="E967" s="55">
        <v>1550</v>
      </c>
      <c r="F967" s="194" t="s">
        <v>114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798</v>
      </c>
      <c r="C968" s="218" t="s">
        <v>25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799</v>
      </c>
      <c r="C969" s="218" t="s">
        <v>25</v>
      </c>
      <c r="D969" s="48" t="s">
        <v>114</v>
      </c>
      <c r="E969" s="55">
        <v>3844</v>
      </c>
      <c r="F969" s="194" t="s">
        <v>114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26</v>
      </c>
      <c r="C970" s="218" t="s">
        <v>25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800</v>
      </c>
      <c r="C971" s="218" t="s">
        <v>25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801</v>
      </c>
      <c r="C972" s="218" t="s">
        <v>25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802</v>
      </c>
      <c r="C973" s="218" t="s">
        <v>25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803</v>
      </c>
      <c r="C974" s="218" t="s">
        <v>25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804</v>
      </c>
      <c r="C975" s="218" t="s">
        <v>25</v>
      </c>
      <c r="D975" s="48" t="s">
        <v>114</v>
      </c>
      <c r="E975" s="55">
        <v>998.41</v>
      </c>
      <c r="F975" s="194" t="s">
        <v>114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805</v>
      </c>
      <c r="C976" s="218" t="s">
        <v>25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806</v>
      </c>
      <c r="C977" s="218" t="s">
        <v>25</v>
      </c>
      <c r="D977" s="48" t="s">
        <v>114</v>
      </c>
      <c r="E977" s="55">
        <v>3844</v>
      </c>
      <c r="F977" s="194" t="s">
        <v>114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807</v>
      </c>
      <c r="C978" s="218" t="s">
        <v>25</v>
      </c>
      <c r="D978" s="48" t="s">
        <v>114</v>
      </c>
      <c r="E978" s="55">
        <v>998.41</v>
      </c>
      <c r="F978" s="194" t="s">
        <v>114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808</v>
      </c>
      <c r="C979" s="218" t="s">
        <v>25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809</v>
      </c>
      <c r="C980" s="218" t="s">
        <v>25</v>
      </c>
      <c r="D980" s="48" t="s">
        <v>114</v>
      </c>
      <c r="E980" s="55">
        <v>3844</v>
      </c>
      <c r="F980" s="194" t="s">
        <v>114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810</v>
      </c>
      <c r="C981" s="218" t="s">
        <v>25</v>
      </c>
      <c r="D981" s="48" t="s">
        <v>114</v>
      </c>
      <c r="E981" s="55">
        <v>1173.3399999999999</v>
      </c>
      <c r="F981" s="194" t="s">
        <v>114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811</v>
      </c>
      <c r="C982" s="218" t="s">
        <v>25</v>
      </c>
      <c r="D982" s="48" t="s">
        <v>114</v>
      </c>
      <c r="E982" s="55">
        <v>3844</v>
      </c>
      <c r="F982" s="194" t="s">
        <v>114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812</v>
      </c>
      <c r="C983" s="218" t="s">
        <v>25</v>
      </c>
      <c r="D983" s="48" t="s">
        <v>114</v>
      </c>
      <c r="E983" s="55">
        <v>1200</v>
      </c>
      <c r="F983" s="194" t="s">
        <v>114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96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81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813</v>
      </c>
      <c r="C1011" s="160" t="s">
        <v>34</v>
      </c>
      <c r="D1011" s="48" t="s">
        <v>244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34</v>
      </c>
      <c r="D1012" s="48" t="s">
        <v>244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34</v>
      </c>
      <c r="D1013" s="48" t="s">
        <v>244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34</v>
      </c>
      <c r="D1014" s="48" t="s">
        <v>244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34</v>
      </c>
      <c r="D1015" s="48" t="s">
        <v>243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818</v>
      </c>
      <c r="C1016" s="160" t="s">
        <v>34</v>
      </c>
      <c r="D1016" s="48" t="s">
        <v>243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34</v>
      </c>
      <c r="D1017" s="48" t="s">
        <v>244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34</v>
      </c>
      <c r="D1018" s="48" t="s">
        <v>244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34</v>
      </c>
      <c r="D1019" s="48" t="s">
        <v>243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34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34</v>
      </c>
      <c r="D1021" s="151" t="s">
        <v>244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34</v>
      </c>
      <c r="D1022" s="151" t="s">
        <v>244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34</v>
      </c>
      <c r="D1023" s="151" t="s">
        <v>244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34</v>
      </c>
      <c r="D1024" s="151" t="s">
        <v>244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827</v>
      </c>
      <c r="C1025" s="160" t="s">
        <v>34</v>
      </c>
      <c r="D1025" s="151" t="s">
        <v>244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828</v>
      </c>
      <c r="C1026" s="160" t="s">
        <v>34</v>
      </c>
      <c r="D1026" s="151" t="s">
        <v>244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829</v>
      </c>
      <c r="C1027" s="160" t="s">
        <v>34</v>
      </c>
      <c r="D1027" s="151" t="s">
        <v>244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34</v>
      </c>
      <c r="D1028" s="151" t="s">
        <v>244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831</v>
      </c>
      <c r="C1029" s="160" t="s">
        <v>34</v>
      </c>
      <c r="D1029" s="151" t="s">
        <v>244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832</v>
      </c>
      <c r="C1030" s="160" t="s">
        <v>34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833</v>
      </c>
      <c r="C1031" s="160" t="s">
        <v>34</v>
      </c>
      <c r="D1031" s="151" t="s">
        <v>244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834</v>
      </c>
      <c r="C1032" s="160" t="s">
        <v>34</v>
      </c>
      <c r="D1032" s="151" t="s">
        <v>244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35</v>
      </c>
      <c r="C1033" s="160" t="s">
        <v>34</v>
      </c>
      <c r="D1033" s="151" t="s">
        <v>244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34</v>
      </c>
      <c r="D1034" s="151" t="s">
        <v>244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34</v>
      </c>
      <c r="D1035" s="151" t="s">
        <v>244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34</v>
      </c>
      <c r="D1036" s="151" t="s">
        <v>243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34</v>
      </c>
      <c r="D1037" s="151" t="s">
        <v>243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34</v>
      </c>
      <c r="D1038" s="48" t="s">
        <v>243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840</v>
      </c>
      <c r="C1039" s="160" t="s">
        <v>34</v>
      </c>
      <c r="D1039" s="48" t="s">
        <v>244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841</v>
      </c>
      <c r="C1040" s="160" t="s">
        <v>34</v>
      </c>
      <c r="D1040" s="151" t="s">
        <v>243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842</v>
      </c>
      <c r="C1041" s="160" t="s">
        <v>34</v>
      </c>
      <c r="D1041" s="48" t="s">
        <v>243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843</v>
      </c>
      <c r="C1042" s="160" t="s">
        <v>34</v>
      </c>
      <c r="D1042" s="48" t="s">
        <v>243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34</v>
      </c>
      <c r="D1043" s="48" t="s">
        <v>244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81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30">
      <c r="A1067" s="83">
        <v>1</v>
      </c>
      <c r="B1067" s="206" t="s">
        <v>845</v>
      </c>
      <c r="C1067" s="218" t="s">
        <v>64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846</v>
      </c>
      <c r="C1068" s="218" t="s">
        <v>64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8" t="s">
        <v>64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848</v>
      </c>
      <c r="C1070" s="218" t="s">
        <v>64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849</v>
      </c>
      <c r="C1071" s="218" t="s">
        <v>64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850</v>
      </c>
      <c r="C1072" s="218" t="s">
        <v>64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851</v>
      </c>
      <c r="C1073" s="218" t="s">
        <v>64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81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30">
      <c r="A1107" s="83">
        <v>1</v>
      </c>
      <c r="B1107" s="206" t="s">
        <v>852</v>
      </c>
      <c r="C1107" s="37" t="s">
        <v>853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854</v>
      </c>
      <c r="C1108" s="37" t="s">
        <v>853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856</v>
      </c>
      <c r="C1110" s="37" t="s">
        <v>853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857</v>
      </c>
      <c r="C1111" s="37" t="s">
        <v>853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858</v>
      </c>
      <c r="C1112" s="37" t="s">
        <v>853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859</v>
      </c>
      <c r="C1113" s="37" t="s">
        <v>853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4" t="s">
        <v>853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879</v>
      </c>
      <c r="C1133" s="275" t="s">
        <v>853</v>
      </c>
      <c r="D1133" s="276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880</v>
      </c>
      <c r="C1134" s="275" t="s">
        <v>853</v>
      </c>
      <c r="D1134" s="276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881</v>
      </c>
      <c r="C1135" s="275" t="s">
        <v>853</v>
      </c>
      <c r="D1135" s="276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882</v>
      </c>
      <c r="C1136" s="275" t="s">
        <v>853</v>
      </c>
      <c r="D1136" s="276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883</v>
      </c>
      <c r="C1137" s="275" t="s">
        <v>853</v>
      </c>
      <c r="D1137" s="276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884</v>
      </c>
      <c r="C1138" s="275" t="s">
        <v>853</v>
      </c>
      <c r="D1138" s="276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885</v>
      </c>
      <c r="C1139" s="275" t="s">
        <v>853</v>
      </c>
      <c r="D1139" s="276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886</v>
      </c>
      <c r="C1140" s="275" t="s">
        <v>853</v>
      </c>
      <c r="D1140" s="276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887</v>
      </c>
      <c r="C1141" s="275" t="s">
        <v>853</v>
      </c>
      <c r="D1141" s="276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888</v>
      </c>
      <c r="C1142" s="275" t="s">
        <v>853</v>
      </c>
      <c r="D1142" s="276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889</v>
      </c>
      <c r="C1143" s="275" t="s">
        <v>853</v>
      </c>
      <c r="D1143" s="276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890</v>
      </c>
      <c r="C1144" s="275" t="s">
        <v>853</v>
      </c>
      <c r="D1144" s="276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891</v>
      </c>
      <c r="C1145" s="275" t="s">
        <v>853</v>
      </c>
      <c r="D1145" s="276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892</v>
      </c>
      <c r="C1146" s="275" t="s">
        <v>853</v>
      </c>
      <c r="D1146" s="276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893</v>
      </c>
      <c r="C1147" s="275" t="s">
        <v>853</v>
      </c>
      <c r="D1147" s="276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894</v>
      </c>
      <c r="C1148" s="275" t="s">
        <v>853</v>
      </c>
      <c r="D1148" s="276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895</v>
      </c>
      <c r="C1149" s="275" t="s">
        <v>853</v>
      </c>
      <c r="D1149" s="276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896</v>
      </c>
      <c r="C1150" s="275" t="s">
        <v>853</v>
      </c>
      <c r="D1150" s="276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897</v>
      </c>
      <c r="C1151" s="275" t="s">
        <v>853</v>
      </c>
      <c r="D1151" s="276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898</v>
      </c>
      <c r="C1152" s="275" t="s">
        <v>853</v>
      </c>
      <c r="D1152" s="276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899</v>
      </c>
      <c r="C1153" s="275" t="s">
        <v>853</v>
      </c>
      <c r="D1153" s="276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900</v>
      </c>
      <c r="C1154" s="275" t="s">
        <v>853</v>
      </c>
      <c r="D1154" s="276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901</v>
      </c>
      <c r="C1155" s="275" t="s">
        <v>853</v>
      </c>
      <c r="D1155" s="276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902</v>
      </c>
      <c r="C1156" s="275" t="s">
        <v>853</v>
      </c>
      <c r="D1156" s="276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903</v>
      </c>
      <c r="C1157" s="275" t="s">
        <v>853</v>
      </c>
      <c r="D1157" s="276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904</v>
      </c>
      <c r="C1158" s="275" t="s">
        <v>853</v>
      </c>
      <c r="D1158" s="276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905</v>
      </c>
      <c r="C1159" s="275" t="s">
        <v>853</v>
      </c>
      <c r="D1159" s="276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906</v>
      </c>
      <c r="C1160" s="275" t="s">
        <v>853</v>
      </c>
      <c r="D1160" s="276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907</v>
      </c>
      <c r="C1161" s="275" t="s">
        <v>853</v>
      </c>
      <c r="D1161" s="276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908</v>
      </c>
      <c r="C1162" s="275" t="s">
        <v>853</v>
      </c>
      <c r="D1162" s="276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909</v>
      </c>
      <c r="C1163" s="275" t="s">
        <v>853</v>
      </c>
      <c r="D1163" s="276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910</v>
      </c>
      <c r="C1164" s="275" t="s">
        <v>853</v>
      </c>
      <c r="D1164" s="276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911</v>
      </c>
      <c r="C1165" s="275" t="s">
        <v>853</v>
      </c>
      <c r="D1165" s="276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912</v>
      </c>
      <c r="C1166" s="275" t="s">
        <v>853</v>
      </c>
      <c r="D1166" s="276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913</v>
      </c>
      <c r="C1167" s="275" t="s">
        <v>853</v>
      </c>
      <c r="D1167" s="276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914</v>
      </c>
      <c r="C1168" s="275" t="s">
        <v>853</v>
      </c>
      <c r="D1168" s="276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915</v>
      </c>
      <c r="C1169" s="275" t="s">
        <v>853</v>
      </c>
      <c r="D1169" s="276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916</v>
      </c>
      <c r="C1170" s="275" t="s">
        <v>853</v>
      </c>
      <c r="D1170" s="276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917</v>
      </c>
      <c r="C1171" s="275" t="s">
        <v>853</v>
      </c>
      <c r="D1171" s="276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918</v>
      </c>
      <c r="C1172" s="275" t="s">
        <v>853</v>
      </c>
      <c r="D1172" s="276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919</v>
      </c>
      <c r="C1173" s="275" t="s">
        <v>853</v>
      </c>
      <c r="D1173" s="276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920</v>
      </c>
      <c r="C1174" s="275" t="s">
        <v>853</v>
      </c>
      <c r="D1174" s="276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921</v>
      </c>
      <c r="C1175" s="275" t="s">
        <v>853</v>
      </c>
      <c r="D1175" s="276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922</v>
      </c>
      <c r="C1176" s="275" t="s">
        <v>853</v>
      </c>
      <c r="D1176" s="276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923</v>
      </c>
      <c r="C1177" s="275" t="s">
        <v>853</v>
      </c>
      <c r="D1177" s="276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924</v>
      </c>
      <c r="C1178" s="275" t="s">
        <v>853</v>
      </c>
      <c r="D1178" s="276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925</v>
      </c>
      <c r="C1179" s="275" t="s">
        <v>853</v>
      </c>
      <c r="D1179" s="276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926</v>
      </c>
      <c r="C1180" s="275" t="s">
        <v>853</v>
      </c>
      <c r="D1180" s="276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927</v>
      </c>
      <c r="C1181" s="275" t="s">
        <v>853</v>
      </c>
      <c r="D1181" s="276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928</v>
      </c>
      <c r="C1182" s="275" t="s">
        <v>853</v>
      </c>
      <c r="D1182" s="276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929</v>
      </c>
      <c r="C1183" s="275" t="s">
        <v>853</v>
      </c>
      <c r="D1183" s="276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930</v>
      </c>
      <c r="C1184" s="275" t="s">
        <v>853</v>
      </c>
      <c r="D1184" s="276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931</v>
      </c>
      <c r="C1185" s="275" t="s">
        <v>853</v>
      </c>
      <c r="D1185" s="276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932</v>
      </c>
      <c r="C1186" s="275" t="s">
        <v>853</v>
      </c>
      <c r="D1186" s="276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933</v>
      </c>
      <c r="C1187" s="275" t="s">
        <v>853</v>
      </c>
      <c r="D1187" s="276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934</v>
      </c>
      <c r="C1188" s="275" t="s">
        <v>853</v>
      </c>
      <c r="D1188" s="276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935</v>
      </c>
      <c r="C1189" s="275" t="s">
        <v>853</v>
      </c>
      <c r="D1189" s="276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936</v>
      </c>
      <c r="C1190" s="275" t="s">
        <v>853</v>
      </c>
      <c r="D1190" s="276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937</v>
      </c>
      <c r="C1191" s="275" t="s">
        <v>853</v>
      </c>
      <c r="D1191" s="276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938</v>
      </c>
      <c r="C1192" s="275" t="s">
        <v>853</v>
      </c>
      <c r="D1192" s="276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939</v>
      </c>
      <c r="C1193" s="275" t="s">
        <v>853</v>
      </c>
      <c r="D1193" s="276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940</v>
      </c>
      <c r="C1194" s="275" t="s">
        <v>853</v>
      </c>
      <c r="D1194" s="276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941</v>
      </c>
      <c r="C1195" s="275" t="s">
        <v>853</v>
      </c>
      <c r="D1195" s="276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942</v>
      </c>
      <c r="C1196" s="275" t="s">
        <v>853</v>
      </c>
      <c r="D1196" s="276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943</v>
      </c>
      <c r="C1197" s="275" t="s">
        <v>853</v>
      </c>
      <c r="D1197" s="276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944</v>
      </c>
      <c r="C1198" s="275" t="s">
        <v>853</v>
      </c>
      <c r="D1198" s="276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945</v>
      </c>
      <c r="C1199" s="275" t="s">
        <v>853</v>
      </c>
      <c r="D1199" s="276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946</v>
      </c>
      <c r="C1200" s="275" t="s">
        <v>853</v>
      </c>
      <c r="D1200" s="276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947</v>
      </c>
      <c r="C1201" s="275" t="s">
        <v>853</v>
      </c>
      <c r="D1201" s="276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948</v>
      </c>
      <c r="C1202" s="275" t="s">
        <v>853</v>
      </c>
      <c r="D1202" s="276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949</v>
      </c>
      <c r="C1203" s="275" t="s">
        <v>853</v>
      </c>
      <c r="D1203" s="276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950</v>
      </c>
      <c r="C1204" s="275" t="s">
        <v>853</v>
      </c>
      <c r="D1204" s="276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951</v>
      </c>
      <c r="C1205" s="275" t="s">
        <v>853</v>
      </c>
      <c r="D1205" s="276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952</v>
      </c>
      <c r="C1206" s="275" t="s">
        <v>853</v>
      </c>
      <c r="D1206" s="276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953</v>
      </c>
      <c r="C1207" s="275" t="s">
        <v>853</v>
      </c>
      <c r="D1207" s="276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954</v>
      </c>
      <c r="C1208" s="275" t="s">
        <v>853</v>
      </c>
      <c r="D1208" s="276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955</v>
      </c>
      <c r="C1209" s="275" t="s">
        <v>853</v>
      </c>
      <c r="D1209" s="276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956</v>
      </c>
      <c r="C1210" s="275" t="s">
        <v>853</v>
      </c>
      <c r="D1210" s="276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957</v>
      </c>
      <c r="C1211" s="275" t="s">
        <v>853</v>
      </c>
      <c r="D1211" s="276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958</v>
      </c>
      <c r="C1212" s="275" t="s">
        <v>853</v>
      </c>
      <c r="D1212" s="276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959</v>
      </c>
      <c r="C1213" s="275" t="s">
        <v>853</v>
      </c>
      <c r="D1213" s="276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960</v>
      </c>
      <c r="C1214" s="275" t="s">
        <v>853</v>
      </c>
      <c r="D1214" s="276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961</v>
      </c>
      <c r="C1215" s="275" t="s">
        <v>853</v>
      </c>
      <c r="D1215" s="276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962</v>
      </c>
      <c r="C1216" s="275" t="s">
        <v>853</v>
      </c>
      <c r="D1216" s="276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963</v>
      </c>
      <c r="C1217" s="275" t="s">
        <v>853</v>
      </c>
      <c r="D1217" s="276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964</v>
      </c>
      <c r="C1218" s="275" t="s">
        <v>853</v>
      </c>
      <c r="D1218" s="276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965</v>
      </c>
      <c r="C1219" s="275" t="s">
        <v>853</v>
      </c>
      <c r="D1219" s="276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966</v>
      </c>
      <c r="C1220" s="275" t="s">
        <v>853</v>
      </c>
      <c r="D1220" s="276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967</v>
      </c>
      <c r="C1221" s="275" t="s">
        <v>853</v>
      </c>
      <c r="D1221" s="276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968</v>
      </c>
      <c r="C1222" s="275" t="s">
        <v>853</v>
      </c>
      <c r="D1222" s="276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969</v>
      </c>
      <c r="C1223" s="275" t="s">
        <v>853</v>
      </c>
      <c r="D1223" s="276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970</v>
      </c>
      <c r="C1224" s="275" t="s">
        <v>853</v>
      </c>
      <c r="D1224" s="276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971</v>
      </c>
      <c r="C1225" s="275" t="s">
        <v>853</v>
      </c>
      <c r="D1225" s="276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972</v>
      </c>
      <c r="C1226" s="275" t="s">
        <v>853</v>
      </c>
      <c r="D1226" s="276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973</v>
      </c>
      <c r="C1227" s="275" t="s">
        <v>853</v>
      </c>
      <c r="D1227" s="276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974</v>
      </c>
      <c r="C1228" s="275" t="s">
        <v>853</v>
      </c>
      <c r="D1228" s="276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975</v>
      </c>
      <c r="C1229" s="275" t="s">
        <v>853</v>
      </c>
      <c r="D1229" s="276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976</v>
      </c>
      <c r="C1230" s="275" t="s">
        <v>853</v>
      </c>
      <c r="D1230" s="276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977</v>
      </c>
      <c r="C1231" s="275" t="s">
        <v>853</v>
      </c>
      <c r="D1231" s="276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978</v>
      </c>
      <c r="C1232" s="275" t="s">
        <v>853</v>
      </c>
      <c r="D1232" s="276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979</v>
      </c>
      <c r="C1233" s="275" t="s">
        <v>853</v>
      </c>
      <c r="D1233" s="276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980</v>
      </c>
      <c r="C1234" s="275" t="s">
        <v>853</v>
      </c>
      <c r="D1234" s="276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981</v>
      </c>
      <c r="C1235" s="275" t="s">
        <v>853</v>
      </c>
      <c r="D1235" s="276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982</v>
      </c>
      <c r="C1236" s="275" t="s">
        <v>853</v>
      </c>
      <c r="D1236" s="276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983</v>
      </c>
      <c r="C1237" s="275" t="s">
        <v>853</v>
      </c>
      <c r="D1237" s="276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984</v>
      </c>
      <c r="C1238" s="275" t="s">
        <v>853</v>
      </c>
      <c r="D1238" s="276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985</v>
      </c>
      <c r="C1239" s="275" t="s">
        <v>853</v>
      </c>
      <c r="D1239" s="276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986</v>
      </c>
      <c r="C1240" s="275" t="s">
        <v>853</v>
      </c>
      <c r="D1240" s="276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987</v>
      </c>
      <c r="C1241" s="275" t="s">
        <v>853</v>
      </c>
      <c r="D1241" s="276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988</v>
      </c>
      <c r="C1242" s="275" t="s">
        <v>853</v>
      </c>
      <c r="D1242" s="276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989</v>
      </c>
      <c r="C1243" s="275" t="s">
        <v>853</v>
      </c>
      <c r="D1243" s="276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990</v>
      </c>
      <c r="C1244" s="275" t="s">
        <v>853</v>
      </c>
      <c r="D1244" s="276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991</v>
      </c>
      <c r="C1245" s="275" t="s">
        <v>853</v>
      </c>
      <c r="D1245" s="276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992</v>
      </c>
      <c r="C1246" s="275" t="s">
        <v>853</v>
      </c>
      <c r="D1246" s="276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993</v>
      </c>
      <c r="C1247" s="275" t="s">
        <v>853</v>
      </c>
      <c r="D1247" s="276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994</v>
      </c>
      <c r="C1248" s="275" t="s">
        <v>853</v>
      </c>
      <c r="D1248" s="276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995</v>
      </c>
      <c r="C1249" s="275" t="s">
        <v>853</v>
      </c>
      <c r="D1249" s="276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996</v>
      </c>
      <c r="C1250" s="275" t="s">
        <v>853</v>
      </c>
      <c r="D1250" s="276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997</v>
      </c>
      <c r="C1251" s="275" t="s">
        <v>853</v>
      </c>
      <c r="D1251" s="276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998</v>
      </c>
      <c r="C1252" s="275" t="s">
        <v>853</v>
      </c>
      <c r="D1252" s="276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999</v>
      </c>
      <c r="C1253" s="275" t="s">
        <v>853</v>
      </c>
      <c r="D1253" s="276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1000</v>
      </c>
      <c r="C1254" s="275" t="s">
        <v>853</v>
      </c>
      <c r="D1254" s="276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1001</v>
      </c>
      <c r="C1255" s="275" t="s">
        <v>853</v>
      </c>
      <c r="D1255" s="276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1002</v>
      </c>
      <c r="C1256" s="275" t="s">
        <v>853</v>
      </c>
      <c r="D1256" s="276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1003</v>
      </c>
      <c r="C1257" s="275" t="s">
        <v>853</v>
      </c>
      <c r="D1257" s="276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1004</v>
      </c>
      <c r="C1258" s="275" t="s">
        <v>853</v>
      </c>
      <c r="D1258" s="276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1005</v>
      </c>
      <c r="C1259" s="275" t="s">
        <v>853</v>
      </c>
      <c r="D1259" s="276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1006</v>
      </c>
      <c r="C1260" s="275" t="s">
        <v>853</v>
      </c>
      <c r="D1260" s="276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1007</v>
      </c>
      <c r="C1261" s="275" t="s">
        <v>853</v>
      </c>
      <c r="D1261" s="276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1008</v>
      </c>
      <c r="C1262" s="275" t="s">
        <v>853</v>
      </c>
      <c r="D1262" s="276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1009</v>
      </c>
      <c r="C1263" s="275" t="s">
        <v>853</v>
      </c>
      <c r="D1263" s="276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1010</v>
      </c>
      <c r="C1264" s="275" t="s">
        <v>853</v>
      </c>
      <c r="D1264" s="276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1011</v>
      </c>
      <c r="C1265" s="275" t="s">
        <v>853</v>
      </c>
      <c r="D1265" s="276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1012</v>
      </c>
      <c r="C1266" s="275" t="s">
        <v>853</v>
      </c>
      <c r="D1266" s="276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1013</v>
      </c>
      <c r="C1267" s="275" t="s">
        <v>853</v>
      </c>
      <c r="D1267" s="276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1014</v>
      </c>
      <c r="C1268" s="275" t="s">
        <v>853</v>
      </c>
      <c r="D1268" s="276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1015</v>
      </c>
      <c r="C1269" s="275" t="s">
        <v>853</v>
      </c>
      <c r="D1269" s="276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1016</v>
      </c>
      <c r="C1270" s="275" t="s">
        <v>853</v>
      </c>
      <c r="D1270" s="276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1017</v>
      </c>
      <c r="C1271" s="275" t="s">
        <v>853</v>
      </c>
      <c r="D1271" s="276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1018</v>
      </c>
      <c r="C1272" s="275" t="s">
        <v>853</v>
      </c>
      <c r="D1272" s="276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1019</v>
      </c>
      <c r="C1273" s="275" t="s">
        <v>853</v>
      </c>
      <c r="D1273" s="276" t="s">
        <v>114</v>
      </c>
      <c r="E1273" s="141">
        <v>44533.333333333336</v>
      </c>
      <c r="F1273" s="277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1020</v>
      </c>
      <c r="C1274" s="275" t="s">
        <v>853</v>
      </c>
      <c r="D1274" s="276" t="s">
        <v>114</v>
      </c>
      <c r="E1274" s="141">
        <v>30900</v>
      </c>
      <c r="F1274" s="277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1021</v>
      </c>
      <c r="C1275" s="275" t="s">
        <v>853</v>
      </c>
      <c r="D1275" s="276" t="s">
        <v>1022</v>
      </c>
      <c r="E1275" s="141">
        <v>44500</v>
      </c>
      <c r="F1275" s="277" t="s">
        <v>114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1023</v>
      </c>
      <c r="C1276" s="275" t="s">
        <v>853</v>
      </c>
      <c r="D1276" s="276" t="s">
        <v>114</v>
      </c>
      <c r="E1276" s="141">
        <v>22370</v>
      </c>
      <c r="F1276" s="277" t="s">
        <v>114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1024</v>
      </c>
      <c r="C1277" s="275" t="s">
        <v>853</v>
      </c>
      <c r="D1277" s="276" t="s">
        <v>114</v>
      </c>
      <c r="E1277" s="141">
        <v>184100</v>
      </c>
      <c r="F1277" s="277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1025</v>
      </c>
      <c r="C1278" s="275" t="s">
        <v>853</v>
      </c>
      <c r="D1278" s="276" t="s">
        <v>114</v>
      </c>
      <c r="E1278" s="141">
        <v>6333.3374999999996</v>
      </c>
      <c r="F1278" s="277" t="s">
        <v>114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1026</v>
      </c>
      <c r="C1279" s="275" t="s">
        <v>853</v>
      </c>
      <c r="D1279" s="276" t="s">
        <v>114</v>
      </c>
      <c r="E1279" s="141">
        <v>17266.599999999999</v>
      </c>
      <c r="F1279" s="277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1027</v>
      </c>
      <c r="C1280" s="275" t="s">
        <v>853</v>
      </c>
      <c r="D1280" s="276" t="s">
        <v>114</v>
      </c>
      <c r="E1280" s="141">
        <v>6796.7</v>
      </c>
      <c r="F1280" s="277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1028</v>
      </c>
      <c r="C1281" s="275" t="s">
        <v>853</v>
      </c>
      <c r="D1281" s="276" t="s">
        <v>114</v>
      </c>
      <c r="E1281" s="141">
        <v>182666.66666666666</v>
      </c>
      <c r="F1281" s="277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1029</v>
      </c>
      <c r="C1282" s="275" t="s">
        <v>853</v>
      </c>
      <c r="D1282" s="276" t="s">
        <v>1022</v>
      </c>
      <c r="E1282" s="141">
        <v>2500</v>
      </c>
      <c r="F1282" s="277" t="s">
        <v>114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1030</v>
      </c>
      <c r="C1283" s="275" t="s">
        <v>853</v>
      </c>
      <c r="D1283" s="276" t="s">
        <v>114</v>
      </c>
      <c r="E1283" s="141">
        <v>46996.6</v>
      </c>
      <c r="F1283" s="277" t="s">
        <v>114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1030</v>
      </c>
      <c r="C1284" s="275" t="s">
        <v>853</v>
      </c>
      <c r="D1284" s="276" t="s">
        <v>114</v>
      </c>
      <c r="E1284" s="141">
        <v>48330</v>
      </c>
      <c r="F1284" s="277" t="s">
        <v>114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1031</v>
      </c>
      <c r="C1285" s="275" t="s">
        <v>853</v>
      </c>
      <c r="D1285" s="276" t="s">
        <v>1032</v>
      </c>
      <c r="E1285" s="141">
        <v>10166.700000000001</v>
      </c>
      <c r="F1285" s="277" t="s">
        <v>1032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1033</v>
      </c>
      <c r="C1286" s="275" t="s">
        <v>853</v>
      </c>
      <c r="D1286" s="276" t="s">
        <v>114</v>
      </c>
      <c r="E1286" s="141">
        <v>104388.75</v>
      </c>
      <c r="F1286" s="277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1034</v>
      </c>
      <c r="C1287" s="275" t="s">
        <v>853</v>
      </c>
      <c r="D1287" s="276" t="s">
        <v>114</v>
      </c>
      <c r="E1287" s="141">
        <v>79760</v>
      </c>
      <c r="F1287" s="277" t="s">
        <v>114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1035</v>
      </c>
      <c r="C1288" s="275" t="s">
        <v>853</v>
      </c>
      <c r="D1288" s="276" t="s">
        <v>209</v>
      </c>
      <c r="E1288" s="141">
        <v>62000</v>
      </c>
      <c r="F1288" s="277" t="s">
        <v>209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1036</v>
      </c>
      <c r="C1289" s="275" t="s">
        <v>853</v>
      </c>
      <c r="D1289" s="276" t="s">
        <v>114</v>
      </c>
      <c r="E1289" s="141">
        <v>152500</v>
      </c>
      <c r="F1289" s="277" t="s">
        <v>114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1037</v>
      </c>
      <c r="C1290" s="275" t="s">
        <v>853</v>
      </c>
      <c r="D1290" s="276" t="s">
        <v>114</v>
      </c>
      <c r="E1290" s="141">
        <v>432050</v>
      </c>
      <c r="F1290" s="277" t="s">
        <v>114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96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81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1038</v>
      </c>
      <c r="C1328" s="37" t="s">
        <v>1039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1039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1039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1039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1039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1039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1039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1039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1039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1039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1039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1039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1039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1039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1039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1039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1039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1039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1039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1039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1039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1039</v>
      </c>
      <c r="D1349" s="48" t="s">
        <v>1061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1039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1039</v>
      </c>
      <c r="D1351" s="48" t="s">
        <v>1065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1039</v>
      </c>
      <c r="D1352" s="48" t="s">
        <v>1063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1039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1039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1039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1039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1073</v>
      </c>
      <c r="C1357" s="37" t="s">
        <v>1039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1074</v>
      </c>
      <c r="C1358" s="37" t="s">
        <v>1039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1075</v>
      </c>
      <c r="C1359" s="37" t="s">
        <v>1039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1039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1077</v>
      </c>
      <c r="C1361" s="37" t="s">
        <v>1039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1078</v>
      </c>
      <c r="C1362" s="37" t="s">
        <v>1039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1079</v>
      </c>
      <c r="C1363" s="37" t="s">
        <v>1039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1080</v>
      </c>
      <c r="C1364" s="37" t="s">
        <v>1039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1039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1039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1039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1084</v>
      </c>
      <c r="C1368" s="37" t="s">
        <v>1039</v>
      </c>
      <c r="D1368" s="48" t="s">
        <v>1085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1086</v>
      </c>
      <c r="C1369" s="37" t="s">
        <v>1039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1087</v>
      </c>
      <c r="C1370" s="37" t="s">
        <v>1039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1039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1089</v>
      </c>
      <c r="C1372" s="37" t="s">
        <v>1039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1090</v>
      </c>
      <c r="C1373" s="161" t="s">
        <v>1039</v>
      </c>
      <c r="D1373" s="296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1091</v>
      </c>
      <c r="C1374" s="161" t="s">
        <v>1039</v>
      </c>
      <c r="D1374" s="289" t="s">
        <v>114</v>
      </c>
      <c r="E1374" s="62"/>
      <c r="F1374" s="191" t="s">
        <v>114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1092</v>
      </c>
      <c r="C1375" s="161" t="s">
        <v>1039</v>
      </c>
      <c r="D1375" s="289" t="s">
        <v>114</v>
      </c>
      <c r="E1375" s="62"/>
      <c r="F1375" s="191" t="s">
        <v>114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1093</v>
      </c>
      <c r="C1376" s="161" t="s">
        <v>1039</v>
      </c>
      <c r="D1376" s="289" t="s">
        <v>114</v>
      </c>
      <c r="E1376" s="62"/>
      <c r="F1376" s="191" t="s">
        <v>114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1094</v>
      </c>
      <c r="C1377" s="161" t="s">
        <v>1039</v>
      </c>
      <c r="D1377" s="289" t="s">
        <v>114</v>
      </c>
      <c r="E1377" s="62"/>
      <c r="F1377" s="191" t="s">
        <v>114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1095</v>
      </c>
      <c r="C1378" s="161" t="s">
        <v>1039</v>
      </c>
      <c r="D1378" s="289" t="s">
        <v>114</v>
      </c>
      <c r="E1378" s="62"/>
      <c r="F1378" s="191" t="s">
        <v>114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1096</v>
      </c>
      <c r="C1379" s="37" t="s">
        <v>1039</v>
      </c>
      <c r="D1379" s="290" t="s">
        <v>114</v>
      </c>
      <c r="E1379" s="43"/>
      <c r="F1379" s="188" t="s">
        <v>114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1097</v>
      </c>
      <c r="C1380" s="218" t="s">
        <v>1039</v>
      </c>
      <c r="D1380" s="291" t="s">
        <v>114</v>
      </c>
      <c r="E1380" s="166"/>
      <c r="F1380" s="192" t="s">
        <v>114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1098</v>
      </c>
      <c r="C1381" s="218" t="s">
        <v>1039</v>
      </c>
      <c r="D1381" s="291" t="s">
        <v>114</v>
      </c>
      <c r="E1381" s="166"/>
      <c r="F1381" s="192" t="s">
        <v>114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1099</v>
      </c>
      <c r="C1382" s="220" t="s">
        <v>1039</v>
      </c>
      <c r="D1382" s="292" t="s">
        <v>114</v>
      </c>
      <c r="E1382" s="221"/>
      <c r="F1382" s="193" t="s">
        <v>114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0" t="s">
        <v>1039</v>
      </c>
      <c r="D1383" s="10" t="s">
        <v>114</v>
      </c>
      <c r="E1383" s="221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1101</v>
      </c>
      <c r="C1384" s="218" t="s">
        <v>1039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1102</v>
      </c>
      <c r="C1385" s="218" t="s">
        <v>1039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1103</v>
      </c>
      <c r="C1386" s="218" t="s">
        <v>1039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1104</v>
      </c>
      <c r="C1387" s="218" t="s">
        <v>1039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1105</v>
      </c>
      <c r="C1388" s="218" t="s">
        <v>1039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1106</v>
      </c>
      <c r="C1389" s="218" t="s">
        <v>1039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1107</v>
      </c>
      <c r="C1390" s="218" t="s">
        <v>1039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1108</v>
      </c>
      <c r="C1391" s="218" t="s">
        <v>1039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1109</v>
      </c>
      <c r="C1392" s="218" t="s">
        <v>1039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1110</v>
      </c>
      <c r="C1393" s="218" t="s">
        <v>1039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1111</v>
      </c>
      <c r="C1394" s="218" t="s">
        <v>1039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1112</v>
      </c>
      <c r="C1395" s="218" t="s">
        <v>1039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1113</v>
      </c>
      <c r="C1396" s="218" t="s">
        <v>1039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1114</v>
      </c>
      <c r="C1397" s="218" t="s">
        <v>1039</v>
      </c>
      <c r="D1397" s="247" t="s">
        <v>1061</v>
      </c>
      <c r="E1397" s="166">
        <v>74866.666666666672</v>
      </c>
      <c r="F1397" s="193" t="s">
        <v>1061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1115</v>
      </c>
      <c r="C1398" s="218" t="s">
        <v>1039</v>
      </c>
      <c r="D1398" s="247" t="s">
        <v>1116</v>
      </c>
      <c r="E1398" s="166">
        <v>74866.666666666672</v>
      </c>
      <c r="F1398" s="193" t="s">
        <v>1116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1117</v>
      </c>
      <c r="C1399" s="218" t="s">
        <v>1039</v>
      </c>
      <c r="D1399" s="247" t="s">
        <v>114</v>
      </c>
      <c r="E1399" s="166">
        <v>19073</v>
      </c>
      <c r="F1399" s="193" t="s">
        <v>114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1118</v>
      </c>
      <c r="C1400" s="218" t="s">
        <v>1039</v>
      </c>
      <c r="D1400" s="247" t="s">
        <v>114</v>
      </c>
      <c r="E1400" s="166">
        <v>866.66499999999996</v>
      </c>
      <c r="F1400" s="193" t="s">
        <v>114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1119</v>
      </c>
      <c r="C1401" s="218" t="s">
        <v>1039</v>
      </c>
      <c r="D1401" s="247" t="s">
        <v>1070</v>
      </c>
      <c r="E1401" s="166">
        <v>513.33285714285716</v>
      </c>
      <c r="F1401" s="193" t="s">
        <v>1070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1120</v>
      </c>
      <c r="C1402" s="218" t="s">
        <v>1039</v>
      </c>
      <c r="D1402" s="247" t="s">
        <v>114</v>
      </c>
      <c r="E1402" s="166">
        <v>19000</v>
      </c>
      <c r="F1402" s="193" t="s">
        <v>114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1121</v>
      </c>
      <c r="C1403" s="218" t="s">
        <v>1039</v>
      </c>
      <c r="D1403" s="247" t="s">
        <v>114</v>
      </c>
      <c r="E1403" s="166">
        <v>3800</v>
      </c>
      <c r="F1403" s="193" t="s">
        <v>114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1122</v>
      </c>
      <c r="C1404" s="218" t="s">
        <v>1039</v>
      </c>
      <c r="D1404" s="247" t="s">
        <v>177</v>
      </c>
      <c r="E1404" s="166">
        <v>3200</v>
      </c>
      <c r="F1404" s="193" t="s">
        <v>177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1123</v>
      </c>
      <c r="C1405" s="218" t="s">
        <v>1039</v>
      </c>
      <c r="D1405" s="247" t="s">
        <v>219</v>
      </c>
      <c r="E1405" s="166">
        <v>7200</v>
      </c>
      <c r="F1405" s="193" t="s">
        <v>1061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1124</v>
      </c>
      <c r="C1406" s="220" t="s">
        <v>1039</v>
      </c>
      <c r="D1406" s="10" t="s">
        <v>362</v>
      </c>
      <c r="E1406" s="221"/>
      <c r="F1406" s="292" t="s">
        <v>362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1125</v>
      </c>
      <c r="C1407" s="218" t="s">
        <v>1039</v>
      </c>
      <c r="D1407" s="10" t="s">
        <v>362</v>
      </c>
      <c r="E1407" s="166"/>
      <c r="F1407" s="10" t="s">
        <v>362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1126</v>
      </c>
      <c r="C1408" s="218" t="s">
        <v>1039</v>
      </c>
      <c r="D1408" s="10" t="s">
        <v>362</v>
      </c>
      <c r="E1408" s="166"/>
      <c r="F1408" s="10" t="s">
        <v>362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1127</v>
      </c>
      <c r="C1409" s="218" t="s">
        <v>1039</v>
      </c>
      <c r="D1409" s="10" t="s">
        <v>362</v>
      </c>
      <c r="E1409" s="166"/>
      <c r="F1409" s="10" t="s">
        <v>362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1128</v>
      </c>
      <c r="C1410" s="218" t="s">
        <v>1039</v>
      </c>
      <c r="D1410" s="247" t="s">
        <v>114</v>
      </c>
      <c r="E1410" s="166">
        <v>6013.33</v>
      </c>
      <c r="F1410" s="272" t="s">
        <v>114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1129</v>
      </c>
      <c r="C1411" s="218" t="s">
        <v>1039</v>
      </c>
      <c r="D1411" s="247" t="s">
        <v>114</v>
      </c>
      <c r="E1411" s="166">
        <v>1101.5</v>
      </c>
      <c r="F1411" s="272" t="s">
        <v>114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1130</v>
      </c>
      <c r="C1412" s="218" t="s">
        <v>1039</v>
      </c>
      <c r="D1412" s="247" t="s">
        <v>114</v>
      </c>
      <c r="E1412" s="166">
        <v>11100</v>
      </c>
      <c r="F1412" s="272" t="s">
        <v>114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1131</v>
      </c>
      <c r="C1413" s="218" t="s">
        <v>1039</v>
      </c>
      <c r="D1413" s="10" t="s">
        <v>362</v>
      </c>
      <c r="E1413" s="166"/>
      <c r="F1413" s="10" t="s">
        <v>362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1132</v>
      </c>
      <c r="C1414" s="218" t="s">
        <v>1039</v>
      </c>
      <c r="D1414" s="10" t="s">
        <v>362</v>
      </c>
      <c r="E1414" s="166"/>
      <c r="F1414" s="10" t="s">
        <v>362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1133</v>
      </c>
      <c r="C1415" s="220" t="s">
        <v>1039</v>
      </c>
      <c r="D1415" s="10" t="s">
        <v>362</v>
      </c>
      <c r="E1415" s="221"/>
      <c r="F1415" s="10" t="s">
        <v>362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96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81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1134</v>
      </c>
      <c r="C1428" s="218" t="s">
        <v>61</v>
      </c>
      <c r="D1428" s="234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8" t="s">
        <v>61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8" t="s">
        <v>61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8" t="s">
        <v>61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8" t="s">
        <v>61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8" t="s">
        <v>61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8" t="s">
        <v>61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8" t="s">
        <v>61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8" t="s">
        <v>61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8" t="s">
        <v>61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8" t="s">
        <v>61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8" t="s">
        <v>61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8" t="s">
        <v>61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8" t="s">
        <v>61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8" t="s">
        <v>61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8" t="s">
        <v>61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8" t="s">
        <v>61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1152</v>
      </c>
      <c r="C1445" s="218" t="s">
        <v>61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1153</v>
      </c>
      <c r="C1446" s="218" t="s">
        <v>61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8" t="s">
        <v>61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8" t="s">
        <v>61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8" t="s">
        <v>61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8" t="s">
        <v>61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8" t="s">
        <v>61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8" t="s">
        <v>61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8" t="s">
        <v>61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8" t="s">
        <v>61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8" t="s">
        <v>61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8" t="s">
        <v>61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8" t="s">
        <v>61</v>
      </c>
      <c r="D1457" s="48" t="s">
        <v>1070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8" t="s">
        <v>61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8" t="s">
        <v>61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8" t="s">
        <v>61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8" t="s">
        <v>61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8" t="s">
        <v>61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8" t="s">
        <v>61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8" t="s">
        <v>61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8" t="s">
        <v>61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8" t="s">
        <v>61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8" t="s">
        <v>61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8" t="s">
        <v>61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8" t="s">
        <v>61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8" t="s">
        <v>61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8" t="s">
        <v>61</v>
      </c>
      <c r="D1471" s="48" t="s">
        <v>241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8" t="s">
        <v>61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8" t="s">
        <v>61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8" t="s">
        <v>61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8" t="s">
        <v>61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8" t="s">
        <v>61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8" t="s">
        <v>61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8" t="s">
        <v>61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8" t="s">
        <v>61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8" t="s">
        <v>61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8" t="s">
        <v>61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8" t="s">
        <v>61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8" t="s">
        <v>61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8" t="s">
        <v>61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8" t="s">
        <v>61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8" t="s">
        <v>61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8" t="s">
        <v>61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8" t="s">
        <v>61</v>
      </c>
      <c r="D1488" s="48" t="s">
        <v>1070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8" t="s">
        <v>61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8" t="s">
        <v>61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8" t="s">
        <v>61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8" t="s">
        <v>61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8" t="s">
        <v>61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8" t="s">
        <v>61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8" t="s">
        <v>61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8" t="s">
        <v>61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8" t="s">
        <v>61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8" t="s">
        <v>61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8" t="s">
        <v>61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8" t="s">
        <v>61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8" t="s">
        <v>61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8" t="s">
        <v>61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1212</v>
      </c>
      <c r="C1503" s="218" t="s">
        <v>61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1213</v>
      </c>
      <c r="C1504" s="218" t="s">
        <v>61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8" t="s">
        <v>61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8" t="s">
        <v>61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8" t="s">
        <v>61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8" t="s">
        <v>61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1218</v>
      </c>
      <c r="C1509" s="218" t="s">
        <v>61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1039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96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81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1271</v>
      </c>
      <c r="C1569" s="100" t="s">
        <v>1221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1310</v>
      </c>
      <c r="F1" s="12" t="s">
        <v>1311</v>
      </c>
      <c r="H1" s="15" t="s">
        <v>1312</v>
      </c>
      <c r="I1" s="15" t="s">
        <v>1313</v>
      </c>
      <c r="K1" s="15" t="s">
        <v>23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5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45</v>
      </c>
    </row>
    <row r="3" spans="1:13" outlineLevel="1">
      <c r="A3" s="3" t="s">
        <v>1321</v>
      </c>
      <c r="B3" s="5" t="s">
        <v>219</v>
      </c>
      <c r="D3" s="265" t="s">
        <v>1322</v>
      </c>
      <c r="F3" s="2" t="s">
        <v>9</v>
      </c>
      <c r="H3" s="18" t="s">
        <v>6</v>
      </c>
      <c r="I3" s="19">
        <v>43687423</v>
      </c>
      <c r="K3" t="s">
        <v>1323</v>
      </c>
      <c r="M3" s="79" t="s">
        <v>51</v>
      </c>
    </row>
    <row r="4" spans="1:13" ht="30" outlineLevel="1">
      <c r="A4" s="2" t="s">
        <v>1324</v>
      </c>
      <c r="B4" s="5" t="s">
        <v>310</v>
      </c>
      <c r="D4" s="266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25</v>
      </c>
    </row>
    <row r="5" spans="1:13" ht="30" outlineLevel="1">
      <c r="A5" s="3" t="s">
        <v>1329</v>
      </c>
      <c r="B5" s="5" t="s">
        <v>1330</v>
      </c>
      <c r="D5" s="268" t="s">
        <v>1331</v>
      </c>
      <c r="F5" s="2" t="s">
        <v>1332</v>
      </c>
      <c r="H5" s="21" t="s">
        <v>1333</v>
      </c>
      <c r="I5" s="22">
        <v>1036620040</v>
      </c>
      <c r="K5" t="s">
        <v>1334</v>
      </c>
      <c r="M5" s="79" t="s">
        <v>853</v>
      </c>
    </row>
    <row r="6" spans="1:13" outlineLevel="1">
      <c r="A6" s="2" t="s">
        <v>327</v>
      </c>
      <c r="B6" s="5" t="s">
        <v>327</v>
      </c>
      <c r="D6" t="s">
        <v>1335</v>
      </c>
      <c r="F6" s="3" t="s">
        <v>1336</v>
      </c>
      <c r="H6" s="16" t="s">
        <v>1337</v>
      </c>
      <c r="I6" s="23">
        <v>1033686182</v>
      </c>
      <c r="K6" t="s">
        <v>1338</v>
      </c>
      <c r="M6" s="113" t="s">
        <v>1039</v>
      </c>
    </row>
    <row r="7" spans="1:13" outlineLevel="1">
      <c r="A7" s="2" t="s">
        <v>1339</v>
      </c>
      <c r="B7" s="5" t="s">
        <v>1340</v>
      </c>
      <c r="F7" s="2" t="s">
        <v>1341</v>
      </c>
      <c r="H7" s="21" t="s">
        <v>1342</v>
      </c>
      <c r="I7" s="22">
        <v>32209568</v>
      </c>
      <c r="K7" t="s">
        <v>1343</v>
      </c>
      <c r="M7" s="79" t="s">
        <v>30</v>
      </c>
    </row>
    <row r="8" spans="1:13" outlineLevel="1">
      <c r="A8" s="3" t="s">
        <v>1344</v>
      </c>
      <c r="B8" s="5" t="s">
        <v>1345</v>
      </c>
      <c r="F8" s="3" t="s">
        <v>1346</v>
      </c>
      <c r="H8" s="24" t="s">
        <v>1347</v>
      </c>
      <c r="I8" s="20">
        <v>71292446</v>
      </c>
      <c r="K8" t="s">
        <v>1348</v>
      </c>
      <c r="M8" s="79" t="s">
        <v>34</v>
      </c>
    </row>
    <row r="9" spans="1:13" outlineLevel="1">
      <c r="A9" s="2" t="s">
        <v>1349</v>
      </c>
      <c r="B9" s="5" t="s">
        <v>1203</v>
      </c>
      <c r="F9" s="2" t="s">
        <v>1350</v>
      </c>
      <c r="H9" t="s">
        <v>1351</v>
      </c>
      <c r="I9">
        <v>70323724</v>
      </c>
      <c r="K9" t="s">
        <v>1352</v>
      </c>
      <c r="M9" s="79" t="s">
        <v>64</v>
      </c>
    </row>
    <row r="10" spans="1:13" outlineLevel="1">
      <c r="A10" s="2" t="s">
        <v>1353</v>
      </c>
      <c r="B10" s="5" t="s">
        <v>108</v>
      </c>
      <c r="F10" s="3" t="s">
        <v>1354</v>
      </c>
      <c r="H10" s="24" t="s">
        <v>1355</v>
      </c>
      <c r="I10" s="20">
        <v>32142539</v>
      </c>
      <c r="K10" t="s">
        <v>1356</v>
      </c>
      <c r="M10" s="232" t="s">
        <v>125</v>
      </c>
    </row>
    <row r="11" spans="1:13" outlineLevel="1">
      <c r="A11" s="2" t="s">
        <v>1357</v>
      </c>
      <c r="B11" s="5" t="s">
        <v>1358</v>
      </c>
      <c r="F11" s="2" t="s">
        <v>1359</v>
      </c>
      <c r="H11" s="21" t="s">
        <v>1360</v>
      </c>
      <c r="I11" s="22">
        <v>79897894</v>
      </c>
      <c r="K11" t="s">
        <v>1361</v>
      </c>
      <c r="M11" s="232" t="s">
        <v>61</v>
      </c>
    </row>
    <row r="12" spans="1:13" ht="30" outlineLevel="1">
      <c r="A12" s="3" t="s">
        <v>1362</v>
      </c>
      <c r="B12" s="5" t="s">
        <v>1032</v>
      </c>
      <c r="F12" s="301" t="s">
        <v>1363</v>
      </c>
      <c r="H12" s="27" t="s">
        <v>1364</v>
      </c>
      <c r="I12" s="28">
        <v>32184975</v>
      </c>
      <c r="M12" s="232" t="s">
        <v>1221</v>
      </c>
    </row>
    <row r="13" spans="1:13" outlineLevel="1">
      <c r="A13" s="3" t="s">
        <v>1365</v>
      </c>
      <c r="B13" s="5" t="s">
        <v>1365</v>
      </c>
      <c r="H13" s="21" t="s">
        <v>1366</v>
      </c>
      <c r="I13" s="22">
        <v>71662031</v>
      </c>
    </row>
    <row r="14" spans="1:13" outlineLevel="1">
      <c r="A14" s="3" t="s">
        <v>1367</v>
      </c>
      <c r="B14" s="5" t="s">
        <v>1231</v>
      </c>
      <c r="H14" s="24" t="s">
        <v>1368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1369</v>
      </c>
      <c r="I15" s="26">
        <v>16757142</v>
      </c>
    </row>
    <row r="16" spans="1:13" outlineLevel="1">
      <c r="A16" s="2" t="s">
        <v>1370</v>
      </c>
      <c r="B16" s="5" t="s">
        <v>241</v>
      </c>
      <c r="H16" s="253" t="s">
        <v>1371</v>
      </c>
      <c r="I16" s="22">
        <v>71278905</v>
      </c>
    </row>
    <row r="17" spans="1:9" outlineLevel="1">
      <c r="A17" s="2" t="s">
        <v>1372</v>
      </c>
      <c r="B17" s="5" t="s">
        <v>362</v>
      </c>
      <c r="H17" s="24" t="s">
        <v>1373</v>
      </c>
      <c r="I17" s="20">
        <v>1152194903</v>
      </c>
    </row>
    <row r="18" spans="1:9" outlineLevel="1">
      <c r="A18" s="2" t="s">
        <v>1374</v>
      </c>
      <c r="B18" s="5" t="s">
        <v>1224</v>
      </c>
      <c r="H18" s="25" t="s">
        <v>1375</v>
      </c>
      <c r="I18" s="255" t="s">
        <v>1376</v>
      </c>
    </row>
    <row r="19" spans="1:9" outlineLevel="1">
      <c r="A19" s="3" t="s">
        <v>1377</v>
      </c>
      <c r="B19" s="5" t="s">
        <v>244</v>
      </c>
      <c r="H19" s="24" t="s">
        <v>1378</v>
      </c>
      <c r="I19" s="20">
        <v>71639999</v>
      </c>
    </row>
    <row r="20" spans="1:9" outlineLevel="1">
      <c r="A20" t="s">
        <v>1379</v>
      </c>
      <c r="B20" s="5" t="s">
        <v>1380</v>
      </c>
      <c r="H20" s="25" t="s">
        <v>1381</v>
      </c>
      <c r="I20" s="26">
        <v>1121878447</v>
      </c>
    </row>
    <row r="21" spans="1:9" outlineLevel="1">
      <c r="A21" t="s">
        <v>1382</v>
      </c>
      <c r="B21" s="6" t="s">
        <v>109</v>
      </c>
      <c r="H21" s="21" t="s">
        <v>1383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1384</v>
      </c>
      <c r="I22" s="20">
        <v>43506380</v>
      </c>
    </row>
    <row r="23" spans="1:9" outlineLevel="1">
      <c r="A23" s="4" t="s">
        <v>1385</v>
      </c>
      <c r="B23" s="5" t="s">
        <v>211</v>
      </c>
      <c r="H23" s="24" t="s">
        <v>1386</v>
      </c>
      <c r="I23" s="20">
        <v>43498846</v>
      </c>
    </row>
    <row r="24" spans="1:9" outlineLevel="1">
      <c r="A24" t="s">
        <v>1387</v>
      </c>
      <c r="B24" s="5" t="s">
        <v>177</v>
      </c>
      <c r="H24" s="21" t="s">
        <v>1388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1389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1390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1391</v>
      </c>
      <c r="I27" s="20">
        <v>5820573</v>
      </c>
    </row>
    <row r="28" spans="1:9" outlineLevel="1">
      <c r="A28" s="4" t="s">
        <v>1392</v>
      </c>
      <c r="B28" s="5" t="s">
        <v>114</v>
      </c>
      <c r="H28" s="201" t="s">
        <v>1393</v>
      </c>
      <c r="I28" s="26">
        <v>80810881</v>
      </c>
    </row>
    <row r="29" spans="1:9" outlineLevel="1">
      <c r="H29" s="201" t="s">
        <v>1394</v>
      </c>
      <c r="I29" s="26">
        <v>70566616</v>
      </c>
    </row>
    <row r="30" spans="1:9" outlineLevel="1">
      <c r="H30" s="11" t="s">
        <v>1395</v>
      </c>
      <c r="I30" s="88">
        <v>71765633</v>
      </c>
    </row>
    <row r="31" spans="1:9" outlineLevel="1">
      <c r="H31" s="254" t="s">
        <v>1396</v>
      </c>
      <c r="I31" s="254">
        <v>43874217</v>
      </c>
    </row>
    <row r="32" spans="1:9" outlineLevel="1">
      <c r="H32" t="s">
        <v>1397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2024-06-24T14:20:55Z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