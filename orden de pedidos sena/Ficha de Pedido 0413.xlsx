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BEL GIL\"/>
    </mc:Choice>
  </mc:AlternateContent>
  <xr:revisionPtr revIDLastSave="0" documentId="13_ncr:1_{AA17C73E-B154-41A7-82EB-03099F33EDB3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61" l="1"/>
  <c r="J13" i="61" l="1"/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/>
  <c r="P16" i="61" a="1"/>
  <c r="P16" i="61" s="1"/>
  <c r="P17" i="61" a="1"/>
  <c r="P17" i="61" s="1"/>
  <c r="P18" i="61" a="1"/>
  <c r="P18" i="61" s="1"/>
  <c r="P19" i="61" a="1"/>
  <c r="P19" i="61" s="1"/>
  <c r="P20" i="61" a="1"/>
  <c r="P20" i="61"/>
  <c r="P21" i="61" a="1"/>
  <c r="P21" i="61"/>
  <c r="P22" i="61" a="1"/>
  <c r="P22" i="61"/>
  <c r="P23" i="61" a="1"/>
  <c r="P23" i="61"/>
  <c r="P24" i="61" a="1"/>
  <c r="P24" i="61" s="1"/>
  <c r="P25" i="61" a="1"/>
  <c r="P25" i="61" s="1"/>
  <c r="P26" i="61" a="1"/>
  <c r="P26" i="61" s="1"/>
  <c r="P27" i="61" a="1"/>
  <c r="P27" i="61" s="1"/>
  <c r="P28" i="61" a="1"/>
  <c r="P28" i="61"/>
  <c r="P29" i="61" a="1"/>
  <c r="P29" i="6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W11" i="43" s="1"/>
  <c r="H13" i="61" a="1"/>
  <c r="H13" i="61" s="1"/>
  <c r="S12" i="43"/>
  <c r="H14" i="61" s="1" a="1"/>
  <c r="H14" i="61" s="1"/>
  <c r="S13" i="43"/>
  <c r="H15" i="61" s="1" a="1"/>
  <c r="H15" i="61" s="1"/>
  <c r="S14" i="43"/>
  <c r="W14" i="43" s="1"/>
  <c r="H16" i="61" a="1"/>
  <c r="H16" i="61" s="1"/>
  <c r="S15" i="43"/>
  <c r="W15" i="43" s="1"/>
  <c r="S16" i="43"/>
  <c r="H18" i="61" s="1" a="1"/>
  <c r="H18" i="61" s="1"/>
  <c r="S17" i="43"/>
  <c r="H19" i="61" s="1" a="1"/>
  <c r="H19" i="61" s="1"/>
  <c r="S18" i="43"/>
  <c r="H20" i="61" a="1"/>
  <c r="H20" i="61" s="1"/>
  <c r="S19" i="43"/>
  <c r="H21" i="61" s="1" a="1"/>
  <c r="H21" i="61" s="1"/>
  <c r="S20" i="43"/>
  <c r="H22" i="61" s="1" a="1"/>
  <c r="H22" i="61" s="1"/>
  <c r="S21" i="43"/>
  <c r="W21" i="43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W28" i="43" s="1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2" i="43"/>
  <c r="W23" i="43"/>
  <c r="W24" i="43"/>
  <c r="W25" i="43"/>
  <c r="W26" i="43"/>
  <c r="W27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20" i="43" l="1"/>
  <c r="H23" i="61" a="1"/>
  <c r="H23" i="61" s="1"/>
  <c r="K23" i="61" s="1" a="1"/>
  <c r="K23" i="61" s="1"/>
  <c r="W17" i="43"/>
  <c r="W16" i="43"/>
  <c r="H17" i="61" a="1"/>
  <c r="H17" i="61" s="1"/>
  <c r="O17" i="61" s="1"/>
  <c r="W13" i="43"/>
  <c r="O14" i="61"/>
  <c r="K14" i="61" a="1"/>
  <c r="K14" i="61" s="1"/>
  <c r="B14" i="61"/>
  <c r="K13" i="61" a="1"/>
  <c r="K13" i="61" s="1"/>
  <c r="O13" i="61"/>
  <c r="B13" i="61"/>
  <c r="B25" i="61"/>
  <c r="K25" i="61" a="1"/>
  <c r="K25" i="61" s="1"/>
  <c r="O25" i="61"/>
  <c r="B19" i="61"/>
  <c r="K19" i="61" a="1"/>
  <c r="K19" i="61" s="1"/>
  <c r="O19" i="61"/>
  <c r="K26" i="61" a="1"/>
  <c r="K26" i="61" s="1"/>
  <c r="B26" i="61"/>
  <c r="O26" i="61"/>
  <c r="K12" i="61" a="1"/>
  <c r="K12" i="61" s="1"/>
  <c r="B12" i="61"/>
  <c r="O12" i="61"/>
  <c r="K30" i="61" a="1"/>
  <c r="K30" i="61" s="1"/>
  <c r="O30" i="61"/>
  <c r="B30" i="61"/>
  <c r="O24" i="61"/>
  <c r="K24" i="61" a="1"/>
  <c r="K24" i="61" s="1"/>
  <c r="B24" i="61"/>
  <c r="K18" i="61" a="1"/>
  <c r="K18" i="61" s="1"/>
  <c r="B18" i="61"/>
  <c r="O18" i="61"/>
  <c r="K29" i="61" a="1"/>
  <c r="K29" i="61" s="1"/>
  <c r="O29" i="61"/>
  <c r="B29" i="61"/>
  <c r="K28" i="61" a="1"/>
  <c r="K28" i="61" s="1"/>
  <c r="B28" i="61"/>
  <c r="O28" i="61"/>
  <c r="K22" i="61" a="1"/>
  <c r="K22" i="61" s="1"/>
  <c r="B22" i="61"/>
  <c r="O22" i="61"/>
  <c r="K16" i="61" a="1"/>
  <c r="K16" i="61" s="1"/>
  <c r="B16" i="61"/>
  <c r="O16" i="61"/>
  <c r="K32" i="61" a="1"/>
  <c r="K32" i="61" s="1"/>
  <c r="B32" i="61"/>
  <c r="O32" i="61"/>
  <c r="O27" i="61"/>
  <c r="K27" i="61" a="1"/>
  <c r="K27" i="61" s="1"/>
  <c r="B27" i="61"/>
  <c r="B21" i="61"/>
  <c r="K21" i="61" a="1"/>
  <c r="K21" i="61" s="1"/>
  <c r="O21" i="61"/>
  <c r="K15" i="61" a="1"/>
  <c r="K15" i="61" s="1"/>
  <c r="B15" i="61"/>
  <c r="O15" i="61"/>
  <c r="O20" i="61"/>
  <c r="K20" i="61" a="1"/>
  <c r="K20" i="61" s="1"/>
  <c r="B20" i="61"/>
  <c r="O31" i="61"/>
  <c r="K31" i="61" a="1"/>
  <c r="K31" i="61" s="1"/>
  <c r="B31" i="61"/>
  <c r="K17" i="61" l="1" a="1"/>
  <c r="K17" i="61" s="1"/>
  <c r="B23" i="61"/>
  <c r="O23" i="61"/>
  <c r="D5" i="43"/>
  <c r="O5" i="43" s="1"/>
  <c r="B17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<sst xmlns="http://schemas.openxmlformats.org/spreadsheetml/2006/main" count="5058" uniqueCount="1409">
  <si>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</si>
  <si>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</si>
  <si>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</si>
  <si>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</si>
  <si>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</si>
  <si>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</si>
  <si>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</si>
  <si>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</si>
  <si>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</si>
  <si>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</si>
  <si>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</si>
  <si>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</si>
  <si>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</si>
  <si>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</si>
  <si>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</si>
  <si>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</si>
  <si>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</si>
  <si>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</si>
  <si>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</si>
  <si>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</si>
  <si>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</si>
  <si>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</si>
  <si>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</si>
  <si>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</si>
  <si>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</si>
  <si>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</si>
  <si>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</si>
  <si>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</si>
  <si>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</si>
  <si>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</si>
  <si>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</si>
  <si>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</si>
  <si>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</si>
  <si>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</si>
  <si>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</si>
  <si>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</si>
  <si>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</si>
  <si>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</si>
  <si>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</si>
  <si>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</si>
  <si>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</si>
  <si>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</si>
  <si>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</si>
  <si>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</si>
  <si>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</si>
  <si>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</si>
  <si>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</si>
  <si>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</si>
  <si>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</si>
  <si>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</si>
  <si>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</si>
  <si>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</si>
  <si>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</si>
  <si>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</si>
  <si>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</si>
  <si>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</si>
  <si>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</si>
  <si>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</si>
  <si>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</si>
  <si>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</si>
  <si>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</si>
  <si>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</si>
  <si>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</si>
  <si>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</si>
  <si>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</si>
  <si>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</si>
  <si>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</si>
  <si>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</si>
  <si>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</si>
  <si>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</si>
  <si>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</si>
  <si>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</si>
  <si>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</si>
  <si>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</si>
  <si>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</si>
  <si>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</si>
  <si>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</si>
  <si>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</si>
  <si>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</si>
  <si>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</si>
  <si>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</si>
  <si>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</si>
  <si>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</si>
  <si>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</si>
  <si>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</si>
  <si>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</si>
  <si>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</si>
  <si>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</si>
  <si>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</si>
  <si>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</si>
  <si>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</si>
  <si>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</si>
  <si>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</si>
  <si>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</si>
  <si>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</si>
  <si>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</si>
  <si>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</si>
  <si>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</si>
  <si>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</si>
  <si>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</si>
  <si>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</si>
  <si>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</si>
  <si>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</si>
  <si>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</si>
  <si>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</si>
  <si>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</si>
  <si>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</si>
  <si>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</si>
  <si>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</si>
  <si>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</si>
  <si>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</si>
  <si>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</si>
  <si>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</si>
  <si>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</si>
  <si>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</si>
  <si>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</si>
  <si>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</si>
  <si>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</si>
  <si>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</si>
  <si>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</si>
  <si>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</si>
  <si>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</si>
  <si>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</si>
  <si>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</si>
  <si>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</si>
  <si>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</si>
  <si>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</si>
  <si>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</si>
  <si>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</si>
  <si>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</si>
  <si>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</si>
  <si>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</si>
  <si>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</si>
  <si>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</si>
  <si>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</si>
  <si>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</si>
  <si>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</si>
  <si>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</si>
  <si>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</si>
  <si>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</si>
  <si>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</si>
  <si>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</si>
  <si>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</si>
  <si>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</si>
  <si>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</si>
  <si>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</si>
  <si>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</si>
  <si>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</si>
  <si>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</si>
  <si>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</si>
  <si>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</si>
  <si>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</si>
  <si>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</si>
  <si>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</si>
  <si>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</si>
  <si>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</si>
  <si>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</si>
  <si>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</si>
  <si>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</si>
  <si>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</si>
  <si>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</si>
  <si>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</si>
  <si>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</si>
  <si>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</si>
  <si>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</si>
  <si>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</si>
  <si>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</si>
  <si>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</si>
  <si>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</si>
  <si>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</si>
  <si>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</si>
  <si>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</si>
  <si>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</si>
  <si>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</si>
  <si>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</si>
  <si>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</si>
  <si>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</si>
  <si>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</si>
  <si>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</si>
  <si>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</si>
  <si>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</si>
  <si>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</si>
  <si>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</si>
  <si>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</si>
  <si>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</si>
  <si>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</si>
  <si>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</si>
  <si>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</si>
  <si>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</si>
  <si>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</si>
  <si>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</si>
  <si>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</si>
  <si>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</si>
  <si>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</si>
  <si>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</si>
  <si>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</si>
  <si>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</si>
  <si>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</si>
  <si>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</si>
  <si>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</si>
  <si>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</si>
  <si>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</si>
  <si>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</si>
  <si>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</si>
  <si>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</si>
  <si>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</si>
  <si>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</si>
  <si>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</si>
  <si>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</si>
  <si>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</si>
  <si>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</si>
  <si>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</si>
  <si>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</si>
  <si>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</si>
  <si>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</si>
  <si>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</si>
  <si>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</si>
  <si>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</si>
  <si>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</si>
  <si>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</si>
  <si>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</si>
  <si>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</si>
  <si>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</si>
  <si>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</si>
  <si>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</si>
  <si>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</si>
  <si>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</si>
  <si>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</si>
  <si>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</si>
  <si>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</si>
  <si>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</si>
  <si>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</si>
  <si>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</si>
  <si>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</si>
  <si>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</si>
  <si>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</si>
  <si>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</si>
  <si>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</si>
  <si>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</si>
  <si>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</si>
  <si>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</si>
  <si>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</si>
  <si>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</si>
  <si>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</si>
  <si>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</si>
  <si>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</si>
  <si>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</si>
  <si>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</si>
  <si>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</si>
  <si>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</si>
  <si>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</si>
  <si>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</si>
  <si>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</si>
  <si>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</si>
  <si>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</si>
  <si>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</si>
  <si>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</si>
  <si>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</si>
  <si>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</si>
  <si>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</si>
  <si>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</si>
  <si>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</si>
  <si>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</si>
  <si>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</si>
  <si>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</si>
  <si>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</si>
  <si>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</si>
  <si>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</si>
  <si>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</si>
  <si>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</si>
  <si>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</si>
  <si>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</si>
  <si>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</si>
  <si>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</si>
  <si>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</si>
  <si>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</si>
  <si>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</si>
  <si>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</si>
  <si>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</si>
  <si>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</si>
  <si>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</si>
  <si>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</si>
  <si>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</si>
  <si>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</si>
  <si>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</si>
  <si>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</si>
  <si>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</si>
  <si>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</si>
  <si>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</si>
  <si>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</si>
  <si>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</si>
  <si>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</si>
  <si>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</si>
  <si>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</si>
  <si>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</si>
  <si>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</si>
  <si>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</si>
  <si>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</si>
  <si>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</si>
  <si>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</si>
  <si>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</si>
  <si>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</si>
  <si>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</si>
  <si>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</si>
  <si>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</si>
  <si>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</si>
  <si>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</si>
  <si>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</si>
  <si>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</si>
  <si>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</si>
  <si>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</si>
  <si>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</si>
  <si>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</si>
  <si>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</si>
  <si>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</si>
  <si>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</si>
  <si>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</si>
  <si>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</si>
  <si>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</si>
  <si>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</si>
  <si>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</si>
  <si>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</si>
  <si>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</si>
  <si>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</si>
  <si>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</si>
  <si>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</si>
  <si>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</si>
  <si>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</si>
  <si>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</si>
  <si>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</si>
  <si>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</si>
  <si>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</si>
  <si>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</si>
  <si>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</si>
  <si>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</si>
  <si>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</si>
  <si>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</si>
  <si>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</si>
  <si>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</si>
  <si>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</si>
  <si>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</si>
  <si>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</si>
  <si>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</si>
  <si>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</si>
  <si>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</si>
  <si>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</si>
  <si>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</si>
  <si>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</si>
  <si>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</si>
  <si>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</si>
  <si>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</si>
  <si>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</si>
  <si>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</si>
  <si>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</si>
  <si>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</si>
  <si>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</si>
  <si>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</si>
  <si>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</si>
  <si>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</si>
  <si>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</si>
  <si>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</si>
  <si>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</si>
  <si>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</si>
  <si>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</si>
  <si>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</si>
  <si>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</si>
  <si>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</si>
  <si>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</si>
  <si>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</si>
  <si>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</si>
  <si>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</si>
  <si>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</si>
  <si>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</si>
  <si>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</si>
  <si>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</si>
  <si>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</si>
  <si>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</si>
  <si>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</si>
  <si>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</si>
  <si>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</si>
  <si>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</si>
  <si>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</si>
  <si>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</si>
  <si>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</si>
  <si>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</si>
  <si>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</si>
  <si>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</si>
  <si>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</si>
  <si>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</si>
  <si>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</si>
  <si>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</si>
  <si>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</si>
  <si>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</si>
  <si>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</si>
  <si>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</si>
  <si>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</si>
  <si>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</si>
  <si>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</si>
  <si>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</si>
  <si>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</si>
  <si>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</si>
  <si>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</si>
  <si>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</si>
  <si>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</si>
  <si>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</si>
  <si>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</si>
  <si>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</si>
  <si>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</si>
  <si>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</si>
  <si>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</si>
  <si>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</si>
  <si>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</si>
  <si>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</si>
  <si>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</si>
  <si>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</si>
  <si>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</si>
  <si>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</si>
  <si>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</si>
  <si>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</si>
  <si>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</si>
  <si>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</si>
  <si>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</si>
  <si>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</si>
  <si>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</si>
  <si>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</si>
  <si>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</si>
  <si>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</si>
  <si>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</si>
  <si>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</si>
  <si>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</si>
  <si>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</si>
  <si>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</si>
  <si>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</si>
  <si>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</si>
  <si>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</si>
  <si>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</si>
  <si>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</si>
  <si>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</si>
  <si>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</si>
  <si>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</si>
  <si>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</si>
  <si>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</si>
  <si>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</si>
  <si>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</si>
  <si>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</si>
  <si>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</si>
  <si>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</si>
  <si>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</si>
  <si>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</si>
  <si>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</si>
  <si>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</si>
  <si>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</si>
  <si>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</si>
  <si>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</si>
  <si>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</si>
  <si>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</si>
  <si>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</si>
  <si>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</si>
  <si>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</si>
  <si>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</si>
  <si>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</si>
  <si>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</si>
  <si>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</si>
  <si>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</si>
  <si>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</si>
  <si>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</si>
  <si>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</si>
  <si>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</si>
  <si>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</si>
  <si>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</si>
  <si>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</si>
  <si>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</si>
  <si>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</si>
  <si>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</si>
  <si>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</si>
  <si>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</si>
  <si>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</si>
  <si>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</si>
  <si>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</si>
  <si>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</si>
  <si>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</si>
  <si>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</si>
  <si>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</si>
  <si>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</si>
  <si>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</si>
  <si>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</si>
  <si>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</si>
  <si>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</si>
  <si>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</si>
  <si>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</si>
  <si>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</si>
  <si>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</si>
  <si>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</si>
  <si>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</si>
  <si>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</si>
  <si>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</si>
  <si>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</si>
  <si>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</si>
  <si>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</si>
  <si>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</si>
  <si>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</si>
  <si>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</si>
  <si>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</si>
  <si>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</si>
  <si>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</si>
  <si>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</si>
  <si>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</si>
  <si>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</si>
  <si>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</si>
  <si>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</si>
  <si>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</si>
  <si>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</si>
  <si>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</si>
  <si>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</si>
  <si>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</si>
  <si>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</si>
  <si>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</si>
  <si>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</si>
  <si>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</si>
  <si>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</si>
  <si>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</si>
  <si>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</si>
  <si>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</si>
  <si>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</si>
  <si>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</si>
  <si>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</si>
  <si>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</si>
  <si>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</si>
  <si>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</si>
  <si>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</si>
  <si>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</si>
  <si>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</si>
  <si>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</si>
  <si>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</si>
  <si>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</si>
  <si>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</si>
  <si>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</si>
  <si>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</si>
  <si>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</si>
  <si>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</si>
  <si>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</si>
  <si>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</si>
  <si>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</si>
  <si>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</si>
  <si>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</si>
  <si>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</si>
  <si>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</si>
  <si>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</si>
  <si>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</si>
  <si>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</si>
  <si>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</si>
  <si>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</si>
  <si>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</si>
  <si>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</si>
  <si>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</si>
  <si>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</si>
  <si>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</si>
  <si>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</si>
  <si>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</si>
  <si>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</si>
  <si>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</si>
  <si>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</si>
  <si>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</si>
  <si>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</si>
  <si>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</si>
  <si>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</si>
  <si>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</si>
  <si>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</si>
  <si>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</si>
  <si>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</si>
  <si>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</si>
  <si>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</si>
  <si>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</si>
  <si>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</si>
  <si>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</si>
  <si>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</si>
  <si>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</si>
  <si>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</si>
  <si>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</si>
  <si>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</si>
  <si>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</si>
  <si>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</si>
  <si>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</si>
  <si>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</si>
  <si>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</si>
  <si>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</si>
  <si>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</si>
  <si>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</si>
  <si>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</si>
  <si>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</si>
  <si>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</si>
  <si>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</si>
  <si>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</si>
  <si>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</si>
  <si>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</si>
  <si>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</si>
  <si>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</si>
  <si>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</si>
  <si>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</si>
  <si>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</si>
  <si>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</si>
  <si>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</si>
  <si>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</si>
  <si>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</si>
  <si>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</si>
  <si>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</si>
  <si>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</si>
  <si>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</si>
  <si>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</si>
  <si>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</si>
  <si>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</si>
  <si>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</si>
  <si>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</si>
  <si>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</si>
  <si>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</si>
  <si>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</si>
  <si>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</si>
  <si>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</si>
  <si>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</si>
  <si>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</si>
  <si>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</si>
  <si>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</si>
  <si>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</si>
  <si>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</si>
  <si>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</si>
  <si>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</si>
  <si>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</si>
  <si>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</si>
  <si>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</si>
  <si>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</si>
  <si>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</si>
  <si>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</si>
  <si>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</si>
  <si>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</si>
  <si>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</si>
  <si>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</si>
  <si>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</si>
  <si>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</si>
  <si>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</si>
  <si>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</si>
  <si>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</si>
  <si>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</si>
  <si>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</si>
  <si>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</si>
  <si>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</si>
  <si>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</si>
  <si>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</si>
  <si>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</si>
  <si>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</si>
  <si>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</si>
  <si>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</si>
  <si>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</si>
  <si>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</si>
  <si>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</si>
  <si>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</si>
  <si>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</si>
  <si>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</si>
  <si>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</si>
  <si>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</si>
  <si>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</si>
  <si>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</si>
  <si>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</si>
  <si>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</si>
  <si>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</si>
  <si>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</si>
  <si>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</si>
  <si>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</si>
  <si>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</si>
  <si>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</si>
  <si>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</si>
  <si>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</si>
  <si>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</si>
  <si>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</si>
  <si>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</si>
  <si>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</si>
  <si>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</si>
  <si>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</si>
  <si>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</si>
  <si>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</si>
  <si>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</si>
  <si>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</si>
  <si>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</si>
  <si>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</si>
  <si>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</si>
  <si>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</si>
  <si>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</si>
  <si>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</si>
  <si>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</si>
  <si>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</si>
  <si>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</si>
  <si>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</si>
  <si>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</si>
  <si>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</si>
  <si>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</si>
  <si>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</si>
  <si>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</si>
  <si>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</si>
  <si>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</si>
  <si>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</si>
  <si>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</si>
  <si>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</si>
  <si>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</si>
  <si>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</si>
  <si>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</si>
  <si>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</si>
  <si>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</si>
  <si>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</si>
  <si>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</si>
  <si>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</si>
  <si>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</si>
  <si>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</si>
  <si>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</si>
  <si>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</si>
  <si>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</si>
  <si>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</si>
  <si>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</si>
  <si>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</si>
  <si>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</si>
  <si>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</si>
  <si>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</si>
  <si>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</si>
  <si>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</si>
  <si>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</si>
  <si>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</si>
  <si>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</si>
  <si>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</si>
  <si>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</si>
  <si>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</si>
  <si>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</si>
  <si>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</si>
  <si>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</si>
  <si>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</si>
  <si>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</si>
  <si>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</si>
  <si>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</si>
  <si>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</si>
  <si>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</si>
  <si>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</si>
  <si>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</si>
  <si>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</si>
  <si>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</si>
  <si>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</si>
  <si>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</si>
  <si>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</si>
  <si>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</si>
  <si>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</si>
  <si>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</si>
  <si>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</si>
  <si>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</si>
  <si>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</si>
  <si>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</si>
  <si>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</si>
  <si>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</si>
  <si>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</si>
  <si>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</si>
  <si>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</si>
  <si>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</si>
  <si>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</si>
  <si>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</si>
  <si>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</si>
  <si>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</si>
  <si>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</si>
  <si>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</si>
  <si>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</si>
  <si>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</si>
  <si>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</si>
  <si>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</si>
  <si>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</si>
  <si>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</si>
  <si>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</si>
  <si>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</si>
  <si>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</si>
  <si>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</si>
  <si>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</si>
  <si>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</si>
  <si>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</si>
  <si>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</si>
  <si>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</si>
  <si>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</si>
  <si>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</si>
  <si>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</si>
  <si>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</si>
  <si>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</si>
  <si>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</si>
  <si>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</si>
  <si>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</si>
  <si>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</si>
  <si>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</si>
  <si>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</si>
  <si>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</si>
  <si>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</si>
  <si>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</si>
  <si>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</si>
  <si>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</si>
  <si>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</si>
  <si>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</si>
  <si>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</si>
  <si>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</si>
  <si>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</si>
  <si>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</si>
  <si>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</si>
  <si>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</si>
  <si>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</si>
  <si>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</si>
  <si>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</si>
  <si>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</si>
  <si>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</si>
  <si>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</si>
  <si>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</si>
  <si>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</si>
  <si>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</si>
  <si>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</si>
  <si>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</si>
  <si>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</si>
  <si>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</si>
  <si>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</si>
  <si>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</si>
  <si>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</si>
  <si>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</si>
  <si>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</si>
  <si>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</si>
  <si>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</si>
  <si>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</si>
  <si>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</si>
  <si>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</si>
  <si>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</si>
  <si>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</si>
  <si>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</si>
  <si>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</si>
  <si>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</si>
  <si>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</si>
  <si>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</si>
  <si>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</si>
  <si>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</si>
  <si>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</si>
  <si>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</si>
  <si>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</si>
  <si>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</si>
  <si>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</si>
  <si>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</si>
  <si>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</si>
  <si>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</si>
  <si>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</si>
  <si>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</si>
  <si>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</si>
  <si>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</si>
  <si>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</si>
  <si>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</si>
  <si>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</si>
  <si>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</si>
  <si>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</si>
  <si>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</si>
  <si>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</si>
  <si>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</si>
  <si>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</si>
  <si>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</si>
  <si>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</si>
  <si>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</si>
  <si>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</si>
  <si>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</si>
  <si>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</si>
  <si>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</si>
  <si>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</si>
  <si>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</si>
  <si>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</si>
  <si>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</si>
  <si>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</si>
  <si>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</si>
  <si>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</si>
  <si>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</si>
  <si>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</si>
  <si>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</si>
  <si>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</si>
  <si>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</si>
  <si>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</si>
  <si>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</si>
  <si>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</si>
  <si>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</si>
  <si>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</si>
  <si>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</si>
  <si>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</si>
  <si>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</si>
  <si>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</si>
  <si>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</si>
  <si>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</si>
  <si>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</si>
  <si>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</si>
  <si>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</si>
  <si>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</si>
  <si>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</si>
  <si>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</si>
  <si>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</si>
  <si>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</si>
  <si>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</si>
  <si>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</si>
  <si>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</si>
  <si>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</si>
  <si>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</si>
  <si>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</si>
  <si>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</si>
  <si>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</si>
  <si>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</si>
  <si>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</si>
  <si>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</si>
  <si>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</si>
  <si>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</si>
  <si>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</si>
  <si>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</si>
  <si>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</si>
  <si>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</si>
  <si>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</si>
  <si>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</si>
  <si>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</si>
  <si>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</si>
  <si>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</si>
  <si>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</si>
  <si>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</si>
  <si>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</si>
  <si>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</si>
  <si>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</si>
  <si>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</si>
  <si>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</si>
  <si>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</si>
  <si>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</si>
  <si>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</si>
  <si>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</si>
  <si>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</si>
  <si>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</si>
  <si>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</si>
  <si>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</si>
  <si>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</si>
  <si>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</si>
  <si>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</si>
  <si>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</si>
  <si>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</si>
  <si>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</si>
  <si>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</si>
  <si>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</si>
  <si>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</si>
  <si>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</si>
  <si>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</si>
  <si>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</si>
  <si>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</si>
  <si>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</si>
  <si>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</si>
  <si>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</si>
  <si>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</si>
  <si>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</si>
  <si>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</si>
  <si>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</si>
  <si>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</si>
  <si>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</si>
  <si>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</si>
  <si>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</si>
  <si>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</si>
  <si>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</si>
  <si>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</si>
  <si>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</si>
  <si>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</si>
  <si>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</si>
  <si>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</si>
  <si>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</si>
  <si>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</si>
  <si>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</si>
  <si>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</si>
  <si>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</si>
  <si>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</si>
  <si>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</si>
  <si>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</si>
  <si>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</si>
  <si>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</si>
  <si>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</si>
  <si>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</si>
  <si>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</si>
  <si>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</si>
  <si>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</si>
  <si>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</si>
  <si>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</si>
  <si>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</si>
  <si>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</si>
  <si>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</si>
  <si>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</si>
  <si>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</si>
  <si>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</si>
  <si>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</si>
  <si>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</si>
  <si>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</si>
  <si>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</si>
  <si>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</si>
  <si>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</si>
  <si>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</si>
  <si>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</si>
  <si>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</si>
  <si>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</si>
  <si>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</si>
  <si>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</si>
  <si>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</si>
  <si>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</si>
  <si>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</si>
  <si>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</si>
  <si>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</si>
  <si>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</si>
  <si>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</si>
  <si>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</si>
  <si>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</si>
  <si>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</si>
  <si>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</si>
  <si>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</si>
  <si>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</si>
  <si>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</si>
  <si>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</si>
  <si>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</si>
  <si>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</si>
  <si>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</si>
  <si>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</si>
  <si>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</si>
  <si>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</si>
  <si>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</si>
  <si>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</si>
  <si>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</si>
  <si>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</si>
  <si>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</si>
  <si>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</si>
  <si>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</si>
  <si>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</si>
  <si>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</si>
  <si>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</si>
  <si>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</si>
  <si>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</si>
  <si>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</si>
  <si>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</si>
  <si>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</si>
  <si>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</si>
  <si>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</si>
  <si>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</si>
  <si>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</si>
  <si>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</si>
  <si>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</si>
  <si>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</si>
  <si>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</si>
  <si>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</si>
  <si>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</si>
  <si>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</si>
  <si>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</si>
  <si>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</si>
  <si>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</si>
  <si>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</si>
  <si>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</si>
  <si>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</si>
  <si>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</si>
  <si>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</si>
  <si>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</si>
  <si>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</si>
  <si>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</si>
  <si>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</si>
  <si>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</si>
  <si>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</si>
  <si>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</si>
  <si>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</si>
  <si>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</si>
  <si>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</si>
  <si>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</si>
  <si>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</si>
  <si>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</si>
  <si>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</si>
  <si>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</si>
  <si>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</si>
  <si>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</si>
  <si>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</si>
  <si>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</si>
  <si>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</si>
  <si>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</si>
  <si>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</si>
  <si>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</si>
  <si>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</si>
  <si>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</si>
  <si>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</si>
  <si>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</si>
  <si>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</si>
  <si>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</si>
  <si>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</si>
  <si>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</si>
  <si>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</si>
  <si>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</si>
  <si>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</si>
  <si>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</si>
  <si>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</si>
  <si>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</si>
  <si>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</si>
  <si>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</si>
  <si>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</si>
  <si>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</si>
  <si>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</si>
  <si>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</si>
  <si>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</si>
  <si>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</si>
  <si>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</si>
  <si>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</si>
  <si>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</si>
  <si>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</si>
  <si>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</si>
  <si>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</si>
  <si>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</si>
  <si>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</si>
  <si>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</si>
  <si>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</si>
  <si>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</si>
  <si>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</si>
  <si>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</si>
  <si>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</si>
  <si>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</si>
  <si>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</si>
  <si>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</si>
  <si>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</si>
  <si>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</si>
  <si>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</si>
  <si>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</si>
  <si>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</si>
  <si>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</si>
  <si>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</si>
  <si>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</si>
  <si>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</si>
  <si>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</si>
  <si>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</si>
  <si>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</si>
  <si>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</si>
  <si>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</si>
  <si>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</si>
  <si>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</si>
  <si>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</si>
  <si>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</si>
  <si>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</si>
  <si>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</si>
  <si>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</si>
  <si>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</si>
  <si>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</si>
  <si>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</si>
  <si>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</si>
  <si>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</si>
  <si>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</si>
  <si>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</si>
  <si>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</si>
  <si>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</si>
  <si>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</si>
  <si>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</si>
  <si>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</si>
  <si>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</si>
  <si>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</si>
  <si>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</si>
  <si>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</si>
  <si>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</si>
  <si>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</si>
  <si>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</si>
  <si>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</si>
  <si>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</si>
  <si>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</si>
  <si>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</si>
  <si>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</si>
  <si>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</si>
  <si>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</si>
  <si>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</si>
  <si>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</si>
  <si>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</si>
  <si>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</si>
  <si>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</si>
  <si>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</si>
  <si>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</si>
  <si>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</si>
  <si>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</si>
  <si>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</si>
  <si>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</si>
  <si>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</si>
  <si>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</si>
  <si>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</si>
  <si>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</si>
  <si>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</si>
  <si>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</si>
  <si>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</si>
  <si>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</si>
  <si>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</si>
  <si>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</si>
  <si>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</si>
  <si>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</si>
  <si>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</si>
  <si>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</si>
  <si>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</si>
  <si>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</si>
  <si>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</si>
  <si>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</si>
  <si>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</si>
  <si>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</si>
  <si>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</si>
  <si>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</si>
  <si>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</si>
  <si>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</si>
  <si>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</si>
  <si>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</si>
  <si>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</si>
  <si>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</si>
  <si>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</si>
  <si>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</si>
  <si>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</si>
  <si>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</si>
  <si>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</si>
  <si>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</si>
  <si>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</si>
  <si>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</si>
  <si>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</si>
  <si>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</si>
  <si>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</si>
  <si>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</si>
  <si>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</si>
  <si>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</si>
  <si>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</si>
  <si>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</si>
  <si>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</si>
  <si>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</si>
  <si>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</si>
  <si>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</si>
  <si>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</si>
  <si>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</si>
  <si>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</si>
  <si>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</si>
  <si>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</si>
  <si>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</si>
  <si>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</si>
  <si>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</si>
  <si>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</si>
  <si>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</si>
  <si>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</si>
  <si>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</si>
  <si>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</si>
  <si>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</si>
  <si>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</si>
  <si>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</si>
  <si>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</si>
  <si>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</si>
  <si>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</si>
  <si>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</si>
  <si>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</si>
  <si>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</si>
  <si>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</si>
  <si>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</si>
  <si>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</si>
  <si>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</si>
  <si>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</si>
  <si>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</si>
  <si>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</si>
  <si>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</si>
  <si>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</si>
  <si>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</si>
  <si>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</si>
  <si>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</si>
  <si>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</si>
  <si>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</si>
  <si>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</si>
  <si>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</si>
  <si>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</si>
  <si>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</si>
  <si>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</si>
  <si>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</si>
  <si>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</si>
  <si>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</si>
  <si>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</si>
  <si>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</si>
  <si>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</si>
  <si>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</si>
  <si>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</si>
  <si>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</si>
  <si>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</si>
  <si>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</si>
  <si>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</si>
  <si>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</si>
  <si>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</si>
  <si>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</si>
  <si>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</si>
  <si>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</si>
  <si>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</si>
  <si>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</si>
  <si>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</si>
  <si>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</si>
  <si>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</si>
  <si>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</si>
  <si>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</si>
  <si>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</si>
  <si>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</si>
  <si>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</si>
  <si>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</si>
  <si>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</si>
  <si>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</si>
  <si>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</si>
  <si>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</si>
  <si>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</si>
  <si>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</si>
  <si>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</si>
  <si>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</si>
  <si>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</si>
  <si>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</si>
  <si>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</si>
  <si>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</si>
  <si>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</si>
  <si>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</si>
  <si>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</si>
  <si>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</si>
  <si>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</si>
  <si>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</si>
  <si>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</si>
  <si>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</si>
  <si>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</si>
  <si>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</si>
  <si>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</si>
  <si>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</si>
  <si>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</si>
  <si>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</si>
  <si>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</si>
  <si>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</si>
  <si>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</si>
  <si>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</si>
  <si>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</si>
  <si>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</si>
  <si>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</si>
  <si>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</si>
  <si>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</si>
  <si>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</si>
  <si>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</si>
  <si>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</si>
  <si>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</si>
  <si>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</si>
  <si>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</si>
  <si>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</si>
  <si>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</si>
  <si>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</si>
  <si>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</si>
  <si>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</si>
  <si>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</si>
  <si>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</si>
  <si>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</si>
  <si>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</si>
  <si>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</si>
  <si>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</si>
  <si>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</si>
  <si>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</si>
  <si>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</si>
  <si>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</si>
  <si>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</si>
  <si>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</si>
  <si>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</si>
  <si>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</si>
  <si>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</si>
  <si>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</si>
  <si>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</si>
  <si>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</si>
  <si>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</si>
  <si>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</si>
  <si>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</si>
  <si>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</si>
  <si>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</si>
  <si>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</si>
  <si>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</si>
  <si>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</si>
  <si>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</si>
  <si>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</si>
  <si>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</si>
  <si>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</si>
  <si>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</si>
  <si>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</si>
  <si>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</si>
  <si>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</si>
  <si>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</si>
  <si>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</si>
  <si>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</si>
  <si>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</si>
  <si>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</si>
  <si>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</si>
  <si>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</si>
  <si>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</si>
  <si>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</si>
  <si>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</si>
  <si>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</si>
  <si>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</si>
  <si>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</si>
  <si>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</si>
  <si>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</si>
  <si>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</si>
  <si>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</si>
  <si>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</si>
  <si>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</si>
  <si>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</si>
  <si>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</si>
  <si>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APLICACION DE LA TECNICA  GUADAMECI SOBRE CUERO</t>
  </si>
  <si>
    <t>bolso</t>
  </si>
  <si>
    <t>cartulina bristol</t>
  </si>
  <si>
    <t>SET DE TALLA</t>
  </si>
  <si>
    <t>PIROGRABADOR</t>
  </si>
  <si>
    <t>COLORES PRIMARIOS MAS NEGRO Y BLANCO</t>
  </si>
  <si>
    <t>un ahoja de odena 1,0 mm</t>
  </si>
  <si>
    <t>no hay</t>
  </si>
  <si>
    <t>20 pliegos</t>
  </si>
  <si>
    <t>6  mts</t>
  </si>
  <si>
    <t>hilo # 20</t>
  </si>
  <si>
    <t>35 mts</t>
  </si>
  <si>
    <t xml:space="preserve"> 3 tabla de polietileno</t>
  </si>
  <si>
    <t>51 dm de mas de Tala</t>
  </si>
  <si>
    <t>Mas 386 dm de badana 15/09/2025</t>
  </si>
  <si>
    <t xml:space="preserve">1 mt, + 3 mts </t>
  </si>
  <si>
    <t>2 tarros de Ecopreno de 100 ml</t>
  </si>
  <si>
    <t>DEVUELVE 17/10/2025</t>
  </si>
  <si>
    <t>3 pirograbadores - DEVOLVIÓ PARA TECNOCUERO</t>
  </si>
  <si>
    <t>Devuelve 374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</si>
</sst>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16" fontId="39" fillId="0" borderId="20" xfId="0" applyNumberFormat="1" applyFont="1" applyBorder="1" applyAlignment="1" applyProtection="1">
      <alignment horizontal="center"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289561</xdr:colOff>
      <xdr:row>0</xdr:row>
      <xdr:rowOff>0</xdr:rowOff>
    </xdr:from>
    <xdr:to>
      <xdr:col>24</xdr:col>
      <xdr:colOff>213361</xdr:colOff>
      <xdr:row>6</xdr:row>
      <xdr:rowOff>251732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41885A9-0F59-3474-7E5E-2BC35EC7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861" y="0"/>
          <a:ext cx="1714500" cy="2004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2" sqref="D12:N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MG1908-1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45888</v>
      </c>
      <c r="P1" s="350"/>
      <c r="Q1" s="350"/>
      <c r="R1" s="351"/>
      <c r="S1" s="396" t="s">
        <v>3</v>
      </c>
      <c r="T1" s="397"/>
      <c r="U1" s="402" t="s">
        <v>4</v>
      </c>
      <c r="V1" s="403"/>
      <c r="W1" s="403"/>
      <c r="X1" s="403"/>
      <c r="Y1" s="404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1374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43498846</v>
      </c>
      <c r="P2" s="322"/>
      <c r="Q2" s="322"/>
      <c r="R2" s="323"/>
      <c r="S2" s="398">
        <v>30</v>
      </c>
      <c r="T2" s="399"/>
      <c r="U2" s="402"/>
      <c r="V2" s="403"/>
      <c r="W2" s="403"/>
      <c r="X2" s="403"/>
      <c r="Y2" s="404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1389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3309045</v>
      </c>
      <c r="P3" s="324"/>
      <c r="Q3" s="324"/>
      <c r="R3" s="324"/>
      <c r="S3" s="398" t="s">
        <v>11</v>
      </c>
      <c r="T3" s="399"/>
      <c r="U3" s="402"/>
      <c r="V3" s="403"/>
      <c r="W3" s="403"/>
      <c r="X3" s="403"/>
      <c r="Y3" s="404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8">
        <v>28</v>
      </c>
      <c r="T4" s="399"/>
      <c r="U4" s="402"/>
      <c r="V4" s="403"/>
      <c r="W4" s="403"/>
      <c r="X4" s="403"/>
      <c r="Y4" s="404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59794.900615635037</v>
      </c>
      <c r="E5" s="387"/>
      <c r="F5" s="388"/>
      <c r="G5" s="364" t="s">
        <v>16</v>
      </c>
      <c r="H5" s="389"/>
      <c r="I5" s="389"/>
      <c r="J5" s="365"/>
      <c r="K5" s="328">
        <v>35</v>
      </c>
      <c r="L5" s="328"/>
      <c r="M5" s="329" t="s">
        <v>17</v>
      </c>
      <c r="N5" s="329"/>
      <c r="O5" s="325">
        <f>IFERROR(IF(K5=0,"",D5*K5),"")</f>
        <v>2092821.5215472262</v>
      </c>
      <c r="P5" s="326"/>
      <c r="Q5" s="326"/>
      <c r="R5" s="326"/>
      <c r="S5" s="400" t="s">
        <v>18</v>
      </c>
      <c r="T5" s="401"/>
      <c r="U5" s="402"/>
      <c r="V5" s="403"/>
      <c r="W5" s="403"/>
      <c r="X5" s="403"/>
      <c r="Y5" s="404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8">
        <v>10</v>
      </c>
      <c r="T7" s="399"/>
      <c r="U7" s="405"/>
      <c r="V7" s="406"/>
      <c r="W7" s="406"/>
      <c r="X7" s="406"/>
      <c r="Y7" s="407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2.8571428571428571E-2</v>
      </c>
      <c r="W8" s="318"/>
      <c r="X8" s="103">
        <v>1</v>
      </c>
      <c r="Y8" s="104">
        <f>IFERROR((V8*X8)," ")</f>
        <v>2.8571428571428571E-2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27</v>
      </c>
      <c r="B10" s="299"/>
      <c r="C10" s="300"/>
      <c r="D10" s="390" t="s">
        <v>475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43.8</v>
      </c>
      <c r="R10" s="307"/>
      <c r="S10" s="308">
        <f>IFERROR(IF(Q10="Unidad","1",(Q10*$K$5)),"")</f>
        <v>1533</v>
      </c>
      <c r="T10" s="309"/>
      <c r="U10" s="310"/>
      <c r="V10" s="393"/>
      <c r="W10" s="311">
        <f>IFERROR(IF(D10="","",INDEX(Tabla_Completa,MATCH('Soli_citud '!D10,Materiales,0),7)*S10),"")</f>
        <v>1377323.85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27</v>
      </c>
      <c r="B11" s="299"/>
      <c r="C11" s="300"/>
      <c r="D11" s="390" t="s">
        <v>479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dm2</v>
      </c>
      <c r="P11" s="305"/>
      <c r="Q11" s="306">
        <v>10.8</v>
      </c>
      <c r="R11" s="307"/>
      <c r="S11" s="308">
        <f t="shared" ref="S11:S31" si="1">IFERROR(IF(Q11="Unidad","1",(Q11*$K$5)),"")</f>
        <v>378</v>
      </c>
      <c r="T11" s="309"/>
      <c r="U11" s="310"/>
      <c r="V11" s="310"/>
      <c r="W11" s="311">
        <f>IFERROR(IF(D11="","",INDEX(Tabla_Completa,MATCH('Soli_citud '!D11,Materiales,0),7)*S11),"")</f>
        <v>286985.16000000003</v>
      </c>
      <c r="X11" s="311"/>
      <c r="Y11" s="311"/>
    </row>
    <row r="12" spans="1:31" ht="15.75" customHeight="1">
      <c r="A12" s="298" t="s">
        <v>27</v>
      </c>
      <c r="B12" s="299"/>
      <c r="C12" s="300"/>
      <c r="D12" s="394" t="s">
        <v>462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dm2</v>
      </c>
      <c r="P12" s="305"/>
      <c r="Q12" s="306">
        <v>6.95</v>
      </c>
      <c r="R12" s="307"/>
      <c r="S12" s="308">
        <f t="shared" si="1"/>
        <v>243.25</v>
      </c>
      <c r="T12" s="309"/>
      <c r="U12" s="310"/>
      <c r="V12" s="310"/>
      <c r="W12" s="311">
        <f>IFERROR(IF(D12="","",INDEX(Tabla_Completa,MATCH('Soli_citud '!D12,Materiales,0),7)*S12),"")</f>
        <v>116076.4675</v>
      </c>
      <c r="X12" s="311"/>
      <c r="Y12" s="311"/>
    </row>
    <row r="13" spans="1:31" ht="15.75" customHeight="1">
      <c r="A13" s="298" t="s">
        <v>51</v>
      </c>
      <c r="B13" s="299"/>
      <c r="C13" s="300"/>
      <c r="D13" s="390" t="s">
        <v>934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3802.18</v>
      </c>
      <c r="R13" s="307"/>
      <c r="S13" s="308">
        <f t="shared" si="1"/>
        <v>133076.29999999999</v>
      </c>
      <c r="T13" s="309"/>
      <c r="U13" s="310"/>
      <c r="V13" s="310"/>
      <c r="W13" s="311">
        <f>IFERROR(IF(D13="","",INDEX(Tabla_Completa,MATCH('Soli_citud '!D13,Materiales,0),7)*S13),"")</f>
        <v>90301.774999999994</v>
      </c>
      <c r="X13" s="311"/>
      <c r="Y13" s="311"/>
    </row>
    <row r="14" spans="1:31" ht="17.25" customHeight="1">
      <c r="A14" s="298" t="s">
        <v>233</v>
      </c>
      <c r="B14" s="299"/>
      <c r="C14" s="300"/>
      <c r="D14" s="390" t="s">
        <v>382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171.9</v>
      </c>
      <c r="R14" s="307"/>
      <c r="S14" s="308">
        <f t="shared" si="1"/>
        <v>6016.5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 t="s">
        <v>233</v>
      </c>
      <c r="B15" s="299"/>
      <c r="C15" s="300"/>
      <c r="D15" s="390" t="s">
        <v>433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631.5</v>
      </c>
      <c r="R15" s="307"/>
      <c r="S15" s="308">
        <f t="shared" si="1"/>
        <v>22102.5</v>
      </c>
      <c r="T15" s="309"/>
      <c r="U15" s="310" t="s">
        <v>1339</v>
      </c>
      <c r="V15" s="310"/>
      <c r="W15" s="311">
        <f>IFERROR(IF(D15="","",INDEX(Tabla_Completa,MATCH('Soli_citud '!D15,Materiales,0),7)*S15),"")</f>
        <v>17366.25</v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1089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Pliego</v>
      </c>
      <c r="P16" s="305"/>
      <c r="Q16" s="306">
        <v>1.5</v>
      </c>
      <c r="R16" s="307"/>
      <c r="S16" s="308">
        <f t="shared" si="1"/>
        <v>52.5</v>
      </c>
      <c r="T16" s="309"/>
      <c r="U16" s="310" t="s">
        <v>1391</v>
      </c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233</v>
      </c>
      <c r="B17" s="299"/>
      <c r="C17" s="300"/>
      <c r="D17" s="390" t="s">
        <v>317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</v>
      </c>
      <c r="P17" s="305"/>
      <c r="Q17" s="306">
        <v>17</v>
      </c>
      <c r="R17" s="307"/>
      <c r="S17" s="308">
        <f t="shared" si="1"/>
        <v>595</v>
      </c>
      <c r="T17" s="309"/>
      <c r="U17" s="310"/>
      <c r="V17" s="310"/>
      <c r="W17" s="311">
        <f>IFERROR(IF(D17="","",INDEX(Tabla_Completa,MATCH('Soli_citud '!D17,Materiales,0),7)*S17),"")</f>
        <v>5613.8250000000007</v>
      </c>
      <c r="X17" s="311"/>
      <c r="Y17" s="311"/>
    </row>
    <row r="18" spans="1:25" ht="15.75" customHeight="1">
      <c r="A18" s="298" t="s">
        <v>41</v>
      </c>
      <c r="B18" s="299"/>
      <c r="C18" s="300"/>
      <c r="D18" s="390" t="s">
        <v>717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</v>
      </c>
      <c r="R18" s="307"/>
      <c r="S18" s="308">
        <f t="shared" si="1"/>
        <v>35</v>
      </c>
      <c r="T18" s="309"/>
      <c r="U18" s="310"/>
      <c r="V18" s="310"/>
      <c r="W18" s="311">
        <f>IFERROR(IF(D18="","",INDEX(Tabla_Completa,MATCH('Soli_citud '!D18,Materiales,0),7)*S18),"")</f>
        <v>15948.31875</v>
      </c>
      <c r="X18" s="311"/>
      <c r="Y18" s="311"/>
    </row>
    <row r="19" spans="1:25" ht="15.75">
      <c r="A19" s="298" t="s">
        <v>41</v>
      </c>
      <c r="B19" s="299"/>
      <c r="C19" s="300"/>
      <c r="D19" s="301" t="s">
        <v>552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1</v>
      </c>
      <c r="R19" s="307"/>
      <c r="S19" s="308">
        <f t="shared" si="1"/>
        <v>35</v>
      </c>
      <c r="T19" s="309"/>
      <c r="U19" s="310"/>
      <c r="V19" s="310"/>
      <c r="W19" s="311">
        <f>IFERROR(IF(D19="","",INDEX(Tabla_Completa,MATCH('Soli_citud '!D19,Materiales,0),7)*S19),"")</f>
        <v>35000</v>
      </c>
      <c r="X19" s="311"/>
      <c r="Y19" s="311"/>
    </row>
    <row r="20" spans="1:25" ht="15.75">
      <c r="A20" s="298" t="s">
        <v>233</v>
      </c>
      <c r="B20" s="299"/>
      <c r="C20" s="300"/>
      <c r="D20" s="301" t="s">
        <v>351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Cono</v>
      </c>
      <c r="P20" s="305"/>
      <c r="Q20" s="395">
        <v>0.3</v>
      </c>
      <c r="R20" s="307"/>
      <c r="S20" s="308">
        <f t="shared" si="1"/>
        <v>10.5</v>
      </c>
      <c r="T20" s="309"/>
      <c r="U20" s="310"/>
      <c r="V20" s="310"/>
      <c r="W20" s="311">
        <f>IFERROR(IF(D20="","",INDEX(Tabla_Completa,MATCH('Soli_citud '!D20,Materiales,0),7)*S20),"")</f>
        <v>52500</v>
      </c>
      <c r="X20" s="311"/>
      <c r="Y20" s="311"/>
    </row>
    <row r="21" spans="1:25" ht="15.75">
      <c r="A21" s="298" t="s">
        <v>33</v>
      </c>
      <c r="B21" s="299"/>
      <c r="C21" s="300"/>
      <c r="D21" s="301" t="s">
        <v>108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ml</v>
      </c>
      <c r="P21" s="305"/>
      <c r="Q21" s="306">
        <v>30</v>
      </c>
      <c r="R21" s="307"/>
      <c r="S21" s="308">
        <f t="shared" si="1"/>
        <v>1050</v>
      </c>
      <c r="T21" s="309"/>
      <c r="U21" s="310"/>
      <c r="V21" s="310"/>
      <c r="W21" s="311">
        <f>IFERROR(IF(D21="","",INDEX(Tabla_Completa,MATCH('Soli_citud '!D21,Materiales,0),7)*S21),"")</f>
        <v>18339.075297225889</v>
      </c>
      <c r="X21" s="311"/>
      <c r="Y21" s="311"/>
    </row>
    <row r="22" spans="1:25" ht="15.75">
      <c r="A22" s="298" t="s">
        <v>1014</v>
      </c>
      <c r="B22" s="299"/>
      <c r="C22" s="300"/>
      <c r="D22" s="301" t="s">
        <v>1052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U</v>
      </c>
      <c r="P22" s="305"/>
      <c r="Q22" s="306">
        <v>0.1</v>
      </c>
      <c r="R22" s="307"/>
      <c r="S22" s="308">
        <f t="shared" si="1"/>
        <v>3.5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 t="s">
        <v>1014</v>
      </c>
      <c r="B23" s="299"/>
      <c r="C23" s="300"/>
      <c r="D23" s="301" t="s">
        <v>1392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>
        <v>0.08</v>
      </c>
      <c r="R23" s="307"/>
      <c r="S23" s="308">
        <f t="shared" si="1"/>
        <v>2.8000000000000003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 t="s">
        <v>1014</v>
      </c>
      <c r="B24" s="299"/>
      <c r="C24" s="300"/>
      <c r="D24" s="301" t="s">
        <v>1393</v>
      </c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>
        <v>0.08</v>
      </c>
      <c r="R24" s="307"/>
      <c r="S24" s="308">
        <f t="shared" si="1"/>
        <v>2.8000000000000003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 t="s">
        <v>1058</v>
      </c>
      <c r="B25" s="299"/>
      <c r="C25" s="300"/>
      <c r="D25" s="301" t="s">
        <v>1095</v>
      </c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>m</v>
      </c>
      <c r="P25" s="305"/>
      <c r="Q25" s="306">
        <v>1</v>
      </c>
      <c r="R25" s="307"/>
      <c r="S25" s="308">
        <f t="shared" si="1"/>
        <v>35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 t="s">
        <v>1058</v>
      </c>
      <c r="B26" s="299"/>
      <c r="C26" s="300"/>
      <c r="D26" s="301" t="s">
        <v>1078</v>
      </c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>U</v>
      </c>
      <c r="P26" s="305"/>
      <c r="Q26" s="306">
        <v>2</v>
      </c>
      <c r="R26" s="307"/>
      <c r="S26" s="308">
        <f t="shared" si="1"/>
        <v>70</v>
      </c>
      <c r="T26" s="309"/>
      <c r="U26" s="310"/>
      <c r="V26" s="310"/>
      <c r="W26" s="311">
        <f>IFERROR(IF(D26="","",INDEX(Tabla_Completa,MATCH('Soli_citud '!D26,Materiales,0),7)*S26),"")</f>
        <v>21583.1</v>
      </c>
      <c r="X26" s="311"/>
      <c r="Y26" s="311"/>
    </row>
    <row r="27" spans="1:25" ht="15.75">
      <c r="A27" s="298" t="s">
        <v>233</v>
      </c>
      <c r="B27" s="299"/>
      <c r="C27" s="300"/>
      <c r="D27" s="301" t="s">
        <v>387</v>
      </c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>U</v>
      </c>
      <c r="P27" s="305"/>
      <c r="Q27" s="306">
        <v>0.02</v>
      </c>
      <c r="R27" s="307"/>
      <c r="S27" s="308">
        <f t="shared" si="1"/>
        <v>0.70000000000000007</v>
      </c>
      <c r="T27" s="309"/>
      <c r="U27" s="310" t="s">
        <v>1394</v>
      </c>
      <c r="V27" s="310"/>
      <c r="W27" s="311">
        <f>IFERROR(IF(D27="","",INDEX(Tabla_Completa,MATCH('Soli_citud '!D27,Materiales,0),7)*S27),"")</f>
        <v>37146.200000000004</v>
      </c>
      <c r="X27" s="311"/>
      <c r="Y27" s="311"/>
    </row>
    <row r="28" spans="1:25" ht="15.75">
      <c r="A28" s="298" t="s">
        <v>51</v>
      </c>
      <c r="B28" s="299"/>
      <c r="C28" s="300"/>
      <c r="D28" s="301" t="s">
        <v>930</v>
      </c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>cm2</v>
      </c>
      <c r="P28" s="305"/>
      <c r="Q28" s="306">
        <v>2250</v>
      </c>
      <c r="R28" s="307"/>
      <c r="S28" s="308">
        <f t="shared" si="1"/>
        <v>78750</v>
      </c>
      <c r="T28" s="309"/>
      <c r="U28" s="310"/>
      <c r="V28" s="310"/>
      <c r="W28" s="311">
        <f>IFERROR(IF(D28="","",INDEX(Tabla_Completa,MATCH('Soli_citud '!D28,Materiales,0),7)*S28),"")</f>
        <v>18637.5</v>
      </c>
      <c r="X28" s="311"/>
      <c r="Y28" s="311"/>
    </row>
    <row r="29" spans="1:25" ht="15.75">
      <c r="A29" s="298" t="s">
        <v>1014</v>
      </c>
      <c r="B29" s="299"/>
      <c r="C29" s="300"/>
      <c r="D29" s="301" t="s">
        <v>1015</v>
      </c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>U</v>
      </c>
      <c r="P29" s="305"/>
      <c r="Q29" s="306">
        <v>2.9000000000000001E-2</v>
      </c>
      <c r="R29" s="307"/>
      <c r="S29" s="308">
        <f t="shared" si="1"/>
        <v>1.0150000000000001</v>
      </c>
      <c r="T29" s="309"/>
      <c r="U29" s="310" t="s">
        <v>1314</v>
      </c>
      <c r="V29" s="310"/>
      <c r="W29" s="311">
        <f>IFERROR(IF(D29="","",INDEX(Tabla_Completa,MATCH('Soli_citud '!D29,Materiales,0),7)*S29),"")</f>
        <v>18270.000000000004</v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14" sqref="J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0"/>
      <c r="C1" s="481"/>
      <c r="D1" s="457" t="s">
        <v>54</v>
      </c>
      <c r="E1" s="458"/>
      <c r="F1" s="458"/>
      <c r="G1" s="458"/>
      <c r="H1" s="458"/>
      <c r="I1" s="459"/>
      <c r="J1" s="486" t="s">
        <v>55</v>
      </c>
      <c r="K1" s="487"/>
      <c r="L1" s="487"/>
      <c r="M1" s="488"/>
      <c r="N1" s="489">
        <f>IF('Soli_citud '!O1="","",'Soli_citud '!O1)</f>
        <v>45888</v>
      </c>
      <c r="O1" s="490"/>
      <c r="P1" s="428" t="s">
        <v>56</v>
      </c>
      <c r="Q1" s="429"/>
      <c r="R1" s="434" t="str">
        <f>IF('Soli_citud '!D4="","",'Soli_citud '!D4)</f>
        <v>bolso</v>
      </c>
      <c r="S1" s="435"/>
      <c r="Z1" t="s">
        <v>57</v>
      </c>
      <c r="AA1" s="241" t="s">
        <v>57</v>
      </c>
    </row>
    <row r="2" spans="1:27" ht="15.75" customHeight="1" thickBot="1">
      <c r="A2" s="240"/>
      <c r="B2" s="482"/>
      <c r="C2" s="483"/>
      <c r="D2" s="460"/>
      <c r="E2" s="461"/>
      <c r="F2" s="461"/>
      <c r="G2" s="461"/>
      <c r="H2" s="461"/>
      <c r="I2" s="462"/>
      <c r="J2" s="491" t="s">
        <v>58</v>
      </c>
      <c r="K2" s="492"/>
      <c r="L2" s="492"/>
      <c r="M2" s="493"/>
      <c r="N2" s="494" t="str">
        <f>'Soli_citud '!F1</f>
        <v>MG1908-1</v>
      </c>
      <c r="O2" s="414"/>
      <c r="P2" s="430"/>
      <c r="Q2" s="431"/>
      <c r="R2" s="436"/>
      <c r="S2" s="437"/>
    </row>
    <row r="3" spans="1:27" ht="15.75" customHeight="1">
      <c r="A3" s="240"/>
      <c r="B3" s="482"/>
      <c r="C3" s="483"/>
      <c r="D3" s="460"/>
      <c r="E3" s="461"/>
      <c r="F3" s="461"/>
      <c r="G3" s="461"/>
      <c r="H3" s="461"/>
      <c r="I3" s="462"/>
      <c r="J3" s="495" t="s">
        <v>59</v>
      </c>
      <c r="K3" s="495"/>
      <c r="L3" s="495"/>
      <c r="M3" s="495"/>
      <c r="N3" s="496">
        <f>IF('Soli_citud '!O3="","",'Soli_citud '!O3)</f>
        <v>3309045</v>
      </c>
      <c r="O3" s="497"/>
      <c r="P3" s="430"/>
      <c r="Q3" s="431"/>
      <c r="R3" s="438" t="str" cm="1">
        <f t="array" ref="R3">IFERROR(_xlfn.IFS(L4="Calzado Producción","Entrega de Producto",L4="Marroquinería  Producción","Entrega Producto"),"")</f>
        <v/>
      </c>
      <c r="S3" s="439"/>
    </row>
    <row r="4" spans="1:27" ht="15.75" customHeight="1">
      <c r="A4" s="240"/>
      <c r="B4" s="484"/>
      <c r="C4" s="485"/>
      <c r="D4" s="463"/>
      <c r="E4" s="464"/>
      <c r="F4" s="464"/>
      <c r="G4" s="464"/>
      <c r="H4" s="464"/>
      <c r="I4" s="465"/>
      <c r="J4" s="443" t="s">
        <v>60</v>
      </c>
      <c r="K4" s="443"/>
      <c r="L4" s="443"/>
      <c r="M4" s="444" t="str">
        <f>IF('Soli_citud '!O4="","",'Soli_citud '!O4)</f>
        <v>Marroquinería Formación</v>
      </c>
      <c r="N4" s="444"/>
      <c r="O4" s="445"/>
      <c r="P4" s="430"/>
      <c r="Q4" s="431"/>
      <c r="R4" s="305"/>
      <c r="S4" s="440"/>
    </row>
    <row r="5" spans="1:27" ht="2.25" customHeight="1">
      <c r="A5" s="240"/>
      <c r="P5" s="430"/>
      <c r="Q5" s="431"/>
    </row>
    <row r="6" spans="1:27" ht="27" customHeight="1">
      <c r="A6" s="240"/>
      <c r="B6" s="446" t="s">
        <v>61</v>
      </c>
      <c r="C6" s="447"/>
      <c r="D6" s="448"/>
      <c r="E6" s="452" t="s">
        <v>62</v>
      </c>
      <c r="F6" s="452"/>
      <c r="G6" s="452"/>
      <c r="H6" s="452"/>
      <c r="I6" s="453"/>
      <c r="J6" s="454"/>
      <c r="K6" s="455"/>
      <c r="L6" s="455"/>
      <c r="M6" s="455"/>
      <c r="N6" s="456"/>
      <c r="O6" s="456"/>
      <c r="P6" s="430"/>
      <c r="Q6" s="431"/>
      <c r="R6" s="416" t="str">
        <f>IF(R3="","","Valor de Producción ($)")</f>
        <v/>
      </c>
      <c r="S6" s="417"/>
    </row>
    <row r="7" spans="1:27" ht="3.75" customHeight="1">
      <c r="A7" s="240"/>
      <c r="B7" s="449"/>
      <c r="C7" s="450"/>
      <c r="D7" s="45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0"/>
      <c r="Q7" s="431"/>
      <c r="R7" s="418" t="str">
        <f>IFERROR(IF(R3="","",G9*M10),"")</f>
        <v/>
      </c>
      <c r="S7" s="419"/>
    </row>
    <row r="8" spans="1:27" ht="20.25" customHeight="1">
      <c r="A8" s="240"/>
      <c r="B8" s="420">
        <f>IF('Soli_citud '!D5&lt;= 0,"",'Soli_citud '!D5)</f>
        <v>59794.900615635037</v>
      </c>
      <c r="C8" s="421"/>
      <c r="D8" s="422"/>
      <c r="E8" s="423" t="s">
        <v>63</v>
      </c>
      <c r="F8" s="424"/>
      <c r="G8" s="424"/>
      <c r="H8" s="424"/>
      <c r="I8" s="425"/>
      <c r="J8" s="426" t="str">
        <f>IF('Soli_citud '!E2="","",'Soli_citud '!E2)</f>
        <v>Maribel Gil Zapata</v>
      </c>
      <c r="K8" s="427"/>
      <c r="L8" s="427"/>
      <c r="M8" s="427"/>
      <c r="N8" s="427"/>
      <c r="O8" s="427"/>
      <c r="P8" s="430"/>
      <c r="Q8" s="431"/>
      <c r="R8" s="418"/>
      <c r="S8" s="419"/>
    </row>
    <row r="9" spans="1:27" ht="3.75" customHeight="1">
      <c r="A9" s="240"/>
      <c r="B9" s="466" t="s">
        <v>64</v>
      </c>
      <c r="C9" s="467"/>
      <c r="D9" s="470"/>
      <c r="E9" s="471" t="s">
        <v>65</v>
      </c>
      <c r="F9" s="471"/>
      <c r="G9" s="472" t="str">
        <f>IFERROR(IF(D9="","",ROUNDUP(B8*(1+D9),-2)),"")</f>
        <v/>
      </c>
      <c r="H9" s="473"/>
      <c r="I9" s="474"/>
      <c r="J9" s="105"/>
      <c r="K9" s="105"/>
      <c r="L9" s="105"/>
      <c r="M9" s="105"/>
      <c r="N9" s="105"/>
      <c r="O9" s="105"/>
      <c r="P9" s="430"/>
      <c r="Q9" s="431"/>
    </row>
    <row r="10" spans="1:27" ht="27.75" customHeight="1" thickBot="1">
      <c r="A10" s="240"/>
      <c r="B10" s="468"/>
      <c r="C10" s="469"/>
      <c r="D10" s="470"/>
      <c r="E10" s="471"/>
      <c r="F10" s="471"/>
      <c r="G10" s="475"/>
      <c r="H10" s="476"/>
      <c r="I10" s="477"/>
      <c r="J10" s="478" t="s">
        <v>66</v>
      </c>
      <c r="K10" s="478"/>
      <c r="L10" s="479"/>
      <c r="M10" s="250">
        <f>'[1]Soli_citud '!K5</f>
        <v>1</v>
      </c>
      <c r="N10" s="441" t="s">
        <v>67</v>
      </c>
      <c r="O10" s="442"/>
      <c r="P10" s="432"/>
      <c r="Q10" s="433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1" t="s">
        <v>71</v>
      </c>
      <c r="D11" s="412"/>
      <c r="E11" s="412"/>
      <c r="F11" s="413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4" t="s">
        <v>25</v>
      </c>
      <c r="M11" s="415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MG1908-1</v>
      </c>
      <c r="C12" s="408" t="str">
        <f>IFERROR(IF('Soli_citud '!D10="","",'Soli_citud '!D10),"")</f>
        <v>NAPPA</v>
      </c>
      <c r="D12" s="408"/>
      <c r="E12" s="408"/>
      <c r="F12" s="408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1533</v>
      </c>
      <c r="I12" s="214">
        <v>45890</v>
      </c>
      <c r="J12" s="215">
        <v>1565</v>
      </c>
      <c r="K12" s="197" t="str" cm="1">
        <f t="array" ref="K12">IFERROR(_xlfn.IFS(H12="","",J12=H12,"Cumplido",J12&lt;H12,H12-J12,J12&gt;H12,"Revisar"),"")</f>
        <v>Revisar</v>
      </c>
      <c r="L12" s="409" t="s">
        <v>1408</v>
      </c>
      <c r="M12" s="41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MG1908-1</v>
      </c>
      <c r="C13" s="408" t="str">
        <f>IFERROR(IF('Soli_citud '!D11="","",'Soli_citud '!D11),"")</f>
        <v>TALA</v>
      </c>
      <c r="D13" s="408"/>
      <c r="E13" s="408"/>
      <c r="F13" s="408"/>
      <c r="G13" s="213" t="str">
        <f>IF('Soli_citud '!O11="","",'Soli_citud '!O11)</f>
        <v>dm2</v>
      </c>
      <c r="H13" s="213" cm="1">
        <f t="array" ref="H13">_xlfn.IFS('Soli_citud '!S11="","",'Soli_citud '!S11&lt;=0,"",'Soli_citud '!S11&gt;0,'Soli_citud '!S11)</f>
        <v>378</v>
      </c>
      <c r="I13" s="214">
        <v>45890</v>
      </c>
      <c r="J13" s="216">
        <f>243+186</f>
        <v>429</v>
      </c>
      <c r="K13" s="197" t="str" cm="1">
        <f t="array" ref="K13">IFERROR(_xlfn.IFS(H13="","",J13=H13,"Cumplido",J13&lt;H13,H13-J13,J13&gt;H13,"Revisar"),"")</f>
        <v>Revisar</v>
      </c>
      <c r="L13" s="409" t="s">
        <v>1402</v>
      </c>
      <c r="M13" s="41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9.25" customHeight="1">
      <c r="A14" s="74">
        <v>3</v>
      </c>
      <c r="B14" s="243" t="str">
        <f t="shared" si="1"/>
        <v>MG1908-1</v>
      </c>
      <c r="C14" s="408" t="str">
        <f>IFERROR(IF('Soli_citud '!D12="","",'Soli_citud '!D12),"")</f>
        <v>CUERO FORRO CERDO</v>
      </c>
      <c r="D14" s="408"/>
      <c r="E14" s="408"/>
      <c r="F14" s="408"/>
      <c r="G14" s="213" t="str">
        <f>IF('Soli_citud '!O12="","",'Soli_citud '!O12)</f>
        <v>dm2</v>
      </c>
      <c r="H14" s="213" cm="1">
        <f t="array" ref="H14">_xlfn.IFS('Soli_citud '!S12="","",'Soli_citud '!S12&lt;=0,"",'Soli_citud '!S12&gt;0,'Soli_citud '!S12)</f>
        <v>243.25</v>
      </c>
      <c r="I14" s="214">
        <v>45890</v>
      </c>
      <c r="J14" s="216">
        <f>140+386</f>
        <v>526</v>
      </c>
      <c r="K14" s="197" t="str" cm="1">
        <f t="array" ref="K14">IFERROR(_xlfn.IFS(H14="","",J14=H14,"Cumplido",J14&lt;H14,H14-J14,J14&gt;H14,"Revisar"),"")</f>
        <v>Revisar</v>
      </c>
      <c r="L14" s="409" t="s">
        <v>1403</v>
      </c>
      <c r="M14" s="41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MG1908-1</v>
      </c>
      <c r="C15" s="408" t="str">
        <f>IFERROR(IF('Soli_citud '!D13="","",'Soli_citud '!D13),"")</f>
        <v>SEDA CONOCIDA COMO: TIFON O 30-100</v>
      </c>
      <c r="D15" s="408"/>
      <c r="E15" s="408"/>
      <c r="F15" s="408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133076.29999999999</v>
      </c>
      <c r="I15" s="214">
        <v>45890</v>
      </c>
      <c r="J15" s="216">
        <v>133076.29999999999</v>
      </c>
      <c r="K15" s="197" t="str" cm="1">
        <f t="array" ref="K15">IFERROR(_xlfn.IFS(H15="","",J15=H15,"Cumplido",J15&lt;H15,H15-J15,J15&gt;H15,"Revisar"),"")</f>
        <v>Cumplido</v>
      </c>
      <c r="L15" s="409"/>
      <c r="M15" s="410"/>
      <c r="N15" s="215">
        <v>140</v>
      </c>
      <c r="O15" s="198">
        <f t="shared" si="2"/>
        <v>950.54499999999996</v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MG1908-1</v>
      </c>
      <c r="C16" s="408" t="str">
        <f>IFERROR(IF('Soli_citud '!D14="","",'Soli_citud '!D14),"")</f>
        <v>ODENA 1,1 mm</v>
      </c>
      <c r="D16" s="408"/>
      <c r="E16" s="408"/>
      <c r="F16" s="408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6016.5</v>
      </c>
      <c r="I16" s="214">
        <v>45890</v>
      </c>
      <c r="J16" s="216">
        <v>6016.5</v>
      </c>
      <c r="K16" s="197" t="str" cm="1">
        <f t="array" ref="K16">IFERROR(_xlfn.IFS(H16="","",J16=H16,"Cumplido",J16&lt;H16,H16-J16,J16&gt;H16,"Revisar"),"")</f>
        <v>Cumplido</v>
      </c>
      <c r="L16" s="409" t="s">
        <v>1395</v>
      </c>
      <c r="M16" s="41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MG1908-1</v>
      </c>
      <c r="C17" s="408" t="str">
        <f>IFERROR(IF('Soli_citud '!D15="","",'Soli_citud '!D15),"")</f>
        <v>SALPA 0.5mm</v>
      </c>
      <c r="D17" s="408"/>
      <c r="E17" s="408"/>
      <c r="F17" s="408"/>
      <c r="G17" s="213" t="str">
        <f>IF('Soli_citud '!O15="","",'Soli_citud '!O15)</f>
        <v>cm2</v>
      </c>
      <c r="H17" s="213" cm="1">
        <f t="array" ref="H17">_xlfn.IFS('Soli_citud '!S15="","",'Soli_citud '!S15&lt;=0,"",'Soli_citud '!S15&gt;0,'Soli_citud '!S15)</f>
        <v>22102.5</v>
      </c>
      <c r="I17" s="214">
        <v>45890</v>
      </c>
      <c r="J17" s="216">
        <v>22102.5</v>
      </c>
      <c r="K17" s="197" t="str" cm="1">
        <f t="array" ref="K17">IFERROR(_xlfn.IFS(H17="","",J17=H17,"Cumplido",J17&lt;H17,H17-J17,J17&gt;H17,"Revisar"),"")</f>
        <v>Cumplido</v>
      </c>
      <c r="L17" s="409" t="s">
        <v>1404</v>
      </c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MG1908-1</v>
      </c>
      <c r="C18" s="408" t="str">
        <f>IFERROR(IF('Soli_citud '!D16="","",'Soli_citud '!D16),"")</f>
        <v xml:space="preserve">CARTULINA PLANA </v>
      </c>
      <c r="D18" s="408"/>
      <c r="E18" s="408"/>
      <c r="F18" s="408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52.5</v>
      </c>
      <c r="I18" s="214">
        <v>45890</v>
      </c>
      <c r="J18" s="216">
        <v>20</v>
      </c>
      <c r="K18" s="197" cm="1">
        <f t="array" ref="K18">IFERROR(_xlfn.IFS(H18="","",J18=H18,"Cumplido",J18&lt;H18,H18-J18,J18&gt;H18,"Revisar"),"")</f>
        <v>32.5</v>
      </c>
      <c r="L18" s="409" t="s">
        <v>1397</v>
      </c>
      <c r="M18" s="41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MG1908-1</v>
      </c>
      <c r="C19" s="408" t="str">
        <f>IFERROR(IF('Soli_citud '!D17="","",'Soli_citud '!D17),"")</f>
        <v>CREMALLERA POLIÉSTER #3</v>
      </c>
      <c r="D19" s="408"/>
      <c r="E19" s="408"/>
      <c r="F19" s="408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595</v>
      </c>
      <c r="I19" s="214">
        <v>45890</v>
      </c>
      <c r="J19" s="216">
        <v>5.95</v>
      </c>
      <c r="K19" s="197" cm="1">
        <f t="array" ref="K19">IFERROR(_xlfn.IFS(H19="","",J19=H19,"Cumplido",J19&lt;H19,H19-J19,J19&gt;H19,"Revisar"),"")</f>
        <v>589.04999999999995</v>
      </c>
      <c r="L19" s="409" t="s">
        <v>1398</v>
      </c>
      <c r="M19" s="410"/>
      <c r="N19" s="215">
        <v>100</v>
      </c>
      <c r="O19" s="198">
        <f t="shared" si="3"/>
        <v>5.95</v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MG1908-1</v>
      </c>
      <c r="C20" s="408" t="str">
        <f>IFERROR(IF('Soli_citud '!D18="","",'Soli_citud '!D18),"")</f>
        <v xml:space="preserve">LLAVE METÁLICA DESLIZADOR   #3 PARA CREMALLERA - NÍQUEL </v>
      </c>
      <c r="D20" s="408"/>
      <c r="E20" s="408"/>
      <c r="F20" s="408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35</v>
      </c>
      <c r="I20" s="214">
        <v>45890</v>
      </c>
      <c r="J20" s="216">
        <v>35</v>
      </c>
      <c r="K20" s="197" t="str" cm="1">
        <f t="array" ref="K20">IFERROR(_xlfn.IFS(H20="","",J20=H20,"Cumplido",J20&lt;H20,H20-J20,J20&gt;H20,"Revisar"),"")</f>
        <v>Cumplido</v>
      </c>
      <c r="L20" s="409"/>
      <c r="M20" s="41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MG1908-1</v>
      </c>
      <c r="C21" s="408" t="str">
        <f>IFERROR(IF('Soli_citud '!D19="","",'Soli_citud '!D19),"")</f>
        <v>CIERRE TORNIQUETE HUEVO 3/4" X 1 1/2" PARA BOLSO  1 1/2" NÍQUEL</v>
      </c>
      <c r="D21" s="408"/>
      <c r="E21" s="408"/>
      <c r="F21" s="408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35</v>
      </c>
      <c r="I21" s="214">
        <v>45890</v>
      </c>
      <c r="J21" s="216">
        <v>35</v>
      </c>
      <c r="K21" s="197" t="str" cm="1">
        <f t="array" ref="K21">IFERROR(_xlfn.IFS(H21="","",J21=H21,"Cumplido",J21&lt;H21,H21-J21,J21&gt;H21,"Revisar"),"")</f>
        <v>Cumplido</v>
      </c>
      <c r="L21" s="409"/>
      <c r="M21" s="41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MG1908-1</v>
      </c>
      <c r="C22" s="408" t="str">
        <f>IFERROR(IF('Soli_citud '!D20="","",'Soli_citud '!D20),"")</f>
        <v>HILO TERLENKA</v>
      </c>
      <c r="D22" s="408"/>
      <c r="E22" s="408"/>
      <c r="F22" s="408"/>
      <c r="G22" s="213" t="str">
        <f>IF('Soli_citud '!O20="","",'Soli_citud '!O20)</f>
        <v>Cono</v>
      </c>
      <c r="H22" s="213" cm="1">
        <f t="array" ref="H22">_xlfn.IFS('Soli_citud '!S20="","",'Soli_citud '!S20&lt;=0,"",'Soli_citud '!S20&gt;0,'Soli_citud '!S20)</f>
        <v>10.5</v>
      </c>
      <c r="I22" s="214">
        <v>45890</v>
      </c>
      <c r="J22" s="216">
        <v>5</v>
      </c>
      <c r="K22" s="197" cm="1">
        <f t="array" ref="K22">IFERROR(_xlfn.IFS(H22="","",J22=H22,"Cumplido",J22&lt;H22,H22-J22,J22&gt;H22,"Revisar"),"")</f>
        <v>5.5</v>
      </c>
      <c r="L22" s="409" t="s">
        <v>1399</v>
      </c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MG1908-1</v>
      </c>
      <c r="C23" s="408" t="str">
        <f>IFERROR(IF('Soli_citud '!D21="","",'Soli_citud '!D21),"")</f>
        <v xml:space="preserve">PEGANTE CEMENTO DE CONTACTO BASE CLOROPRENO
</v>
      </c>
      <c r="D23" s="408"/>
      <c r="E23" s="408"/>
      <c r="F23" s="408"/>
      <c r="G23" s="213" t="str">
        <f>IF('Soli_citud '!O21="","",'Soli_citud '!O21)</f>
        <v>ml</v>
      </c>
      <c r="H23" s="213" cm="1">
        <f t="array" ref="H23">_xlfn.IFS('Soli_citud '!S21="","",'Soli_citud '!S21&lt;=0,"",'Soli_citud '!S21&gt;0,'Soli_citud '!S21)</f>
        <v>1050</v>
      </c>
      <c r="I23" s="214">
        <v>45890</v>
      </c>
      <c r="J23" s="216">
        <v>2000</v>
      </c>
      <c r="K23" s="197" t="str" cm="1">
        <f t="array" ref="K23">IFERROR(_xlfn.IFS(H23="","",J23=H23,"Cumplido",J23&lt;H23,H23-J23,J23&gt;H23,"Revisar"),"")</f>
        <v>Revisar</v>
      </c>
      <c r="L23" s="409" t="s">
        <v>1405</v>
      </c>
      <c r="M23" s="41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MG1908-1</v>
      </c>
      <c r="C24" s="408" t="str">
        <f>IFERROR(IF('Soli_citud '!D22="","",'Soli_citud '!D22),"")</f>
        <v>TABLA SALVACORTE 45X60 CM</v>
      </c>
      <c r="D24" s="408"/>
      <c r="E24" s="408"/>
      <c r="F24" s="408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3.5</v>
      </c>
      <c r="I24" s="214">
        <v>45890</v>
      </c>
      <c r="J24" s="216">
        <v>3</v>
      </c>
      <c r="K24" s="197" cm="1">
        <f t="array" ref="K24">IFERROR(_xlfn.IFS(H24="","",J24=H24,"Cumplido",J24&lt;H24,H24-J24,J24&gt;H24,"Revisar"),"")</f>
        <v>0.5</v>
      </c>
      <c r="L24" s="409" t="s">
        <v>1401</v>
      </c>
      <c r="M24" s="41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35.25" customHeight="1">
      <c r="A25" s="74">
        <v>15</v>
      </c>
      <c r="B25" s="243" t="str">
        <f t="shared" si="1"/>
        <v>MG1908-1</v>
      </c>
      <c r="C25" s="408" t="str">
        <f>IFERROR(IF('Soli_citud '!D23="","",'Soli_citud '!D23),"")</f>
        <v>SET DE TALLA</v>
      </c>
      <c r="D25" s="408"/>
      <c r="E25" s="408"/>
      <c r="F25" s="408"/>
      <c r="G25" s="213" t="str">
        <f>IF('Soli_citud '!O23="","",'Soli_citud '!O23)</f>
        <v/>
      </c>
      <c r="H25" s="213" cm="1">
        <f t="array" ref="H25">_xlfn.IFS('Soli_citud '!S23="","",'Soli_citud '!S23&lt;=0,"",'Soli_citud '!S23&gt;0,'Soli_citud '!S23)</f>
        <v>2.8000000000000003</v>
      </c>
      <c r="I25" s="214">
        <v>45890</v>
      </c>
      <c r="J25" s="216">
        <v>1</v>
      </c>
      <c r="K25" s="197" cm="1">
        <f t="array" ref="K25">IFERROR(_xlfn.IFS(H25="","",J25=H25,"Cumplido",J25&lt;H25,H25-J25,J25&gt;H25,"Revisar"),"")</f>
        <v>1.8000000000000003</v>
      </c>
      <c r="L25" s="409" t="s">
        <v>1406</v>
      </c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MG1908-1</v>
      </c>
      <c r="C26" s="408" t="str">
        <f>IFERROR(IF('Soli_citud '!D24="","",'Soli_citud '!D24),"")</f>
        <v>PIROGRABADOR</v>
      </c>
      <c r="D26" s="408"/>
      <c r="E26" s="408"/>
      <c r="F26" s="408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2.8000000000000003</v>
      </c>
      <c r="I26" s="214">
        <v>45890</v>
      </c>
      <c r="J26" s="216">
        <v>2.8</v>
      </c>
      <c r="K26" s="197" t="str" cm="1">
        <f t="array" ref="K26">IFERROR(_xlfn.IFS(H26="","",J26=H26,"Cumplido",J26&lt;H26,H26-J26,J26&gt;H26,"Revisar"),"")</f>
        <v>Cumplido</v>
      </c>
      <c r="L26" s="409" t="s">
        <v>1407</v>
      </c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>DEVOLUTIVO</v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>MG1908-1</v>
      </c>
      <c r="C27" s="408" t="str">
        <f>IFERROR(IF('Soli_citud '!D25="","",'Soli_citud '!D25),"")</f>
        <v>COLA DE RATA #6</v>
      </c>
      <c r="D27" s="408"/>
      <c r="E27" s="408"/>
      <c r="F27" s="408"/>
      <c r="G27" s="213" t="str">
        <f>IF('Soli_citud '!O25="","",'Soli_citud '!O25)</f>
        <v>m</v>
      </c>
      <c r="H27" s="213" cm="1">
        <f t="array" ref="H27">_xlfn.IFS('Soli_citud '!S25="","",'Soli_citud '!S25&lt;=0,"",'Soli_citud '!S25&gt;0,'Soli_citud '!S25)</f>
        <v>35</v>
      </c>
      <c r="I27" s="214">
        <v>45890</v>
      </c>
      <c r="J27" s="216">
        <v>35</v>
      </c>
      <c r="K27" s="197" t="str" cm="1">
        <f t="array" ref="K27">IFERROR(_xlfn.IFS(H27="","",J27=H27,"Cumplido",J27&lt;H27,H27-J27,J27&gt;H27,"Revisar"),"")</f>
        <v>Cumplido</v>
      </c>
      <c r="L27" s="409" t="s">
        <v>1400</v>
      </c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>MG1908-1</v>
      </c>
      <c r="C28" s="408" t="str">
        <f>IFERROR(IF('Soli_citud '!D26="","",'Soli_citud '!D26),"")</f>
        <v xml:space="preserve">AGUJAS CAPOTERA CON PUNTA #5
</v>
      </c>
      <c r="D28" s="408"/>
      <c r="E28" s="408"/>
      <c r="F28" s="408"/>
      <c r="G28" s="213" t="str">
        <f>IF('Soli_citud '!O26="","",'Soli_citud '!O26)</f>
        <v>U</v>
      </c>
      <c r="H28" s="213" cm="1">
        <f t="array" ref="H28">_xlfn.IFS('Soli_citud '!S26="","",'Soli_citud '!S26&lt;=0,"",'Soli_citud '!S26&gt;0,'Soli_citud '!S26)</f>
        <v>70</v>
      </c>
      <c r="I28" s="214">
        <v>45890</v>
      </c>
      <c r="J28" s="216">
        <v>0</v>
      </c>
      <c r="K28" s="197" cm="1">
        <f t="array" ref="K28">IFERROR(_xlfn.IFS(H28="","",J28=H28,"Cumplido",J28&lt;H28,H28-J28,J28&gt;H28,"Revisar"),"")</f>
        <v>70</v>
      </c>
      <c r="L28" s="409" t="s">
        <v>1396</v>
      </c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>MG1908-1</v>
      </c>
      <c r="C29" s="408" t="str">
        <f>IFERROR(IF('Soli_citud '!D27="","",'Soli_citud '!D27),"")</f>
        <v xml:space="preserve">PINTURAS PARA CUERO </v>
      </c>
      <c r="D29" s="408"/>
      <c r="E29" s="408"/>
      <c r="F29" s="408"/>
      <c r="G29" s="213" t="str">
        <f>IF('Soli_citud '!O27="","",'Soli_citud '!O27)</f>
        <v>U</v>
      </c>
      <c r="H29" s="213" cm="1">
        <f t="array" ref="H29">_xlfn.IFS('Soli_citud '!S27="","",'Soli_citud '!S27&lt;=0,"",'Soli_citud '!S27&gt;0,'Soli_citud '!S27)</f>
        <v>0.70000000000000007</v>
      </c>
      <c r="I29" s="214">
        <v>45890</v>
      </c>
      <c r="J29" s="216"/>
      <c r="K29" s="197" cm="1">
        <f t="array" ref="K29">IFERROR(_xlfn.IFS(H29="","",J29=H29,"Cumplido",J29&lt;H29,H29-J29,J29&gt;H29,"Revisar"),"")</f>
        <v>0.70000000000000007</v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>MG1908-1</v>
      </c>
      <c r="C30" s="408" t="str">
        <f>IFERROR(IF('Soli_citud '!D28="","",'Soli_citud '!D28),"")</f>
        <v>POLITEX-KAMBREL 100 GR</v>
      </c>
      <c r="D30" s="408"/>
      <c r="E30" s="408"/>
      <c r="F30" s="408"/>
      <c r="G30" s="213" t="str">
        <f>IF('Soli_citud '!O28="","",'Soli_citud '!O28)</f>
        <v>cm2</v>
      </c>
      <c r="H30" s="213" cm="1">
        <f t="array" ref="H30">_xlfn.IFS('Soli_citud '!S28="","",'Soli_citud '!S28&lt;=0,"",'Soli_citud '!S28&gt;0,'Soli_citud '!S28)</f>
        <v>78750</v>
      </c>
      <c r="I30" s="214">
        <v>45947</v>
      </c>
      <c r="J30" s="216">
        <v>78750</v>
      </c>
      <c r="K30" s="197" t="str" cm="1">
        <f t="array" ref="K30">IFERROR(_xlfn.IFS(H30="","",J30=H30,"Cumplido",J30&lt;H30,H30-J30,J30&gt;H30,"Revisar"),"")</f>
        <v>Cumplido</v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>MG1908-1</v>
      </c>
      <c r="C31" s="408" t="str">
        <f>IFERROR(IF('Soli_citud '!D29="","",'Soli_citud '!D29),"")</f>
        <v xml:space="preserve">CEPILLO DE MANGO PLASTICO CREPE Y NYLON
</v>
      </c>
      <c r="D31" s="408"/>
      <c r="E31" s="408"/>
      <c r="F31" s="408"/>
      <c r="G31" s="213" t="str">
        <f>IF('Soli_citud '!O29="","",'Soli_citud '!O29)</f>
        <v>U</v>
      </c>
      <c r="H31" s="213" cm="1">
        <f t="array" ref="H31">_xlfn.IFS('Soli_citud '!S29="","",'Soli_citud '!S29&lt;=0,"",'Soli_citud '!S29&gt;0,'Soli_citud '!S29)</f>
        <v>1.0150000000000001</v>
      </c>
      <c r="I31" s="217"/>
      <c r="J31" s="216"/>
      <c r="K31" s="197" cm="1">
        <f t="array" ref="K31">IFERROR(_xlfn.IFS(H31="","",J31=H31,"Cumplido",J31&lt;H31,H31-J31,J31&gt;H31,"Revisar"),"")</f>
        <v>1.0150000000000001</v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>DEVOLUTIVO</v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1130" activePane="bottomRight" state="frozen"/>
      <selection pane="topRight" activeCell="D13" sqref="D13:N13"/>
      <selection pane="bottomLeft" activeCell="D13" sqref="D13:N13"/>
      <selection pane="bottomRight" activeCell="B1132" sqref="B1132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3"/>
      <c r="B1" s="503"/>
      <c r="C1" s="503"/>
      <c r="D1" s="503"/>
      <c r="E1" s="506" t="s">
        <v>83</v>
      </c>
      <c r="F1" s="506"/>
      <c r="H1" s="278" t="s">
        <v>84</v>
      </c>
      <c r="Z1" s="241" t="s">
        <v>85</v>
      </c>
    </row>
    <row r="2" spans="1:26" ht="18.75" customHeight="1">
      <c r="A2" s="503"/>
      <c r="B2" s="503"/>
      <c r="C2" s="503"/>
      <c r="D2" s="503"/>
      <c r="E2" s="506"/>
      <c r="F2" s="506"/>
    </row>
    <row r="3" spans="1:26" ht="24" customHeight="1">
      <c r="A3" s="503"/>
      <c r="B3" s="503"/>
      <c r="C3" s="503"/>
      <c r="D3" s="503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4"/>
      <c r="D6" s="505"/>
      <c r="H6" s="502" t="s">
        <v>87</v>
      </c>
      <c r="I6" s="502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8"/>
      <c r="D612" s="498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9"/>
      <c r="D658" s="500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8"/>
      <c r="D1107" s="498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1"/>
      <c r="D1166" s="500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8"/>
      <c r="D1275" s="498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8"/>
      <c r="D1331" s="498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8"/>
      <c r="D1416" s="498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8"/>
      <c r="D1510" s="498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7JJipDeLXvpuCahpr25qB32osPc+yD+ASiVt74og1hzmsyM3G17AVqPRvTPx0+CVhwaqk0sdm2UqBWXKmELJiw==" saltValue="+t4RVpVXgPdE/O5MOCz62A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2025-10-21T21:13:07Z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