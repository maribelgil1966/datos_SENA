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2\2022\1 SEMESTRE\2529169 Técnico en Fabricación Industrial de Marroquinería  2022\billeteras\billetera 082022\"/>
    </mc:Choice>
  </mc:AlternateContent>
  <xr:revisionPtr revIDLastSave="0" documentId="13_ncr:1_{58A64962-5893-4DF1-86EE-7BD8616A6AB0}" xr6:coauthVersionLast="47" xr6:coauthVersionMax="47" xr10:uidLastSave="{00000000-0000-0000-0000-000000000000}"/>
  <bookViews>
    <workbookView xWindow="-108" yWindow="-108" windowWidth="23256" windowHeight="12576" firstSheet="1" activeTab="1" xr2:uid="{17517EC8-3DE0-4696-961A-37EE2759AFFE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1" i="2"/>
  <c r="G11" i="2"/>
  <c r="L38" i="1"/>
  <c r="K32" i="1"/>
  <c r="L32" i="1" s="1"/>
  <c r="K33" i="1"/>
  <c r="L33" i="1" s="1"/>
  <c r="K34" i="1"/>
  <c r="L34" i="1"/>
  <c r="K35" i="1"/>
  <c r="L35" i="1"/>
  <c r="K36" i="1"/>
  <c r="L36" i="1"/>
  <c r="K37" i="1"/>
  <c r="L37" i="1" s="1"/>
  <c r="K38" i="1"/>
  <c r="L31" i="1"/>
  <c r="K31" i="1"/>
  <c r="A12" i="2"/>
  <c r="G41" i="1"/>
  <c r="I41" i="1" s="1"/>
  <c r="G42" i="1"/>
  <c r="I42" i="1" s="1"/>
  <c r="E22" i="1"/>
  <c r="G19" i="1"/>
  <c r="H19" i="1" s="1"/>
  <c r="J19" i="1" s="1"/>
  <c r="I43" i="1" l="1"/>
  <c r="C12" i="2" s="1"/>
  <c r="H21" i="2"/>
  <c r="E20" i="2"/>
  <c r="D19" i="2"/>
  <c r="E19" i="2" s="1"/>
  <c r="D18" i="2"/>
  <c r="D17" i="2"/>
  <c r="E17" i="2" s="1"/>
  <c r="D16" i="2"/>
  <c r="E16" i="2" s="1"/>
  <c r="D15" i="2"/>
  <c r="E15" i="2" s="1"/>
  <c r="D14" i="2"/>
  <c r="E14" i="2" s="1"/>
  <c r="D12" i="2"/>
  <c r="D13" i="2"/>
  <c r="E13" i="2" s="1"/>
  <c r="D11" i="2"/>
  <c r="D10" i="2"/>
  <c r="D9" i="2"/>
  <c r="I9" i="2"/>
  <c r="H12" i="2"/>
  <c r="H13" i="2"/>
  <c r="H14" i="2"/>
  <c r="H15" i="2"/>
  <c r="H16" i="2"/>
  <c r="H17" i="2"/>
  <c r="H18" i="2"/>
  <c r="H19" i="2"/>
  <c r="H20" i="2"/>
  <c r="F22" i="1"/>
  <c r="A11" i="2"/>
  <c r="H11" i="2" s="1"/>
  <c r="G26" i="1"/>
  <c r="I26" i="1" s="1"/>
  <c r="A10" i="2"/>
  <c r="H10" i="2" s="1"/>
  <c r="A9" i="2"/>
  <c r="H9" i="2" s="1"/>
  <c r="G25" i="1"/>
  <c r="G16" i="1"/>
  <c r="H16" i="1" s="1"/>
  <c r="J16" i="1" s="1"/>
  <c r="G17" i="1"/>
  <c r="H17" i="1" s="1"/>
  <c r="J17" i="1" s="1"/>
  <c r="G18" i="1"/>
  <c r="H18" i="1" s="1"/>
  <c r="J18" i="1" s="1"/>
  <c r="G20" i="1"/>
  <c r="H20" i="1" s="1"/>
  <c r="J20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14" i="1"/>
  <c r="H14" i="1" s="1"/>
  <c r="J14" i="1" s="1"/>
  <c r="G15" i="1"/>
  <c r="H15" i="1" s="1"/>
  <c r="J15" i="1" s="1"/>
  <c r="G9" i="1"/>
  <c r="H9" i="1" s="1"/>
  <c r="J9" i="1" s="1"/>
  <c r="E12" i="2" l="1"/>
  <c r="G22" i="1"/>
  <c r="H22" i="1" s="1"/>
  <c r="C18" i="2" s="1"/>
  <c r="E18" i="2" s="1"/>
  <c r="G36" i="1"/>
  <c r="I36" i="1" s="1"/>
  <c r="G30" i="1"/>
  <c r="I30" i="1" s="1"/>
  <c r="G34" i="1"/>
  <c r="I34" i="1" s="1"/>
  <c r="G31" i="1"/>
  <c r="I31" i="1" s="1"/>
  <c r="G35" i="1"/>
  <c r="I35" i="1" s="1"/>
  <c r="G32" i="1"/>
  <c r="I32" i="1" s="1"/>
  <c r="G33" i="1"/>
  <c r="I33" i="1" s="1"/>
  <c r="I25" i="1"/>
  <c r="I27" i="1" s="1"/>
  <c r="C10" i="2" s="1"/>
  <c r="E10" i="2" s="1"/>
  <c r="J21" i="1"/>
  <c r="C9" i="2" s="1"/>
  <c r="E9" i="2" s="1"/>
  <c r="I38" i="1" l="1"/>
  <c r="C11" i="2" s="1"/>
  <c r="E11" i="2" s="1"/>
  <c r="E22" i="2" s="1"/>
  <c r="E25" i="2" l="1"/>
  <c r="E24" i="2"/>
  <c r="E23" i="2"/>
  <c r="E26" i="2" l="1"/>
</calcChain>
</file>

<file path=xl/sharedStrings.xml><?xml version="1.0" encoding="utf-8"?>
<sst xmlns="http://schemas.openxmlformats.org/spreadsheetml/2006/main" count="126" uniqueCount="77">
  <si>
    <t>Referencia:</t>
  </si>
  <si>
    <t>Maribel Gil
modelista</t>
  </si>
  <si>
    <t>0 a 1.5</t>
  </si>
  <si>
    <t>Tipo:</t>
  </si>
  <si>
    <t>BILLETERA MASCULINA</t>
  </si>
  <si>
    <t>1.51 a 3</t>
  </si>
  <si>
    <t>Fecha:</t>
  </si>
  <si>
    <t>3.01 a 5</t>
  </si>
  <si>
    <t>cliente</t>
  </si>
  <si>
    <t>SENA</t>
  </si>
  <si>
    <t>mas de 5</t>
  </si>
  <si>
    <t>numero de ficha</t>
  </si>
  <si>
    <t>tiras de mas de 80 cm</t>
  </si>
  <si>
    <t>material</t>
  </si>
  <si>
    <t>numero del molde</t>
  </si>
  <si>
    <t>nombre del molde</t>
  </si>
  <si>
    <t>cantidad</t>
  </si>
  <si>
    <t>alto</t>
  </si>
  <si>
    <t>ancho</t>
  </si>
  <si>
    <t>alto x ancho = cm_2</t>
  </si>
  <si>
    <t>dm_2</t>
  </si>
  <si>
    <t>% desperdicio</t>
  </si>
  <si>
    <t>Total</t>
  </si>
  <si>
    <t>PENDIENTE FOTO</t>
  </si>
  <si>
    <t>cuero</t>
  </si>
  <si>
    <t>ESPALDAR</t>
  </si>
  <si>
    <t>TIRA DIVISIÓN</t>
  </si>
  <si>
    <t>CENTRO</t>
  </si>
  <si>
    <t>TARJETERO TOPE</t>
  </si>
  <si>
    <t>TARJETEROS</t>
  </si>
  <si>
    <t>SELLERO</t>
  </si>
  <si>
    <t>total cuero en dm_2</t>
  </si>
  <si>
    <t>perimetros para consumo de hilo en cm</t>
  </si>
  <si>
    <t>atlo x ancho=cm_2</t>
  </si>
  <si>
    <t>FORRO</t>
  </si>
  <si>
    <t>COMPLEMETO ESPALDAR</t>
  </si>
  <si>
    <t>DIVISIÓN</t>
  </si>
  <si>
    <t>BATA</t>
  </si>
  <si>
    <t>total FORRO en cm_2</t>
  </si>
  <si>
    <t>MATERIAL</t>
  </si>
  <si>
    <t>UNIDAD DE MEDIDA</t>
  </si>
  <si>
    <t>CANTIDAD</t>
  </si>
  <si>
    <t>VALOR UNITARIO</t>
  </si>
  <si>
    <t>VALOR TOTAL $</t>
  </si>
  <si>
    <t>unidad de medida compra</t>
  </si>
  <si>
    <t>valor</t>
  </si>
  <si>
    <t>cm</t>
  </si>
  <si>
    <t>metro</t>
  </si>
  <si>
    <t>unid</t>
  </si>
  <si>
    <t>unidad</t>
  </si>
  <si>
    <t>hilo x 3000</t>
  </si>
  <si>
    <t>metros</t>
  </si>
  <si>
    <t>cono</t>
  </si>
  <si>
    <t>pegante x 3000</t>
  </si>
  <si>
    <t>gramos</t>
  </si>
  <si>
    <t>galon</t>
  </si>
  <si>
    <t>mano de obra</t>
  </si>
  <si>
    <t>empaque</t>
  </si>
  <si>
    <t>inversión</t>
  </si>
  <si>
    <t>costos fijos</t>
  </si>
  <si>
    <t>costos variables e indirectos</t>
  </si>
  <si>
    <t>punto de equilibrio</t>
  </si>
  <si>
    <t>minimo de productos que tengo que vender para cumplir con todas las obligaciones sin obtener ganancia</t>
  </si>
  <si>
    <t>ganancia</t>
  </si>
  <si>
    <t>costo sugerido de venta</t>
  </si>
  <si>
    <t>tipo de maquina</t>
  </si>
  <si>
    <t>plana</t>
  </si>
  <si>
    <t xml:space="preserve">tipo de aguja </t>
  </si>
  <si>
    <t>cortante</t>
  </si>
  <si>
    <t>numero de aguja</t>
  </si>
  <si>
    <t>calibre hilo</t>
  </si>
  <si>
    <t>color hilo</t>
  </si>
  <si>
    <t>a tono</t>
  </si>
  <si>
    <t>corte</t>
  </si>
  <si>
    <t>prearme</t>
  </si>
  <si>
    <t xml:space="preserve">armado </t>
  </si>
  <si>
    <t>costura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</si>
</sst>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5E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wrapText="1"/>
    </xf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1" fillId="4" borderId="1" xfId="0" applyFont="1" applyFill="1" applyBorder="1"/>
    <xf numFmtId="0" fontId="0" fillId="5" borderId="5" xfId="0" applyFill="1" applyBorder="1"/>
    <xf numFmtId="0" fontId="0" fillId="2" borderId="0" xfId="0" applyFill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8" borderId="0" xfId="0" applyFill="1"/>
    <xf numFmtId="0" fontId="0" fillId="0" borderId="5" xfId="0" applyBorder="1" applyAlignment="1">
      <alignment vertical="center"/>
    </xf>
    <xf numFmtId="0" fontId="0" fillId="0" borderId="28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0" xfId="0" applyFill="1" applyAlignment="1">
      <alignment horizontal="center"/>
    </xf>
    <xf numFmtId="14" fontId="0" fillId="7" borderId="5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1" fillId="7" borderId="14" xfId="0" applyFont="1" applyFill="1" applyBorder="1" applyAlignment="1">
      <alignment horizontal="left"/>
    </xf>
    <xf numFmtId="0" fontId="1" fillId="7" borderId="16" xfId="0" applyFont="1" applyFill="1" applyBorder="1" applyAlignment="1">
      <alignment horizontal="left"/>
    </xf>
    <xf numFmtId="0" fontId="1" fillId="7" borderId="17" xfId="0" applyFont="1" applyFill="1" applyBorder="1" applyAlignment="1">
      <alignment horizontal="left"/>
    </xf>
    <xf numFmtId="0" fontId="1" fillId="7" borderId="18" xfId="0" applyFont="1" applyFill="1" applyBorder="1" applyAlignment="1">
      <alignment horizontal="left"/>
    </xf>
    <xf numFmtId="0" fontId="1" fillId="7" borderId="20" xfId="0" applyFont="1" applyFill="1" applyBorder="1" applyAlignment="1">
      <alignment horizontal="left"/>
    </xf>
    <xf numFmtId="0" fontId="1" fillId="7" borderId="19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1" fillId="7" borderId="25" xfId="0" applyFont="1" applyFill="1" applyBorder="1" applyAlignment="1">
      <alignment horizontal="left"/>
    </xf>
    <xf numFmtId="0" fontId="1" fillId="7" borderId="26" xfId="0" applyFont="1" applyFill="1" applyBorder="1" applyAlignment="1">
      <alignment horizontal="left"/>
    </xf>
    <xf numFmtId="0" fontId="1" fillId="7" borderId="27" xfId="0" applyFont="1" applyFill="1" applyBorder="1" applyAlignment="1">
      <alignment horizontal="left"/>
    </xf>
    <xf numFmtId="0" fontId="0" fillId="0" borderId="17" xfId="0" applyBorder="1" applyAlignment="1">
      <alignment horizontal="center"/>
    </xf>
    <xf numFmtId="0" fontId="0" fillId="9" borderId="5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159027</xdr:colOff>
      <xdr:row>0</xdr:row>
      <xdr:rowOff>6625</xdr:rowOff>
    </xdr:from>
    <xdr:to>
      <xdr:col>1</xdr:col>
      <xdr:colOff>556592</xdr:colOff>
      <xdr:row>4</xdr:row>
      <xdr:rowOff>178202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8BEBF9D-4ED4-F7F3-2716-75DC89DA7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27" y="6625"/>
          <a:ext cx="934278" cy="913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427968</xdr:colOff>
      <xdr:row>0</xdr:row>
      <xdr:rowOff>0</xdr:rowOff>
    </xdr:from>
    <xdr:to>
      <xdr:col>1</xdr:col>
      <xdr:colOff>345473</xdr:colOff>
      <xdr:row>4</xdr:row>
      <xdr:rowOff>171577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06373-161B-4863-B47F-8C713CB1F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968" y="0"/>
          <a:ext cx="930517" cy="8887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43"/>
  <sheetViews>
    <sheetView zoomScale="115" zoomScaleNormal="115" workbookViewId="0">
      <selection activeCell="F2" sqref="F2:H2"/>
    </sheetView>
  </sheetViews>
  <sheetFormatPr defaultColWidth="11.42578125" defaultRowHeight="14.45"/>
  <cols>
    <col min="1" max="1" width="7.7109375" customWidth="1"/>
    <col min="3" max="3" width="10.28515625" customWidth="1"/>
    <col min="4" max="4" width="8" customWidth="1"/>
    <col min="5" max="5" width="6.42578125" customWidth="1"/>
    <col min="6" max="6" width="7.28515625" customWidth="1"/>
    <col min="7" max="7" width="11" customWidth="1"/>
    <col min="8" max="8" width="7.85546875" customWidth="1"/>
    <col min="9" max="9" width="9.28515625" customWidth="1"/>
  </cols>
  <sheetData>
    <row r="1" spans="1:15">
      <c r="A1" s="47"/>
      <c r="B1" s="48"/>
      <c r="C1" s="63" t="s">
        <v>0</v>
      </c>
      <c r="D1" s="64"/>
      <c r="E1" s="65"/>
      <c r="F1" s="43">
        <v>6</v>
      </c>
      <c r="G1" s="43"/>
      <c r="H1" s="43"/>
      <c r="I1" s="53" t="s">
        <v>1</v>
      </c>
      <c r="J1" s="54"/>
      <c r="L1" s="3" t="s">
        <v>2</v>
      </c>
      <c r="M1" s="4">
        <v>5</v>
      </c>
      <c r="N1" s="5">
        <v>1.05</v>
      </c>
    </row>
    <row r="2" spans="1:15">
      <c r="A2" s="49"/>
      <c r="B2" s="50"/>
      <c r="C2" s="35" t="s">
        <v>3</v>
      </c>
      <c r="D2" s="36"/>
      <c r="E2" s="37"/>
      <c r="F2" s="34" t="s">
        <v>4</v>
      </c>
      <c r="G2" s="34"/>
      <c r="H2" s="34"/>
      <c r="I2" s="55"/>
      <c r="J2" s="56"/>
      <c r="L2" s="6" t="s">
        <v>5</v>
      </c>
      <c r="M2" s="1">
        <v>10</v>
      </c>
      <c r="N2" s="7">
        <v>1.1000000000000001</v>
      </c>
    </row>
    <row r="3" spans="1:15">
      <c r="A3" s="49"/>
      <c r="B3" s="50"/>
      <c r="C3" s="35" t="s">
        <v>6</v>
      </c>
      <c r="D3" s="36"/>
      <c r="E3" s="37"/>
      <c r="F3" s="33">
        <v>44796</v>
      </c>
      <c r="G3" s="34"/>
      <c r="H3" s="34"/>
      <c r="I3" s="55"/>
      <c r="J3" s="56"/>
      <c r="L3" s="6" t="s">
        <v>7</v>
      </c>
      <c r="M3" s="1">
        <v>15</v>
      </c>
      <c r="N3" s="7">
        <v>1.1499999999999999</v>
      </c>
    </row>
    <row r="4" spans="1:15">
      <c r="A4" s="49"/>
      <c r="B4" s="50"/>
      <c r="C4" s="35" t="s">
        <v>8</v>
      </c>
      <c r="D4" s="36"/>
      <c r="E4" s="37"/>
      <c r="F4" s="44" t="s">
        <v>9</v>
      </c>
      <c r="G4" s="45"/>
      <c r="H4" s="46"/>
      <c r="I4" s="55"/>
      <c r="J4" s="56"/>
      <c r="L4" s="6" t="s">
        <v>10</v>
      </c>
      <c r="M4" s="1">
        <v>20</v>
      </c>
      <c r="N4" s="7">
        <v>1.2</v>
      </c>
    </row>
    <row r="5" spans="1:15" ht="15" thickBot="1">
      <c r="A5" s="51"/>
      <c r="B5" s="52"/>
      <c r="C5" s="38" t="s">
        <v>11</v>
      </c>
      <c r="D5" s="39"/>
      <c r="E5" s="40"/>
      <c r="F5" s="60">
        <v>2529169</v>
      </c>
      <c r="G5" s="61"/>
      <c r="H5" s="62"/>
      <c r="I5" s="57"/>
      <c r="J5" s="58"/>
      <c r="L5" s="8" t="s">
        <v>12</v>
      </c>
      <c r="M5" s="9">
        <v>40</v>
      </c>
      <c r="N5" s="10">
        <v>1.4</v>
      </c>
    </row>
    <row r="6" spans="1:15" ht="4.1500000000000004" customHeight="1">
      <c r="A6" s="27"/>
      <c r="B6" s="27"/>
      <c r="C6" s="27"/>
      <c r="D6" s="27"/>
      <c r="E6" s="27"/>
      <c r="F6" s="27"/>
      <c r="G6" s="27"/>
      <c r="H6" s="27"/>
      <c r="I6" s="27"/>
      <c r="J6" s="27"/>
    </row>
    <row r="8" spans="1:15" ht="43.15">
      <c r="A8" s="13" t="s">
        <v>13</v>
      </c>
      <c r="B8" s="13" t="s">
        <v>14</v>
      </c>
      <c r="C8" s="13" t="s">
        <v>15</v>
      </c>
      <c r="D8" s="13" t="s">
        <v>16</v>
      </c>
      <c r="E8" s="13" t="s">
        <v>17</v>
      </c>
      <c r="F8" s="13" t="s">
        <v>18</v>
      </c>
      <c r="G8" s="13" t="s">
        <v>19</v>
      </c>
      <c r="H8" s="13" t="s">
        <v>20</v>
      </c>
      <c r="I8" s="13" t="s">
        <v>21</v>
      </c>
      <c r="J8" s="13" t="s">
        <v>22</v>
      </c>
      <c r="K8" s="11"/>
      <c r="L8" s="32" t="s">
        <v>23</v>
      </c>
      <c r="M8" s="32"/>
      <c r="N8" s="32"/>
      <c r="O8" s="32"/>
    </row>
    <row r="9" spans="1:15">
      <c r="A9" s="1" t="s">
        <v>24</v>
      </c>
      <c r="B9" s="1">
        <v>1</v>
      </c>
      <c r="C9" s="1" t="s">
        <v>25</v>
      </c>
      <c r="D9" s="1">
        <v>1</v>
      </c>
      <c r="E9" s="1">
        <v>11.1</v>
      </c>
      <c r="F9" s="1">
        <v>26</v>
      </c>
      <c r="G9" s="1">
        <f>E9*F9</f>
        <v>288.59999999999997</v>
      </c>
      <c r="H9" s="2">
        <f>G9/100</f>
        <v>2.8859999999999997</v>
      </c>
      <c r="I9" s="1">
        <v>1.1000000000000001</v>
      </c>
      <c r="J9" s="2">
        <f>D9*H9*I9</f>
        <v>3.1745999999999999</v>
      </c>
      <c r="L9" s="32"/>
      <c r="M9" s="32"/>
      <c r="N9" s="32"/>
      <c r="O9" s="32"/>
    </row>
    <row r="10" spans="1:15">
      <c r="A10" s="1"/>
      <c r="B10" s="1">
        <v>5</v>
      </c>
      <c r="C10" s="1" t="s">
        <v>26</v>
      </c>
      <c r="D10" s="1">
        <v>1</v>
      </c>
      <c r="E10" s="1">
        <v>1.8</v>
      </c>
      <c r="F10" s="1">
        <v>23</v>
      </c>
      <c r="G10" s="1">
        <f>E10*F10</f>
        <v>41.4</v>
      </c>
      <c r="H10" s="2">
        <f t="shared" ref="H10:H20" si="0">G10/100</f>
        <v>0.41399999999999998</v>
      </c>
      <c r="I10" s="1">
        <v>1.05</v>
      </c>
      <c r="J10" s="2">
        <f t="shared" ref="J10:J20" si="1">D10*H10*I10</f>
        <v>0.43469999999999998</v>
      </c>
      <c r="L10" s="32"/>
      <c r="M10" s="32"/>
      <c r="N10" s="32"/>
      <c r="O10" s="32"/>
    </row>
    <row r="11" spans="1:15">
      <c r="A11" s="1"/>
      <c r="B11" s="1">
        <v>7</v>
      </c>
      <c r="C11" s="1" t="s">
        <v>27</v>
      </c>
      <c r="D11" s="1">
        <v>1</v>
      </c>
      <c r="E11" s="1">
        <v>9.1</v>
      </c>
      <c r="F11" s="1">
        <v>3.6</v>
      </c>
      <c r="G11" s="1">
        <f>E11*F11</f>
        <v>32.76</v>
      </c>
      <c r="H11" s="2">
        <f t="shared" si="0"/>
        <v>0.3276</v>
      </c>
      <c r="I11" s="1">
        <v>1.05</v>
      </c>
      <c r="J11" s="2">
        <f t="shared" si="1"/>
        <v>0.34398000000000001</v>
      </c>
      <c r="L11" s="32"/>
      <c r="M11" s="32"/>
      <c r="N11" s="32"/>
      <c r="O11" s="32"/>
    </row>
    <row r="12" spans="1:15">
      <c r="A12" s="1"/>
      <c r="B12" s="1">
        <v>8</v>
      </c>
      <c r="C12" s="1" t="s">
        <v>28</v>
      </c>
      <c r="D12" s="1">
        <v>2</v>
      </c>
      <c r="E12" s="1">
        <v>2.7</v>
      </c>
      <c r="F12" s="1">
        <v>11</v>
      </c>
      <c r="G12" s="1">
        <f>E12*F12</f>
        <v>29.700000000000003</v>
      </c>
      <c r="H12" s="2">
        <f t="shared" si="0"/>
        <v>0.29700000000000004</v>
      </c>
      <c r="I12" s="1">
        <v>1.05</v>
      </c>
      <c r="J12" s="2">
        <f t="shared" si="1"/>
        <v>0.62370000000000014</v>
      </c>
      <c r="L12" s="32"/>
      <c r="M12" s="32"/>
      <c r="N12" s="32"/>
      <c r="O12" s="32"/>
    </row>
    <row r="13" spans="1:15">
      <c r="A13" s="1"/>
      <c r="B13" s="1">
        <v>9</v>
      </c>
      <c r="C13" s="1" t="s">
        <v>29</v>
      </c>
      <c r="D13" s="1">
        <v>4</v>
      </c>
      <c r="E13" s="1">
        <v>2.7</v>
      </c>
      <c r="F13" s="1">
        <v>11</v>
      </c>
      <c r="G13" s="1">
        <f t="shared" ref="G13:G20" si="2">E13*F13</f>
        <v>29.700000000000003</v>
      </c>
      <c r="H13" s="2">
        <f t="shared" si="0"/>
        <v>0.29700000000000004</v>
      </c>
      <c r="I13" s="1">
        <v>1.1000000000000001</v>
      </c>
      <c r="J13" s="2">
        <f t="shared" si="1"/>
        <v>1.3068000000000002</v>
      </c>
      <c r="L13" s="32"/>
      <c r="M13" s="32"/>
      <c r="N13" s="32"/>
      <c r="O13" s="32"/>
    </row>
    <row r="14" spans="1:15">
      <c r="A14" s="1"/>
      <c r="B14" s="1">
        <v>10</v>
      </c>
      <c r="C14" s="1" t="s">
        <v>30</v>
      </c>
      <c r="D14" s="1">
        <v>2</v>
      </c>
      <c r="E14" s="1">
        <v>6.1</v>
      </c>
      <c r="F14" s="1">
        <v>11</v>
      </c>
      <c r="G14" s="1">
        <f t="shared" si="2"/>
        <v>67.099999999999994</v>
      </c>
      <c r="H14" s="2">
        <f t="shared" si="0"/>
        <v>0.67099999999999993</v>
      </c>
      <c r="I14" s="1">
        <v>1.05</v>
      </c>
      <c r="J14" s="2">
        <f t="shared" si="1"/>
        <v>1.4091</v>
      </c>
      <c r="L14" s="32"/>
      <c r="M14" s="32"/>
      <c r="N14" s="32"/>
      <c r="O14" s="32"/>
    </row>
    <row r="15" spans="1:15">
      <c r="A15" s="1"/>
      <c r="B15" s="1"/>
      <c r="C15" s="1"/>
      <c r="D15" s="1"/>
      <c r="E15" s="1"/>
      <c r="F15" s="1"/>
      <c r="G15" s="1">
        <f t="shared" si="2"/>
        <v>0</v>
      </c>
      <c r="H15" s="2">
        <f t="shared" si="0"/>
        <v>0</v>
      </c>
      <c r="I15" s="1">
        <v>1.05</v>
      </c>
      <c r="J15" s="2">
        <f t="shared" si="1"/>
        <v>0</v>
      </c>
      <c r="L15" s="32"/>
      <c r="M15" s="32"/>
      <c r="N15" s="32"/>
      <c r="O15" s="32"/>
    </row>
    <row r="16" spans="1:15">
      <c r="A16" s="1"/>
      <c r="B16" s="1"/>
      <c r="C16" s="1"/>
      <c r="D16" s="1"/>
      <c r="E16" s="1"/>
      <c r="F16" s="1"/>
      <c r="G16" s="1">
        <f t="shared" si="2"/>
        <v>0</v>
      </c>
      <c r="H16" s="2">
        <f t="shared" si="0"/>
        <v>0</v>
      </c>
      <c r="I16" s="1">
        <v>1.05</v>
      </c>
      <c r="J16" s="2">
        <f t="shared" si="1"/>
        <v>0</v>
      </c>
      <c r="L16" s="32"/>
      <c r="M16" s="32"/>
      <c r="N16" s="32"/>
      <c r="O16" s="32"/>
    </row>
    <row r="17" spans="1:15">
      <c r="A17" s="1"/>
      <c r="B17" s="1"/>
      <c r="C17" s="1"/>
      <c r="D17" s="1"/>
      <c r="E17" s="1"/>
      <c r="F17" s="1"/>
      <c r="G17" s="1">
        <f t="shared" si="2"/>
        <v>0</v>
      </c>
      <c r="H17" s="2">
        <f t="shared" si="0"/>
        <v>0</v>
      </c>
      <c r="I17" s="1">
        <v>1.05</v>
      </c>
      <c r="J17" s="2">
        <f t="shared" si="1"/>
        <v>0</v>
      </c>
      <c r="L17" s="32"/>
      <c r="M17" s="32"/>
      <c r="N17" s="32"/>
      <c r="O17" s="32"/>
    </row>
    <row r="18" spans="1:15">
      <c r="A18" s="1"/>
      <c r="B18" s="1"/>
      <c r="C18" s="1"/>
      <c r="D18" s="1"/>
      <c r="E18" s="1"/>
      <c r="F18" s="1"/>
      <c r="G18" s="1">
        <f t="shared" si="2"/>
        <v>0</v>
      </c>
      <c r="H18" s="2">
        <f t="shared" si="0"/>
        <v>0</v>
      </c>
      <c r="I18" s="1">
        <v>1.05</v>
      </c>
      <c r="J18" s="2">
        <f t="shared" si="1"/>
        <v>0</v>
      </c>
      <c r="L18" s="32"/>
      <c r="M18" s="32"/>
      <c r="N18" s="32"/>
      <c r="O18" s="32"/>
    </row>
    <row r="19" spans="1:15">
      <c r="A19" s="1"/>
      <c r="B19" s="1"/>
      <c r="C19" s="1"/>
      <c r="D19" s="1"/>
      <c r="E19" s="1"/>
      <c r="F19" s="1"/>
      <c r="G19" s="1">
        <f t="shared" si="2"/>
        <v>0</v>
      </c>
      <c r="H19" s="2">
        <f t="shared" si="0"/>
        <v>0</v>
      </c>
      <c r="I19" s="1">
        <v>1.1000000000000001</v>
      </c>
      <c r="J19" s="12">
        <f t="shared" si="1"/>
        <v>0</v>
      </c>
      <c r="L19" s="32"/>
      <c r="M19" s="32"/>
      <c r="N19" s="32"/>
      <c r="O19" s="32"/>
    </row>
    <row r="20" spans="1:15" ht="15" thickBot="1">
      <c r="A20" s="1"/>
      <c r="B20" s="1"/>
      <c r="C20" s="1"/>
      <c r="D20" s="1"/>
      <c r="E20" s="1"/>
      <c r="F20" s="1"/>
      <c r="G20" s="1">
        <f t="shared" si="2"/>
        <v>0</v>
      </c>
      <c r="H20" s="2">
        <f t="shared" si="0"/>
        <v>0</v>
      </c>
      <c r="I20" s="1">
        <v>1.05</v>
      </c>
      <c r="J20" s="12">
        <f t="shared" si="1"/>
        <v>0</v>
      </c>
      <c r="L20" s="32"/>
      <c r="M20" s="32"/>
      <c r="N20" s="32"/>
      <c r="O20" s="32"/>
    </row>
    <row r="21" spans="1:15" ht="15" thickBot="1">
      <c r="B21" s="30" t="s">
        <v>31</v>
      </c>
      <c r="C21" s="31"/>
      <c r="D21" s="31"/>
      <c r="E21" s="31"/>
      <c r="F21" s="31"/>
      <c r="G21" s="31"/>
      <c r="H21" s="31"/>
      <c r="I21" s="59"/>
      <c r="J21" s="14">
        <f>SUM(J9:J20)</f>
        <v>7.2928800000000003</v>
      </c>
      <c r="L21" s="32"/>
      <c r="M21" s="32"/>
      <c r="N21" s="32"/>
      <c r="O21" s="32"/>
    </row>
    <row r="22" spans="1:15">
      <c r="A22" s="41" t="s">
        <v>32</v>
      </c>
      <c r="B22" s="41"/>
      <c r="C22" s="41"/>
      <c r="D22" s="42"/>
      <c r="E22" s="17">
        <f>SUM(E9:E20)</f>
        <v>33.5</v>
      </c>
      <c r="F22" s="17">
        <f>SUM(F9:F20)</f>
        <v>85.6</v>
      </c>
      <c r="G22" s="17">
        <f>E22+F22</f>
        <v>119.1</v>
      </c>
      <c r="H22" s="17">
        <f>G22*2</f>
        <v>238.2</v>
      </c>
      <c r="J22" s="19"/>
      <c r="L22" s="18"/>
      <c r="M22" s="18"/>
      <c r="N22" s="18"/>
      <c r="O22" s="18"/>
    </row>
    <row r="24" spans="1:15" ht="43.15">
      <c r="A24" s="13" t="s">
        <v>13</v>
      </c>
      <c r="B24" s="13" t="s">
        <v>14</v>
      </c>
      <c r="C24" s="13" t="s">
        <v>15</v>
      </c>
      <c r="D24" s="13" t="s">
        <v>16</v>
      </c>
      <c r="E24" s="13" t="s">
        <v>17</v>
      </c>
      <c r="F24" s="13" t="s">
        <v>18</v>
      </c>
      <c r="G24" s="13" t="s">
        <v>33</v>
      </c>
      <c r="H24" s="13" t="s">
        <v>21</v>
      </c>
      <c r="I24" s="13" t="s">
        <v>22</v>
      </c>
    </row>
    <row r="25" spans="1:15">
      <c r="A25" s="1"/>
      <c r="B25" s="1"/>
      <c r="C25" s="1"/>
      <c r="D25" s="1"/>
      <c r="E25" s="1"/>
      <c r="F25" s="1">
        <v>21</v>
      </c>
      <c r="G25" s="1">
        <f>E25*F25</f>
        <v>0</v>
      </c>
      <c r="H25" s="1">
        <v>1.1000000000000001</v>
      </c>
      <c r="I25" s="1">
        <f>D25*G25*H25</f>
        <v>0</v>
      </c>
    </row>
    <row r="26" spans="1:15" ht="15" thickBot="1">
      <c r="A26" s="1"/>
      <c r="B26" s="1"/>
      <c r="C26" s="1"/>
      <c r="D26" s="1"/>
      <c r="E26" s="1"/>
      <c r="F26" s="1">
        <v>13</v>
      </c>
      <c r="G26" s="1">
        <f>E26*F26</f>
        <v>0</v>
      </c>
      <c r="H26" s="1">
        <v>1.1000000000000001</v>
      </c>
      <c r="I26" s="1">
        <f>D26*G26*H26</f>
        <v>0</v>
      </c>
    </row>
    <row r="27" spans="1:15" ht="15" thickBot="1">
      <c r="A27" s="1"/>
      <c r="B27" s="30"/>
      <c r="C27" s="31"/>
      <c r="D27" s="31"/>
      <c r="E27" s="31"/>
      <c r="F27" s="31"/>
      <c r="G27" s="31"/>
      <c r="H27" s="31"/>
      <c r="I27" s="16">
        <f>SUM(I25:I26)</f>
        <v>0</v>
      </c>
    </row>
    <row r="29" spans="1:15" ht="43.15">
      <c r="A29" s="13" t="s">
        <v>13</v>
      </c>
      <c r="B29" s="13" t="s">
        <v>14</v>
      </c>
      <c r="C29" s="13" t="s">
        <v>15</v>
      </c>
      <c r="D29" s="13" t="s">
        <v>16</v>
      </c>
      <c r="E29" s="13" t="s">
        <v>17</v>
      </c>
      <c r="F29" s="13" t="s">
        <v>18</v>
      </c>
      <c r="G29" s="13" t="s">
        <v>33</v>
      </c>
      <c r="H29" s="13" t="s">
        <v>21</v>
      </c>
      <c r="I29" s="13" t="s">
        <v>22</v>
      </c>
    </row>
    <row r="30" spans="1:15">
      <c r="A30" s="1" t="s">
        <v>34</v>
      </c>
      <c r="B30" s="1">
        <v>2</v>
      </c>
      <c r="C30" s="1" t="s">
        <v>25</v>
      </c>
      <c r="D30" s="1">
        <v>1</v>
      </c>
      <c r="E30" s="1">
        <v>8.9</v>
      </c>
      <c r="F30" s="1">
        <v>23.8</v>
      </c>
      <c r="G30" s="1">
        <f>E30*F30</f>
        <v>211.82000000000002</v>
      </c>
      <c r="H30" s="1">
        <v>1.1000000000000001</v>
      </c>
      <c r="I30" s="2">
        <f>D30*G30*H30</f>
        <v>233.00200000000004</v>
      </c>
      <c r="J30" s="29">
        <v>10</v>
      </c>
    </row>
    <row r="31" spans="1:15">
      <c r="A31" s="1"/>
      <c r="B31" s="1">
        <v>3</v>
      </c>
      <c r="C31" s="1" t="s">
        <v>35</v>
      </c>
      <c r="D31" s="1">
        <v>1</v>
      </c>
      <c r="E31" s="1">
        <v>8.9</v>
      </c>
      <c r="F31" s="1">
        <v>23.8</v>
      </c>
      <c r="G31" s="1">
        <f t="shared" ref="G31:G36" si="3">E31*F31</f>
        <v>211.82000000000002</v>
      </c>
      <c r="H31" s="1">
        <v>1.1000000000000001</v>
      </c>
      <c r="I31" s="2">
        <f t="shared" ref="I31:I36" si="4">D31*G31*H31</f>
        <v>233.00200000000004</v>
      </c>
      <c r="J31" s="29">
        <v>10</v>
      </c>
      <c r="K31">
        <f>I31*J31</f>
        <v>2330.0200000000004</v>
      </c>
      <c r="L31">
        <f>K31/140</f>
        <v>16.643000000000004</v>
      </c>
    </row>
    <row r="32" spans="1:15">
      <c r="A32" s="1"/>
      <c r="B32" s="1">
        <v>6</v>
      </c>
      <c r="C32" s="1" t="s">
        <v>27</v>
      </c>
      <c r="D32" s="1">
        <v>1</v>
      </c>
      <c r="E32" s="1">
        <v>8.3000000000000007</v>
      </c>
      <c r="F32" s="1">
        <v>22.4</v>
      </c>
      <c r="G32" s="1">
        <f t="shared" si="3"/>
        <v>185.92000000000002</v>
      </c>
      <c r="H32" s="1">
        <v>1.1000000000000001</v>
      </c>
      <c r="I32" s="2">
        <f t="shared" si="4"/>
        <v>204.51200000000003</v>
      </c>
      <c r="J32" s="29">
        <v>10</v>
      </c>
      <c r="K32">
        <f t="shared" ref="K32:K38" si="5">I32*J32</f>
        <v>2045.1200000000003</v>
      </c>
      <c r="L32">
        <f t="shared" ref="L32:L37" si="6">K32/140</f>
        <v>14.608000000000002</v>
      </c>
    </row>
    <row r="33" spans="1:12">
      <c r="A33" s="1"/>
      <c r="B33" s="1">
        <v>4</v>
      </c>
      <c r="C33" s="1" t="s">
        <v>36</v>
      </c>
      <c r="D33" s="1">
        <v>1</v>
      </c>
      <c r="E33" s="1">
        <v>8.6</v>
      </c>
      <c r="F33" s="1">
        <v>23</v>
      </c>
      <c r="G33" s="1">
        <f t="shared" si="3"/>
        <v>197.79999999999998</v>
      </c>
      <c r="H33" s="1">
        <v>1.1000000000000001</v>
      </c>
      <c r="I33" s="2">
        <f t="shared" si="4"/>
        <v>217.58</v>
      </c>
      <c r="J33" s="29">
        <v>10</v>
      </c>
      <c r="K33">
        <f t="shared" si="5"/>
        <v>2175.8000000000002</v>
      </c>
      <c r="L33">
        <f t="shared" si="6"/>
        <v>15.541428571428574</v>
      </c>
    </row>
    <row r="34" spans="1:12">
      <c r="A34" s="1"/>
      <c r="B34" s="1">
        <v>11</v>
      </c>
      <c r="C34" s="1" t="s">
        <v>29</v>
      </c>
      <c r="D34" s="1">
        <v>6</v>
      </c>
      <c r="E34" s="1">
        <v>10.199999999999999</v>
      </c>
      <c r="F34" s="1">
        <v>9.8000000000000007</v>
      </c>
      <c r="G34" s="1">
        <f t="shared" si="3"/>
        <v>99.96</v>
      </c>
      <c r="H34" s="1">
        <v>1.1000000000000001</v>
      </c>
      <c r="I34" s="2">
        <f t="shared" si="4"/>
        <v>659.73599999999999</v>
      </c>
      <c r="J34" s="29">
        <v>10</v>
      </c>
      <c r="K34">
        <f t="shared" si="5"/>
        <v>6597.36</v>
      </c>
      <c r="L34">
        <f t="shared" si="6"/>
        <v>47.123999999999995</v>
      </c>
    </row>
    <row r="35" spans="1:12">
      <c r="A35" s="1"/>
      <c r="B35" s="1">
        <v>12</v>
      </c>
      <c r="C35" s="1" t="s">
        <v>37</v>
      </c>
      <c r="D35" s="1">
        <v>2</v>
      </c>
      <c r="E35" s="1">
        <v>8.3000000000000007</v>
      </c>
      <c r="F35" s="1">
        <v>10.199999999999999</v>
      </c>
      <c r="G35" s="1">
        <f t="shared" si="3"/>
        <v>84.66</v>
      </c>
      <c r="H35" s="1">
        <v>1.1000000000000001</v>
      </c>
      <c r="I35" s="2">
        <f t="shared" si="4"/>
        <v>186.25200000000001</v>
      </c>
      <c r="J35" s="29">
        <v>10</v>
      </c>
      <c r="K35">
        <f t="shared" si="5"/>
        <v>1862.52</v>
      </c>
      <c r="L35">
        <f t="shared" si="6"/>
        <v>13.303714285714285</v>
      </c>
    </row>
    <row r="36" spans="1:12">
      <c r="A36" s="1"/>
      <c r="B36" s="1"/>
      <c r="C36" s="1"/>
      <c r="D36" s="1"/>
      <c r="E36" s="1"/>
      <c r="F36" s="1"/>
      <c r="G36" s="1">
        <f t="shared" si="3"/>
        <v>0</v>
      </c>
      <c r="H36" s="1">
        <v>1.1000000000000001</v>
      </c>
      <c r="I36" s="2">
        <f t="shared" si="4"/>
        <v>0</v>
      </c>
      <c r="J36" s="29">
        <v>10</v>
      </c>
      <c r="K36">
        <f t="shared" si="5"/>
        <v>0</v>
      </c>
      <c r="L36">
        <f t="shared" si="6"/>
        <v>0</v>
      </c>
    </row>
    <row r="37" spans="1:12" ht="15" thickBot="1">
      <c r="A37" s="1"/>
      <c r="B37" s="1"/>
      <c r="C37" s="1"/>
      <c r="D37" s="1"/>
      <c r="E37" s="1"/>
      <c r="F37" s="1"/>
      <c r="G37" s="1"/>
      <c r="H37" s="1"/>
      <c r="I37" s="15"/>
      <c r="J37" s="29">
        <v>10</v>
      </c>
      <c r="K37">
        <f t="shared" si="5"/>
        <v>0</v>
      </c>
      <c r="L37">
        <f t="shared" si="6"/>
        <v>0</v>
      </c>
    </row>
    <row r="38" spans="1:12" ht="15" thickBot="1">
      <c r="A38" s="1"/>
      <c r="B38" s="30" t="s">
        <v>38</v>
      </c>
      <c r="C38" s="31"/>
      <c r="D38" s="31"/>
      <c r="E38" s="31"/>
      <c r="F38" s="31"/>
      <c r="G38" s="31"/>
      <c r="H38" s="31"/>
      <c r="I38" s="14">
        <f>SUM(I30:I37)</f>
        <v>1734.0840000000001</v>
      </c>
      <c r="J38" s="29">
        <v>10</v>
      </c>
      <c r="K38">
        <f t="shared" si="5"/>
        <v>17340.84</v>
      </c>
      <c r="L38">
        <f>K38/140</f>
        <v>123.86314285714286</v>
      </c>
    </row>
    <row r="40" spans="1:12" ht="43.15">
      <c r="A40" s="13" t="s">
        <v>13</v>
      </c>
      <c r="B40" s="13" t="s">
        <v>14</v>
      </c>
      <c r="C40" s="13" t="s">
        <v>15</v>
      </c>
      <c r="D40" s="13" t="s">
        <v>16</v>
      </c>
      <c r="E40" s="13" t="s">
        <v>17</v>
      </c>
      <c r="F40" s="13" t="s">
        <v>18</v>
      </c>
      <c r="G40" s="13" t="s">
        <v>33</v>
      </c>
      <c r="H40" s="13" t="s">
        <v>21</v>
      </c>
      <c r="I40" s="13" t="s">
        <v>22</v>
      </c>
    </row>
    <row r="41" spans="1:12">
      <c r="A41" s="1"/>
      <c r="B41" s="1"/>
      <c r="C41" s="1"/>
      <c r="D41" s="1"/>
      <c r="E41" s="1"/>
      <c r="F41" s="1"/>
      <c r="G41" s="1">
        <f>E41*F41</f>
        <v>0</v>
      </c>
      <c r="H41" s="1">
        <v>1.1000000000000001</v>
      </c>
      <c r="I41" s="1">
        <f>D41*G41*H41</f>
        <v>0</v>
      </c>
    </row>
    <row r="42" spans="1:12" ht="15" thickBot="1">
      <c r="A42" s="1"/>
      <c r="B42" s="1"/>
      <c r="C42" s="1"/>
      <c r="D42" s="1"/>
      <c r="E42" s="1"/>
      <c r="F42" s="1"/>
      <c r="G42" s="1">
        <f>E42*F42</f>
        <v>0</v>
      </c>
      <c r="H42" s="1">
        <v>1.1000000000000001</v>
      </c>
      <c r="I42" s="1">
        <f>D42*G42*H42</f>
        <v>0</v>
      </c>
    </row>
    <row r="43" spans="1:12" ht="15" thickBot="1">
      <c r="A43" s="1"/>
      <c r="B43" s="30"/>
      <c r="C43" s="31"/>
      <c r="D43" s="31"/>
      <c r="E43" s="31"/>
      <c r="F43" s="31"/>
      <c r="G43" s="31"/>
      <c r="H43" s="31"/>
      <c r="I43" s="16">
        <f>SUM(I41:I42)</f>
        <v>0</v>
      </c>
    </row>
  </sheetData>
  <mergeCells count="18">
    <mergeCell ref="F1:H1"/>
    <mergeCell ref="F4:H4"/>
    <mergeCell ref="A1:B5"/>
    <mergeCell ref="I1:J5"/>
    <mergeCell ref="B21:I21"/>
    <mergeCell ref="F5:H5"/>
    <mergeCell ref="C1:E1"/>
    <mergeCell ref="B43:H43"/>
    <mergeCell ref="B38:H38"/>
    <mergeCell ref="L8:O21"/>
    <mergeCell ref="F3:H3"/>
    <mergeCell ref="F2:H2"/>
    <mergeCell ref="B27:H27"/>
    <mergeCell ref="C2:E2"/>
    <mergeCell ref="C3:E3"/>
    <mergeCell ref="C4:E4"/>
    <mergeCell ref="C5:E5"/>
    <mergeCell ref="A22:D22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37"/>
  <sheetViews>
    <sheetView tabSelected="1" zoomScale="85" zoomScaleNormal="85" workbookViewId="0">
      <selection activeCell="G8" sqref="G8"/>
    </sheetView>
  </sheetViews>
  <sheetFormatPr defaultColWidth="11.42578125" defaultRowHeight="14.45"/>
  <cols>
    <col min="1" max="1" width="14.7109375" customWidth="1"/>
    <col min="8" max="8" width="13.28515625" customWidth="1"/>
  </cols>
  <sheetData>
    <row r="1" spans="1:10" ht="14.45" customHeight="1">
      <c r="A1" s="47"/>
      <c r="B1" s="48"/>
      <c r="C1" s="63" t="s">
        <v>0</v>
      </c>
      <c r="D1" s="64"/>
      <c r="E1" s="65"/>
      <c r="F1" s="34">
        <f>Hoja1!F1</f>
        <v>6</v>
      </c>
      <c r="G1" s="34"/>
      <c r="H1" s="34"/>
      <c r="I1" s="53" t="s">
        <v>1</v>
      </c>
      <c r="J1" s="54"/>
    </row>
    <row r="2" spans="1:10" ht="14.45" customHeight="1">
      <c r="A2" s="49"/>
      <c r="B2" s="50"/>
      <c r="C2" s="35" t="s">
        <v>3</v>
      </c>
      <c r="D2" s="36"/>
      <c r="E2" s="37"/>
      <c r="F2" s="34" t="str">
        <f>Hoja1!F2</f>
        <v>BILLETERA MASCULINA</v>
      </c>
      <c r="G2" s="34"/>
      <c r="H2" s="34"/>
      <c r="I2" s="55"/>
      <c r="J2" s="56"/>
    </row>
    <row r="3" spans="1:10" ht="14.45" customHeight="1">
      <c r="A3" s="49"/>
      <c r="B3" s="50"/>
      <c r="C3" s="35" t="s">
        <v>6</v>
      </c>
      <c r="D3" s="36"/>
      <c r="E3" s="37"/>
      <c r="F3" s="34">
        <f>Hoja1!F3</f>
        <v>44796</v>
      </c>
      <c r="G3" s="34"/>
      <c r="H3" s="34"/>
      <c r="I3" s="55"/>
      <c r="J3" s="56"/>
    </row>
    <row r="4" spans="1:10" ht="14.45" customHeight="1">
      <c r="A4" s="49"/>
      <c r="B4" s="50"/>
      <c r="C4" s="35" t="s">
        <v>8</v>
      </c>
      <c r="D4" s="36"/>
      <c r="E4" s="37"/>
      <c r="F4" s="34" t="str">
        <f>Hoja1!F4</f>
        <v>SENA</v>
      </c>
      <c r="G4" s="34"/>
      <c r="H4" s="34"/>
      <c r="I4" s="55"/>
      <c r="J4" s="56"/>
    </row>
    <row r="5" spans="1:10" ht="15" customHeight="1" thickBot="1">
      <c r="A5" s="51"/>
      <c r="B5" s="52"/>
      <c r="C5" s="38" t="s">
        <v>11</v>
      </c>
      <c r="D5" s="39"/>
      <c r="E5" s="40"/>
      <c r="F5" s="68">
        <f>Hoja1!F5</f>
        <v>2529169</v>
      </c>
      <c r="G5" s="68"/>
      <c r="H5" s="68"/>
      <c r="I5" s="57"/>
      <c r="J5" s="58"/>
    </row>
    <row r="6" spans="1:10" ht="6.6" customHeight="1">
      <c r="A6" s="27"/>
      <c r="B6" s="27"/>
      <c r="C6" s="27"/>
      <c r="D6" s="27"/>
      <c r="E6" s="27"/>
      <c r="F6" s="27"/>
      <c r="G6" s="27"/>
      <c r="H6" s="27"/>
      <c r="I6" s="27"/>
      <c r="J6" s="27"/>
    </row>
    <row r="8" spans="1:10" ht="43.15">
      <c r="A8" s="22" t="s">
        <v>39</v>
      </c>
      <c r="B8" s="22" t="s">
        <v>40</v>
      </c>
      <c r="C8" s="22" t="s">
        <v>41</v>
      </c>
      <c r="D8" s="22" t="s">
        <v>42</v>
      </c>
      <c r="E8" s="22" t="s">
        <v>43</v>
      </c>
      <c r="F8" s="20"/>
      <c r="H8" s="22" t="s">
        <v>13</v>
      </c>
      <c r="I8" s="22" t="s">
        <v>44</v>
      </c>
      <c r="J8" s="22" t="s">
        <v>45</v>
      </c>
    </row>
    <row r="9" spans="1:10">
      <c r="A9" s="1" t="str">
        <f>Hoja1!A9</f>
        <v>cuero</v>
      </c>
      <c r="B9" s="1" t="s">
        <v>20</v>
      </c>
      <c r="C9" s="2">
        <f>Hoja1!J21</f>
        <v>7.2928800000000003</v>
      </c>
      <c r="D9" s="1">
        <f>J9</f>
        <v>630</v>
      </c>
      <c r="E9" s="21">
        <f>C9*D9</f>
        <v>4594.5144</v>
      </c>
      <c r="H9" s="26" t="str">
        <f>A9</f>
        <v>cuero</v>
      </c>
      <c r="I9" s="26" t="str">
        <f>B9</f>
        <v>dm_2</v>
      </c>
      <c r="J9" s="26">
        <v>630</v>
      </c>
    </row>
    <row r="10" spans="1:10">
      <c r="A10" s="1">
        <f>Hoja1!A25</f>
        <v>0</v>
      </c>
      <c r="B10" s="1" t="s">
        <v>46</v>
      </c>
      <c r="C10" s="2">
        <f>Hoja1!I27/140</f>
        <v>0</v>
      </c>
      <c r="D10" s="1">
        <f>J10/100</f>
        <v>0</v>
      </c>
      <c r="E10" s="21">
        <f t="shared" ref="E10:E20" si="0">C10*D10</f>
        <v>0</v>
      </c>
      <c r="H10" s="26">
        <f t="shared" ref="H10:H21" si="1">A10</f>
        <v>0</v>
      </c>
      <c r="I10" s="26" t="s">
        <v>47</v>
      </c>
      <c r="J10" s="26">
        <v>0</v>
      </c>
    </row>
    <row r="11" spans="1:10">
      <c r="A11" s="1" t="str">
        <f>Hoja1!A30</f>
        <v>FORRO</v>
      </c>
      <c r="B11" s="1" t="s">
        <v>46</v>
      </c>
      <c r="C11" s="2">
        <f>Hoja1!I38/70</f>
        <v>24.772628571428573</v>
      </c>
      <c r="D11" s="1">
        <f>J11/100</f>
        <v>55</v>
      </c>
      <c r="E11" s="21">
        <f t="shared" si="0"/>
        <v>1362.4945714285716</v>
      </c>
      <c r="F11">
        <v>10</v>
      </c>
      <c r="G11">
        <f>C11*F11/100</f>
        <v>2.4772628571428572</v>
      </c>
      <c r="H11" s="26" t="str">
        <f t="shared" si="1"/>
        <v>FORRO</v>
      </c>
      <c r="I11" s="26" t="s">
        <v>47</v>
      </c>
      <c r="J11" s="26">
        <v>5500</v>
      </c>
    </row>
    <row r="12" spans="1:10">
      <c r="A12" s="1">
        <f>Hoja1!A41</f>
        <v>0</v>
      </c>
      <c r="B12" s="1" t="s">
        <v>46</v>
      </c>
      <c r="C12" s="2">
        <f>Hoja1!I43/140</f>
        <v>0</v>
      </c>
      <c r="D12" s="1">
        <f t="shared" ref="D12:D13" si="2">J12/100</f>
        <v>0</v>
      </c>
      <c r="E12" s="21">
        <f t="shared" si="0"/>
        <v>0</v>
      </c>
      <c r="H12" s="26">
        <f t="shared" si="1"/>
        <v>0</v>
      </c>
      <c r="I12" s="26" t="s">
        <v>47</v>
      </c>
      <c r="J12" s="26">
        <v>0</v>
      </c>
    </row>
    <row r="13" spans="1:10">
      <c r="A13" s="1"/>
      <c r="B13" s="1" t="s">
        <v>46</v>
      </c>
      <c r="C13" s="1"/>
      <c r="D13" s="1">
        <f t="shared" si="2"/>
        <v>0</v>
      </c>
      <c r="E13" s="21">
        <f t="shared" si="0"/>
        <v>0</v>
      </c>
      <c r="H13" s="26">
        <f t="shared" si="1"/>
        <v>0</v>
      </c>
      <c r="I13" s="26" t="s">
        <v>47</v>
      </c>
      <c r="J13" s="26">
        <v>0</v>
      </c>
    </row>
    <row r="14" spans="1:10">
      <c r="A14" s="1"/>
      <c r="B14" s="1" t="s">
        <v>48</v>
      </c>
      <c r="C14" s="1"/>
      <c r="D14" s="1">
        <f>J14</f>
        <v>0</v>
      </c>
      <c r="E14" s="21">
        <f t="shared" si="0"/>
        <v>0</v>
      </c>
      <c r="H14" s="26">
        <f t="shared" si="1"/>
        <v>0</v>
      </c>
      <c r="I14" s="26" t="s">
        <v>49</v>
      </c>
      <c r="J14" s="26">
        <v>0</v>
      </c>
    </row>
    <row r="15" spans="1:10">
      <c r="A15" s="1"/>
      <c r="B15" s="1" t="s">
        <v>48</v>
      </c>
      <c r="C15" s="1"/>
      <c r="D15" s="1">
        <f>J15</f>
        <v>0</v>
      </c>
      <c r="E15" s="21">
        <f t="shared" si="0"/>
        <v>0</v>
      </c>
      <c r="H15" s="26">
        <f t="shared" si="1"/>
        <v>0</v>
      </c>
      <c r="I15" s="26" t="s">
        <v>49</v>
      </c>
      <c r="J15" s="26">
        <v>0</v>
      </c>
    </row>
    <row r="16" spans="1:10">
      <c r="A16" s="1"/>
      <c r="B16" s="1" t="s">
        <v>48</v>
      </c>
      <c r="C16" s="1"/>
      <c r="D16" s="1">
        <f>J16</f>
        <v>0</v>
      </c>
      <c r="E16" s="21">
        <f t="shared" si="0"/>
        <v>0</v>
      </c>
      <c r="H16" s="26">
        <f t="shared" si="1"/>
        <v>0</v>
      </c>
      <c r="I16" s="26" t="s">
        <v>49</v>
      </c>
      <c r="J16" s="26">
        <v>0</v>
      </c>
    </row>
    <row r="17" spans="1:10">
      <c r="A17" s="1"/>
      <c r="B17" s="1" t="s">
        <v>46</v>
      </c>
      <c r="C17" s="1"/>
      <c r="D17" s="1">
        <f>J17/100</f>
        <v>0</v>
      </c>
      <c r="E17" s="21">
        <f t="shared" si="0"/>
        <v>0</v>
      </c>
      <c r="H17" s="26">
        <f t="shared" si="1"/>
        <v>0</v>
      </c>
      <c r="I17" s="26" t="s">
        <v>47</v>
      </c>
      <c r="J17" s="26">
        <v>0</v>
      </c>
    </row>
    <row r="18" spans="1:10">
      <c r="A18" s="1" t="s">
        <v>50</v>
      </c>
      <c r="B18" s="1" t="s">
        <v>51</v>
      </c>
      <c r="C18" s="2">
        <f>(Hoja1!H22/100)*3</f>
        <v>7.145999999999999</v>
      </c>
      <c r="D18" s="2">
        <f>J18/3000</f>
        <v>2.1666666666666665</v>
      </c>
      <c r="E18" s="21">
        <f t="shared" si="0"/>
        <v>15.482999999999997</v>
      </c>
      <c r="H18" s="26" t="str">
        <f t="shared" si="1"/>
        <v>hilo x 3000</v>
      </c>
      <c r="I18" s="26" t="s">
        <v>52</v>
      </c>
      <c r="J18" s="26">
        <v>6500</v>
      </c>
    </row>
    <row r="19" spans="1:10">
      <c r="A19" s="1" t="s">
        <v>53</v>
      </c>
      <c r="B19" s="1" t="s">
        <v>54</v>
      </c>
      <c r="C19" s="1">
        <v>58</v>
      </c>
      <c r="D19" s="1">
        <f>J19/3000</f>
        <v>10</v>
      </c>
      <c r="E19" s="21">
        <f t="shared" si="0"/>
        <v>580</v>
      </c>
      <c r="H19" s="26" t="str">
        <f t="shared" si="1"/>
        <v>pegante x 3000</v>
      </c>
      <c r="I19" s="26" t="s">
        <v>55</v>
      </c>
      <c r="J19" s="26">
        <v>30000</v>
      </c>
    </row>
    <row r="20" spans="1:10">
      <c r="A20" s="1" t="s">
        <v>56</v>
      </c>
      <c r="B20" s="1"/>
      <c r="C20" s="1">
        <v>1</v>
      </c>
      <c r="D20" s="1">
        <v>0</v>
      </c>
      <c r="E20" s="21">
        <f t="shared" si="0"/>
        <v>0</v>
      </c>
      <c r="H20" s="26" t="str">
        <f t="shared" si="1"/>
        <v>mano de obra</v>
      </c>
      <c r="I20" s="26"/>
      <c r="J20" s="26"/>
    </row>
    <row r="21" spans="1:10">
      <c r="A21" s="1" t="s">
        <v>57</v>
      </c>
      <c r="B21" s="1"/>
      <c r="C21" s="1"/>
      <c r="D21" s="1"/>
      <c r="E21" s="21"/>
      <c r="H21" s="26" t="str">
        <f t="shared" si="1"/>
        <v>empaque</v>
      </c>
      <c r="I21" s="26"/>
      <c r="J21" s="26"/>
    </row>
    <row r="22" spans="1:10">
      <c r="A22" s="69" t="s">
        <v>58</v>
      </c>
      <c r="B22" s="69"/>
      <c r="C22" s="69"/>
      <c r="D22" s="69"/>
      <c r="E22" s="24">
        <f>SUM(E9:E20)</f>
        <v>6552.4919714285716</v>
      </c>
    </row>
    <row r="23" spans="1:10">
      <c r="A23" s="70" t="s">
        <v>59</v>
      </c>
      <c r="B23" s="70"/>
      <c r="C23" s="23">
        <v>0</v>
      </c>
      <c r="D23" s="1"/>
      <c r="E23" s="21">
        <f>E22*C23</f>
        <v>0</v>
      </c>
    </row>
    <row r="24" spans="1:10" ht="14.45" customHeight="1">
      <c r="A24" s="70" t="s">
        <v>60</v>
      </c>
      <c r="B24" s="70"/>
      <c r="C24" s="23">
        <v>0</v>
      </c>
      <c r="D24" s="1"/>
      <c r="E24" s="21">
        <f>E22*C24</f>
        <v>0</v>
      </c>
      <c r="G24" s="67" t="s">
        <v>61</v>
      </c>
      <c r="H24" s="67" t="s">
        <v>62</v>
      </c>
      <c r="I24" s="67"/>
      <c r="J24" s="67"/>
    </row>
    <row r="25" spans="1:10">
      <c r="A25" s="70" t="s">
        <v>63</v>
      </c>
      <c r="B25" s="70"/>
      <c r="C25" s="23">
        <v>0</v>
      </c>
      <c r="D25" s="1"/>
      <c r="E25" s="21">
        <f>E22*C25</f>
        <v>0</v>
      </c>
      <c r="G25" s="67"/>
      <c r="H25" s="67"/>
      <c r="I25" s="67"/>
      <c r="J25" s="67"/>
    </row>
    <row r="26" spans="1:10">
      <c r="A26" s="30" t="s">
        <v>64</v>
      </c>
      <c r="B26" s="31"/>
      <c r="C26" s="31"/>
      <c r="D26" s="66"/>
      <c r="E26" s="25">
        <f>SUM(E22:E25)</f>
        <v>6552.4919714285716</v>
      </c>
      <c r="G26" s="67"/>
      <c r="H26" s="67"/>
      <c r="I26" s="67"/>
      <c r="J26" s="67"/>
    </row>
    <row r="29" spans="1:10">
      <c r="A29" s="1" t="s">
        <v>65</v>
      </c>
      <c r="B29" s="1" t="s">
        <v>66</v>
      </c>
    </row>
    <row r="30" spans="1:10">
      <c r="A30" s="1" t="s">
        <v>67</v>
      </c>
      <c r="B30" s="1" t="s">
        <v>68</v>
      </c>
    </row>
    <row r="31" spans="1:10">
      <c r="A31" s="1" t="s">
        <v>69</v>
      </c>
      <c r="B31" s="1">
        <v>90</v>
      </c>
    </row>
    <row r="32" spans="1:10">
      <c r="A32" s="1" t="s">
        <v>70</v>
      </c>
      <c r="B32" s="1">
        <v>60</v>
      </c>
    </row>
    <row r="33" spans="1:2">
      <c r="A33" s="1" t="s">
        <v>71</v>
      </c>
      <c r="B33" s="1" t="s">
        <v>72</v>
      </c>
    </row>
    <row r="34" spans="1:2">
      <c r="A34" s="1" t="s">
        <v>73</v>
      </c>
      <c r="B34" s="28"/>
    </row>
    <row r="35" spans="1:2">
      <c r="A35" s="1" t="s">
        <v>74</v>
      </c>
      <c r="B35" s="28"/>
    </row>
    <row r="36" spans="1:2">
      <c r="A36" s="1" t="s">
        <v>75</v>
      </c>
      <c r="B36" s="28"/>
    </row>
    <row r="37" spans="1:2">
      <c r="A37" s="1" t="s">
        <v>76</v>
      </c>
      <c r="B37" s="28"/>
    </row>
  </sheetData>
  <mergeCells count="19">
    <mergeCell ref="C5:E5"/>
    <mergeCell ref="F1:H1"/>
    <mergeCell ref="I1:J5"/>
    <mergeCell ref="F2:H2"/>
    <mergeCell ref="F3:H3"/>
    <mergeCell ref="F4:H4"/>
    <mergeCell ref="A26:D26"/>
    <mergeCell ref="G24:G26"/>
    <mergeCell ref="H24:J26"/>
    <mergeCell ref="A1:B5"/>
    <mergeCell ref="C1:E1"/>
    <mergeCell ref="C2:E2"/>
    <mergeCell ref="C3:E3"/>
    <mergeCell ref="C4:E4"/>
    <mergeCell ref="F5:H5"/>
    <mergeCell ref="A22:D22"/>
    <mergeCell ref="A23:B23"/>
    <mergeCell ref="A24:B24"/>
    <mergeCell ref="A25:B25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Juan Felipe Escobar Calle</cp:lastModifiedBy>
  <cp:revision/>
  <dcterms:created xsi:type="dcterms:W3CDTF">2022-08-19T12:15:56Z</dcterms:created>
  <dcterms:modified xsi:type="dcterms:W3CDTF">2023-03-23T14:16:28Z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