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13F7D101-3C70-4F1A-AFEF-AF5F9CC6B372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PEQUEÑA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<sst xmlns="http://schemas.openxmlformats.org/spreadsheetml/2006/main" count="5010" uniqueCount="1390">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</sst>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</xdr:colOff>
      <xdr:row>1</xdr:row>
      <xdr:rowOff>9524</xdr:rowOff>
    </xdr:from>
    <xdr:to>
      <xdr:col>24</xdr:col>
      <xdr:colOff>503317</xdr:colOff>
      <xdr:row>4</xdr:row>
      <xdr:rowOff>352425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FBF7CC-CF6E-5A49-2F98-D2A5BF3BE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831" t="57838" r="-102" b="4324"/>
        <a:stretch>
          <a:fillRect/>
        </a:stretch>
      </xdr:blipFill>
      <xdr:spPr>
        <a:xfrm>
          <a:off x="7915275" y="390524"/>
          <a:ext cx="2208292" cy="1343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IF(E2="","",INDEX(Listas!H2:I30,MATCH('COSMETIQUERA PEQUEÑA'!E2,Intructores,0),2))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3370697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11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821.45053571428571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12321.758035714285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5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IFERROR(IF(D10="","",INDEX(Tabla_Completa,MATCH('COSMETIQUERA PEQUEÑA'!D10,Materiales,0),7)*S10),"")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IFERROR(IF(D11="","",INDEX(Tabla_Completa,MATCH('COSMETIQUERA PEQUEÑA'!D11,Materiales,0),7)*S11),"")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317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25</v>
      </c>
      <c r="R12" s="307"/>
      <c r="S12" s="308">
        <f t="shared" si="1"/>
        <v>375</v>
      </c>
      <c r="T12" s="309"/>
      <c r="U12" s="310"/>
      <c r="V12" s="310"/>
      <c r="W12" s="311">
        <f>IFERROR(IF(D12="","",INDEX(Tabla_Completa,MATCH('COSMETIQUERA PEQUEÑA'!D12,Materiales,0),7)*S12),"")</f>
        <v>4586.25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721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15</v>
      </c>
      <c r="T13" s="309"/>
      <c r="U13" s="310"/>
      <c r="V13" s="310"/>
      <c r="W13" s="311">
        <f>IFERROR(IF(D13="","",INDEX(Tabla_Completa,MATCH('COSMETIQUERA PEQUEÑA'!D13,Materiales,0),7)*S13),"")</f>
        <v>6834.9937499999996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902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30</v>
      </c>
      <c r="R14" s="307"/>
      <c r="S14" s="308">
        <f t="shared" si="1"/>
        <v>450</v>
      </c>
      <c r="T14" s="309"/>
      <c r="U14" s="310"/>
      <c r="V14" s="310"/>
      <c r="W14" s="311">
        <f>IFERROR(IF(D14="","",INDEX(Tabla_Completa,MATCH('COSMETIQUERA PEQUEÑA'!D14,Materiales,0),7)*S14),"")</f>
        <v>900.51428571428585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IFERROR(IF(D15="","",INDEX(Tabla_Completa,MATCH('COSMETIQUERA PEQUEÑA'!D15,Materiales,0),7)*S15),"")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IFERROR(IF(D16="","",INDEX(Tabla_Completa,MATCH('COSMETIQUERA PEQUEÑA'!D16,Materiales,0),7)*S16),"")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IFERROR(IF(D17="","",INDEX(Tabla_Completa,MATCH('COSMETIQUERA PEQUEÑA'!D17,Materiales,0),7)*S17),"")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IFERROR(IF(D18="","",INDEX(Tabla_Completa,MATCH('COSMETIQUERA PEQUEÑA'!D18,Materiales,0),7)*S18),"")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IFERROR(IF(D19="","",INDEX(Tabla_Completa,MATCH('COSMETIQUERA PEQUEÑA'!D19,Materiales,0),7)*S19),"")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IFERROR(IF(D20="","",INDEX(Tabla_Completa,MATCH('COSMETIQUERA PEQUEÑA'!D20,Materiales,0),7)*S20),"")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IFERROR(IF(D21="","",INDEX(Tabla_Completa,MATCH('COSMETIQUERA PEQUEÑA'!D21,Materiales,0),7)*S21),"")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IFERROR(IF(D22="","",INDEX(Tabla_Completa,MATCH('COSMETIQUERA PEQUEÑA'!D22,Materiales,0),7)*S22),"")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IFERROR(IF(D23="","",INDEX(Tabla_Completa,MATCH('COSMETIQUERA PEQUEÑA'!D23,Materiales,0),7)*S23),"")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IFERROR(IF(D24="","",INDEX(Tabla_Completa,MATCH('COSMETIQUERA PEQUEÑA'!D24,Materiales,0),7)*S24),"")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IFERROR(IF(D25="","",INDEX(Tabla_Completa,MATCH('COSMETIQUERA PEQUEÑA'!D25,Materiales,0),7)*S25),"")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IFERROR(IF(D26="","",INDEX(Tabla_Completa,MATCH('COSMETIQUERA PEQUEÑA'!D26,Materiales,0),7)*S26),"")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IFERROR(IF(D27="","",INDEX(Tabla_Completa,MATCH('COSMETIQUERA PEQUEÑA'!D27,Materiales,0),7)*S27),"")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IFERROR(IF(D28="","",INDEX(Tabla_Completa,MATCH('COSMETIQUERA PEQUEÑA'!D28,Materiales,0),7)*S28),"")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IFERROR(IF(D29="","",INDEX(Tabla_Completa,MATCH('COSMETIQUERA PEQUEÑA'!D29,Materiales,0),7)*S29),"")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IFERROR(IF(D30="","",INDEX(Tabla_Completa,MATCH('COSMETIQUERA PEQUEÑA'!D30,Materiales,0),7)*S30),"")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IFERROR(IF(D31="","",INDEX(Tabla_Completa,MATCH('COSMETIQUERA PEQUEÑA'!D31,Materiales,0),7)*S31),"")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IF('COSMETIQUERA PEQUEÑA'!O1="","",'COSMETIQUERA PEQUEÑA'!O1)</f>
        <v>45957</v>
      </c>
      <c r="O1" s="489"/>
      <c r="P1" s="427" t="s">
        <v>54</v>
      </c>
      <c r="Q1" s="428"/>
      <c r="R1" s="433" t="str">
        <f>IF('COSMETIQUERA PEQUEÑA'!D4="","",'COSMETIQUERA PEQUEÑA'!D4)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'COSMETIQUERA PEQUEÑA'!F1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IF('COSMETIQUERA PEQUEÑA'!O3="","",'COSMETIQUERA PEQUEÑA'!O3)</f>
        <v>3370697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IF('COSMETIQUERA PEQUEÑA'!O4="","",'COSMETIQUERA PEQUEÑA'!O4)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IF('COSMETIQUERA PEQUEÑA'!D5&lt;= 0,"",'COSMETIQUERA PEQUEÑA'!D5)</f>
        <v>821.45053571428571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IF('COSMETIQUERA PEQUEÑA'!E2="","",'COSMETIQUERA PEQUEÑA'!E2)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IFERROR(IF('COSMETIQUERA PEQUEÑA'!D10="","",'COSMETIQUERA PEQUEÑA'!D10),"")</f>
        <v>Tinta marroquinera negra</v>
      </c>
      <c r="D12" s="407"/>
      <c r="E12" s="407"/>
      <c r="F12" s="407"/>
      <c r="G12" s="213" t="str">
        <f>IF('COSMETIQUERA PEQUEÑA'!O10="","",'COSMETIQUERA PEQUEÑA'!O10)</f>
        <v>gal</v>
      </c>
      <c r="H12" s="213" cm="1">
        <f t="array" ref="H12">_xlfn.IFS('COSMETIQUERA PEQUEÑA'!S10="","",'COSMETIQUERA PEQUEÑA'!S10&lt;=0,"",'COSMETIQUERA PEQUEÑA'!S10&gt;0,'COSMETIQUERA PEQUEÑA'!S10)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IFERROR(_xlfn.IFS(Q12&gt;0,"ENTREGADO",'COSMETIQUERA PEQUEÑA'!A10="HERRAMIENTAS_","DEVOLUTIVO"),"")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IFERROR(IF('COSMETIQUERA PEQUEÑA'!D11="","",'COSMETIQUERA PEQUEÑA'!D11),"")</f>
        <v>Cemento de contacto</v>
      </c>
      <c r="D13" s="407"/>
      <c r="E13" s="407"/>
      <c r="F13" s="407"/>
      <c r="G13" s="213" t="str">
        <f>IF('COSMETIQUERA PEQUEÑA'!O11="","",'COSMETIQUERA PEQUEÑA'!O11)</f>
        <v>gal</v>
      </c>
      <c r="H13" s="213" cm="1">
        <f t="array" ref="H13">_xlfn.IFS('COSMETIQUERA PEQUEÑA'!S11="","",'COSMETIQUERA PEQUEÑA'!S11&lt;=0,"",'COSMETIQUERA PEQUEÑA'!S11&gt;0,'COSMETIQUERA PEQUEÑA'!S11)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PEQUEÑA'!A11="HERRAMIENTAS_","DEVOLUTIVO"),"")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IFERROR(IF('COSMETIQUERA PEQUEÑA'!D12="","",'COSMETIQUERA PEQUEÑA'!D12),"")</f>
        <v>CREMALLERA POLIÉSTER #6</v>
      </c>
      <c r="D14" s="407"/>
      <c r="E14" s="407"/>
      <c r="F14" s="407"/>
      <c r="G14" s="213" t="str">
        <f>IF('COSMETIQUERA PEQUEÑA'!O12="","",'COSMETIQUERA PEQUEÑA'!O12)</f>
        <v>cm</v>
      </c>
      <c r="H14" s="213" cm="1">
        <f t="array" ref="H14">_xlfn.IFS('COSMETIQUERA PEQUEÑA'!S12="","",'COSMETIQUERA PEQUEÑA'!S12&lt;=0,"",'COSMETIQUERA PEQUEÑA'!S12&gt;0,'COSMETIQUERA PEQUEÑA'!S12)</f>
        <v>375</v>
      </c>
      <c r="I14" s="214"/>
      <c r="J14" s="216"/>
      <c r="K14" s="197" cm="1">
        <f t="array" ref="K14">IFERROR(_xlfn.IFS(H14="","",J14=H14,"Cumplido",J14&lt;H14,H14-J14,J14&gt;H14,"Revisar"),"")</f>
        <v>375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IFERROR(_xlfn.IFS(Q14&gt;0,"ENTREGADO",'COSMETIQUERA PEQUEÑA'!A12="HERRAMIENTAS_","DEVOLUTIVO"),"")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IFERROR(IF('COSMETIQUERA PEQUEÑA'!D13="","",'COSMETIQUERA PEQUEÑA'!D13),"")</f>
        <v xml:space="preserve">LLAVE METÁLICA DESLIZADOR   #6 PARA CREMALLERA - NÍQUEL </v>
      </c>
      <c r="D15" s="407"/>
      <c r="E15" s="407"/>
      <c r="F15" s="407"/>
      <c r="G15" s="213" t="str">
        <f>IF('COSMETIQUERA PEQUEÑA'!O13="","",'COSMETIQUERA PEQUEÑA'!O13)</f>
        <v>U</v>
      </c>
      <c r="H15" s="213" cm="1">
        <f t="array" ref="H15">_xlfn.IFS('COSMETIQUERA PEQUEÑA'!S13="","",'COSMETIQUERA PEQUEÑA'!S13&lt;=0,"",'COSMETIQUERA PEQUEÑA'!S13&gt;0,'COSMETIQUERA PEQUEÑA'!S13)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IFERROR(_xlfn.IFS(Q15&gt;0,"ENTREGADO",'COSMETIQUERA PEQUEÑA'!A13="HERRAMIENTAS_","DEVOLUTIVO"),"")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IFERROR(IF('COSMETIQUERA PEQUEÑA'!D14="","",'COSMETIQUERA PEQUEÑA'!D14),"")</f>
        <v>FORRO MARROQUINERO DE POLIÉSTER</v>
      </c>
      <c r="D16" s="407"/>
      <c r="E16" s="407"/>
      <c r="F16" s="407"/>
      <c r="G16" s="213" t="str">
        <f>IF('COSMETIQUERA PEQUEÑA'!O14="","",'COSMETIQUERA PEQUEÑA'!O14)</f>
        <v>cm2</v>
      </c>
      <c r="H16" s="213" cm="1">
        <f t="array" ref="H16">_xlfn.IFS('COSMETIQUERA PEQUEÑA'!S14="","",'COSMETIQUERA PEQUEÑA'!S14&lt;=0,"",'COSMETIQUERA PEQUEÑA'!S14&gt;0,'COSMETIQUERA PEQUEÑA'!S14)</f>
        <v>450</v>
      </c>
      <c r="I16" s="214"/>
      <c r="J16" s="216"/>
      <c r="K16" s="197" cm="1">
        <f t="array" ref="K16">IFERROR(_xlfn.IFS(H16="","",J16=H16,"Cumplido",J16&lt;H16,H16-J16,J16&gt;H16,"Revisar"),"")</f>
        <v>450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IFERROR(_xlfn.IFS(Q16&gt;0,"ENTREGADO",'COSMETIQUERA PEQUEÑA'!A14="HERRAMIENTAS_","DEVOLUTIVO"),"")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IFERROR(IF('COSMETIQUERA PEQUEÑA'!D15="","",'COSMETIQUERA PEQUEÑA'!D15),"")</f>
        <v/>
      </c>
      <c r="D17" s="407"/>
      <c r="E17" s="407"/>
      <c r="F17" s="407"/>
      <c r="G17" s="213" t="str">
        <f>IF('COSMETIQUERA PEQUEÑA'!O15="","",'COSMETIQUERA PEQUEÑA'!O15)</f>
        <v/>
      </c>
      <c r="H17" s="213" t="str" cm="1">
        <f t="array" ref="H17">_xlfn.IFS('COSMETIQUERA PEQUEÑA'!S15="","",'COSMETIQUERA PEQUEÑA'!S15&lt;=0,"",'COSMETIQUERA PEQUEÑA'!S15&gt;0,'COSMETIQUERA PEQUEÑA'!S15)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PEQUEÑA'!A15="HERRAMIENTAS_","DEVOLUTIVO"),"")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IFERROR(IF('COSMETIQUERA PEQUEÑA'!D16="","",'COSMETIQUERA PEQUEÑA'!D16),"")</f>
        <v/>
      </c>
      <c r="D18" s="407"/>
      <c r="E18" s="407"/>
      <c r="F18" s="407"/>
      <c r="G18" s="213" t="str">
        <f>IF('COSMETIQUERA PEQUEÑA'!O16="","",'COSMETIQUERA PEQUEÑA'!O16)</f>
        <v/>
      </c>
      <c r="H18" s="213" t="str" cm="1">
        <f t="array" ref="H18">_xlfn.IFS('COSMETIQUERA PEQUEÑA'!S16="","",'COSMETIQUERA PEQUEÑA'!S16&lt;=0,"",'COSMETIQUERA PEQUEÑA'!S16&gt;0,'COSMETIQUERA PEQUEÑA'!S16)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IFERROR(_xlfn.IFS(Q18&gt;0,"ENTREGADO",'COSMETIQUERA PEQUEÑA'!A16="HERRAMIENTAS_","DEVOLUTIVO"),"")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IFERROR(IF('COSMETIQUERA PEQUEÑA'!D17="","",'COSMETIQUERA PEQUEÑA'!D17),"")</f>
        <v/>
      </c>
      <c r="D19" s="407"/>
      <c r="E19" s="407"/>
      <c r="F19" s="407"/>
      <c r="G19" s="213" t="str">
        <f>IF('COSMETIQUERA PEQUEÑA'!O17="","",'COSMETIQUERA PEQUEÑA'!O17)</f>
        <v/>
      </c>
      <c r="H19" s="213" t="str" cm="1">
        <f t="array" ref="H19">_xlfn.IFS('COSMETIQUERA PEQUEÑA'!S17="","",'COSMETIQUERA PEQUEÑA'!S17&lt;=0,"",'COSMETIQUERA PEQUEÑA'!S17&gt;0,'COSMETIQUERA PEQUEÑA'!S17)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IFERROR(_xlfn.IFS(Q19&gt;0,"ENTREGADO",'COSMETIQUERA PEQUEÑA'!A17="HERRAMIENTAS_","DEVOLUTIVO"),"")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IFERROR(IF('COSMETIQUERA PEQUEÑA'!D18="","",'COSMETIQUERA PEQUEÑA'!D18),"")</f>
        <v/>
      </c>
      <c r="D20" s="407"/>
      <c r="E20" s="407"/>
      <c r="F20" s="407"/>
      <c r="G20" s="213" t="str">
        <f>IF('COSMETIQUERA PEQUEÑA'!O18="","",'COSMETIQUERA PEQUEÑA'!O18)</f>
        <v/>
      </c>
      <c r="H20" s="213" t="str" cm="1">
        <f t="array" ref="H20">_xlfn.IFS('COSMETIQUERA PEQUEÑA'!S18="","",'COSMETIQUERA PEQUEÑA'!S18&lt;=0,"",'COSMETIQUERA PEQUEÑA'!S18&gt;0,'COSMETIQUERA PEQUEÑA'!S18)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IFERROR(_xlfn.IFS(Q20&gt;0,"ENTREGADO",'COSMETIQUERA PEQUEÑA'!A18="HERRAMIENTAS_","DEVOLUTIVO"),"")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IFERROR(IF('COSMETIQUERA PEQUEÑA'!D19="","",'COSMETIQUERA PEQUEÑA'!D19),"")</f>
        <v/>
      </c>
      <c r="D21" s="407"/>
      <c r="E21" s="407"/>
      <c r="F21" s="407"/>
      <c r="G21" s="213" t="str">
        <f>IF('COSMETIQUERA PEQUEÑA'!O19="","",'COSMETIQUERA PEQUEÑA'!O19)</f>
        <v/>
      </c>
      <c r="H21" s="213" t="str" cm="1">
        <f t="array" ref="H21">_xlfn.IFS('COSMETIQUERA PEQUEÑA'!S19="","",'COSMETIQUERA PEQUEÑA'!S19&lt;=0,"",'COSMETIQUERA PEQUEÑA'!S19&gt;0,'COSMETIQUERA PEQUEÑA'!S19)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IFERROR(_xlfn.IFS(Q21&gt;0,"ENTREGADO",'COSMETIQUERA PEQUEÑA'!A19="HERRAMIENTAS_","DEVOLUTIVO"),"")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IFERROR(IF('COSMETIQUERA PEQUEÑA'!D20="","",'COSMETIQUERA PEQUEÑA'!D20),"")</f>
        <v/>
      </c>
      <c r="D22" s="407"/>
      <c r="E22" s="407"/>
      <c r="F22" s="407"/>
      <c r="G22" s="213" t="str">
        <f>IF('COSMETIQUERA PEQUEÑA'!O20="","",'COSMETIQUERA PEQUEÑA'!O20)</f>
        <v/>
      </c>
      <c r="H22" s="213" t="str" cm="1">
        <f t="array" ref="H22">_xlfn.IFS('COSMETIQUERA PEQUEÑA'!S20="","",'COSMETIQUERA PEQUEÑA'!S20&lt;=0,"",'COSMETIQUERA PEQUEÑA'!S20&gt;0,'COSMETIQUERA PEQUEÑA'!S20)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IFERROR(_xlfn.IFS(Q22&gt;0,"ENTREGADO",'COSMETIQUERA PEQUEÑA'!A20="HERRAMIENTAS_","DEVOLUTIVO"),"")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IFERROR(IF('COSMETIQUERA PEQUEÑA'!D21="","",'COSMETIQUERA PEQUEÑA'!D21),"")</f>
        <v/>
      </c>
      <c r="D23" s="407"/>
      <c r="E23" s="407"/>
      <c r="F23" s="407"/>
      <c r="G23" s="213" t="str">
        <f>IF('COSMETIQUERA PEQUEÑA'!O21="","",'COSMETIQUERA PEQUEÑA'!O21)</f>
        <v/>
      </c>
      <c r="H23" s="213" t="str" cm="1">
        <f t="array" ref="H23">_xlfn.IFS('COSMETIQUERA PEQUEÑA'!S21="","",'COSMETIQUERA PEQUEÑA'!S21&lt;=0,"",'COSMETIQUERA PEQUEÑA'!S21&gt;0,'COSMETIQUERA PEQUEÑA'!S21)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IFERROR(_xlfn.IFS(Q23&gt;0,"ENTREGADO",'COSMETIQUERA PEQUEÑA'!A21="HERRAMIENTAS_","DEVOLUTIVO"),"")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IFERROR(IF('COSMETIQUERA PEQUEÑA'!D22="","",'COSMETIQUERA PEQUEÑA'!D22),"")</f>
        <v/>
      </c>
      <c r="D24" s="407"/>
      <c r="E24" s="407"/>
      <c r="F24" s="407"/>
      <c r="G24" s="213" t="str">
        <f>IF('COSMETIQUERA PEQUEÑA'!O22="","",'COSMETIQUERA PEQUEÑA'!O22)</f>
        <v/>
      </c>
      <c r="H24" s="213" t="str" cm="1">
        <f t="array" ref="H24">_xlfn.IFS('COSMETIQUERA PEQUEÑA'!S22="","",'COSMETIQUERA PEQUEÑA'!S22&lt;=0,"",'COSMETIQUERA PEQUEÑA'!S22&gt;0,'COSMETIQUERA PEQUEÑA'!S22)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IFERROR(_xlfn.IFS(Q24&gt;0,"ENTREGADO",'COSMETIQUERA PEQUEÑA'!A22="HERRAMIENTAS_","DEVOLUTIVO"),"")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IFERROR(IF('COSMETIQUERA PEQUEÑA'!D23="","",'COSMETIQUERA PEQUEÑA'!D23),"")</f>
        <v/>
      </c>
      <c r="D25" s="407"/>
      <c r="E25" s="407"/>
      <c r="F25" s="407"/>
      <c r="G25" s="213" t="str">
        <f>IF('COSMETIQUERA PEQUEÑA'!O23="","",'COSMETIQUERA PEQUEÑA'!O23)</f>
        <v/>
      </c>
      <c r="H25" s="213" t="str" cm="1">
        <f t="array" ref="H25">_xlfn.IFS('COSMETIQUERA PEQUEÑA'!S23="","",'COSMETIQUERA PEQUEÑA'!S23&lt;=0,"",'COSMETIQUERA PEQUEÑA'!S23&gt;0,'COSMETIQUERA PEQUEÑA'!S23)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IFERROR(_xlfn.IFS(Q25&gt;0,"ENTREGADO",'COSMETIQUERA PEQUEÑA'!A23="HERRAMIENTAS_","DEVOLUTIVO"),"")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IFERROR(IF('COSMETIQUERA PEQUEÑA'!D24="","",'COSMETIQUERA PEQUEÑA'!D24),"")</f>
        <v/>
      </c>
      <c r="D26" s="407"/>
      <c r="E26" s="407"/>
      <c r="F26" s="407"/>
      <c r="G26" s="213" t="str">
        <f>IF('COSMETIQUERA PEQUEÑA'!O24="","",'COSMETIQUERA PEQUEÑA'!O24)</f>
        <v/>
      </c>
      <c r="H26" s="213" t="str" cm="1">
        <f t="array" ref="H26">_xlfn.IFS('COSMETIQUERA PEQUEÑA'!S24="","",'COSMETIQUERA PEQUEÑA'!S24&lt;=0,"",'COSMETIQUERA PEQUEÑA'!S24&gt;0,'COSMETIQUERA PEQUEÑA'!S24)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IFERROR(_xlfn.IFS(Q26&gt;0,"ENTREGADO",'COSMETIQUERA PEQUEÑA'!A24="HERRAMIENTAS_","DEVOLUTIVO"),"")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IFERROR(IF('COSMETIQUERA PEQUEÑA'!D25="","",'COSMETIQUERA PEQUEÑA'!D25),"")</f>
        <v/>
      </c>
      <c r="D27" s="407"/>
      <c r="E27" s="407"/>
      <c r="F27" s="407"/>
      <c r="G27" s="213" t="str">
        <f>IF('COSMETIQUERA PEQUEÑA'!O25="","",'COSMETIQUERA PEQUEÑA'!O25)</f>
        <v/>
      </c>
      <c r="H27" s="213" t="str" cm="1">
        <f t="array" ref="H27">_xlfn.IFS('COSMETIQUERA PEQUEÑA'!S25="","",'COSMETIQUERA PEQUEÑA'!S25&lt;=0,"",'COSMETIQUERA PEQUEÑA'!S25&gt;0,'COSMETIQUERA PEQUEÑA'!S25)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IFERROR(_xlfn.IFS(Q27&gt;0,"ENTREGADO",'COSMETIQUERA PEQUEÑA'!A25="HERRAMIENTAS_","DEVOLUTIVO"),"")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IFERROR(IF('COSMETIQUERA PEQUEÑA'!D26="","",'COSMETIQUERA PEQUEÑA'!D26),"")</f>
        <v/>
      </c>
      <c r="D28" s="407"/>
      <c r="E28" s="407"/>
      <c r="F28" s="407"/>
      <c r="G28" s="213" t="str">
        <f>IF('COSMETIQUERA PEQUEÑA'!O26="","",'COSMETIQUERA PEQUEÑA'!O26)</f>
        <v/>
      </c>
      <c r="H28" s="213" t="str" cm="1">
        <f t="array" ref="H28">_xlfn.IFS('COSMETIQUERA PEQUEÑA'!S26="","",'COSMETIQUERA PEQUEÑA'!S26&lt;=0,"",'COSMETIQUERA PEQUEÑA'!S26&gt;0,'COSMETIQUERA PEQUEÑA'!S26)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IFERROR(_xlfn.IFS(Q28&gt;0,"ENTREGADO",'COSMETIQUERA PEQUEÑA'!A26="HERRAMIENTAS_","DEVOLUTIVO"),"")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IFERROR(IF('COSMETIQUERA PEQUEÑA'!D27="","",'COSMETIQUERA PEQUEÑA'!D27),"")</f>
        <v/>
      </c>
      <c r="D29" s="407"/>
      <c r="E29" s="407"/>
      <c r="F29" s="407"/>
      <c r="G29" s="213" t="str">
        <f>IF('COSMETIQUERA PEQUEÑA'!O27="","",'COSMETIQUERA PEQUEÑA'!O27)</f>
        <v/>
      </c>
      <c r="H29" s="213" t="str" cm="1">
        <f t="array" ref="H29">_xlfn.IFS('COSMETIQUERA PEQUEÑA'!S27="","",'COSMETIQUERA PEQUEÑA'!S27&lt;=0,"",'COSMETIQUERA PEQUEÑA'!S27&gt;0,'COSMETIQUERA PEQUEÑA'!S27)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IFERROR(_xlfn.IFS(Q29&gt;0,"ENTREGADO",'COSMETIQUERA PEQUEÑA'!A27="HERRAMIENTAS_","DEVOLUTIVO"),"")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IFERROR(IF('COSMETIQUERA PEQUEÑA'!D28="","",'COSMETIQUERA PEQUEÑA'!D28),"")</f>
        <v/>
      </c>
      <c r="D30" s="407"/>
      <c r="E30" s="407"/>
      <c r="F30" s="407"/>
      <c r="G30" s="213" t="str">
        <f>IF('COSMETIQUERA PEQUEÑA'!O28="","",'COSMETIQUERA PEQUEÑA'!O28)</f>
        <v/>
      </c>
      <c r="H30" s="213" t="str" cm="1">
        <f t="array" ref="H30">_xlfn.IFS('COSMETIQUERA PEQUEÑA'!S28="","",'COSMETIQUERA PEQUEÑA'!S28&lt;=0,"",'COSMETIQUERA PEQUEÑA'!S28&gt;0,'COSMETIQUERA PEQUEÑA'!S28)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IFERROR(_xlfn.IFS(Q30&gt;0,"ENTREGADO",'COSMETIQUERA PEQUEÑA'!A28="HERRAMIENTAS_","DEVOLUTIVO"),"")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IFERROR(IF('COSMETIQUERA PEQUEÑA'!D29="","",'COSMETIQUERA PEQUEÑA'!D29),"")</f>
        <v/>
      </c>
      <c r="D31" s="407"/>
      <c r="E31" s="407"/>
      <c r="F31" s="407"/>
      <c r="G31" s="213" t="str">
        <f>IF('COSMETIQUERA PEQUEÑA'!O29="","",'COSMETIQUERA PEQUEÑA'!O29)</f>
        <v/>
      </c>
      <c r="H31" s="213" t="str" cm="1">
        <f t="array" ref="H31">_xlfn.IFS('COSMETIQUERA PEQUEÑA'!S29="","",'COSMETIQUERA PEQUEÑA'!S29&lt;=0,"",'COSMETIQUERA PEQUEÑA'!S29&gt;0,'COSMETIQUERA PEQUEÑA'!S29)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IFERROR(_xlfn.IFS(Q31&gt;0,"ENTREGADO",'COSMETIQUERA PEQUEÑA'!A29="HERRAMIENTAS_","DEVOLUTIVO"),"")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IFERROR(IF('COSMETIQUERA PEQUEÑA'!D30="","",'COSMETIQUERA PEQUEÑA'!D30),"")</f>
        <v/>
      </c>
      <c r="D32" s="407"/>
      <c r="E32" s="407"/>
      <c r="F32" s="407"/>
      <c r="G32" s="213" t="str">
        <f>IF('COSMETIQUERA PEQUEÑA'!O30="","",'COSMETIQUERA PEQUEÑA'!O30)</f>
        <v/>
      </c>
      <c r="H32" s="213" t="str" cm="1">
        <f t="array" ref="H32">_xlfn.IFS('COSMETIQUERA PEQUEÑA'!S30="","",'COSMETIQUERA PEQUEÑA'!S30&lt;=0,"",'COSMETIQUERA PEQUEÑA'!S30&gt;0,'COSMETIQUERA PEQUEÑA'!S30)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IFERROR(_xlfn.IFS(Q32&gt;0,"ENTREGADO",'COSMETIQUERA PEQUEÑA'!A30="HERRAMIENTAS_","DEVOLUTIVO"),"")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PEQUEÑA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