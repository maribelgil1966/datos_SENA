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DOCUMENTOS 2025\2908248 TECNOLOGO EN DESARROLLO DE COLECCIONES\PEDIDOS AL ALMACEN\PEDIDOS ALM PROYECTO 2\MAICOL CARDONA\"/>
    </mc:Choice>
  </mc:AlternateContent>
  <xr:revisionPtr revIDLastSave="0" documentId="8_{CB24E860-C8F7-433C-9D52-40E2C6C28A5D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a="1"/>
  <c r="H15" i="61" s="1"/>
  <c r="S14" i="43"/>
  <c r="H16" i="6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 s="1"/>
  <c r="O23" i="43"/>
  <c r="G25" i="61" s="1"/>
  <c r="O24" i="43"/>
  <c r="G26" i="61" s="1"/>
  <c r="O25" i="43"/>
  <c r="G27" i="61"/>
  <c r="O26" i="43"/>
  <c r="G28" i="61"/>
  <c r="O27" i="43"/>
  <c r="G29" i="61" s="1"/>
  <c r="O28" i="43"/>
  <c r="G30" i="61" s="1"/>
  <c r="O29" i="43"/>
  <c r="G31" i="61" s="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O29" i="61"/>
  <c r="K29" i="61" a="1"/>
  <c r="K29" i="61" s="1"/>
  <c r="K21" i="61" a="1"/>
  <c r="K21" i="61" s="1"/>
  <c r="B21" i="61"/>
  <c r="K14" i="61" a="1"/>
  <c r="K14" i="61" s="1"/>
  <c r="B14" i="61"/>
  <c r="O14" i="61"/>
  <c r="O23" i="61"/>
  <c r="K23" i="61" a="1"/>
  <c r="K23" i="61" s="1"/>
  <c r="B23" i="61"/>
  <c r="B18" i="61"/>
  <c r="O18" i="61"/>
  <c r="K18" i="61" a="1"/>
  <c r="K18" i="61" s="1"/>
  <c r="O13" i="61"/>
  <c r="B13" i="61"/>
  <c r="K13" i="61" a="1"/>
  <c r="K13" i="61" s="1"/>
  <c r="K19" i="61" a="1"/>
  <c r="K19" i="61" s="1"/>
  <c r="O19" i="61"/>
  <c r="B19" i="61"/>
  <c r="K32" i="61" a="1"/>
  <c r="K32" i="61" s="1"/>
  <c r="B32" i="61"/>
  <c r="O32" i="61"/>
  <c r="K28" i="61" a="1"/>
  <c r="K28" i="61" s="1"/>
  <c r="B28" i="61"/>
  <c r="O28" i="61"/>
  <c r="O17" i="61"/>
  <c r="B17" i="61"/>
  <c r="K17" i="61" a="1"/>
  <c r="K17" i="61" s="1"/>
  <c r="K27" i="61" a="1"/>
  <c r="K27" i="61" s="1"/>
  <c r="B27" i="61"/>
  <c r="O27" i="61"/>
  <c r="O22" i="61"/>
  <c r="K22" i="61" a="1"/>
  <c r="K22" i="61" s="1"/>
  <c r="B22" i="61"/>
  <c r="K12" i="61" a="1"/>
  <c r="K12" i="61" s="1"/>
  <c r="B12" i="61"/>
  <c r="O12" i="61"/>
  <c r="K31" i="61" a="1"/>
  <c r="K31" i="61" s="1"/>
  <c r="B31" i="61"/>
  <c r="O31" i="61"/>
  <c r="K26" i="61" a="1"/>
  <c r="K26" i="61" s="1"/>
  <c r="B26" i="61"/>
  <c r="O26" i="61"/>
  <c r="O16" i="61"/>
  <c r="K16" i="61" a="1"/>
  <c r="K16" i="61" s="1"/>
  <c r="B16" i="61"/>
  <c r="B25" i="61"/>
  <c r="K25" i="61" a="1"/>
  <c r="K25" i="61" s="1"/>
  <c r="O25" i="61"/>
  <c r="K30" i="61" a="1"/>
  <c r="K30" i="61" s="1"/>
  <c r="O30" i="61"/>
  <c r="B30" i="61"/>
  <c r="B15" i="61"/>
  <c r="O15" i="61"/>
  <c r="K15" i="61" a="1"/>
  <c r="K15" i="61" s="1"/>
  <c r="B24" i="61"/>
  <c r="O24" i="61"/>
  <c r="K24" i="61" a="1"/>
  <c r="K24" i="61" s="1"/>
  <c r="B20" i="61"/>
  <c r="O20" i="61"/>
  <c r="K20" i="61" a="1"/>
  <c r="K20" i="61" s="1"/>
  <c r="O21" i="61"/>
  <c r="B29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<sst xmlns="http://schemas.openxmlformats.org/spreadsheetml/2006/main" count="5017" uniqueCount="1390">
  <si>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</si>
  <si>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</si>
  <si>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</si>
  <si>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</si>
  <si>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</si>
  <si>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</si>
  <si>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</si>
  <si>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</si>
  <si>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</si>
  <si>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</si>
  <si>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</si>
  <si>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</si>
  <si>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</si>
  <si>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</si>
  <si>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</si>
  <si>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</si>
  <si>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</si>
  <si>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</si>
  <si>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</si>
  <si>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</si>
  <si>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</si>
  <si>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</si>
  <si>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</si>
  <si>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</si>
  <si>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</si>
  <si>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</si>
  <si>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</si>
  <si>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</si>
  <si>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</si>
  <si>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</si>
  <si>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</si>
  <si>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</si>
  <si>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</si>
  <si>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</si>
  <si>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</si>
  <si>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</si>
  <si>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</si>
  <si>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</si>
  <si>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</si>
  <si>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</si>
  <si>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</si>
  <si>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</si>
  <si>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</si>
  <si>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</si>
  <si>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</si>
  <si>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</si>
  <si>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</si>
  <si>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</si>
  <si>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</si>
  <si>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</si>
  <si>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</si>
  <si>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</si>
  <si>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</si>
  <si>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</si>
  <si>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</si>
  <si>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</si>
  <si>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</si>
  <si>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</si>
  <si>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</si>
  <si>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</si>
  <si>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</si>
  <si>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</si>
  <si>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</si>
  <si>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</si>
  <si>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</si>
  <si>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</si>
  <si>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</si>
  <si>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</si>
  <si>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</si>
  <si>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</si>
  <si>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</si>
  <si>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</si>
  <si>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</si>
  <si>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</si>
  <si>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</si>
  <si>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</si>
  <si>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</si>
  <si>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</si>
  <si>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</si>
  <si>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</si>
  <si>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</si>
  <si>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</si>
  <si>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</si>
  <si>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</si>
  <si>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</si>
  <si>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</si>
  <si>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</si>
  <si>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</si>
  <si>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</si>
  <si>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</si>
  <si>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</si>
  <si>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</si>
  <si>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</si>
  <si>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</si>
  <si>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</si>
  <si>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</si>
  <si>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</si>
  <si>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</si>
  <si>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</si>
  <si>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</si>
  <si>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</si>
  <si>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</si>
  <si>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</si>
  <si>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</si>
  <si>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</si>
  <si>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</si>
  <si>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</si>
  <si>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</si>
  <si>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</si>
  <si>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</si>
  <si>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</si>
  <si>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</si>
  <si>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</si>
  <si>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</si>
  <si>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</si>
  <si>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</si>
  <si>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</si>
  <si>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</si>
  <si>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</si>
  <si>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</si>
  <si>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</si>
  <si>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</si>
  <si>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</si>
  <si>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</si>
  <si>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</si>
  <si>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</si>
  <si>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</si>
  <si>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</si>
  <si>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</si>
  <si>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</si>
  <si>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</si>
  <si>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</si>
  <si>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</si>
  <si>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</si>
  <si>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</si>
  <si>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</si>
  <si>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</si>
  <si>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</si>
  <si>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</si>
  <si>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</si>
  <si>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</si>
  <si>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</si>
  <si>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</si>
  <si>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</si>
  <si>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</si>
  <si>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</si>
  <si>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</si>
  <si>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</si>
  <si>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</si>
  <si>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</si>
  <si>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</si>
  <si>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</si>
  <si>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</si>
  <si>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</si>
  <si>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</si>
  <si>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</si>
  <si>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</si>
  <si>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</si>
  <si>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</si>
  <si>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</si>
  <si>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</si>
  <si>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</si>
  <si>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</si>
  <si>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</si>
  <si>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</si>
  <si>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</si>
  <si>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</si>
  <si>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</si>
  <si>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</si>
  <si>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</si>
  <si>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</si>
  <si>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</si>
  <si>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</si>
  <si>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</si>
  <si>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</si>
  <si>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</si>
  <si>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</si>
  <si>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</si>
  <si>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</si>
  <si>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</si>
  <si>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</si>
  <si>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</si>
  <si>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</si>
  <si>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</si>
  <si>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</si>
  <si>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</si>
  <si>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</si>
  <si>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</si>
  <si>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</si>
  <si>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</si>
  <si>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</si>
  <si>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</si>
  <si>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</si>
  <si>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</si>
  <si>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</si>
  <si>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</si>
  <si>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</si>
  <si>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</si>
  <si>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</si>
  <si>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</si>
  <si>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</si>
  <si>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</si>
  <si>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</si>
  <si>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</si>
  <si>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</si>
  <si>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</si>
  <si>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</si>
  <si>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</si>
  <si>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</si>
  <si>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</si>
  <si>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</si>
  <si>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</si>
  <si>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</si>
  <si>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</si>
  <si>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</si>
  <si>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</si>
  <si>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</si>
  <si>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</si>
  <si>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</si>
  <si>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</si>
  <si>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</si>
  <si>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</si>
  <si>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</si>
  <si>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</si>
  <si>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</si>
  <si>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</si>
  <si>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</si>
  <si>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</si>
  <si>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</si>
  <si>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</si>
  <si>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</si>
  <si>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</si>
  <si>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</si>
  <si>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</si>
  <si>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</si>
  <si>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</si>
  <si>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</si>
  <si>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</si>
  <si>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</si>
  <si>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</si>
  <si>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</si>
  <si>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</si>
  <si>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</si>
  <si>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</si>
  <si>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</si>
  <si>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</si>
  <si>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</si>
  <si>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</si>
  <si>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</si>
  <si>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</si>
  <si>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</si>
  <si>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</si>
  <si>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</si>
  <si>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</si>
  <si>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</si>
  <si>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</si>
  <si>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</si>
  <si>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</si>
  <si>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</si>
  <si>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</si>
  <si>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</si>
  <si>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</si>
  <si>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</si>
  <si>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</si>
  <si>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</si>
  <si>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</si>
  <si>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</si>
  <si>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</si>
  <si>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</si>
  <si>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</si>
  <si>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</si>
  <si>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</si>
  <si>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</si>
  <si>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</si>
  <si>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</si>
  <si>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</si>
  <si>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</si>
  <si>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</si>
  <si>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</si>
  <si>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</si>
  <si>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</si>
  <si>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</si>
  <si>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</si>
  <si>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</si>
  <si>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</si>
  <si>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</si>
  <si>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</si>
  <si>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</si>
  <si>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</si>
  <si>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</si>
  <si>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</si>
  <si>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</si>
  <si>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</si>
  <si>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</si>
  <si>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</si>
  <si>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</si>
  <si>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</si>
  <si>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</si>
  <si>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</si>
  <si>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</si>
  <si>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</si>
  <si>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</si>
  <si>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</si>
  <si>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</si>
  <si>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</si>
  <si>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</si>
  <si>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</si>
  <si>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</si>
  <si>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</si>
  <si>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</si>
  <si>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</si>
  <si>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</si>
  <si>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</si>
  <si>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</si>
  <si>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</si>
  <si>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</si>
  <si>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</si>
  <si>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</si>
  <si>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</si>
  <si>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</si>
  <si>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</si>
  <si>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</si>
  <si>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</si>
  <si>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</si>
  <si>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</si>
  <si>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</si>
  <si>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</si>
  <si>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</si>
  <si>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</si>
  <si>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</si>
  <si>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</si>
  <si>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</si>
  <si>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</si>
  <si>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</si>
  <si>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</si>
  <si>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</si>
  <si>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</si>
  <si>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</si>
  <si>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</si>
  <si>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</si>
  <si>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</si>
  <si>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</si>
  <si>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</si>
  <si>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</si>
  <si>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</si>
  <si>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</si>
  <si>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</si>
  <si>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</si>
  <si>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</si>
  <si>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</si>
  <si>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</si>
  <si>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</si>
  <si>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</si>
  <si>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</si>
  <si>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</si>
  <si>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</si>
  <si>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</si>
  <si>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</si>
  <si>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</si>
  <si>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</si>
  <si>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</si>
  <si>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</si>
  <si>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</si>
  <si>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</si>
  <si>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</si>
  <si>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</si>
  <si>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</si>
  <si>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</si>
  <si>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</si>
  <si>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</si>
  <si>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</si>
  <si>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</si>
  <si>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</si>
  <si>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</si>
  <si>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</si>
  <si>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</si>
  <si>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</si>
  <si>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</si>
  <si>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</si>
  <si>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</si>
  <si>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</si>
  <si>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</si>
  <si>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</si>
  <si>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</si>
  <si>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</si>
  <si>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</si>
  <si>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</si>
  <si>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</si>
  <si>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</si>
  <si>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</si>
  <si>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</si>
  <si>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</si>
  <si>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</si>
  <si>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</si>
  <si>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</si>
  <si>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</si>
  <si>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</si>
  <si>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</si>
  <si>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</si>
  <si>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</si>
  <si>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</si>
  <si>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</si>
  <si>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</si>
  <si>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</si>
  <si>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</si>
  <si>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</si>
  <si>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</si>
  <si>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</si>
  <si>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</si>
  <si>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</si>
  <si>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</si>
  <si>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</si>
  <si>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</si>
  <si>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</si>
  <si>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</si>
  <si>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</si>
  <si>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</si>
  <si>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</si>
  <si>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</si>
  <si>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</si>
  <si>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</si>
  <si>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</si>
  <si>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</si>
  <si>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</si>
  <si>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</si>
  <si>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</si>
  <si>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</si>
  <si>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</si>
  <si>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</si>
  <si>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</si>
  <si>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</si>
  <si>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</si>
  <si>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</si>
  <si>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</si>
  <si>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</si>
  <si>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</si>
  <si>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</si>
  <si>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</si>
  <si>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</si>
  <si>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</si>
  <si>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</si>
  <si>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</si>
  <si>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</si>
  <si>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</si>
  <si>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</si>
  <si>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</si>
  <si>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</si>
  <si>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</si>
  <si>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</si>
  <si>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</si>
  <si>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</si>
  <si>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</si>
  <si>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</si>
  <si>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</si>
  <si>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</si>
  <si>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</si>
  <si>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</si>
  <si>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</si>
  <si>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</si>
  <si>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</si>
  <si>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</si>
  <si>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</si>
  <si>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</si>
  <si>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</si>
  <si>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</si>
  <si>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</si>
  <si>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</si>
  <si>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</si>
  <si>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</si>
  <si>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</si>
  <si>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</si>
  <si>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</si>
  <si>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</si>
  <si>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</si>
  <si>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</si>
  <si>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</si>
  <si>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</si>
  <si>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</si>
  <si>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</si>
  <si>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</si>
  <si>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</si>
  <si>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</si>
  <si>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</si>
  <si>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</si>
  <si>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</si>
  <si>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</si>
  <si>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</si>
  <si>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</si>
  <si>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</si>
  <si>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</si>
  <si>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</si>
  <si>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</si>
  <si>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</si>
  <si>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</si>
  <si>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</si>
  <si>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</si>
  <si>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</si>
  <si>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</si>
  <si>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</si>
  <si>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</si>
  <si>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</si>
  <si>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</si>
  <si>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</si>
  <si>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</si>
  <si>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</si>
  <si>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</si>
  <si>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</si>
  <si>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</si>
  <si>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</si>
  <si>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</si>
  <si>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</si>
  <si>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</si>
  <si>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</si>
  <si>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</si>
  <si>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</si>
  <si>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</si>
  <si>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</si>
  <si>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</si>
  <si>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</si>
  <si>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</si>
  <si>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</si>
  <si>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</si>
  <si>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</si>
  <si>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</si>
  <si>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</si>
  <si>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</si>
  <si>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</si>
  <si>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</si>
  <si>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</si>
  <si>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</si>
  <si>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</si>
  <si>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</si>
  <si>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</si>
  <si>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</si>
  <si>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</si>
  <si>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</si>
  <si>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</si>
  <si>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</si>
  <si>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</si>
  <si>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</si>
  <si>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</si>
  <si>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</si>
  <si>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</si>
  <si>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</si>
  <si>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</si>
  <si>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</si>
  <si>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</si>
  <si>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</si>
  <si>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</si>
  <si>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</si>
  <si>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</si>
  <si>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</si>
  <si>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</si>
  <si>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</si>
  <si>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</si>
  <si>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</si>
  <si>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</si>
  <si>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</si>
  <si>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</si>
  <si>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</si>
  <si>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</si>
  <si>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</si>
  <si>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</si>
  <si>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</si>
  <si>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</si>
  <si>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</si>
  <si>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</si>
  <si>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</si>
  <si>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</si>
  <si>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</si>
  <si>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</si>
  <si>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</si>
  <si>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</si>
  <si>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</si>
  <si>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</si>
  <si>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</si>
  <si>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</si>
  <si>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</si>
  <si>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</si>
  <si>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</si>
  <si>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</si>
  <si>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</si>
  <si>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</si>
  <si>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</si>
  <si>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</si>
  <si>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</si>
  <si>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</si>
  <si>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</si>
  <si>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</si>
  <si>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</si>
  <si>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</si>
  <si>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</si>
  <si>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</si>
  <si>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</si>
  <si>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</si>
  <si>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</si>
  <si>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</si>
  <si>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</si>
  <si>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</si>
  <si>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</si>
  <si>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</si>
  <si>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</si>
  <si>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</si>
  <si>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</si>
  <si>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</si>
  <si>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</si>
  <si>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</si>
  <si>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</si>
  <si>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</si>
  <si>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</si>
  <si>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</si>
  <si>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</si>
  <si>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</si>
  <si>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</si>
  <si>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</si>
  <si>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</si>
  <si>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</si>
  <si>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</si>
  <si>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</si>
  <si>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</si>
  <si>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</si>
  <si>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</si>
  <si>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</si>
  <si>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</si>
  <si>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</si>
  <si>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</si>
  <si>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</si>
  <si>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</si>
  <si>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</si>
  <si>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</si>
  <si>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</si>
  <si>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</si>
  <si>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</si>
  <si>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</si>
  <si>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</si>
  <si>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</si>
  <si>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</si>
  <si>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</si>
  <si>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</si>
  <si>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</si>
  <si>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</si>
  <si>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</si>
  <si>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</si>
  <si>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</si>
  <si>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</si>
  <si>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</si>
  <si>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</si>
  <si>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</si>
  <si>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</si>
  <si>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</si>
  <si>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</si>
  <si>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</si>
  <si>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</si>
  <si>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</si>
  <si>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</si>
  <si>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</si>
  <si>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</si>
  <si>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</si>
  <si>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</si>
  <si>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</si>
  <si>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</si>
  <si>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</si>
  <si>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</si>
  <si>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</si>
  <si>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</si>
  <si>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</si>
  <si>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</si>
  <si>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</si>
  <si>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</si>
  <si>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</si>
  <si>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</si>
  <si>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</si>
  <si>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</si>
  <si>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</si>
  <si>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</si>
  <si>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</si>
  <si>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</si>
  <si>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</si>
  <si>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</si>
  <si>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</si>
  <si>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</si>
  <si>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</si>
  <si>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</si>
  <si>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</si>
  <si>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</si>
  <si>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</si>
  <si>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</si>
  <si>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</si>
  <si>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</si>
  <si>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</si>
  <si>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</si>
  <si>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</si>
  <si>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</si>
  <si>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</si>
  <si>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</si>
  <si>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</si>
  <si>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</si>
  <si>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</si>
  <si>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</si>
  <si>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</si>
  <si>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</si>
  <si>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</si>
  <si>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</si>
  <si>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</si>
  <si>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</si>
  <si>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</si>
  <si>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</si>
  <si>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</si>
  <si>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</si>
  <si>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</si>
  <si>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</si>
  <si>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</si>
  <si>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</si>
  <si>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</si>
  <si>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</si>
  <si>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</si>
  <si>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</si>
  <si>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</si>
  <si>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</si>
  <si>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</si>
  <si>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</si>
  <si>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</si>
  <si>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</si>
  <si>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</si>
  <si>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</si>
  <si>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</si>
  <si>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</si>
  <si>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</si>
  <si>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</si>
  <si>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</si>
  <si>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</si>
  <si>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</si>
  <si>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</si>
  <si>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</si>
  <si>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</si>
  <si>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</si>
  <si>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</si>
  <si>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</si>
  <si>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</si>
  <si>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</si>
  <si>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</si>
  <si>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</si>
  <si>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</si>
  <si>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</si>
  <si>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</si>
  <si>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</si>
  <si>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</si>
  <si>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</si>
  <si>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</si>
  <si>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</si>
  <si>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</si>
  <si>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</si>
  <si>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</si>
  <si>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</si>
  <si>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</si>
  <si>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</si>
  <si>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</si>
  <si>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</si>
  <si>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</si>
  <si>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</si>
  <si>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</si>
  <si>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</si>
  <si>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</si>
  <si>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</si>
  <si>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</si>
  <si>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</si>
  <si>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</si>
  <si>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</si>
  <si>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</si>
  <si>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</si>
  <si>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</si>
  <si>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</si>
  <si>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</si>
  <si>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</si>
  <si>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</si>
  <si>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</si>
  <si>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</si>
  <si>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</si>
  <si>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</si>
  <si>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</si>
  <si>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</si>
  <si>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</si>
  <si>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</si>
  <si>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</si>
  <si>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</si>
  <si>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</si>
  <si>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</si>
  <si>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</si>
  <si>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</si>
  <si>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</si>
  <si>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</si>
  <si>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</si>
  <si>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</si>
  <si>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</si>
  <si>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</si>
  <si>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</si>
  <si>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</si>
  <si>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</si>
  <si>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</si>
  <si>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</si>
  <si>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</si>
  <si>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</si>
  <si>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</si>
  <si>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</si>
  <si>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</si>
  <si>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</si>
  <si>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</si>
  <si>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</si>
  <si>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</si>
  <si>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</si>
  <si>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</si>
  <si>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</si>
  <si>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</si>
  <si>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</si>
  <si>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</si>
  <si>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</si>
  <si>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</si>
  <si>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</si>
  <si>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</si>
  <si>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</si>
  <si>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</si>
  <si>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</si>
  <si>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</si>
  <si>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</si>
  <si>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</si>
  <si>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</si>
  <si>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</si>
  <si>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</si>
  <si>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</si>
  <si>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</si>
  <si>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</si>
  <si>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</si>
  <si>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</si>
  <si>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</si>
  <si>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</si>
  <si>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</si>
  <si>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</si>
  <si>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</si>
  <si>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</si>
  <si>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</si>
  <si>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</si>
  <si>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</si>
  <si>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</si>
  <si>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</si>
  <si>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</si>
  <si>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</si>
  <si>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</si>
  <si>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</si>
  <si>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</si>
  <si>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</si>
  <si>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</si>
  <si>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</si>
  <si>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</si>
  <si>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</si>
  <si>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</si>
  <si>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</si>
  <si>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</si>
  <si>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</si>
  <si>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</si>
  <si>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</si>
  <si>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</si>
  <si>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</si>
  <si>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</si>
  <si>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</si>
  <si>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</si>
  <si>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</si>
  <si>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</si>
  <si>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</si>
  <si>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</si>
  <si>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</si>
  <si>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</si>
  <si>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</si>
  <si>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</si>
  <si>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</si>
  <si>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</si>
  <si>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</si>
  <si>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</si>
  <si>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</si>
  <si>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</si>
  <si>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</si>
  <si>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</si>
  <si>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</si>
  <si>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</si>
  <si>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</si>
  <si>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</si>
  <si>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</si>
  <si>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</si>
  <si>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</si>
  <si>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</si>
  <si>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</si>
  <si>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</si>
  <si>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</si>
  <si>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</si>
  <si>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</si>
  <si>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</si>
  <si>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</si>
  <si>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</si>
  <si>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</si>
  <si>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</si>
  <si>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</si>
  <si>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</si>
  <si>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</si>
  <si>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</si>
  <si>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</si>
  <si>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</si>
  <si>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</si>
  <si>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</si>
  <si>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</si>
  <si>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</si>
  <si>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</si>
  <si>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</si>
  <si>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</si>
  <si>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</si>
  <si>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</si>
  <si>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</si>
  <si>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</si>
  <si>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</si>
  <si>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</si>
  <si>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</si>
  <si>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</si>
  <si>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</si>
  <si>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</si>
  <si>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</si>
  <si>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</si>
  <si>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</si>
  <si>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</si>
  <si>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</si>
  <si>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</si>
  <si>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</si>
  <si>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</si>
  <si>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</si>
  <si>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</si>
  <si>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</si>
  <si>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</si>
  <si>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</si>
  <si>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</si>
  <si>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</si>
  <si>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</si>
  <si>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</si>
  <si>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</si>
  <si>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</si>
  <si>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</si>
  <si>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</si>
  <si>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</si>
  <si>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</si>
  <si>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</si>
  <si>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</si>
  <si>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</si>
  <si>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</si>
  <si>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</si>
  <si>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</si>
  <si>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</si>
  <si>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</si>
  <si>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</si>
  <si>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</si>
  <si>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</si>
  <si>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</si>
  <si>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</si>
  <si>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</si>
  <si>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</si>
  <si>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</si>
  <si>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</si>
  <si>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</si>
  <si>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</si>
  <si>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</si>
  <si>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</si>
  <si>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</si>
  <si>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</si>
  <si>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</si>
  <si>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</si>
  <si>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</si>
  <si>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</si>
  <si>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</si>
  <si>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</si>
  <si>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</si>
  <si>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</si>
  <si>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</si>
  <si>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</si>
  <si>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</si>
  <si>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</si>
  <si>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</si>
  <si>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</si>
  <si>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</si>
  <si>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</si>
  <si>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</si>
  <si>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</si>
  <si>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</si>
  <si>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</si>
  <si>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</si>
  <si>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</si>
  <si>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</si>
  <si>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</si>
  <si>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</si>
  <si>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</si>
  <si>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</si>
  <si>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</si>
  <si>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</si>
  <si>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</si>
  <si>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</si>
  <si>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</si>
  <si>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</si>
  <si>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</si>
  <si>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</si>
  <si>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</si>
  <si>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</si>
  <si>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</si>
  <si>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</si>
  <si>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</si>
  <si>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</si>
  <si>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</si>
  <si>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</si>
  <si>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</si>
  <si>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</si>
  <si>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</si>
  <si>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</si>
  <si>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</si>
  <si>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</si>
  <si>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</si>
  <si>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</si>
  <si>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</si>
  <si>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</si>
  <si>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</si>
  <si>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</si>
  <si>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</si>
  <si>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</si>
  <si>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</si>
  <si>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</si>
  <si>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</si>
  <si>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</si>
  <si>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</si>
  <si>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</si>
  <si>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</si>
  <si>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</si>
  <si>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</si>
  <si>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</si>
  <si>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</si>
  <si>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</si>
  <si>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</si>
  <si>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</si>
  <si>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</si>
  <si>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</si>
  <si>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</si>
  <si>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</si>
  <si>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</si>
  <si>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</si>
  <si>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</si>
  <si>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</si>
  <si>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</si>
  <si>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</si>
  <si>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</si>
  <si>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</si>
  <si>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</si>
  <si>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</si>
  <si>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</si>
  <si>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</si>
  <si>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</si>
  <si>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</si>
  <si>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</si>
  <si>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</si>
  <si>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</si>
  <si>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</si>
  <si>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</si>
  <si>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</si>
  <si>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</si>
  <si>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</si>
  <si>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</si>
  <si>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</si>
  <si>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</si>
  <si>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</si>
  <si>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</si>
  <si>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</si>
  <si>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</si>
  <si>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</si>
  <si>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</si>
  <si>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</si>
  <si>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</si>
  <si>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</si>
  <si>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</si>
  <si>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</si>
  <si>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</si>
  <si>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</si>
  <si>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</si>
  <si>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</si>
  <si>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</si>
  <si>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</si>
  <si>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</si>
  <si>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</si>
  <si>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</si>
  <si>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</si>
  <si>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</si>
  <si>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</si>
  <si>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</si>
  <si>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</si>
  <si>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</si>
  <si>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</si>
  <si>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</si>
  <si>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</si>
  <si>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</si>
  <si>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</si>
  <si>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</si>
  <si>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</si>
  <si>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</si>
  <si>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</si>
  <si>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</si>
  <si>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</si>
  <si>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</si>
  <si>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</si>
  <si>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</si>
  <si>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</si>
  <si>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</si>
  <si>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</si>
  <si>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</si>
  <si>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</si>
  <si>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</si>
  <si>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</si>
  <si>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</si>
  <si>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</si>
  <si>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</si>
  <si>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</si>
  <si>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</si>
  <si>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</si>
  <si>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</si>
  <si>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</si>
  <si>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</si>
  <si>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</si>
  <si>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</si>
  <si>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</si>
  <si>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</si>
  <si>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</si>
  <si>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</si>
  <si>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</si>
  <si>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</si>
  <si>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</si>
  <si>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</si>
  <si>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</si>
  <si>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</si>
  <si>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</si>
  <si>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</si>
  <si>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</si>
  <si>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</si>
  <si>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</si>
  <si>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</si>
  <si>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</si>
  <si>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</si>
  <si>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</si>
  <si>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</si>
  <si>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</si>
  <si>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</si>
  <si>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</si>
  <si>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</si>
  <si>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</si>
  <si>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</si>
  <si>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</si>
  <si>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</si>
  <si>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</si>
  <si>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</si>
  <si>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</si>
  <si>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</si>
  <si>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</si>
  <si>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</si>
  <si>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</si>
  <si>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</si>
  <si>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</si>
  <si>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</si>
  <si>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</si>
  <si>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</si>
  <si>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</si>
  <si>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</si>
  <si>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</si>
  <si>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</si>
  <si>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</si>
  <si>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</si>
  <si>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</si>
  <si>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</si>
  <si>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</si>
  <si>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</si>
  <si>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</si>
  <si>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</si>
  <si>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</si>
  <si>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</si>
  <si>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</si>
  <si>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</si>
  <si>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</si>
  <si>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</si>
  <si>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</si>
  <si>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</si>
  <si>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</si>
  <si>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</si>
  <si>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</si>
  <si>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</si>
  <si>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</si>
  <si>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</si>
  <si>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</si>
  <si>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</si>
  <si>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</si>
  <si>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</si>
  <si>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</si>
  <si>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</si>
  <si>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</si>
  <si>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</si>
  <si>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</si>
  <si>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</si>
  <si>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</si>
  <si>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</si>
  <si>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</si>
  <si>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</si>
  <si>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</si>
  <si>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</si>
  <si>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</si>
  <si>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</si>
  <si>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</si>
  <si>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</si>
  <si>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</si>
  <si>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</si>
  <si>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</si>
  <si>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</si>
  <si>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</si>
  <si>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</si>
  <si>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</si>
  <si>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</si>
  <si>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</si>
  <si>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</si>
  <si>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</si>
  <si>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</si>
  <si>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</si>
  <si>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</si>
  <si>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</si>
  <si>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</si>
  <si>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</si>
  <si>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</si>
  <si>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</si>
  <si>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</si>
  <si>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</si>
  <si>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</si>
  <si>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</si>
  <si>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</si>
  <si>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</si>
  <si>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</si>
  <si>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</si>
  <si>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</si>
  <si>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</si>
  <si>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</si>
  <si>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</si>
  <si>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</si>
  <si>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</si>
  <si>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</si>
  <si>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</si>
  <si>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</si>
  <si>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</si>
  <si>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</si>
  <si>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</si>
  <si>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</si>
  <si>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</si>
  <si>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</si>
  <si>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</si>
  <si>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</si>
  <si>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</si>
  <si>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</si>
  <si>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</si>
  <si>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</si>
  <si>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</si>
  <si>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</si>
  <si>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</si>
  <si>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</si>
  <si>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</si>
  <si>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</si>
  <si>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</si>
  <si>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</si>
  <si>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</si>
  <si>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</si>
  <si>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</si>
  <si>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</si>
  <si>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</si>
  <si>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</si>
  <si>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</si>
  <si>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</si>
  <si>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</si>
  <si>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</si>
  <si>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</si>
  <si>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</si>
  <si>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</si>
  <si>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</si>
  <si>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</si>
  <si>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</si>
  <si>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</si>
  <si>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</si>
  <si>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</si>
  <si>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</si>
  <si>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</si>
  <si>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</si>
  <si>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</si>
  <si>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</si>
  <si>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</si>
  <si>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</si>
  <si>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</si>
  <si>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</si>
  <si>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</si>
  <si>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</si>
  <si>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</si>
  <si>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</si>
  <si>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</si>
  <si>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</si>
  <si>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</si>
  <si>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</si>
  <si>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</si>
  <si>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</si>
  <si>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</si>
  <si>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</si>
  <si>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</si>
  <si>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</si>
  <si>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</si>
  <si>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</si>
  <si>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</si>
  <si>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</si>
  <si>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</si>
  <si>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</si>
  <si>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</si>
  <si>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</si>
  <si>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</si>
  <si>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</si>
  <si>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</si>
  <si>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</si>
  <si>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</si>
  <si>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</si>
  <si>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</si>
  <si>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</si>
  <si>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</si>
  <si>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</si>
  <si>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</si>
  <si>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</si>
  <si>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</si>
  <si>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</si>
  <si>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</si>
  <si>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</si>
  <si>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</si>
  <si>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</si>
  <si>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</si>
  <si>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</si>
  <si>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</si>
  <si>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</si>
  <si>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</si>
  <si>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</si>
  <si>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</si>
  <si>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</si>
  <si>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</si>
  <si>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</si>
  <si>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</si>
  <si>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</si>
  <si>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</si>
  <si>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</si>
  <si>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</si>
  <si>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</si>
  <si>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</si>
  <si>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</si>
  <si>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</si>
  <si>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</si>
  <si>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</si>
  <si>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</si>
  <si>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</si>
  <si>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</si>
  <si>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</si>
  <si>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</si>
  <si>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</si>
  <si>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</si>
  <si>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</si>
  <si>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</si>
  <si>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</si>
  <si>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</si>
  <si>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</si>
  <si>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</si>
  <si>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</si>
  <si>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</si>
  <si>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</si>
  <si>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</si>
  <si>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</si>
  <si>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</si>
  <si>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</si>
  <si>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</si>
  <si>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</si>
  <si>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</si>
  <si>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</si>
  <si>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</si>
  <si>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</si>
  <si>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</si>
  <si>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</si>
  <si>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</si>
  <si>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</si>
  <si>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</si>
  <si>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</si>
  <si>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Maicol - tenis en llamas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</si>
</sst>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38101</xdr:colOff>
      <xdr:row>0</xdr:row>
      <xdr:rowOff>171450</xdr:rowOff>
    </xdr:from>
    <xdr:to>
      <xdr:col>24</xdr:col>
      <xdr:colOff>476250</xdr:colOff>
      <xdr:row>6</xdr:row>
      <xdr:rowOff>200025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C95AA7-C8F0-4183-AA70-FED2C2AA5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5276" y="171450"/>
          <a:ext cx="2181224" cy="1800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4" sqref="D4:K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JV3004-1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45777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1367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71639999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2908248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1321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30901.717142857146</v>
      </c>
      <c r="E5" s="387"/>
      <c r="F5" s="388"/>
      <c r="G5" s="364" t="s">
        <v>16</v>
      </c>
      <c r="H5" s="389"/>
      <c r="I5" s="389"/>
      <c r="J5" s="365"/>
      <c r="K5" s="328">
        <v>1</v>
      </c>
      <c r="L5" s="328"/>
      <c r="M5" s="329" t="s">
        <v>17</v>
      </c>
      <c r="N5" s="329"/>
      <c r="O5" s="325">
        <f>IFERROR(IF(K5=0,"",D5*K5),"")</f>
        <v>30901.717142857146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1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474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30</v>
      </c>
      <c r="R10" s="307"/>
      <c r="S10" s="308">
        <f>IFERROR(IF(Q10="Unidad","1",(Q10*$K$5)),"")</f>
        <v>30</v>
      </c>
      <c r="T10" s="309"/>
      <c r="U10" s="310"/>
      <c r="V10" s="393"/>
      <c r="W10" s="311">
        <f>IFERROR(IF(D10="","",INDEX(Tabla_Completa,MATCH('Soli_citud '!D10,Materiales,0),7)*S10),"")</f>
        <v>26953.5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50</v>
      </c>
      <c r="B11" s="299"/>
      <c r="C11" s="300"/>
      <c r="D11" s="390" t="s">
        <v>902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1590</v>
      </c>
      <c r="R11" s="307"/>
      <c r="S11" s="308">
        <f t="shared" ref="S11:S31" si="1">IFERROR(IF(Q11="Unidad","1",(Q11*$K$5)),"")</f>
        <v>1590</v>
      </c>
      <c r="T11" s="309"/>
      <c r="U11" s="310"/>
      <c r="V11" s="310"/>
      <c r="W11" s="311">
        <f>IFERROR(IF(D11="","",INDEX(Tabla_Completa,MATCH('Soli_citud '!D11,Materiales,0),7)*S11),"")</f>
        <v>3181.8171428571432</v>
      </c>
      <c r="X11" s="311"/>
      <c r="Y11" s="311"/>
    </row>
    <row r="12" spans="1:31" ht="15.75" customHeight="1">
      <c r="A12" s="298" t="s">
        <v>50</v>
      </c>
      <c r="B12" s="299"/>
      <c r="C12" s="300"/>
      <c r="D12" s="394" t="s">
        <v>907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cm2</v>
      </c>
      <c r="P12" s="305"/>
      <c r="Q12" s="306"/>
      <c r="R12" s="307"/>
      <c r="S12" s="308">
        <f t="shared" si="1"/>
        <v>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232</v>
      </c>
      <c r="B13" s="299"/>
      <c r="C13" s="300"/>
      <c r="D13" s="390" t="s">
        <v>331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cm2</v>
      </c>
      <c r="P13" s="305"/>
      <c r="Q13" s="306">
        <v>266</v>
      </c>
      <c r="R13" s="307"/>
      <c r="S13" s="308">
        <f t="shared" si="1"/>
        <v>266</v>
      </c>
      <c r="T13" s="309"/>
      <c r="U13" s="310"/>
      <c r="V13" s="310"/>
      <c r="W13" s="311">
        <f>IFERROR(IF(D13="","",INDEX(Tabla_Completa,MATCH('Soli_citud '!D13,Materiales,0),7)*S13),"")</f>
        <v>372.4</v>
      </c>
      <c r="X13" s="311"/>
      <c r="Y13" s="311"/>
    </row>
    <row r="14" spans="1:31" ht="17.25" customHeight="1">
      <c r="A14" s="298" t="s">
        <v>232</v>
      </c>
      <c r="B14" s="299"/>
      <c r="C14" s="300"/>
      <c r="D14" s="390" t="s">
        <v>332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107</v>
      </c>
      <c r="R14" s="307"/>
      <c r="S14" s="308">
        <f t="shared" si="1"/>
        <v>107</v>
      </c>
      <c r="T14" s="309"/>
      <c r="U14" s="310"/>
      <c r="V14" s="310"/>
      <c r="W14" s="311">
        <f>IFERROR(IF(D14="","",INDEX(Tabla_Completa,MATCH('Soli_citud '!D14,Materiales,0),7)*S14),"")</f>
        <v>107</v>
      </c>
      <c r="X14" s="311"/>
      <c r="Y14" s="311"/>
    </row>
    <row r="15" spans="1:31" ht="15.75" customHeight="1">
      <c r="A15" s="298" t="s">
        <v>232</v>
      </c>
      <c r="B15" s="299"/>
      <c r="C15" s="300"/>
      <c r="D15" s="390" t="s">
        <v>293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Par</v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 t="s">
        <v>232</v>
      </c>
      <c r="B16" s="299"/>
      <c r="C16" s="300"/>
      <c r="D16" s="390" t="s">
        <v>446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cm</v>
      </c>
      <c r="P16" s="305"/>
      <c r="Q16" s="306">
        <v>41</v>
      </c>
      <c r="R16" s="307"/>
      <c r="S16" s="308">
        <f t="shared" si="1"/>
        <v>41</v>
      </c>
      <c r="T16" s="309"/>
      <c r="U16" s="310"/>
      <c r="V16" s="310"/>
      <c r="W16" s="311">
        <f>IFERROR(IF(D16="","",INDEX(Tabla_Completa,MATCH('Soli_citud '!D16,Materiales,0),7)*S16),"")</f>
        <v>287</v>
      </c>
      <c r="X16" s="311"/>
      <c r="Y16" s="311"/>
    </row>
    <row r="17" spans="1:25" ht="15.75" customHeight="1">
      <c r="A17" s="298" t="s">
        <v>52</v>
      </c>
      <c r="B17" s="299"/>
      <c r="C17" s="300"/>
      <c r="D17" s="390" t="s">
        <v>1003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Par</v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 t="s">
        <v>1058</v>
      </c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C1" sqref="C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45777</v>
      </c>
      <c r="O1" s="489"/>
      <c r="P1" s="427" t="s">
        <v>55</v>
      </c>
      <c r="Q1" s="428"/>
      <c r="R1" s="433" t="str">
        <f>IF('Soli_citud '!D4="","",'Soli_citud '!D4)</f>
        <v>Maicol - tenis en llamas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JV3004-1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2908248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Calzado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30901.717142857146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Juan Villa Salazar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JV3004-1</v>
      </c>
      <c r="C12" s="407" t="str">
        <f>IFERROR(IF('Soli_citud '!D10="","",'Soli_citud '!D10),"")</f>
        <v>NAPPA</v>
      </c>
      <c r="D12" s="407"/>
      <c r="E12" s="407"/>
      <c r="F12" s="407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30</v>
      </c>
      <c r="I12" s="214"/>
      <c r="J12" s="215"/>
      <c r="K12" s="197" cm="1">
        <f t="array" ref="K12">IFERROR(_xlfn.IFS(H12="","",J12=H12,"Cumplido",J12&lt;H12,H12-J12,J12&gt;H12,"Revisar"),"")</f>
        <v>30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JV3004-1</v>
      </c>
      <c r="C13" s="407" t="str">
        <f>IFERROR(IF('Soli_citud '!D11="","",'Soli_citud '!D11),"")</f>
        <v>FORRO  PIQUET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1590</v>
      </c>
      <c r="I13" s="214"/>
      <c r="J13" s="216"/>
      <c r="K13" s="197" cm="1">
        <f t="array" ref="K13">IFERROR(_xlfn.IFS(H13="","",J13=H13,"Cumplido",J13&lt;H13,H13-J13,J13&gt;H13,"Revisar"),"")</f>
        <v>1590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7" t="str">
        <f>IFERROR(IF('Soli_citud '!D12="","",'Soli_citud '!D12),"")</f>
        <v>LONA LACOST</v>
      </c>
      <c r="D14" s="407"/>
      <c r="E14" s="407"/>
      <c r="F14" s="407"/>
      <c r="G14" s="213" t="str">
        <f>IF('Soli_citud '!O12="","",'Soli_citud '!O12)</f>
        <v>cm2</v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JV3004-1</v>
      </c>
      <c r="C15" s="407" t="str">
        <f>IFERROR(IF('Soli_citud '!D13="","",'Soli_citud '!D13),"")</f>
        <v>ESPUMA MULTIFORM DENSIDAD 40 DE 10 mm</v>
      </c>
      <c r="D15" s="407"/>
      <c r="E15" s="407"/>
      <c r="F15" s="407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266</v>
      </c>
      <c r="I15" s="214"/>
      <c r="J15" s="216"/>
      <c r="K15" s="197" cm="1">
        <f t="array" ref="K15">IFERROR(_xlfn.IFS(H15="","",J15=H15,"Cumplido",J15&lt;H15,H15-J15,J15&gt;H15,"Revisar"),"")</f>
        <v>266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JV3004-1</v>
      </c>
      <c r="C16" s="407" t="str">
        <f>IFERROR(IF('Soli_citud '!D14="","",'Soli_citud '!D14),"")</f>
        <v>ESPUMA MULTIFORM DENSIDAD 40 DE 5 mm</v>
      </c>
      <c r="D16" s="407"/>
      <c r="E16" s="407"/>
      <c r="F16" s="407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107</v>
      </c>
      <c r="I16" s="214"/>
      <c r="J16" s="216"/>
      <c r="K16" s="197" cm="1">
        <f t="array" ref="K16">IFERROR(_xlfn.IFS(H16="","",J16=H16,"Cumplido",J16&lt;H16,H16-J16,J16&gt;H16,"Revisar"),"")</f>
        <v>107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>Cordon REDONDO  GRIS 110cm</v>
      </c>
      <c r="D17" s="407"/>
      <c r="E17" s="407"/>
      <c r="F17" s="407"/>
      <c r="G17" s="213" t="str">
        <f>IF('Soli_citud '!O15="","",'Soli_citud '!O15)</f>
        <v>Par</v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JV3004-1</v>
      </c>
      <c r="C18" s="407" t="str">
        <f>IFERROR(IF('Soli_citud '!D16="","",'Soli_citud '!D16),"")</f>
        <v>VELCRO 1 ''</v>
      </c>
      <c r="D18" s="407"/>
      <c r="E18" s="407"/>
      <c r="F18" s="407"/>
      <c r="G18" s="213" t="str">
        <f>IF('Soli_citud '!O16="","",'Soli_citud '!O16)</f>
        <v>cm</v>
      </c>
      <c r="H18" s="213" cm="1">
        <f t="array" ref="H18">_xlfn.IFS('Soli_citud '!S16="","",'Soli_citud '!S16&lt;=0,"",'Soli_citud '!S16&gt;0,'Soli_citud '!S16)</f>
        <v>41</v>
      </c>
      <c r="I18" s="214"/>
      <c r="J18" s="216"/>
      <c r="K18" s="197" cm="1">
        <f t="array" ref="K18">IFERROR(_xlfn.IFS(H18="","",J18=H18,"Cumplido",J18&lt;H18,H18-J18,J18&gt;H18,"Revisar"),"")</f>
        <v>41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>SUELA NIÑO  PVC SWIFT BLANCO-NEGRO</v>
      </c>
      <c r="D19" s="407"/>
      <c r="E19" s="407"/>
      <c r="F19" s="407"/>
      <c r="G19" s="213" t="str">
        <f>IF('Soli_citud '!O17="","",'Soli_citud '!O17)</f>
        <v>Par</v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2025-04-30T15:03:01Z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