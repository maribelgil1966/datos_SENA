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ALEX MARULANDA\"/>
    </mc:Choice>
  </mc:AlternateContent>
  <xr:revisionPtr revIDLastSave="0" documentId="13_ncr:1_{90E3C006-F5C4-4BAA-8480-441A992E030A}" xr6:coauthVersionLast="36" xr6:coauthVersionMax="36" xr10:uidLastSave="{00000000-0000-0000-0000-000000000000}"/>
  <bookViews>
    <workbookView xWindow="0" yWindow="0" windowWidth="15165" windowHeight="153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<sst xmlns="http://schemas.openxmlformats.org/spreadsheetml/2006/main" count="5078" uniqueCount="1396">
  <si>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</si>
  <si>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</si>
  <si>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</si>
  <si>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</si>
  <si>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</si>
  <si>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</si>
  <si>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</si>
  <si>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</si>
  <si>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</si>
  <si>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</si>
  <si>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</si>
  <si>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</si>
  <si>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</si>
  <si>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</si>
  <si>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</si>
  <si>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</si>
  <si>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</si>
  <si>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</si>
  <si>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</si>
  <si>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</si>
  <si>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</si>
  <si>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</si>
  <si>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</si>
  <si>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</si>
  <si>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</si>
  <si>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</si>
  <si>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</si>
  <si>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</si>
  <si>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</si>
  <si>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</si>
  <si>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</si>
  <si>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</si>
  <si>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</si>
  <si>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</si>
  <si>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</si>
  <si>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</si>
  <si>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</si>
  <si>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</si>
  <si>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</si>
  <si>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</si>
  <si>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</si>
  <si>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</si>
  <si>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</si>
  <si>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</si>
  <si>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</si>
  <si>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</si>
  <si>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</si>
  <si>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</si>
  <si>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</si>
  <si>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</si>
  <si>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</si>
  <si>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</si>
  <si>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</si>
  <si>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</si>
  <si>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</si>
  <si>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</si>
  <si>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</si>
  <si>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</si>
  <si>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</si>
  <si>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</si>
  <si>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</si>
  <si>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</si>
  <si>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</si>
  <si>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</si>
  <si>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</si>
  <si>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</si>
  <si>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</si>
  <si>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</si>
  <si>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</si>
  <si>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</si>
  <si>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</si>
  <si>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</si>
  <si>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</si>
  <si>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</si>
  <si>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</si>
  <si>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</si>
  <si>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</si>
  <si>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</si>
  <si>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</si>
  <si>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</si>
  <si>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</si>
  <si>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</si>
  <si>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</si>
  <si>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</si>
  <si>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</si>
  <si>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</si>
  <si>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</si>
  <si>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</si>
  <si>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</si>
  <si>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</si>
  <si>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</si>
  <si>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</si>
  <si>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</si>
  <si>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</si>
  <si>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</si>
  <si>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</si>
  <si>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</si>
  <si>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</si>
  <si>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</si>
  <si>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</si>
  <si>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</si>
  <si>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</si>
  <si>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</si>
  <si>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</si>
  <si>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</si>
  <si>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</si>
  <si>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</si>
  <si>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</si>
  <si>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</si>
  <si>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</si>
  <si>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</si>
  <si>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</si>
  <si>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</si>
  <si>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</si>
  <si>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</si>
  <si>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</si>
  <si>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</si>
  <si>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</si>
  <si>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</si>
  <si>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</si>
  <si>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</si>
  <si>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</si>
  <si>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</si>
  <si>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</si>
  <si>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</si>
  <si>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</si>
  <si>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</si>
  <si>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</si>
  <si>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</si>
  <si>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</si>
  <si>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</si>
  <si>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</si>
  <si>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</si>
  <si>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</si>
  <si>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</si>
  <si>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</si>
  <si>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</si>
  <si>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</si>
  <si>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</si>
  <si>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</si>
  <si>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</si>
  <si>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</si>
  <si>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</si>
  <si>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</si>
  <si>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</si>
  <si>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</si>
  <si>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</si>
  <si>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</si>
  <si>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</si>
  <si>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</si>
  <si>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</si>
  <si>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</si>
  <si>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</si>
  <si>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</si>
  <si>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</si>
  <si>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</si>
  <si>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</si>
  <si>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</si>
  <si>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</si>
  <si>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</si>
  <si>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</si>
  <si>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</si>
  <si>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</si>
  <si>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</si>
  <si>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</si>
  <si>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</si>
  <si>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</si>
  <si>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</si>
  <si>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</si>
  <si>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</si>
  <si>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</si>
  <si>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</si>
  <si>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</si>
  <si>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</si>
  <si>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</si>
  <si>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</si>
  <si>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</si>
  <si>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</si>
  <si>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</si>
  <si>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</si>
  <si>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</si>
  <si>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</si>
  <si>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</si>
  <si>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</si>
  <si>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</si>
  <si>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</si>
  <si>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</si>
  <si>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</si>
  <si>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</si>
  <si>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</si>
  <si>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</si>
  <si>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</si>
  <si>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</si>
  <si>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</si>
  <si>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</si>
  <si>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</si>
  <si>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</si>
  <si>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</si>
  <si>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</si>
  <si>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</si>
  <si>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</si>
  <si>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</si>
  <si>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</si>
  <si>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</si>
  <si>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</si>
  <si>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</si>
  <si>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</si>
  <si>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</si>
  <si>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</si>
  <si>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</si>
  <si>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</si>
  <si>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</si>
  <si>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</si>
  <si>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</si>
  <si>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</si>
  <si>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</si>
  <si>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</si>
  <si>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</si>
  <si>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</si>
  <si>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</si>
  <si>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</si>
  <si>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</si>
  <si>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</si>
  <si>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</si>
  <si>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</si>
  <si>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</si>
  <si>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</si>
  <si>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</si>
  <si>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</si>
  <si>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</si>
  <si>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</si>
  <si>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</si>
  <si>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</si>
  <si>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</si>
  <si>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</si>
  <si>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</si>
  <si>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</si>
  <si>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</si>
  <si>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</si>
  <si>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</si>
  <si>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</si>
  <si>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</si>
  <si>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</si>
  <si>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</si>
  <si>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</si>
  <si>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</si>
  <si>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</si>
  <si>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</si>
  <si>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</si>
  <si>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</si>
  <si>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</si>
  <si>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</si>
  <si>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</si>
  <si>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</si>
  <si>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</si>
  <si>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</si>
  <si>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</si>
  <si>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</si>
  <si>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</si>
  <si>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</si>
  <si>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</si>
  <si>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</si>
  <si>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</si>
  <si>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</si>
  <si>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</si>
  <si>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</si>
  <si>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</si>
  <si>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</si>
  <si>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</si>
  <si>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</si>
  <si>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</si>
  <si>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</si>
  <si>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</si>
  <si>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</si>
  <si>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</si>
  <si>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</si>
  <si>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</si>
  <si>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</si>
  <si>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</si>
  <si>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</si>
  <si>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</si>
  <si>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</si>
  <si>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</si>
  <si>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</si>
  <si>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</si>
  <si>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</si>
  <si>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</si>
  <si>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</si>
  <si>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</si>
  <si>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</si>
  <si>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</si>
  <si>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</si>
  <si>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</si>
  <si>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</si>
  <si>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</si>
  <si>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</si>
  <si>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</si>
  <si>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</si>
  <si>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</si>
  <si>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</si>
  <si>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</si>
  <si>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</si>
  <si>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</si>
  <si>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</si>
  <si>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</si>
  <si>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</si>
  <si>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</si>
  <si>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</si>
  <si>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</si>
  <si>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</si>
  <si>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</si>
  <si>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</si>
  <si>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</si>
  <si>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</si>
  <si>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</si>
  <si>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</si>
  <si>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</si>
  <si>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</si>
  <si>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</si>
  <si>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</si>
  <si>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</si>
  <si>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</si>
  <si>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</si>
  <si>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</si>
  <si>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</si>
  <si>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</si>
  <si>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</si>
  <si>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</si>
  <si>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</si>
  <si>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</si>
  <si>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</si>
  <si>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</si>
  <si>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</si>
  <si>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</si>
  <si>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</si>
  <si>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</si>
  <si>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</si>
  <si>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</si>
  <si>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</si>
  <si>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</si>
  <si>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</si>
  <si>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</si>
  <si>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</si>
  <si>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</si>
  <si>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</si>
  <si>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</si>
  <si>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</si>
  <si>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</si>
  <si>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</si>
  <si>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</si>
  <si>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</si>
  <si>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</si>
  <si>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</si>
  <si>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</si>
  <si>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</si>
  <si>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</si>
  <si>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</si>
  <si>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</si>
  <si>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</si>
  <si>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</si>
  <si>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</si>
  <si>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</si>
  <si>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</si>
  <si>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</si>
  <si>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</si>
  <si>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</si>
  <si>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</si>
  <si>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</si>
  <si>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</si>
  <si>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</si>
  <si>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</si>
  <si>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</si>
  <si>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</si>
  <si>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</si>
  <si>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</si>
  <si>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</si>
  <si>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</si>
  <si>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</si>
  <si>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</si>
  <si>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</si>
  <si>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</si>
  <si>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</si>
  <si>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</si>
  <si>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</si>
  <si>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</si>
  <si>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</si>
  <si>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</si>
  <si>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</si>
  <si>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</si>
  <si>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</si>
  <si>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</si>
  <si>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</si>
  <si>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</si>
  <si>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</si>
  <si>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</si>
  <si>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</si>
  <si>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</si>
  <si>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</si>
  <si>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</si>
  <si>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</si>
  <si>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</si>
  <si>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</si>
  <si>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</si>
  <si>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</si>
  <si>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</si>
  <si>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</si>
  <si>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</si>
  <si>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</si>
  <si>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</si>
  <si>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</si>
  <si>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</si>
  <si>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</si>
  <si>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</si>
  <si>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</si>
  <si>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</si>
  <si>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</si>
  <si>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</si>
  <si>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</si>
  <si>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</si>
  <si>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</si>
  <si>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</si>
  <si>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</si>
  <si>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</si>
  <si>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</si>
  <si>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</si>
  <si>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</si>
  <si>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</si>
  <si>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</si>
  <si>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</si>
  <si>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</si>
  <si>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</si>
  <si>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</si>
  <si>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</si>
  <si>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</si>
  <si>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</si>
  <si>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</si>
  <si>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</si>
  <si>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</si>
  <si>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</si>
  <si>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</si>
  <si>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</si>
  <si>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</si>
  <si>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</si>
  <si>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</si>
  <si>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</si>
  <si>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</si>
  <si>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</si>
  <si>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</si>
  <si>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</si>
  <si>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</si>
  <si>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</si>
  <si>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</si>
  <si>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</si>
  <si>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</si>
  <si>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</si>
  <si>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</si>
  <si>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</si>
  <si>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</si>
  <si>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</si>
  <si>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</si>
  <si>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</si>
  <si>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</si>
  <si>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</si>
  <si>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</si>
  <si>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</si>
  <si>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</si>
  <si>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</si>
  <si>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</si>
  <si>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</si>
  <si>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</si>
  <si>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</si>
  <si>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</si>
  <si>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</si>
  <si>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</si>
  <si>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</si>
  <si>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</si>
  <si>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</si>
  <si>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</si>
  <si>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</si>
  <si>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</si>
  <si>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</si>
  <si>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</si>
  <si>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</si>
  <si>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</si>
  <si>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</si>
  <si>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</si>
  <si>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</si>
  <si>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</si>
  <si>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</si>
  <si>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</si>
  <si>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</si>
  <si>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</si>
  <si>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</si>
  <si>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</si>
  <si>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</si>
  <si>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</si>
  <si>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</si>
  <si>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</si>
  <si>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</si>
  <si>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</si>
  <si>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</si>
  <si>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</si>
  <si>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</si>
  <si>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</si>
  <si>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</si>
  <si>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</si>
  <si>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</si>
  <si>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</si>
  <si>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</si>
  <si>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</si>
  <si>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</si>
  <si>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</si>
  <si>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</si>
  <si>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</si>
  <si>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</si>
  <si>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</si>
  <si>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</si>
  <si>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</si>
  <si>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</si>
  <si>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</si>
  <si>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</si>
  <si>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</si>
  <si>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</si>
  <si>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</si>
  <si>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</si>
  <si>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</si>
  <si>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</si>
  <si>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</si>
  <si>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</si>
  <si>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</si>
  <si>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</si>
  <si>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</si>
  <si>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</si>
  <si>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</si>
  <si>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</si>
  <si>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</si>
  <si>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</si>
  <si>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</si>
  <si>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</si>
  <si>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</si>
  <si>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</si>
  <si>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</si>
  <si>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</si>
  <si>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</si>
  <si>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</si>
  <si>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</si>
  <si>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</si>
  <si>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</si>
  <si>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</si>
  <si>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</si>
  <si>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</si>
  <si>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</si>
  <si>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</si>
  <si>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</si>
  <si>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</si>
  <si>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</si>
  <si>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</si>
  <si>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</si>
  <si>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</si>
  <si>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</si>
  <si>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</si>
  <si>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</si>
  <si>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</si>
  <si>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</si>
  <si>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</si>
  <si>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</si>
  <si>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</si>
  <si>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</si>
  <si>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</si>
  <si>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</si>
  <si>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</si>
  <si>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</si>
  <si>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</si>
  <si>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</si>
  <si>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</si>
  <si>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</si>
  <si>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</si>
  <si>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</si>
  <si>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</si>
  <si>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</si>
  <si>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</si>
  <si>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</si>
  <si>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</si>
  <si>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</si>
  <si>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</si>
  <si>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</si>
  <si>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</si>
  <si>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</si>
  <si>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</si>
  <si>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</si>
  <si>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</si>
  <si>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</si>
  <si>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</si>
  <si>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</si>
  <si>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</si>
  <si>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</si>
  <si>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</si>
  <si>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</si>
  <si>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</si>
  <si>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</si>
  <si>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</si>
  <si>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</si>
  <si>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</si>
  <si>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</si>
  <si>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</si>
  <si>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</si>
  <si>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</si>
  <si>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</si>
  <si>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</si>
  <si>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</si>
  <si>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</si>
  <si>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</si>
  <si>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</si>
  <si>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</si>
  <si>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</si>
  <si>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</si>
  <si>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</si>
  <si>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</si>
  <si>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</si>
  <si>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</si>
  <si>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</si>
  <si>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</si>
  <si>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</si>
  <si>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</si>
  <si>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</si>
  <si>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</si>
  <si>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</si>
  <si>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</si>
  <si>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</si>
  <si>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</si>
  <si>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</si>
  <si>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</si>
  <si>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</si>
  <si>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</si>
  <si>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</si>
  <si>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</si>
  <si>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</si>
  <si>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</si>
  <si>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</si>
  <si>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</si>
  <si>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</si>
  <si>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</si>
  <si>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</si>
  <si>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</si>
  <si>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</si>
  <si>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</si>
  <si>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</si>
  <si>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</si>
  <si>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</si>
  <si>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</si>
  <si>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</si>
  <si>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</si>
  <si>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</si>
  <si>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</si>
  <si>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</si>
  <si>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</si>
  <si>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</si>
  <si>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</si>
  <si>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</si>
  <si>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</si>
  <si>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</si>
  <si>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</si>
  <si>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</si>
  <si>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</si>
  <si>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</si>
  <si>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</si>
  <si>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</si>
  <si>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</si>
  <si>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</si>
  <si>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</si>
  <si>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</si>
  <si>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</si>
  <si>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</si>
  <si>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</si>
  <si>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</si>
  <si>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</si>
  <si>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</si>
  <si>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</si>
  <si>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</si>
  <si>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</si>
  <si>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</si>
  <si>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</si>
  <si>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</si>
  <si>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</si>
  <si>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</si>
  <si>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</si>
  <si>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</si>
  <si>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</si>
  <si>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</si>
  <si>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</si>
  <si>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</si>
  <si>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</si>
  <si>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</si>
  <si>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</si>
  <si>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</si>
  <si>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</si>
  <si>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</si>
  <si>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</si>
  <si>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</si>
  <si>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</si>
  <si>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</si>
  <si>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</si>
  <si>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</si>
  <si>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</si>
  <si>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</si>
  <si>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</si>
  <si>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</si>
  <si>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</si>
  <si>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</si>
  <si>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</si>
  <si>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</si>
  <si>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</si>
  <si>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</si>
  <si>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</si>
  <si>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</si>
  <si>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</si>
  <si>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</si>
  <si>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</si>
  <si>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</si>
  <si>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</si>
  <si>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</si>
  <si>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</si>
  <si>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</si>
  <si>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</si>
  <si>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</si>
  <si>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</si>
  <si>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</si>
  <si>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</si>
  <si>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</si>
  <si>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</si>
  <si>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</si>
  <si>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</si>
  <si>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</si>
  <si>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</si>
  <si>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</si>
  <si>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</si>
  <si>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</si>
  <si>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</si>
  <si>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</si>
  <si>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</si>
  <si>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</si>
  <si>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</si>
  <si>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</si>
  <si>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</si>
  <si>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</si>
  <si>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</si>
  <si>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</si>
  <si>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</si>
  <si>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</si>
  <si>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</si>
  <si>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</si>
  <si>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</si>
  <si>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</si>
  <si>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</si>
  <si>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</si>
  <si>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</si>
  <si>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</si>
  <si>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</si>
  <si>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</si>
  <si>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</si>
  <si>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</si>
  <si>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</si>
  <si>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</si>
  <si>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</si>
  <si>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</si>
  <si>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</si>
  <si>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</si>
  <si>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</si>
  <si>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</si>
  <si>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</si>
  <si>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</si>
  <si>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</si>
  <si>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</si>
  <si>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</si>
  <si>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</si>
  <si>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</si>
  <si>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</si>
  <si>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</si>
  <si>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</si>
  <si>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</si>
  <si>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</si>
  <si>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</si>
  <si>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</si>
  <si>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</si>
  <si>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</si>
  <si>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</si>
  <si>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</si>
  <si>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</si>
  <si>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</si>
  <si>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</si>
  <si>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</si>
  <si>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</si>
  <si>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</si>
  <si>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</si>
  <si>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</si>
  <si>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</si>
  <si>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</si>
  <si>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</si>
  <si>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</si>
  <si>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</si>
  <si>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</si>
  <si>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</si>
  <si>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</si>
  <si>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</si>
  <si>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</si>
  <si>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</si>
  <si>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</si>
  <si>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</si>
  <si>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</si>
  <si>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</si>
  <si>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</si>
  <si>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</si>
  <si>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</si>
  <si>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</si>
  <si>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</si>
  <si>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</si>
  <si>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</si>
  <si>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</si>
  <si>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</si>
  <si>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</si>
  <si>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</si>
  <si>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</si>
  <si>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</si>
  <si>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</si>
  <si>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</si>
  <si>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</si>
  <si>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</si>
  <si>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</si>
  <si>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</si>
  <si>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</si>
  <si>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</si>
  <si>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</si>
  <si>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</si>
  <si>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</si>
  <si>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</si>
  <si>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</si>
  <si>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</si>
  <si>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</si>
  <si>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</si>
  <si>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</si>
  <si>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</si>
  <si>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</si>
  <si>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</si>
  <si>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</si>
  <si>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</si>
  <si>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</si>
  <si>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</si>
  <si>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</si>
  <si>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</si>
  <si>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</si>
  <si>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</si>
  <si>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</si>
  <si>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</si>
  <si>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</si>
  <si>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</si>
  <si>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</si>
  <si>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</si>
  <si>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</si>
  <si>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</si>
  <si>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</si>
  <si>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</si>
  <si>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</si>
  <si>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</si>
  <si>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</si>
  <si>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</si>
  <si>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</si>
  <si>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</si>
  <si>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</si>
  <si>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</si>
  <si>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</si>
  <si>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</si>
  <si>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</si>
  <si>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</si>
  <si>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</si>
  <si>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</si>
  <si>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</si>
  <si>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</si>
  <si>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</si>
  <si>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</si>
  <si>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</si>
  <si>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</si>
  <si>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</si>
  <si>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</si>
  <si>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</si>
  <si>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</si>
  <si>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</si>
  <si>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</si>
  <si>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</si>
  <si>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</si>
  <si>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</si>
  <si>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</si>
  <si>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</si>
  <si>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</si>
  <si>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</si>
  <si>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</si>
  <si>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</si>
  <si>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</si>
  <si>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</si>
  <si>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</si>
  <si>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</si>
  <si>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</si>
  <si>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</si>
  <si>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</si>
  <si>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</si>
  <si>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</si>
  <si>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</si>
  <si>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</si>
  <si>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</si>
  <si>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</si>
  <si>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</si>
  <si>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</si>
  <si>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</si>
  <si>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</si>
  <si>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</si>
  <si>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</si>
  <si>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</si>
  <si>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</si>
  <si>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</si>
  <si>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</si>
  <si>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</si>
  <si>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</si>
  <si>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</si>
  <si>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</si>
  <si>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</si>
  <si>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</si>
  <si>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</si>
  <si>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</si>
  <si>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</si>
  <si>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</si>
  <si>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</si>
  <si>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</si>
  <si>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</si>
  <si>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</si>
  <si>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</si>
  <si>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</si>
  <si>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</si>
  <si>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</si>
  <si>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</si>
  <si>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</si>
  <si>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</si>
  <si>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</si>
  <si>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</si>
  <si>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</si>
  <si>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</si>
  <si>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</si>
  <si>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</si>
  <si>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</si>
  <si>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</si>
  <si>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</si>
  <si>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</si>
  <si>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</si>
  <si>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</si>
  <si>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</si>
  <si>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</si>
  <si>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</si>
  <si>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</si>
  <si>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</si>
  <si>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</si>
  <si>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</si>
  <si>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</si>
  <si>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</si>
  <si>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</si>
  <si>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</si>
  <si>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</si>
  <si>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</si>
  <si>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</si>
  <si>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</si>
  <si>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</si>
  <si>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</si>
  <si>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</si>
  <si>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</si>
  <si>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</si>
  <si>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</si>
  <si>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</si>
  <si>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</si>
  <si>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</si>
  <si>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</si>
  <si>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</si>
  <si>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</si>
  <si>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</si>
  <si>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</si>
  <si>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</si>
  <si>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</si>
  <si>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</si>
  <si>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</si>
  <si>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</si>
  <si>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</si>
  <si>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</si>
  <si>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</si>
  <si>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</si>
  <si>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</si>
  <si>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</si>
  <si>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</si>
  <si>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</si>
  <si>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</si>
  <si>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</si>
  <si>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</si>
  <si>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</si>
  <si>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</si>
  <si>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</si>
  <si>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</si>
  <si>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</si>
  <si>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</si>
  <si>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</si>
  <si>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</si>
  <si>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</si>
  <si>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</si>
  <si>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</si>
  <si>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</si>
  <si>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</si>
  <si>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</si>
  <si>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</si>
  <si>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</si>
  <si>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</si>
  <si>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</si>
  <si>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</si>
  <si>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</si>
  <si>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</si>
  <si>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</si>
  <si>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</si>
  <si>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</si>
  <si>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</si>
  <si>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</si>
  <si>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</si>
  <si>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</si>
  <si>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</si>
  <si>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</si>
  <si>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</si>
  <si>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</si>
  <si>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</si>
  <si>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</si>
  <si>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</si>
  <si>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</si>
  <si>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</si>
  <si>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</si>
  <si>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</si>
  <si>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</si>
  <si>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</si>
  <si>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</si>
  <si>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</si>
  <si>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</si>
  <si>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</si>
  <si>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</si>
  <si>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</si>
  <si>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</si>
  <si>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</si>
  <si>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</si>
  <si>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</si>
  <si>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</si>
  <si>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</si>
  <si>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</si>
  <si>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</si>
  <si>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</si>
  <si>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</si>
  <si>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</si>
  <si>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</si>
  <si>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</si>
  <si>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</si>
  <si>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</si>
  <si>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</si>
  <si>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</si>
  <si>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</si>
  <si>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</si>
  <si>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</si>
  <si>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</si>
  <si>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</si>
  <si>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</si>
  <si>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</si>
  <si>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</si>
  <si>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</si>
  <si>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</si>
  <si>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</si>
  <si>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</si>
  <si>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</si>
  <si>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</si>
  <si>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</si>
  <si>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</si>
  <si>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</si>
  <si>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</si>
  <si>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</si>
  <si>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</si>
  <si>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</si>
  <si>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</si>
  <si>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</si>
  <si>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</si>
  <si>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</si>
  <si>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</si>
  <si>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</si>
  <si>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</si>
  <si>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</si>
  <si>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</si>
  <si>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</si>
  <si>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</si>
  <si>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</si>
  <si>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</si>
  <si>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</si>
  <si>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</si>
  <si>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</si>
  <si>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</si>
  <si>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</si>
  <si>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</si>
  <si>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</si>
  <si>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</si>
  <si>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</si>
  <si>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</si>
  <si>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</si>
  <si>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</si>
  <si>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</si>
  <si>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</si>
  <si>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</si>
  <si>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</si>
  <si>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</si>
  <si>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</si>
  <si>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</si>
  <si>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</si>
  <si>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</si>
  <si>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</si>
  <si>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</si>
  <si>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</si>
  <si>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</si>
  <si>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</si>
  <si>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</si>
  <si>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</si>
  <si>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</si>
  <si>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</si>
  <si>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</si>
  <si>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</si>
  <si>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</si>
  <si>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</si>
  <si>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</si>
  <si>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</si>
  <si>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</si>
  <si>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</si>
  <si>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</si>
  <si>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</si>
  <si>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</si>
  <si>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</si>
  <si>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</si>
  <si>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</si>
  <si>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</si>
  <si>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</si>
  <si>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</si>
  <si>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</si>
  <si>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</si>
  <si>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</si>
  <si>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</si>
  <si>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</si>
  <si>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</si>
  <si>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</si>
  <si>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</si>
  <si>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</si>
  <si>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</si>
  <si>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</si>
  <si>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</si>
  <si>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</si>
  <si>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</si>
  <si>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</si>
  <si>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</si>
  <si>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</si>
  <si>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</si>
  <si>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</si>
  <si>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</si>
  <si>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</si>
  <si>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</si>
  <si>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</si>
  <si>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</si>
  <si>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</si>
  <si>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</si>
  <si>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</si>
  <si>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</si>
  <si>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</si>
  <si>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</si>
  <si>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</si>
  <si>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</si>
  <si>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</si>
  <si>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</si>
  <si>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</si>
  <si>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</si>
  <si>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</si>
  <si>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</si>
  <si>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</si>
  <si>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</si>
  <si>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</si>
  <si>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</si>
  <si>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</si>
  <si>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</si>
  <si>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</si>
  <si>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</si>
  <si>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</si>
  <si>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</si>
  <si>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</si>
  <si>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</si>
  <si>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</si>
  <si>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</si>
  <si>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</si>
  <si>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</si>
  <si>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</si>
  <si>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</si>
  <si>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</si>
  <si>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</si>
  <si>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</si>
  <si>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</si>
  <si>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</si>
  <si>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</si>
  <si>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</si>
  <si>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</si>
  <si>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</si>
  <si>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</si>
  <si>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</si>
  <si>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</si>
  <si>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</si>
  <si>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</si>
  <si>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</si>
  <si>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</si>
  <si>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</si>
  <si>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</si>
  <si>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</si>
  <si>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</si>
  <si>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</si>
  <si>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</si>
  <si>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</si>
  <si>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</si>
  <si>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</si>
  <si>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</si>
  <si>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</si>
  <si>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</si>
  <si>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</si>
  <si>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</si>
  <si>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</si>
  <si>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</si>
  <si>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</si>
  <si>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</si>
  <si>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</si>
  <si>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</si>
  <si>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</si>
  <si>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</si>
  <si>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</si>
  <si>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</si>
  <si>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</si>
  <si>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</si>
  <si>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</si>
  <si>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</si>
  <si>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</si>
  <si>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</si>
  <si>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</si>
  <si>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</si>
  <si>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</si>
  <si>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</si>
  <si>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</si>
  <si>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</si>
  <si>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</si>
  <si>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</si>
  <si>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</si>
  <si>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</si>
  <si>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</si>
  <si>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</si>
  <si>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</si>
  <si>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</si>
  <si>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</si>
  <si>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</si>
  <si>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</si>
  <si>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</si>
  <si>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</si>
  <si>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</si>
  <si>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</si>
  <si>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</si>
  <si>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</si>
  <si>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</si>
  <si>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</si>
  <si>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</si>
  <si>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</si>
  <si>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</si>
  <si>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</si>
  <si>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</si>
  <si>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</si>
  <si>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</si>
  <si>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</si>
  <si>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</si>
  <si>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</si>
  <si>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</si>
  <si>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</si>
  <si>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</si>
  <si>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</si>
  <si>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</si>
  <si>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</si>
  <si>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</si>
  <si>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</si>
  <si>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</si>
  <si>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</si>
  <si>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</si>
  <si>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</si>
  <si>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</si>
  <si>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</si>
  <si>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</si>
  <si>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</si>
  <si>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</si>
  <si>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</si>
  <si>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</si>
  <si>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</si>
  <si>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</si>
  <si>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</si>
  <si>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</si>
  <si>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</si>
  <si>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</si>
  <si>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</si>
  <si>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</si>
  <si>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</si>
  <si>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</si>
  <si>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</si>
  <si>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</si>
  <si>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</si>
  <si>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</si>
  <si>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</si>
  <si>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</si>
  <si>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</si>
  <si>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</si>
  <si>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</si>
  <si>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</si>
  <si>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</si>
  <si>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</si>
  <si>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</si>
  <si>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</si>
  <si>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</si>
  <si>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</si>
  <si>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</si>
  <si>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</si>
  <si>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</si>
  <si>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</si>
  <si>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</si>
  <si>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</si>
  <si>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</si>
  <si>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</si>
  <si>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</si>
  <si>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</si>
  <si>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</si>
  <si>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</si>
  <si>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</si>
  <si>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</si>
  <si>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</si>
  <si>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</si>
  <si>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</si>
  <si>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</si>
  <si>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</si>
  <si>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</si>
  <si>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</si>
  <si>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</si>
  <si>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</si>
  <si>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</si>
  <si>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</si>
  <si>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</si>
  <si>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</si>
  <si>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</si>
  <si>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</si>
  <si>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</si>
  <si>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</si>
  <si>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</si>
  <si>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</si>
  <si>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</si>
  <si>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</si>
  <si>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</si>
  <si>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</si>
  <si>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</si>
  <si>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</si>
  <si>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</si>
  <si>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</si>
  <si>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</si>
  <si>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</si>
  <si>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</si>
  <si>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</si>
  <si>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</si>
  <si>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</si>
  <si>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</si>
  <si>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</si>
  <si>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</si>
  <si>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</si>
  <si>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</si>
  <si>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</si>
  <si>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</si>
  <si>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</si>
  <si>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</si>
  <si>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</si>
  <si>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</si>
  <si>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</si>
  <si>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</si>
  <si>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</si>
  <si>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</si>
  <si>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</si>
  <si>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</si>
  <si>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</si>
  <si>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</si>
  <si>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 xml:space="preserve">Ejercicios de habilidad y destreza
</t>
  </si>
  <si>
    <t>23 febrero de 2025</t>
  </si>
  <si>
    <t>Grado 10 Nuevo</t>
  </si>
  <si>
    <t>DEVOLUTIVOS</t>
  </si>
  <si>
    <t>Ya se le entregó</t>
  </si>
  <si>
    <t>No hay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</si>
</sst>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80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79" fillId="0" borderId="34" xfId="0" applyFont="1" applyBorder="1" applyAlignment="1" applyProtection="1">
      <alignment horizontal="center" vertical="center" wrapText="1"/>
      <protection locked="0"/>
    </xf>
    <xf numFmtId="0" fontId="79" fillId="0" borderId="13" xfId="0" applyFont="1" applyBorder="1" applyAlignment="1" applyProtection="1">
      <alignment horizontal="center" vertical="center" wrapText="1"/>
      <protection locked="0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7" sqref="D17:N17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AM23 febrero de 202523 febrero de 2025-1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 t="s">
        <v>1391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1309</v>
      </c>
      <c r="F2" s="383"/>
      <c r="G2" s="383"/>
      <c r="H2" s="383"/>
      <c r="I2" s="383"/>
      <c r="J2" s="383"/>
      <c r="K2" s="384"/>
      <c r="L2" s="339" t="s">
        <v>5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6</v>
      </c>
      <c r="D3" s="389"/>
      <c r="E3" s="390" t="s">
        <v>1355</v>
      </c>
      <c r="F3" s="391"/>
      <c r="G3" s="391"/>
      <c r="H3" s="391"/>
      <c r="I3" s="391"/>
      <c r="J3" s="391"/>
      <c r="K3" s="392"/>
      <c r="L3" s="339" t="s">
        <v>7</v>
      </c>
      <c r="M3" s="340"/>
      <c r="N3" s="341"/>
      <c r="O3" s="315" t="s">
        <v>1392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8</v>
      </c>
      <c r="B4" s="373"/>
      <c r="C4" s="373"/>
      <c r="D4" s="367" t="s">
        <v>1390</v>
      </c>
      <c r="E4" s="368"/>
      <c r="F4" s="368"/>
      <c r="G4" s="368"/>
      <c r="H4" s="368"/>
      <c r="I4" s="368"/>
      <c r="J4" s="368"/>
      <c r="K4" s="368"/>
      <c r="L4" s="369" t="s">
        <v>9</v>
      </c>
      <c r="M4" s="369"/>
      <c r="N4" s="369"/>
      <c r="O4" s="370" t="s">
        <v>1323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10</v>
      </c>
      <c r="B5" s="393"/>
      <c r="C5" s="393"/>
      <c r="D5" s="394">
        <f>IF(K5="","",(SUM(W10:Y28)-(SUMIF(U10:V28,"Restar_Pedido",W10:Y28)))/$K$5)</f>
        <v>318914.37833333336</v>
      </c>
      <c r="E5" s="395"/>
      <c r="F5" s="396"/>
      <c r="G5" s="380" t="s">
        <v>11</v>
      </c>
      <c r="H5" s="397"/>
      <c r="I5" s="397"/>
      <c r="J5" s="381"/>
      <c r="K5" s="355">
        <v>1</v>
      </c>
      <c r="L5" s="355"/>
      <c r="M5" s="356" t="s">
        <v>12</v>
      </c>
      <c r="N5" s="356"/>
      <c r="O5" s="345">
        <f>IFERROR(IF(K5=0,"",D5*K5),"")</f>
        <v>318914.37833333336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13</v>
      </c>
      <c r="B7" s="385"/>
      <c r="C7" s="385"/>
      <c r="D7" s="386" t="s">
        <v>14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15</v>
      </c>
      <c r="P7" s="334"/>
      <c r="Q7" s="387" t="s">
        <v>16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17</v>
      </c>
      <c r="T9" s="335"/>
      <c r="U9" s="334" t="s">
        <v>18</v>
      </c>
      <c r="V9" s="334"/>
      <c r="W9" s="334" t="s">
        <v>19</v>
      </c>
      <c r="X9" s="334"/>
      <c r="Y9" s="334"/>
    </row>
    <row r="10" spans="1:28" ht="17.25" customHeight="1">
      <c r="A10" s="308" t="s">
        <v>1211</v>
      </c>
      <c r="B10" s="308"/>
      <c r="C10" s="309"/>
      <c r="D10" s="398" t="s">
        <v>1275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gal</v>
      </c>
      <c r="P10" s="314"/>
      <c r="Q10" s="315">
        <v>1</v>
      </c>
      <c r="R10" s="316"/>
      <c r="S10" s="317">
        <f>IFERROR(IF(Q10="Unidad","1",(Q10*$K$5)),"")</f>
        <v>1</v>
      </c>
      <c r="T10" s="318"/>
      <c r="U10" s="305"/>
      <c r="V10" s="401"/>
      <c r="W10" s="306">
        <f>IFERROR(IF(D10="","",INDEX(Tabla_Completa,MATCH('Soli_citud '!D10,Materiales,0),7)*S10),"")</f>
        <v>0</v>
      </c>
      <c r="X10" s="306"/>
      <c r="Y10" s="306"/>
      <c r="Z10" s="34"/>
    </row>
    <row r="11" spans="1:28" ht="17.25" customHeight="1">
      <c r="A11" s="307" t="s">
        <v>1211</v>
      </c>
      <c r="B11" s="308"/>
      <c r="C11" s="309"/>
      <c r="D11" s="398" t="s">
        <v>1230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gal</v>
      </c>
      <c r="P11" s="314"/>
      <c r="Q11" s="315">
        <v>1</v>
      </c>
      <c r="R11" s="316"/>
      <c r="S11" s="317">
        <f t="shared" ref="S11:S31" si="1">IFERROR(IF(Q11="Unidad","1",(Q11*$K$5)),"")</f>
        <v>1</v>
      </c>
      <c r="T11" s="318"/>
      <c r="U11" s="305"/>
      <c r="V11" s="305"/>
      <c r="W11" s="306">
        <f>IFERROR(IF(D11="","",INDEX(Tabla_Completa,MATCH('Soli_citud '!D11,Materiales,0),7)*S11),"")</f>
        <v>0</v>
      </c>
      <c r="X11" s="306"/>
      <c r="Y11" s="306"/>
    </row>
    <row r="12" spans="1:28" ht="15.75" customHeight="1">
      <c r="A12" s="307" t="s">
        <v>1029</v>
      </c>
      <c r="B12" s="308"/>
      <c r="C12" s="309"/>
      <c r="D12" s="402" t="s">
        <v>1061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Rollo</v>
      </c>
      <c r="P12" s="314"/>
      <c r="Q12" s="315">
        <v>2</v>
      </c>
      <c r="R12" s="316"/>
      <c r="S12" s="317">
        <f t="shared" si="1"/>
        <v>2</v>
      </c>
      <c r="T12" s="318"/>
      <c r="U12" s="305"/>
      <c r="V12" s="305"/>
      <c r="W12" s="306" t="str">
        <f>IFERROR(IF(D12="","",INDEX(Tabla_Completa,MATCH('Soli_citud '!D12,Materiales,0),7)*S12),"")</f>
        <v/>
      </c>
      <c r="X12" s="306"/>
      <c r="Y12" s="306"/>
    </row>
    <row r="13" spans="1:28" ht="15.75" customHeight="1">
      <c r="A13" s="307" t="s">
        <v>1029</v>
      </c>
      <c r="B13" s="308"/>
      <c r="C13" s="309"/>
      <c r="D13" s="398" t="s">
        <v>1049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U</v>
      </c>
      <c r="P13" s="314"/>
      <c r="Q13" s="315">
        <v>35</v>
      </c>
      <c r="R13" s="316"/>
      <c r="S13" s="317">
        <f t="shared" si="1"/>
        <v>35</v>
      </c>
      <c r="T13" s="318"/>
      <c r="U13" s="305"/>
      <c r="V13" s="305"/>
      <c r="W13" s="306">
        <f>IFERROR(IF(D13="","",INDEX(Tabla_Completa,MATCH('Soli_citud '!D13,Materiales,0),7)*S13),"")</f>
        <v>10791.55</v>
      </c>
      <c r="X13" s="306"/>
      <c r="Y13" s="306"/>
    </row>
    <row r="14" spans="1:28" ht="17.25" customHeight="1">
      <c r="A14" s="307" t="s">
        <v>1029</v>
      </c>
      <c r="B14" s="308"/>
      <c r="C14" s="309"/>
      <c r="D14" s="398" t="s">
        <v>1068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U</v>
      </c>
      <c r="P14" s="314"/>
      <c r="Q14" s="315">
        <v>10</v>
      </c>
      <c r="R14" s="316"/>
      <c r="S14" s="317">
        <f t="shared" si="1"/>
        <v>10</v>
      </c>
      <c r="T14" s="318"/>
      <c r="U14" s="305"/>
      <c r="V14" s="305"/>
      <c r="W14" s="306">
        <f>IFERROR(IF(D14="","",INDEX(Tabla_Completa,MATCH('Soli_citud '!D14,Materiales,0),7)*S14),"")</f>
        <v>16000</v>
      </c>
      <c r="X14" s="306"/>
      <c r="Y14" s="306"/>
    </row>
    <row r="15" spans="1:28" ht="15.75" customHeight="1">
      <c r="A15" s="307" t="s">
        <v>44</v>
      </c>
      <c r="B15" s="308"/>
      <c r="C15" s="309"/>
      <c r="D15" s="398" t="s">
        <v>807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>cm2</v>
      </c>
      <c r="P15" s="314"/>
      <c r="Q15" s="315">
        <v>9800</v>
      </c>
      <c r="R15" s="316"/>
      <c r="S15" s="317">
        <f t="shared" si="1"/>
        <v>9800</v>
      </c>
      <c r="T15" s="318"/>
      <c r="U15" s="305"/>
      <c r="V15" s="305"/>
      <c r="W15" s="306">
        <f>IFERROR(IF(D15="","",INDEX(Tabla_Completa,MATCH('Soli_citud '!D15,Materiales,0),7)*S15),"")</f>
        <v>6740.44</v>
      </c>
      <c r="X15" s="306"/>
      <c r="Y15" s="306"/>
    </row>
    <row r="16" spans="1:28" ht="15.75" customHeight="1">
      <c r="A16" s="307" t="s">
        <v>44</v>
      </c>
      <c r="B16" s="308"/>
      <c r="C16" s="309"/>
      <c r="D16" s="398" t="s">
        <v>821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>cm2</v>
      </c>
      <c r="P16" s="314"/>
      <c r="Q16" s="315">
        <v>9800</v>
      </c>
      <c r="R16" s="316"/>
      <c r="S16" s="317">
        <f t="shared" si="1"/>
        <v>9800</v>
      </c>
      <c r="T16" s="318"/>
      <c r="U16" s="305"/>
      <c r="V16" s="305"/>
      <c r="W16" s="306">
        <f>IFERROR(IF(D16="","",INDEX(Tabla_Completa,MATCH('Soli_citud '!D16,Materiales,0),7)*S16),"")</f>
        <v>2319.3333333333335</v>
      </c>
      <c r="X16" s="306"/>
      <c r="Y16" s="306"/>
    </row>
    <row r="17" spans="1:25" ht="15.75" customHeight="1">
      <c r="A17" s="307" t="s">
        <v>42</v>
      </c>
      <c r="B17" s="308"/>
      <c r="C17" s="309"/>
      <c r="D17" s="398" t="s">
        <v>1149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>U</v>
      </c>
      <c r="P17" s="314"/>
      <c r="Q17" s="315">
        <v>5</v>
      </c>
      <c r="R17" s="316"/>
      <c r="S17" s="317">
        <f t="shared" si="1"/>
        <v>5</v>
      </c>
      <c r="T17" s="318"/>
      <c r="U17" s="305"/>
      <c r="V17" s="305"/>
      <c r="W17" s="306">
        <f>IFERROR(IF(D17="","",INDEX(Tabla_Completa,MATCH('Soli_citud '!D17,Materiales,0),7)*S17),"")</f>
        <v>102925</v>
      </c>
      <c r="X17" s="306"/>
      <c r="Y17" s="306"/>
    </row>
    <row r="18" spans="1:25" ht="15.75" customHeight="1">
      <c r="A18" s="307" t="s">
        <v>42</v>
      </c>
      <c r="B18" s="308"/>
      <c r="C18" s="309"/>
      <c r="D18" s="398" t="s">
        <v>1145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>Pliego</v>
      </c>
      <c r="P18" s="314"/>
      <c r="Q18" s="315">
        <v>5</v>
      </c>
      <c r="R18" s="316"/>
      <c r="S18" s="317">
        <f t="shared" si="1"/>
        <v>5</v>
      </c>
      <c r="T18" s="318"/>
      <c r="U18" s="305"/>
      <c r="V18" s="305"/>
      <c r="W18" s="306">
        <f>IFERROR(IF(D18="","",INDEX(Tabla_Completa,MATCH('Soli_citud '!D18,Materiales,0),7)*S18),"")</f>
        <v>41500</v>
      </c>
      <c r="X18" s="306"/>
      <c r="Y18" s="306"/>
    </row>
    <row r="19" spans="1:25" ht="15.75">
      <c r="A19" s="307" t="s">
        <v>1211</v>
      </c>
      <c r="B19" s="308"/>
      <c r="C19" s="309"/>
      <c r="D19" s="310" t="s">
        <v>1249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>gal</v>
      </c>
      <c r="P19" s="314"/>
      <c r="Q19" s="315">
        <v>1</v>
      </c>
      <c r="R19" s="316"/>
      <c r="S19" s="317">
        <f t="shared" si="1"/>
        <v>1</v>
      </c>
      <c r="T19" s="318"/>
      <c r="U19" s="305"/>
      <c r="V19" s="305"/>
      <c r="W19" s="306">
        <f>IFERROR(IF(D19="","",INDEX(Tabla_Completa,MATCH('Soli_citud '!D19,Materiales,0),7)*S19),"")</f>
        <v>0</v>
      </c>
      <c r="X19" s="306"/>
      <c r="Y19" s="306"/>
    </row>
    <row r="20" spans="1:25" ht="15.75">
      <c r="A20" s="307" t="s">
        <v>42</v>
      </c>
      <c r="B20" s="308"/>
      <c r="C20" s="309"/>
      <c r="D20" s="310" t="s">
        <v>1209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>Pliego</v>
      </c>
      <c r="P20" s="314"/>
      <c r="Q20" s="315">
        <v>50</v>
      </c>
      <c r="R20" s="316"/>
      <c r="S20" s="317">
        <f t="shared" si="1"/>
        <v>50</v>
      </c>
      <c r="T20" s="318"/>
      <c r="U20" s="305"/>
      <c r="V20" s="305"/>
      <c r="W20" s="306">
        <f>IFERROR(IF(D20="","",INDEX(Tabla_Completa,MATCH('Soli_citud '!D20,Materiales,0),7)*S20),"")</f>
        <v>79157.666666666672</v>
      </c>
      <c r="X20" s="306"/>
      <c r="Y20" s="306"/>
    </row>
    <row r="21" spans="1:25" ht="15.75">
      <c r="A21" s="307" t="s">
        <v>1029</v>
      </c>
      <c r="B21" s="308"/>
      <c r="C21" s="309"/>
      <c r="D21" s="310" t="s">
        <v>1078</v>
      </c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>U</v>
      </c>
      <c r="P21" s="314"/>
      <c r="Q21" s="315">
        <v>10</v>
      </c>
      <c r="R21" s="316"/>
      <c r="S21" s="317">
        <f t="shared" si="1"/>
        <v>10</v>
      </c>
      <c r="T21" s="318"/>
      <c r="U21" s="305"/>
      <c r="V21" s="305"/>
      <c r="W21" s="306">
        <f>IFERROR(IF(D21="","",INDEX(Tabla_Completa,MATCH('Soli_citud '!D21,Materiales,0),7)*S21),"")</f>
        <v>53333.4</v>
      </c>
      <c r="X21" s="306"/>
      <c r="Y21" s="306"/>
    </row>
    <row r="22" spans="1:25" ht="15.75">
      <c r="A22" s="307" t="s">
        <v>1029</v>
      </c>
      <c r="B22" s="308"/>
      <c r="C22" s="309"/>
      <c r="D22" s="310" t="s">
        <v>1052</v>
      </c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 xml:space="preserve">paq x 100 
</v>
      </c>
      <c r="P22" s="314"/>
      <c r="Q22" s="315">
        <v>1</v>
      </c>
      <c r="R22" s="316"/>
      <c r="S22" s="317">
        <f t="shared" si="1"/>
        <v>1</v>
      </c>
      <c r="T22" s="318"/>
      <c r="U22" s="305"/>
      <c r="V22" s="305"/>
      <c r="W22" s="306">
        <f>IFERROR(IF(D22="","",INDEX(Tabla_Completa,MATCH('Soli_citud '!D22,Materiales,0),7)*S22),"")</f>
        <v>6081.3</v>
      </c>
      <c r="X22" s="306"/>
      <c r="Y22" s="306"/>
    </row>
    <row r="23" spans="1:25" ht="15.75">
      <c r="A23" s="307" t="s">
        <v>42</v>
      </c>
      <c r="B23" s="308"/>
      <c r="C23" s="309"/>
      <c r="D23" s="310" t="s">
        <v>1186</v>
      </c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>cm2</v>
      </c>
      <c r="P23" s="314"/>
      <c r="Q23" s="315">
        <v>50</v>
      </c>
      <c r="R23" s="316"/>
      <c r="S23" s="317">
        <f t="shared" si="1"/>
        <v>50</v>
      </c>
      <c r="T23" s="318"/>
      <c r="U23" s="305"/>
      <c r="V23" s="305"/>
      <c r="W23" s="306">
        <f>IFERROR(IF(D23="","",INDEX(Tabla_Completa,MATCH('Soli_citud '!D23,Materiales,0),7)*S23),"")</f>
        <v>65.688333333333333</v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20</v>
      </c>
      <c r="B39" s="319"/>
      <c r="C39" s="319"/>
      <c r="D39" s="320" t="s">
        <v>21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25</v>
      </c>
      <c r="O44" s="332"/>
      <c r="P44" s="332"/>
      <c r="Q44" s="332"/>
      <c r="R44" s="327" t="s">
        <v>26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28</v>
      </c>
      <c r="O45" s="332"/>
      <c r="P45" s="332"/>
      <c r="Q45" s="332"/>
      <c r="R45" s="328" t="s">
        <v>29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31</v>
      </c>
      <c r="O46" s="332"/>
      <c r="P46" s="332"/>
      <c r="Q46" s="332"/>
      <c r="R46" s="329" t="s">
        <v>32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35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37</v>
      </c>
      <c r="O48" s="332"/>
      <c r="P48" s="332"/>
      <c r="Q48" s="332"/>
      <c r="R48" s="329" t="s">
        <v>38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39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40</v>
      </c>
      <c r="O49" s="333"/>
      <c r="P49" s="333"/>
      <c r="Q49" s="333"/>
      <c r="R49" s="328" t="s">
        <v>41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42</v>
      </c>
      <c r="O50" s="332"/>
      <c r="P50" s="332"/>
      <c r="Q50" s="332"/>
      <c r="R50" s="329" t="s">
        <v>43</v>
      </c>
      <c r="S50" s="329"/>
      <c r="T50" s="329"/>
      <c r="U50" s="329"/>
      <c r="V50" s="329"/>
      <c r="W50" s="329"/>
      <c r="X50" s="329"/>
    </row>
    <row r="51" spans="1:24" ht="15.75">
      <c r="N51" s="332" t="s">
        <v>44</v>
      </c>
      <c r="O51" s="332"/>
      <c r="P51" s="332"/>
      <c r="Q51" s="332"/>
      <c r="R51" s="329" t="s">
        <v>45</v>
      </c>
      <c r="S51" s="329"/>
      <c r="T51" s="329"/>
      <c r="U51" s="329"/>
      <c r="V51" s="329"/>
      <c r="W51" s="329"/>
      <c r="X51" s="329"/>
    </row>
    <row r="52" spans="1:24" ht="15.75">
      <c r="N52" s="332" t="s">
        <v>46</v>
      </c>
      <c r="O52" s="332"/>
      <c r="P52" s="332"/>
      <c r="Q52" s="332"/>
      <c r="R52" s="329" t="s">
        <v>35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2" activePane="bottomLeft" state="frozen"/>
      <selection pane="bottomLeft" activeCell="I16" sqref="I16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47</v>
      </c>
      <c r="E1" s="415"/>
      <c r="F1" s="415"/>
      <c r="G1" s="415"/>
      <c r="H1" s="415"/>
      <c r="I1" s="415"/>
      <c r="J1" s="421" t="s">
        <v>48</v>
      </c>
      <c r="K1" s="422"/>
      <c r="L1" s="422"/>
      <c r="M1" s="423"/>
      <c r="N1" s="416" t="str">
        <f>IF('Soli_citud '!O1="","",'Soli_citud '!O1)</f>
        <v>23 febrero de 2025</v>
      </c>
      <c r="O1" s="417"/>
      <c r="P1" s="467" t="s">
        <v>49</v>
      </c>
      <c r="Q1" s="468"/>
      <c r="R1" s="463" t="str">
        <f>IF('Soli_citud '!D4="","",'Soli_citud '!D4)</f>
        <v xml:space="preserve">Ejercicios de habilidad y destreza
</v>
      </c>
      <c r="S1" s="46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51</v>
      </c>
      <c r="K2" s="425"/>
      <c r="L2" s="425"/>
      <c r="M2" s="426"/>
      <c r="N2" s="418" t="str">
        <f>'Soli_citud '!F1</f>
        <v>AM23 febrero de 202523 febrero de 2025-1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52</v>
      </c>
      <c r="K3" s="420"/>
      <c r="L3" s="420"/>
      <c r="M3" s="420"/>
      <c r="N3" s="406" t="str">
        <f>IF('Soli_citud '!O3="","",'Soli_citud '!O3)</f>
        <v>Grado 10 Nuevo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53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54</v>
      </c>
      <c r="C6" s="453"/>
      <c r="D6" s="454"/>
      <c r="E6" s="408" t="s">
        <v>55</v>
      </c>
      <c r="F6" s="408"/>
      <c r="G6" s="408"/>
      <c r="H6" s="408"/>
      <c r="I6" s="409"/>
      <c r="J6" s="443" t="s">
        <v>56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>IFERROR(IF(R3="","",G9*M10),"")</f>
        <v/>
      </c>
      <c r="S7" s="479"/>
    </row>
    <row r="8" spans="1:27" ht="20.25" customHeight="1">
      <c r="A8" s="257"/>
      <c r="B8" s="430">
        <f>IF('Soli_citud '!D5&lt;= 0,"",'Soli_citud '!D5)</f>
        <v>318914.37833333336</v>
      </c>
      <c r="C8" s="431"/>
      <c r="D8" s="432"/>
      <c r="E8" s="449" t="s">
        <v>57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58</v>
      </c>
      <c r="C9" s="434"/>
      <c r="D9" s="459"/>
      <c r="E9" s="458" t="s">
        <v>59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60</v>
      </c>
      <c r="K10" s="428"/>
      <c r="L10" s="429"/>
      <c r="M10" s="242">
        <f>'Soli_citud '!K5</f>
        <v>1</v>
      </c>
      <c r="N10" s="447" t="s">
        <v>61</v>
      </c>
      <c r="O10" s="448"/>
      <c r="P10" s="471"/>
      <c r="Q10" s="472"/>
      <c r="R10" s="243" t="s">
        <v>62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63</v>
      </c>
      <c r="B11" s="264" t="s">
        <v>64</v>
      </c>
      <c r="C11" s="460" t="s">
        <v>65</v>
      </c>
      <c r="D11" s="461"/>
      <c r="E11" s="461"/>
      <c r="F11" s="462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19" t="s">
        <v>18</v>
      </c>
      <c r="M11" s="427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AM23 febrero de 202523 febrero de 2025-1</v>
      </c>
      <c r="C12" s="403" t="str">
        <f>IFERROR(IF('Soli_citud '!D10="","",'Soli_citud '!D10),"")</f>
        <v>Solución de caucho INDUPEG</v>
      </c>
      <c r="D12" s="403"/>
      <c r="E12" s="403"/>
      <c r="F12" s="403"/>
      <c r="G12" s="226" t="str">
        <f>IF('Soli_citud '!O10="","",'Soli_citud '!O10)</f>
        <v>gal</v>
      </c>
      <c r="H12" s="226" cm="1">
        <f t="array" ref="H12">_xlfn.IFS('Soli_citud '!S10="","",'Soli_citud '!S10&lt;=0,"",'Soli_citud '!S10&gt;0,'Soli_citud '!S10)</f>
        <v>1</v>
      </c>
      <c r="I12" s="227">
        <v>45747</v>
      </c>
      <c r="J12" s="228">
        <v>1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 febrero de 202523 febrero de 2025-1</v>
      </c>
      <c r="C13" s="403" t="str">
        <f>IFERROR(IF('Soli_citud '!D11="","",'Soli_citud '!D11),"")</f>
        <v>Cemento de contacto</v>
      </c>
      <c r="D13" s="403"/>
      <c r="E13" s="403"/>
      <c r="F13" s="403"/>
      <c r="G13" s="226" t="str">
        <f>IF('Soli_citud '!O11="","",'Soli_citud '!O11)</f>
        <v>gal</v>
      </c>
      <c r="H13" s="226" cm="1">
        <f t="array" ref="H13">_xlfn.IFS('Soli_citud '!S11="","",'Soli_citud '!S11&lt;=0,"",'Soli_citud '!S11&gt;0,'Soli_citud '!S11)</f>
        <v>1</v>
      </c>
      <c r="I13" s="227"/>
      <c r="J13" s="229"/>
      <c r="K13" s="207" cm="1">
        <f t="array" ref="K13">IFERROR(_xlfn.IFS(H13="","",J13=H13,"Cumplido",J13&lt;H13,H13-J13,J13&gt;H13,"Revisar"),"")</f>
        <v>1</v>
      </c>
      <c r="L13" s="404" t="s">
        <v>1394</v>
      </c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 febrero de 202523 febrero de 2025-1</v>
      </c>
      <c r="C14" s="403" t="str">
        <f>IFERROR(IF('Soli_citud '!D12="","",'Soli_citud '!D12),"")</f>
        <v>CINTA  DE ENMASCARAR</v>
      </c>
      <c r="D14" s="403"/>
      <c r="E14" s="403"/>
      <c r="F14" s="403"/>
      <c r="G14" s="226" t="str">
        <f>IF('Soli_citud '!O12="","",'Soli_citud '!O12)</f>
        <v>Rollo</v>
      </c>
      <c r="H14" s="226" cm="1">
        <f t="array" ref="H14">_xlfn.IFS('Soli_citud '!S12="","",'Soli_citud '!S12&lt;=0,"",'Soli_citud '!S12&gt;0,'Soli_citud '!S12)</f>
        <v>2</v>
      </c>
      <c r="I14" s="230"/>
      <c r="J14" s="229"/>
      <c r="K14" s="207" cm="1">
        <f t="array" ref="K14">IFERROR(_xlfn.IFS(H14="","",J14=H14,"Cumplido",J14&lt;H14,H14-J14,J14&gt;H14,"Revisar"),"")</f>
        <v>2</v>
      </c>
      <c r="L14" s="404" t="s">
        <v>1395</v>
      </c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 febrero de 202523 febrero de 2025-1</v>
      </c>
      <c r="C15" s="403" t="str">
        <f>IFERROR(IF('Soli_citud '!D13="","",'Soli_citud '!D13),"")</f>
        <v xml:space="preserve">AGUJAS CAPOTERA CON PUNTA #5
</v>
      </c>
      <c r="D15" s="403"/>
      <c r="E15" s="403"/>
      <c r="F15" s="403"/>
      <c r="G15" s="226" t="str">
        <f>IF('Soli_citud '!O13="","",'Soli_citud '!O13)</f>
        <v>U</v>
      </c>
      <c r="H15" s="226" cm="1">
        <f t="array" ref="H15">_xlfn.IFS('Soli_citud '!S13="","",'Soli_citud '!S13&lt;=0,"",'Soli_citud '!S13&gt;0,'Soli_citud '!S13)</f>
        <v>35</v>
      </c>
      <c r="I15" s="230"/>
      <c r="J15" s="229"/>
      <c r="K15" s="207" cm="1">
        <f t="array" ref="K15">IFERROR(_xlfn.IFS(H15="","",J15=H15,"Cumplido",J15&lt;H15,H15-J15,J15&gt;H15,"Revisar"),"")</f>
        <v>35</v>
      </c>
      <c r="L15" s="404" t="s">
        <v>1395</v>
      </c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 febrero de 202523 febrero de 2025-1</v>
      </c>
      <c r="C16" s="403" t="str">
        <f>IFERROR(IF('Soli_citud '!D14="","",'Soli_citud '!D14),"")</f>
        <v xml:space="preserve">ENVACES PARA PEGANTE
</v>
      </c>
      <c r="D16" s="403"/>
      <c r="E16" s="403"/>
      <c r="F16" s="403"/>
      <c r="G16" s="226" t="str">
        <f>IF('Soli_citud '!O14="","",'Soli_citud '!O14)</f>
        <v>U</v>
      </c>
      <c r="H16" s="226" cm="1">
        <f t="array" ref="H16">_xlfn.IFS('Soli_citud '!S14="","",'Soli_citud '!S14&lt;=0,"",'Soli_citud '!S14&gt;0,'Soli_citud '!S14)</f>
        <v>10</v>
      </c>
      <c r="I16" s="227">
        <v>45747</v>
      </c>
      <c r="J16" s="229">
        <v>5</v>
      </c>
      <c r="K16" s="207" cm="1">
        <f t="array" ref="K16">IFERROR(_xlfn.IFS(H16="","",J16=H16,"Cumplido",J16&lt;H16,H16-J16,J16&gt;H16,"Revisar"),"")</f>
        <v>5</v>
      </c>
      <c r="L16" s="404" t="s">
        <v>1395</v>
      </c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 febrero de 202523 febrero de 2025-1</v>
      </c>
      <c r="C17" s="403" t="str">
        <f>IFERROR(IF('Soli_citud '!D15="","",'Soli_citud '!D15),"")</f>
        <v>INTERLON</v>
      </c>
      <c r="D17" s="403"/>
      <c r="E17" s="403"/>
      <c r="F17" s="403"/>
      <c r="G17" s="226" t="str">
        <f>IF('Soli_citud '!O15="","",'Soli_citud '!O15)</f>
        <v>cm2</v>
      </c>
      <c r="H17" s="226" cm="1">
        <f t="array" ref="H17">_xlfn.IFS('Soli_citud '!S15="","",'Soli_citud '!S15&lt;=0,"",'Soli_citud '!S15&gt;0,'Soli_citud '!S15)</f>
        <v>9800</v>
      </c>
      <c r="I17" s="230"/>
      <c r="J17" s="229"/>
      <c r="K17" s="207" cm="1">
        <f t="array" ref="K17">IFERROR(_xlfn.IFS(H17="","",J17=H17,"Cumplido",J17&lt;H17,H17-J17,J17&gt;H17,"Revisar"),"")</f>
        <v>9800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 febrero de 202523 febrero de 2025-1</v>
      </c>
      <c r="C18" s="403" t="str">
        <f>IFERROR(IF('Soli_citud '!D16="","",'Soli_citud '!D16),"")</f>
        <v>POLITEX-KAMBREL 100 GR</v>
      </c>
      <c r="D18" s="403"/>
      <c r="E18" s="403"/>
      <c r="F18" s="403"/>
      <c r="G18" s="226" t="str">
        <f>IF('Soli_citud '!O16="","",'Soli_citud '!O16)</f>
        <v>cm2</v>
      </c>
      <c r="H18" s="226" cm="1">
        <f t="array" ref="H18">_xlfn.IFS('Soli_citud '!S16="","",'Soli_citud '!S16&lt;=0,"",'Soli_citud '!S16&gt;0,'Soli_citud '!S16)</f>
        <v>9800</v>
      </c>
      <c r="I18" s="230"/>
      <c r="J18" s="229"/>
      <c r="K18" s="207" cm="1">
        <f t="array" ref="K18">IFERROR(_xlfn.IFS(H18="","",J18=H18,"Cumplido",J18&lt;H18,H18-J18,J18&gt;H18,"Revisar"),"")</f>
        <v>9800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AM23 febrero de 202523 febrero de 2025-1</v>
      </c>
      <c r="C19" s="403" t="str">
        <f>IFERROR(IF('Soli_citud '!D17="","",'Soli_citud '!D17),"")</f>
        <v>COMPAS DE PRESICION PUNTA METAL Y PUNTA LAPIZ</v>
      </c>
      <c r="D19" s="403"/>
      <c r="E19" s="403"/>
      <c r="F19" s="403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5</v>
      </c>
      <c r="I19" s="227">
        <v>45747</v>
      </c>
      <c r="J19" s="229">
        <v>5</v>
      </c>
      <c r="K19" s="207" t="str" cm="1">
        <f t="array" ref="K19">IFERROR(_xlfn.IFS(H19="","",J19=H19,"Cumplido",J19&lt;H19,H19-J19,J19&gt;H19,"Revisar"),"")</f>
        <v>Cumplido</v>
      </c>
      <c r="L19" s="492" t="s">
        <v>1393</v>
      </c>
      <c r="M19" s="493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AM23 febrero de 202523 febrero de 2025-1</v>
      </c>
      <c r="C20" s="403" t="str">
        <f>IFERROR(IF('Soli_citud '!D18="","",'Soli_citud '!D18),"")</f>
        <v>CARTON INDUSTRIAL PIEDRA</v>
      </c>
      <c r="D20" s="403"/>
      <c r="E20" s="403"/>
      <c r="F20" s="403"/>
      <c r="G20" s="226" t="str">
        <f>IF('Soli_citud '!O18="","",'Soli_citud '!O18)</f>
        <v>Pliego</v>
      </c>
      <c r="H20" s="226" cm="1">
        <f t="array" ref="H20">_xlfn.IFS('Soli_citud '!S18="","",'Soli_citud '!S18&lt;=0,"",'Soli_citud '!S18&gt;0,'Soli_citud '!S18)</f>
        <v>5</v>
      </c>
      <c r="I20" s="227">
        <v>45747</v>
      </c>
      <c r="J20" s="229">
        <v>5</v>
      </c>
      <c r="K20" s="207" t="str" cm="1">
        <f t="array" ref="K20">IFERROR(_xlfn.IFS(H20="","",J20=H20,"Cumplido",J20&lt;H20,H20-J20,J20&gt;H20,"Revisar"),"")</f>
        <v>Cumplido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AM23 febrero de 202523 febrero de 2025-1</v>
      </c>
      <c r="C21" s="403" t="str">
        <f>IFERROR(IF('Soli_citud '!D19="","",'Soli_citud '!D19),"")</f>
        <v>Limpiador para acabados</v>
      </c>
      <c r="D21" s="403"/>
      <c r="E21" s="403"/>
      <c r="F21" s="403"/>
      <c r="G21" s="226" t="str">
        <f>IF('Soli_citud '!O19="","",'Soli_citud '!O19)</f>
        <v>gal</v>
      </c>
      <c r="H21" s="226" cm="1">
        <f t="array" ref="H21">_xlfn.IFS('Soli_citud '!S19="","",'Soli_citud '!S19&lt;=0,"",'Soli_citud '!S19&gt;0,'Soli_citud '!S19)</f>
        <v>1</v>
      </c>
      <c r="I21" s="227">
        <v>45747</v>
      </c>
      <c r="J21" s="229">
        <v>1</v>
      </c>
      <c r="K21" s="207" t="str" cm="1">
        <f t="array" ref="K21">IFERROR(_xlfn.IFS(H21="","",J21=H21,"Cumplido",J21&lt;H21,H21-J21,J21&gt;H21,"Revisar"),"")</f>
        <v>Cumplido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AM23 febrero de 202523 febrero de 2025-1</v>
      </c>
      <c r="C22" s="403" t="str">
        <f>IFERROR(IF('Soli_citud '!D20="","",'Soli_citud '!D20),"")</f>
        <v>CARTULINA  BRISTOL (PLANA)</v>
      </c>
      <c r="D22" s="403"/>
      <c r="E22" s="403"/>
      <c r="F22" s="403"/>
      <c r="G22" s="226" t="str">
        <f>IF('Soli_citud '!O20="","",'Soli_citud '!O20)</f>
        <v>Pliego</v>
      </c>
      <c r="H22" s="226" cm="1">
        <f t="array" ref="H22">_xlfn.IFS('Soli_citud '!S20="","",'Soli_citud '!S20&lt;=0,"",'Soli_citud '!S20&gt;0,'Soli_citud '!S20)</f>
        <v>50</v>
      </c>
      <c r="I22" s="230"/>
      <c r="J22" s="229"/>
      <c r="K22" s="207" cm="1">
        <f t="array" ref="K22">IFERROR(_xlfn.IFS(H22="","",J22=H22,"Cumplido",J22&lt;H22,H22-J22,J22&gt;H22,"Revisar"),"")</f>
        <v>50</v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>AM23 febrero de 202523 febrero de 2025-1</v>
      </c>
      <c r="C23" s="403" t="str">
        <f>IFERROR(IF('Soli_citud '!D21="","",'Soli_citud '!D21),"")</f>
        <v>HOJA DESEGUETAS HSS</v>
      </c>
      <c r="D23" s="403"/>
      <c r="E23" s="403"/>
      <c r="F23" s="403"/>
      <c r="G23" s="226" t="str">
        <f>IF('Soli_citud '!O21="","",'Soli_citud '!O21)</f>
        <v>U</v>
      </c>
      <c r="H23" s="226" cm="1">
        <f t="array" ref="H23">_xlfn.IFS('Soli_citud '!S21="","",'Soli_citud '!S21&lt;=0,"",'Soli_citud '!S21&gt;0,'Soli_citud '!S21)</f>
        <v>10</v>
      </c>
      <c r="I23" s="230"/>
      <c r="J23" s="229"/>
      <c r="K23" s="207" cm="1">
        <f t="array" ref="K23">IFERROR(_xlfn.IFS(H23="","",J23=H23,"Cumplido",J23&lt;H23,H23-J23,J23&gt;H23,"Revisar"),"")</f>
        <v>10</v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>AM23 febrero de 202523 febrero de 2025-1</v>
      </c>
      <c r="C24" s="403" t="str">
        <f>IFERROR(IF('Soli_citud '!D22="","",'Soli_citud '!D22),"")</f>
        <v xml:space="preserve">BOLSA CON CIERRE HERMETICO
</v>
      </c>
      <c r="D24" s="403"/>
      <c r="E24" s="403"/>
      <c r="F24" s="403"/>
      <c r="G24" s="226" t="str">
        <f>IF('Soli_citud '!O22="","",'Soli_citud '!O22)</f>
        <v xml:space="preserve">paq x 100 
</v>
      </c>
      <c r="H24" s="226" cm="1">
        <f t="array" ref="H24">_xlfn.IFS('Soli_citud '!S22="","",'Soli_citud '!S22&lt;=0,"",'Soli_citud '!S22&gt;0,'Soli_citud '!S22)</f>
        <v>1</v>
      </c>
      <c r="I24" s="230"/>
      <c r="J24" s="229"/>
      <c r="K24" s="207" cm="1">
        <f t="array" ref="K24">IFERROR(_xlfn.IFS(H24="","",J24=H24,"Cumplido",J24&lt;H24,H24-J24,J24&gt;H24,"Revisar"),"")</f>
        <v>1</v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>AM23 febrero de 202523 febrero de 2025-1</v>
      </c>
      <c r="C25" s="403" t="str">
        <f>IFERROR(IF('Soli_citud '!D23="","",'Soli_citud '!D23),"")</f>
        <v xml:space="preserve">PAPEL FINO PLIEGO </v>
      </c>
      <c r="D25" s="403"/>
      <c r="E25" s="403"/>
      <c r="F25" s="403"/>
      <c r="G25" s="226" t="str">
        <f>IF('Soli_citud '!O23="","",'Soli_citud '!O23)</f>
        <v>cm2</v>
      </c>
      <c r="H25" s="226" cm="1">
        <f t="array" ref="H25">_xlfn.IFS('Soli_citud '!S23="","",'Soli_citud '!S23&lt;=0,"",'Soli_citud '!S23&gt;0,'Soli_citud '!S23)</f>
        <v>50</v>
      </c>
      <c r="I25" s="230"/>
      <c r="J25" s="229"/>
      <c r="K25" s="207" cm="1">
        <f t="array" ref="K25">IFERROR(_xlfn.IFS(H25="","",J25=H25,"Cumplido",J25&lt;H25,H25-J25,J25&gt;H25,"Revisar"),"")</f>
        <v>50</v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77</v>
      </c>
      <c r="F1" s="490"/>
      <c r="Z1" s="252" t="s">
        <v>50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8"/>
      <c r="D6" s="489"/>
      <c r="H6" s="486" t="s">
        <v>79</v>
      </c>
      <c r="I6" s="486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2025-04-02T14:58:44Z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