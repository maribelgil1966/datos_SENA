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na4-my.sharepoint.com/personal/jperez_sena_edu_co/Documents/Escritorio/AÑO 2023/2023/PEDIDOS 2023/JULIANA ROMERO/MARZO/"/>
    </mc:Choice>
  </mc:AlternateContent>
  <xr:revisionPtr revIDLastSave="0" documentId="8_{B51B04F6-6D47-42A1-9C97-7C85E3AB4B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6" r:id="rId4"/>
    <sheet name="INVENTARIO" sheetId="4" r:id="rId5"/>
    <sheet name="Hoja3" sheetId="5" state="hidden" r:id="rId6"/>
  </sheets>
  <externalReferences>
    <externalReference r:id="rId7"/>
  </externalReferences>
  <definedNames>
    <definedName name="_xlnm._FilterDatabase" localSheetId="0" hidden="1">consumos!$A$76:$A$124</definedName>
    <definedName name="_xlnm._FilterDatabase" localSheetId="4" hidden="1">INVENTARIO!$A$1:$C$145</definedName>
    <definedName name="_xlnm._FilterDatabase" localSheetId="2" hidden="1">PEDIDO!$U$3:$X$44</definedName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 hidden="1">consumos!$B:$C,consumos!$G:$I</definedName>
    <definedName name="Z_0F6C7FCE_20BD_4B57_B04C_CA521EC9CEDE_.wvu.Cols" localSheetId="2" hidden="1">PEDIDO!#REF!,PEDIDO!$I:$I</definedName>
    <definedName name="Z_0F6C7FCE_20BD_4B57_B04C_CA521EC9CEDE_.wvu.FilterData" localSheetId="0" hidden="1">consumos!$A$7:$F$58</definedName>
    <definedName name="Z_0F6C7FCE_20BD_4B57_B04C_CA521EC9CEDE_.wvu.FilterData" localSheetId="4" hidden="1">INVENTARIO!$A$1:$C$145</definedName>
    <definedName name="Z_0F6C7FCE_20BD_4B57_B04C_CA521EC9CEDE_.wvu.FilterData" localSheetId="2" hidden="1">PEDIDO!$U$3:$X$44</definedName>
    <definedName name="Z_0F6C7FCE_20BD_4B57_B04C_CA521EC9CEDE_.wvu.Rows" localSheetId="0" hidden="1">consumos!$6:$6</definedName>
  </definedNames>
  <calcPr calcId="191029"/>
  <customWorkbookViews>
    <customWorkbookView name="PC - Vista personalizada" guid="{0F6C7FCE-20BD-4B57-B04C-CA521EC9CED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B30" i="6" s="1"/>
  <c r="C30" i="6" s="1"/>
  <c r="C14" i="3"/>
  <c r="B31" i="6" s="1"/>
  <c r="C31" i="6" s="1"/>
  <c r="E14" i="3" s="1"/>
  <c r="C15" i="3"/>
  <c r="B32" i="6" s="1"/>
  <c r="C32" i="6" s="1"/>
  <c r="E15" i="3" s="1"/>
  <c r="C16" i="3"/>
  <c r="B33" i="6" s="1"/>
  <c r="C33" i="6" s="1"/>
  <c r="E33" i="6" s="1"/>
  <c r="G33" i="6" s="1"/>
  <c r="C17" i="3"/>
  <c r="B34" i="6" s="1"/>
  <c r="C34" i="6" s="1"/>
  <c r="E17" i="3" s="1"/>
  <c r="C18" i="3"/>
  <c r="B35" i="6" s="1"/>
  <c r="C35" i="6" s="1"/>
  <c r="E18" i="3" s="1"/>
  <c r="C19" i="3"/>
  <c r="B36" i="6" s="1"/>
  <c r="C36" i="6" s="1"/>
  <c r="E19" i="3" s="1"/>
  <c r="C20" i="3"/>
  <c r="B37" i="6" s="1"/>
  <c r="C37" i="6" s="1"/>
  <c r="E20" i="3" s="1"/>
  <c r="C21" i="3"/>
  <c r="B38" i="6" s="1"/>
  <c r="C38" i="6" s="1"/>
  <c r="E21" i="3" s="1"/>
  <c r="C22" i="3"/>
  <c r="B39" i="6" s="1"/>
  <c r="C39" i="6" s="1"/>
  <c r="E22" i="3" s="1"/>
  <c r="C23" i="3"/>
  <c r="B40" i="6" s="1"/>
  <c r="C40" i="6" s="1"/>
  <c r="E23" i="3" s="1"/>
  <c r="C24" i="3"/>
  <c r="B41" i="6" s="1"/>
  <c r="C41" i="6" s="1"/>
  <c r="D41" i="6" s="1"/>
  <c r="C25" i="3"/>
  <c r="B42" i="6" s="1"/>
  <c r="C42" i="6" s="1"/>
  <c r="E25" i="3" s="1"/>
  <c r="C26" i="3"/>
  <c r="B43" i="6" s="1"/>
  <c r="C43" i="6" s="1"/>
  <c r="E26" i="3" s="1"/>
  <c r="C27" i="3"/>
  <c r="B44" i="6" s="1"/>
  <c r="C44" i="6" s="1"/>
  <c r="E27" i="3" s="1"/>
  <c r="C28" i="3"/>
  <c r="B45" i="6" s="1"/>
  <c r="C45" i="6" s="1"/>
  <c r="E45" i="6" s="1"/>
  <c r="G45" i="6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D4" i="3"/>
  <c r="D16" i="3"/>
  <c r="J16" i="3" s="1"/>
  <c r="D1" i="3"/>
  <c r="C17" i="6"/>
  <c r="E17" i="6" s="1"/>
  <c r="G17" i="6" s="1"/>
  <c r="C16" i="6"/>
  <c r="E16" i="6" s="1"/>
  <c r="G16" i="6" s="1"/>
  <c r="C15" i="6"/>
  <c r="E15" i="6" s="1"/>
  <c r="G15" i="6" s="1"/>
  <c r="C14" i="6"/>
  <c r="D14" i="6" s="1"/>
  <c r="C11" i="6"/>
  <c r="D11" i="6" s="1"/>
  <c r="C10" i="6"/>
  <c r="E10" i="6" s="1"/>
  <c r="G10" i="6" s="1"/>
  <c r="C9" i="6"/>
  <c r="D9" i="6" s="1"/>
  <c r="C8" i="6"/>
  <c r="E8" i="6" s="1"/>
  <c r="G8" i="6" s="1"/>
  <c r="C5" i="6"/>
  <c r="E5" i="6" s="1"/>
  <c r="G5" i="6" s="1"/>
  <c r="C4" i="6"/>
  <c r="E4" i="6" s="1"/>
  <c r="G4" i="6" s="1"/>
  <c r="C3" i="6"/>
  <c r="E3" i="6" s="1"/>
  <c r="G3" i="6" s="1"/>
  <c r="D5" i="6"/>
  <c r="B8" i="1"/>
  <c r="C8" i="1" s="1"/>
  <c r="E34" i="1" s="1"/>
  <c r="G34" i="1" s="1"/>
  <c r="A1" i="3"/>
  <c r="B1" i="3"/>
  <c r="C1" i="3"/>
  <c r="D2" i="3"/>
  <c r="C2" i="3"/>
  <c r="B2" i="3"/>
  <c r="A2" i="3"/>
  <c r="D5" i="3"/>
  <c r="J5" i="3" s="1"/>
  <c r="D6" i="3"/>
  <c r="D7" i="3"/>
  <c r="J7" i="3" s="1"/>
  <c r="D8" i="3"/>
  <c r="J8" i="3" s="1"/>
  <c r="D9" i="3"/>
  <c r="D10" i="3"/>
  <c r="J10" i="3" s="1"/>
  <c r="D11" i="3"/>
  <c r="J11" i="3" s="1"/>
  <c r="D12" i="3"/>
  <c r="J12" i="3" s="1"/>
  <c r="D13" i="3"/>
  <c r="J13" i="3" s="1"/>
  <c r="D14" i="3"/>
  <c r="D15" i="3"/>
  <c r="J15" i="3" s="1"/>
  <c r="D17" i="3"/>
  <c r="D18" i="3"/>
  <c r="J18" i="3" s="1"/>
  <c r="D19" i="3"/>
  <c r="J19" i="3" s="1"/>
  <c r="D20" i="3"/>
  <c r="J20" i="3" s="1"/>
  <c r="D21" i="3"/>
  <c r="J21" i="3" s="1"/>
  <c r="D22" i="3"/>
  <c r="H22" i="3" s="1"/>
  <c r="D23" i="3"/>
  <c r="J23" i="3" s="1"/>
  <c r="D24" i="3"/>
  <c r="D25" i="3"/>
  <c r="D26" i="3"/>
  <c r="J26" i="3" s="1"/>
  <c r="D27" i="3"/>
  <c r="J27" i="3" s="1"/>
  <c r="D28" i="3"/>
  <c r="U43" i="3"/>
  <c r="K31" i="3"/>
  <c r="E76" i="1"/>
  <c r="K32" i="3"/>
  <c r="K33" i="3"/>
  <c r="K34" i="3"/>
  <c r="K35" i="3"/>
  <c r="K36" i="3"/>
  <c r="K37" i="3"/>
  <c r="K38" i="3"/>
  <c r="K39" i="3"/>
  <c r="K40" i="3"/>
  <c r="K41" i="3"/>
  <c r="K42" i="3"/>
  <c r="K43" i="3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V13" i="3"/>
  <c r="W13" i="3" s="1"/>
  <c r="V14" i="3"/>
  <c r="W1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 s="1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V36" i="3"/>
  <c r="W36" i="3" s="1"/>
  <c r="V37" i="3"/>
  <c r="W37" i="3" s="1"/>
  <c r="V38" i="3"/>
  <c r="W38" i="3" s="1"/>
  <c r="V39" i="3"/>
  <c r="W39" i="3" s="1"/>
  <c r="V40" i="3"/>
  <c r="W40" i="3" s="1"/>
  <c r="V41" i="3"/>
  <c r="W41" i="3" s="1"/>
  <c r="V42" i="3"/>
  <c r="W42" i="3" s="1"/>
  <c r="V43" i="3"/>
  <c r="W43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U45" i="3"/>
  <c r="U46" i="3"/>
  <c r="U47" i="3"/>
  <c r="U48" i="3"/>
  <c r="U49" i="3"/>
  <c r="U50" i="3"/>
  <c r="U51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4" i="3"/>
  <c r="U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6" i="3"/>
  <c r="B23" i="6" s="1"/>
  <c r="C23" i="6" s="1"/>
  <c r="C7" i="3"/>
  <c r="B24" i="6" s="1"/>
  <c r="C24" i="6" s="1"/>
  <c r="C8" i="3"/>
  <c r="B25" i="6" s="1"/>
  <c r="C25" i="6" s="1"/>
  <c r="D25" i="6" s="1"/>
  <c r="C9" i="3"/>
  <c r="B26" i="6" s="1"/>
  <c r="C26" i="6" s="1"/>
  <c r="C10" i="3"/>
  <c r="B27" i="6" s="1"/>
  <c r="C27" i="6" s="1"/>
  <c r="C11" i="3"/>
  <c r="B28" i="6" s="1"/>
  <c r="C28" i="6" s="1"/>
  <c r="C12" i="3"/>
  <c r="B29" i="6" s="1"/>
  <c r="C29" i="6" s="1"/>
  <c r="E24" i="3"/>
  <c r="C5" i="3"/>
  <c r="B22" i="6" s="1"/>
  <c r="C22" i="6" s="1"/>
  <c r="C4" i="3"/>
  <c r="B21" i="6" s="1"/>
  <c r="C21" i="6" s="1"/>
  <c r="B4" i="3"/>
  <c r="K29" i="3"/>
  <c r="F2" i="3"/>
  <c r="B9" i="1"/>
  <c r="B10" i="1"/>
  <c r="F36" i="1" s="1"/>
  <c r="B11" i="1"/>
  <c r="F37" i="1" s="1"/>
  <c r="E38" i="1"/>
  <c r="G38" i="1" s="1"/>
  <c r="E39" i="1"/>
  <c r="G39" i="1" s="1"/>
  <c r="E40" i="1"/>
  <c r="G40" i="1" s="1"/>
  <c r="B15" i="1"/>
  <c r="C15" i="1" s="1"/>
  <c r="E41" i="1" s="1"/>
  <c r="G41" i="1" s="1"/>
  <c r="B16" i="1"/>
  <c r="F42" i="1" s="1"/>
  <c r="B17" i="1"/>
  <c r="C17" i="1" s="1"/>
  <c r="E43" i="1" s="1"/>
  <c r="G43" i="1" s="1"/>
  <c r="B18" i="1"/>
  <c r="C18" i="1" s="1"/>
  <c r="E44" i="1" s="1"/>
  <c r="G44" i="1" s="1"/>
  <c r="B19" i="1"/>
  <c r="C19" i="1" s="1"/>
  <c r="E45" i="1" s="1"/>
  <c r="G45" i="1" s="1"/>
  <c r="B20" i="1"/>
  <c r="F46" i="1" s="1"/>
  <c r="B21" i="1"/>
  <c r="F47" i="1" s="1"/>
  <c r="C22" i="1"/>
  <c r="E48" i="1" s="1"/>
  <c r="G48" i="1" s="1"/>
  <c r="F48" i="1"/>
  <c r="B23" i="1"/>
  <c r="F49" i="1" s="1"/>
  <c r="B24" i="1"/>
  <c r="C24" i="1" s="1"/>
  <c r="E50" i="1" s="1"/>
  <c r="G50" i="1" s="1"/>
  <c r="B25" i="1"/>
  <c r="F51" i="1" s="1"/>
  <c r="B26" i="1"/>
  <c r="C26" i="1" s="1"/>
  <c r="E52" i="1" s="1"/>
  <c r="G52" i="1" s="1"/>
  <c r="B27" i="1"/>
  <c r="F53" i="1" s="1"/>
  <c r="B28" i="1"/>
  <c r="F54" i="1" s="1"/>
  <c r="B29" i="1"/>
  <c r="F55" i="1" s="1"/>
  <c r="B30" i="1"/>
  <c r="C30" i="1" s="1"/>
  <c r="E56" i="1" s="1"/>
  <c r="G56" i="1" s="1"/>
  <c r="B31" i="1"/>
  <c r="F57" i="1" s="1"/>
  <c r="B32" i="1"/>
  <c r="C32" i="1" s="1"/>
  <c r="E58" i="1" s="1"/>
  <c r="G58" i="1" s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V4" i="3"/>
  <c r="W4" i="3" s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4" i="1"/>
  <c r="A34" i="1"/>
  <c r="A4" i="3" s="1"/>
  <c r="A35" i="1"/>
  <c r="A5" i="3" s="1"/>
  <c r="E26" i="5"/>
  <c r="E30" i="5"/>
  <c r="E19" i="5"/>
  <c r="E20" i="5"/>
  <c r="E21" i="5"/>
  <c r="E22" i="5"/>
  <c r="E23" i="5"/>
  <c r="E24" i="5"/>
  <c r="E25" i="5"/>
  <c r="E27" i="5"/>
  <c r="E28" i="5"/>
  <c r="E29" i="5"/>
  <c r="E7" i="5"/>
  <c r="E18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3" i="5"/>
  <c r="A50" i="1"/>
  <c r="A20" i="3" s="1"/>
  <c r="A51" i="1"/>
  <c r="A21" i="3" s="1"/>
  <c r="A52" i="1"/>
  <c r="A22" i="3" s="1"/>
  <c r="A53" i="1"/>
  <c r="A23" i="3" s="1"/>
  <c r="A54" i="1"/>
  <c r="A24" i="3" s="1"/>
  <c r="A55" i="1"/>
  <c r="A25" i="3" s="1"/>
  <c r="A56" i="1"/>
  <c r="A26" i="3" s="1"/>
  <c r="A57" i="1"/>
  <c r="A27" i="3" s="1"/>
  <c r="A58" i="1"/>
  <c r="A28" i="3" s="1"/>
  <c r="A46" i="1"/>
  <c r="A16" i="3" s="1"/>
  <c r="A47" i="1"/>
  <c r="A17" i="3" s="1"/>
  <c r="A48" i="1"/>
  <c r="A18" i="3" s="1"/>
  <c r="A49" i="1"/>
  <c r="A19" i="3" s="1"/>
  <c r="A36" i="1"/>
  <c r="A6" i="3" s="1"/>
  <c r="A37" i="1"/>
  <c r="A7" i="3" s="1"/>
  <c r="A38" i="1"/>
  <c r="A8" i="3" s="1"/>
  <c r="A39" i="1"/>
  <c r="A9" i="3" s="1"/>
  <c r="A40" i="1"/>
  <c r="A10" i="3" s="1"/>
  <c r="A41" i="1"/>
  <c r="A11" i="3" s="1"/>
  <c r="A42" i="1"/>
  <c r="A12" i="3" s="1"/>
  <c r="A43" i="1"/>
  <c r="A13" i="3" s="1"/>
  <c r="A44" i="1"/>
  <c r="A14" i="3" s="1"/>
  <c r="A45" i="1"/>
  <c r="A15" i="3" s="1"/>
  <c r="E41" i="6"/>
  <c r="G41" i="6" s="1"/>
  <c r="D15" i="6"/>
  <c r="D34" i="6"/>
  <c r="D16" i="6"/>
  <c r="C2" i="6"/>
  <c r="D2" i="6" s="1"/>
  <c r="D8" i="6" l="1"/>
  <c r="F56" i="1"/>
  <c r="H24" i="3"/>
  <c r="D45" i="6"/>
  <c r="D36" i="6"/>
  <c r="E2" i="6"/>
  <c r="G2" i="6" s="1"/>
  <c r="C11" i="1"/>
  <c r="E37" i="1" s="1"/>
  <c r="G37" i="1" s="1"/>
  <c r="F11" i="1" s="1"/>
  <c r="H11" i="1" s="1"/>
  <c r="F7" i="3" s="1"/>
  <c r="E31" i="6"/>
  <c r="G31" i="6" s="1"/>
  <c r="E35" i="6"/>
  <c r="G35" i="6" s="1"/>
  <c r="D33" i="6"/>
  <c r="D38" i="6"/>
  <c r="E16" i="3"/>
  <c r="D3" i="6"/>
  <c r="E39" i="6"/>
  <c r="G39" i="6" s="1"/>
  <c r="E43" i="6"/>
  <c r="G43" i="6" s="1"/>
  <c r="D37" i="6"/>
  <c r="D4" i="6"/>
  <c r="E14" i="6"/>
  <c r="G14" i="6" s="1"/>
  <c r="E37" i="6"/>
  <c r="G37" i="6" s="1"/>
  <c r="F52" i="1"/>
  <c r="F26" i="1" s="1"/>
  <c r="G26" i="1" s="1"/>
  <c r="I52" i="1" s="1"/>
  <c r="C10" i="1"/>
  <c r="E36" i="1" s="1"/>
  <c r="G36" i="1" s="1"/>
  <c r="F10" i="1" s="1"/>
  <c r="E28" i="3"/>
  <c r="H9" i="3"/>
  <c r="F22" i="1"/>
  <c r="G22" i="1" s="1"/>
  <c r="I48" i="1" s="1"/>
  <c r="C25" i="1"/>
  <c r="E51" i="1" s="1"/>
  <c r="G51" i="1" s="1"/>
  <c r="F25" i="1" s="1"/>
  <c r="G25" i="1" s="1"/>
  <c r="I51" i="1" s="1"/>
  <c r="D31" i="6"/>
  <c r="D39" i="6"/>
  <c r="D35" i="6"/>
  <c r="D43" i="6"/>
  <c r="E11" i="6"/>
  <c r="G11" i="6" s="1"/>
  <c r="C20" i="1"/>
  <c r="E46" i="1" s="1"/>
  <c r="G46" i="1" s="1"/>
  <c r="F20" i="1" s="1"/>
  <c r="G20" i="1" s="1"/>
  <c r="I46" i="1" s="1"/>
  <c r="C23" i="1"/>
  <c r="E49" i="1" s="1"/>
  <c r="G49" i="1" s="1"/>
  <c r="F23" i="1" s="1"/>
  <c r="F50" i="1"/>
  <c r="F24" i="1" s="1"/>
  <c r="H25" i="3"/>
  <c r="H17" i="3"/>
  <c r="F43" i="1"/>
  <c r="F17" i="1" s="1"/>
  <c r="J25" i="3"/>
  <c r="C29" i="1"/>
  <c r="E55" i="1" s="1"/>
  <c r="G55" i="1" s="1"/>
  <c r="F29" i="1" s="1"/>
  <c r="G29" i="1" s="1"/>
  <c r="I55" i="1" s="1"/>
  <c r="F58" i="1"/>
  <c r="F32" i="1" s="1"/>
  <c r="E44" i="6"/>
  <c r="G44" i="6" s="1"/>
  <c r="D10" i="6"/>
  <c r="E9" i="6"/>
  <c r="G9" i="6" s="1"/>
  <c r="D40" i="6"/>
  <c r="E31" i="5"/>
  <c r="C27" i="1"/>
  <c r="E53" i="1" s="1"/>
  <c r="G53" i="1" s="1"/>
  <c r="F27" i="1" s="1"/>
  <c r="G27" i="1" s="1"/>
  <c r="I53" i="1" s="1"/>
  <c r="C28" i="1"/>
  <c r="E54" i="1" s="1"/>
  <c r="G54" i="1" s="1"/>
  <c r="F28" i="1" s="1"/>
  <c r="G28" i="1" s="1"/>
  <c r="I54" i="1" s="1"/>
  <c r="C31" i="1"/>
  <c r="E57" i="1" s="1"/>
  <c r="G57" i="1" s="1"/>
  <c r="F31" i="1" s="1"/>
  <c r="G31" i="1" s="1"/>
  <c r="I57" i="1" s="1"/>
  <c r="F45" i="1"/>
  <c r="F19" i="1" s="1"/>
  <c r="G19" i="1" s="1"/>
  <c r="I45" i="1" s="1"/>
  <c r="H21" i="3"/>
  <c r="H12" i="3"/>
  <c r="H27" i="3"/>
  <c r="H29" i="1"/>
  <c r="F25" i="3" s="1"/>
  <c r="F35" i="1"/>
  <c r="C9" i="1"/>
  <c r="E35" i="1" s="1"/>
  <c r="G35" i="1" s="1"/>
  <c r="H26" i="3"/>
  <c r="H15" i="3"/>
  <c r="H7" i="3"/>
  <c r="C21" i="1"/>
  <c r="E47" i="1" s="1"/>
  <c r="G47" i="1" s="1"/>
  <c r="F21" i="1" s="1"/>
  <c r="G21" i="1" s="1"/>
  <c r="I47" i="1" s="1"/>
  <c r="E34" i="6"/>
  <c r="G34" i="6" s="1"/>
  <c r="E38" i="6"/>
  <c r="G38" i="6" s="1"/>
  <c r="E42" i="6"/>
  <c r="G42" i="6" s="1"/>
  <c r="E32" i="6"/>
  <c r="G32" i="6" s="1"/>
  <c r="E40" i="6"/>
  <c r="G40" i="6" s="1"/>
  <c r="E36" i="6"/>
  <c r="G36" i="6" s="1"/>
  <c r="D42" i="6"/>
  <c r="D17" i="6"/>
  <c r="D32" i="6"/>
  <c r="D44" i="6"/>
  <c r="F30" i="1"/>
  <c r="G30" i="1" s="1"/>
  <c r="I56" i="1" s="1"/>
  <c r="H28" i="3"/>
  <c r="J28" i="3"/>
  <c r="H6" i="3"/>
  <c r="J6" i="3"/>
  <c r="H14" i="3"/>
  <c r="H4" i="3"/>
  <c r="F44" i="1"/>
  <c r="F18" i="1" s="1"/>
  <c r="J9" i="3"/>
  <c r="J24" i="3"/>
  <c r="H18" i="3"/>
  <c r="J4" i="3"/>
  <c r="J22" i="3"/>
  <c r="J14" i="3"/>
  <c r="H19" i="3"/>
  <c r="E13" i="3"/>
  <c r="D30" i="6"/>
  <c r="E30" i="6"/>
  <c r="G30" i="6" s="1"/>
  <c r="H11" i="3"/>
  <c r="E12" i="3"/>
  <c r="D29" i="6"/>
  <c r="E29" i="6"/>
  <c r="G29" i="6" s="1"/>
  <c r="C16" i="1"/>
  <c r="E42" i="1" s="1"/>
  <c r="G42" i="1" s="1"/>
  <c r="F16" i="1" s="1"/>
  <c r="F41" i="1"/>
  <c r="F15" i="1" s="1"/>
  <c r="G15" i="1" s="1"/>
  <c r="I41" i="1" s="1"/>
  <c r="F40" i="1"/>
  <c r="F14" i="1" s="1"/>
  <c r="F39" i="1"/>
  <c r="F13" i="1" s="1"/>
  <c r="G13" i="1" s="1"/>
  <c r="I39" i="1" s="1"/>
  <c r="H8" i="3"/>
  <c r="F38" i="1"/>
  <c r="F12" i="1" s="1"/>
  <c r="G12" i="1" s="1"/>
  <c r="I38" i="1" s="1"/>
  <c r="D24" i="6"/>
  <c r="E24" i="6"/>
  <c r="G24" i="6" s="1"/>
  <c r="D23" i="6"/>
  <c r="E23" i="6"/>
  <c r="G23" i="6" s="1"/>
  <c r="F34" i="1"/>
  <c r="F8" i="1" s="1"/>
  <c r="G8" i="1" s="1"/>
  <c r="I34" i="1" s="1"/>
  <c r="E5" i="3"/>
  <c r="D22" i="6"/>
  <c r="E22" i="6"/>
  <c r="G22" i="6" s="1"/>
  <c r="D21" i="6"/>
  <c r="E4" i="3"/>
  <c r="E21" i="6"/>
  <c r="G21" i="6" s="1"/>
  <c r="E26" i="6"/>
  <c r="G26" i="6" s="1"/>
  <c r="D26" i="6"/>
  <c r="E9" i="3"/>
  <c r="D27" i="6"/>
  <c r="E10" i="3"/>
  <c r="E27" i="6"/>
  <c r="G27" i="6" s="1"/>
  <c r="E11" i="3"/>
  <c r="E28" i="6"/>
  <c r="G28" i="6" s="1"/>
  <c r="D28" i="6"/>
  <c r="E7" i="3"/>
  <c r="E25" i="6"/>
  <c r="G25" i="6" s="1"/>
  <c r="H10" i="3"/>
  <c r="E6" i="3"/>
  <c r="E8" i="3"/>
  <c r="H23" i="3"/>
  <c r="H5" i="3"/>
  <c r="H20" i="3"/>
  <c r="J17" i="3"/>
  <c r="H13" i="3"/>
  <c r="H16" i="3"/>
  <c r="H22" i="1" l="1"/>
  <c r="F18" i="3" s="1"/>
  <c r="H23" i="1"/>
  <c r="F19" i="3" s="1"/>
  <c r="G23" i="1"/>
  <c r="I49" i="1" s="1"/>
  <c r="H15" i="1"/>
  <c r="F11" i="3" s="1"/>
  <c r="H20" i="1"/>
  <c r="F16" i="3" s="1"/>
  <c r="H25" i="1"/>
  <c r="F21" i="3" s="1"/>
  <c r="F9" i="1"/>
  <c r="G9" i="1" s="1"/>
  <c r="I35" i="1" s="1"/>
  <c r="H32" i="1"/>
  <c r="F28" i="3" s="1"/>
  <c r="G32" i="1"/>
  <c r="I58" i="1" s="1"/>
  <c r="G11" i="1"/>
  <c r="I37" i="1" s="1"/>
  <c r="H30" i="1"/>
  <c r="F26" i="3" s="1"/>
  <c r="H26" i="1"/>
  <c r="F22" i="3" s="1"/>
  <c r="H31" i="1"/>
  <c r="F27" i="3" s="1"/>
  <c r="H27" i="1"/>
  <c r="F23" i="3" s="1"/>
  <c r="H19" i="1"/>
  <c r="F15" i="3" s="1"/>
  <c r="H28" i="1"/>
  <c r="F24" i="3" s="1"/>
  <c r="H21" i="1"/>
  <c r="F17" i="3" s="1"/>
  <c r="G24" i="1"/>
  <c r="I50" i="1" s="1"/>
  <c r="H24" i="1"/>
  <c r="F20" i="3" s="1"/>
  <c r="H13" i="1"/>
  <c r="F9" i="3" s="1"/>
  <c r="H18" i="1"/>
  <c r="F14" i="3" s="1"/>
  <c r="G18" i="1"/>
  <c r="I44" i="1" s="1"/>
  <c r="G17" i="1"/>
  <c r="I43" i="1" s="1"/>
  <c r="H17" i="1"/>
  <c r="F13" i="3" s="1"/>
  <c r="H16" i="1"/>
  <c r="F12" i="3" s="1"/>
  <c r="G16" i="1"/>
  <c r="I42" i="1" s="1"/>
  <c r="G14" i="1"/>
  <c r="I40" i="1" s="1"/>
  <c r="H14" i="1"/>
  <c r="F10" i="3" s="1"/>
  <c r="H12" i="1"/>
  <c r="F8" i="3" s="1"/>
  <c r="H10" i="1"/>
  <c r="F6" i="3" s="1"/>
  <c r="G10" i="1"/>
  <c r="I36" i="1" s="1"/>
  <c r="H8" i="1"/>
  <c r="F4" i="3" s="1"/>
  <c r="H9" i="1" l="1"/>
  <c r="F5" i="3" s="1"/>
  <c r="F29" i="3" s="1"/>
  <c r="J3" i="1"/>
  <c r="L25" i="1" s="1"/>
  <c r="L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Familia</author>
  </authors>
  <commentList>
    <comment ref="A7" authorId="0" shapeId="0" xr:uid="{00000000-0006-0000-0000-000001000000}">
      <text>
        <r>
          <rPr>
            <sz val="8"/>
            <color rgb="FF000000"/>
            <rFont val="Calibri"/>
            <family val="2"/>
          </rPr>
          <t>ver bien la medida para que pida lo que es exactamente, cada material tiene su medida</t>
        </r>
      </text>
    </comment>
    <comment ref="E7" authorId="1" shapeId="0" xr:uid="{00000000-0006-0000-0000-000002000000}">
      <text>
        <r>
          <rPr>
            <sz val="8"/>
            <color rgb="FF000000"/>
            <rFont val="Calibri"/>
            <family val="2"/>
          </rPr>
          <t>SE REFIERE A LA CANTIDAD DE UNIDADES O MEDIDA QUE  UTILIZAMOS PARA LA ELABORACION DE UN PRODUCTO</t>
        </r>
      </text>
    </comment>
    <comment ref="H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varlor total de cada material</t>
        </r>
      </text>
    </comment>
    <comment ref="E8" authorId="0" shapeId="0" xr:uid="{00000000-0006-0000-0000-000004000000}">
      <text>
        <r>
          <rPr>
            <b/>
            <sz val="9"/>
            <color rgb="FF000000"/>
            <rFont val="Tahoma"/>
            <family val="2"/>
          </rPr>
          <t>PC: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CADA METRO DE SINTETICO POR 140 CM DE ANCHO CONTIENE 14000 CM CUADRADOS, PARA QUE TENGAN UNA REFERENCIA SOBRE EL MATERIAL QUE SE VA A PEDIR</t>
        </r>
      </text>
    </comment>
    <comment ref="A76" authorId="0" shapeId="0" xr:uid="{00000000-0006-0000-0000-000005000000}">
      <text>
        <r>
          <rPr>
            <b/>
            <sz val="10"/>
            <color rgb="FF000000"/>
            <rFont val="Tahoma"/>
            <family val="2"/>
          </rPr>
          <t>PC: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EN ESTA LISTA DE MATERIALES HAY QUE PONER EL MATERIAL TOTAL QUE SE NESECITA.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Familia</author>
  </authors>
  <commentList>
    <comment ref="C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JGUERRERO:
SE REFIERE A LA RELACION QUE HAY ENTRE LA UNIDAD DE COMPRA Y LAS UNIDADES DE CONSUMO. 
EJ: UNA GRUEZA DE CORDNES CONTIENE 144 PARES (UNIDAD DE CNSUMO)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B1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PC: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PONER LA MEDIDA DEL MATERIAL QUE REQUIERE PARA CADA PRODUCTO</t>
        </r>
      </text>
    </comment>
    <comment ref="F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CANTIDAD DE PRODUCTOS QUE VA A RELIZAR</t>
        </r>
      </text>
    </comment>
    <comment ref="B2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MEDIDA DEL MATERIAL QUE REQUIERE PARA CADA PRODUCTO</t>
        </r>
      </text>
    </comment>
    <comment ref="F2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CANTIDAD DE PRODUCTOS QUE VA A RELIZAR</t>
        </r>
      </text>
    </comment>
  </commentList>
</comments>
</file>

<file path=xl/sharedStrings.xml><?xml version="1.0" encoding="utf-8"?>
<sst xmlns="http://schemas.openxmlformats.org/spreadsheetml/2006/main" count="381" uniqueCount="316">
  <si>
    <t>MATERIAL</t>
  </si>
  <si>
    <t>dm2</t>
  </si>
  <si>
    <t>MATERIALES  E INSUMOS.</t>
  </si>
  <si>
    <t>medidas</t>
  </si>
  <si>
    <t>metro</t>
  </si>
  <si>
    <t>decimetro</t>
  </si>
  <si>
    <t>centimetro</t>
  </si>
  <si>
    <t>gramo</t>
  </si>
  <si>
    <t>gr</t>
  </si>
  <si>
    <t>k</t>
  </si>
  <si>
    <t>proveedores</t>
  </si>
  <si>
    <t>los angeles</t>
  </si>
  <si>
    <t>la reno</t>
  </si>
  <si>
    <t>itagui</t>
  </si>
  <si>
    <t>la global</t>
  </si>
  <si>
    <t>pie</t>
  </si>
  <si>
    <t>gruesa</t>
  </si>
  <si>
    <t>LAMINA</t>
  </si>
  <si>
    <t>DOCENTE ENCARGADO</t>
  </si>
  <si>
    <t>PAR</t>
  </si>
  <si>
    <t>UNIDAD</t>
  </si>
  <si>
    <t>METRO</t>
  </si>
  <si>
    <t>VALOR UNIDAD DE CONSUMO</t>
  </si>
  <si>
    <t>VALOR UNIDAD DE COMPRA</t>
  </si>
  <si>
    <t xml:space="preserve">VALOR </t>
  </si>
  <si>
    <t>par</t>
  </si>
  <si>
    <t>unidad</t>
  </si>
  <si>
    <t>MILLAR</t>
  </si>
  <si>
    <t>CAJA</t>
  </si>
  <si>
    <t>CANTIDAD A PRODUCIR</t>
  </si>
  <si>
    <t>ENTREGADO</t>
  </si>
  <si>
    <t>PENDIENTE  POR ENTREGAR</t>
  </si>
  <si>
    <t>ENTREGAS PARCIALES</t>
  </si>
  <si>
    <t>CONO</t>
  </si>
  <si>
    <t>HOJA</t>
  </si>
  <si>
    <t>PLIEGO</t>
  </si>
  <si>
    <t>kg</t>
  </si>
  <si>
    <t>GALON</t>
  </si>
  <si>
    <t>CONSUMO POR PRODUCTO</t>
  </si>
  <si>
    <t>bolsa plastica de 12*14 ( unidad)</t>
  </si>
  <si>
    <t>cambre de 100gr   (metro)</t>
  </si>
  <si>
    <t>interlon   (metro)</t>
  </si>
  <si>
    <t>seda 30-100 colores   (metro)</t>
  </si>
  <si>
    <t>sintetico delgado  (metro)</t>
  </si>
  <si>
    <t>tiras sintetico para sandalias  (metro)</t>
  </si>
  <si>
    <t>limpiador AT 20    ( galón)</t>
  </si>
  <si>
    <t>pegante - pega 396    ( galón)</t>
  </si>
  <si>
    <t>pegante - solucion de caucho    ( galón)</t>
  </si>
  <si>
    <t>suela en PVC para sandalia de dama 2 1/2   (par)</t>
  </si>
  <si>
    <t>Carton duplex  (pliego)</t>
  </si>
  <si>
    <t>Cartulina bristol 70*100   (pliego)</t>
  </si>
  <si>
    <t>Papel periodico  (pliego)</t>
  </si>
  <si>
    <t>odena #1   ( hoja)</t>
  </si>
  <si>
    <t>odena vulcan 1.5   ( hoja)</t>
  </si>
  <si>
    <t>Cinta de enmascarar de 1"  (royo)</t>
  </si>
  <si>
    <t>espuma eva de 15mm colores  (hoja)</t>
  </si>
  <si>
    <t>PEDIDO MATERIALES</t>
  </si>
  <si>
    <t>UNIDAD DE COMPRA</t>
  </si>
  <si>
    <t>CANTIDAD A PEDIR</t>
  </si>
  <si>
    <t>VALOR TOTAL</t>
  </si>
  <si>
    <t>odena vulcan 0.5   ( hoja)</t>
  </si>
  <si>
    <t>remache tubular # 6 niquel doble cabeza</t>
  </si>
  <si>
    <t>remache tubular # 4 pavonado doble cabeza</t>
  </si>
  <si>
    <t>remache tubular # 6 pavonado doble cabeza</t>
  </si>
  <si>
    <t>remache tubular # 8 pavonado doble cabeza</t>
  </si>
  <si>
    <t>lámina</t>
  </si>
  <si>
    <t>pliego</t>
  </si>
  <si>
    <t>royo</t>
  </si>
  <si>
    <t>galón</t>
  </si>
  <si>
    <t>unnidad</t>
  </si>
  <si>
    <t>millar</t>
  </si>
  <si>
    <t>remache tubular # 4 niquel sencillo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</si>
  <si>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</si>
  <si>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</si>
  <si>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</si>
  <si>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</si>
  <si>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</si>
  <si>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</si>
  <si>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NOTA: Estos valores son tomados del ultimo pedido del 2011</t>
  </si>
  <si>
    <t>REFERENCIA O COLOR</t>
  </si>
  <si>
    <t>Suela TR Hombre  (par)</t>
  </si>
  <si>
    <t>Capellada en cuero o sintetico (ejercicios)</t>
  </si>
  <si>
    <t>Elastico 25mm (cm)</t>
  </si>
  <si>
    <t>Cuero Dotacion (Dm2)</t>
  </si>
  <si>
    <t>Cuero carnaza  (Dm2)</t>
  </si>
  <si>
    <t>Cuero Tala  (Dm2)</t>
  </si>
  <si>
    <t>Cuero  Badana Natural  (Dm2)</t>
  </si>
  <si>
    <t>Cuero Vaqueta Amarilla (Dm2)</t>
  </si>
  <si>
    <t>Cuero Pelo  (Dm2)</t>
  </si>
  <si>
    <t>Broche Iman Mediano ( unidad)</t>
  </si>
  <si>
    <t>Broche Iman Pequeño ( unidad)</t>
  </si>
  <si>
    <t>Broche Torniquete (unidad)</t>
  </si>
  <si>
    <t>Broche Iman Grande ( unidad)</t>
  </si>
  <si>
    <t>Broche Billetera (unidad)</t>
  </si>
  <si>
    <t>Cinta Falla de 25mm  (Cm)</t>
  </si>
  <si>
    <t>Cinta Falla de 20mm  (Cm)</t>
  </si>
  <si>
    <t>Hilo Colores surtidos# 60 (cono 1500 mt)</t>
  </si>
  <si>
    <t>Hilo Colores surtidos# 40 (cono 1000 mt)</t>
  </si>
  <si>
    <t>Hilo Colores surtidos# 20 (cono 250 mt)</t>
  </si>
  <si>
    <t>Hilo Encerado cono 100 gr  (metro)</t>
  </si>
  <si>
    <t>Aguja Corta Cabo Delgada  (unidad)</t>
  </si>
  <si>
    <t>Aguja Corta Cabo Grueso  (unidad)</t>
  </si>
  <si>
    <t>Carton Corrugado (pliego)</t>
  </si>
  <si>
    <t>Cambrion de  lata  (par)</t>
  </si>
  <si>
    <t>Carton Paja (pliego)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</si>
  <si>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</si>
  <si>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</si>
  <si>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</si>
  <si>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</si>
  <si>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</si>
  <si>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Pintura Acrilica X150 gr (unidad)</t>
  </si>
  <si>
    <t>Cuero Nubuk  (Dm2)</t>
  </si>
  <si>
    <t>Cambrion Acerado (par)</t>
  </si>
  <si>
    <t>Cinta Protectora para Puntera de Seguridad (cm)</t>
  </si>
  <si>
    <t>Cola de Rata#4 (cm)</t>
  </si>
  <si>
    <t xml:space="preserve">Cordon Algodón Poliester 110 cm  (par) </t>
  </si>
  <si>
    <t xml:space="preserve">Cordon Algodón Poliester 90 cm  (par) </t>
  </si>
  <si>
    <t>Cremallera Nylon #3(cm)</t>
  </si>
  <si>
    <t>Cremallera Nylon #4(cm)</t>
  </si>
  <si>
    <t>Cremallera Nylon #6(cm)</t>
  </si>
  <si>
    <t>Cuero Napa Variada  (Dm2)</t>
  </si>
  <si>
    <t>Cuero Napa confeccion (Dm2)</t>
  </si>
  <si>
    <t>Embono Plastico#3  (cm)</t>
  </si>
  <si>
    <t>Emulsion Acabados en Cuero 200ml</t>
  </si>
  <si>
    <t>Lamina Zinc (unidad)</t>
  </si>
  <si>
    <t>Mosqueton 1 1/4"-33mm (unidad)</t>
  </si>
  <si>
    <t>Mosqueton 1"-25mm ( unidad)</t>
  </si>
  <si>
    <t>Mosqueton 10mm ( unidad)</t>
  </si>
  <si>
    <t>Ojalete 3/4" ( unidad)</t>
  </si>
  <si>
    <t>Ojalete Bota Industrial 5/32" ( unidad)</t>
  </si>
  <si>
    <t>Puntera Protectora (par)</t>
  </si>
  <si>
    <t>Reata sintetica 1"-25mm (cm)</t>
  </si>
  <si>
    <t>Reata sintetica 1 1/4"-33mm (cm)</t>
  </si>
  <si>
    <t>Reata Algodón 1 1/2"- 40mm (cm)</t>
  </si>
  <si>
    <t>Suela Baleta TR dama  (par)</t>
  </si>
  <si>
    <t>Suela en PVC para sandalia de dama 2 1/2   (par)</t>
  </si>
  <si>
    <t>Suela Colegial (par)</t>
  </si>
  <si>
    <t>Suela Dotaion (par)</t>
  </si>
  <si>
    <t>Tinta Colores para Cuero 120cc (unidad)</t>
  </si>
  <si>
    <t>Tornillo Cinturon (unidad)</t>
  </si>
  <si>
    <t>Ojalete 1/8 (unidad)</t>
  </si>
  <si>
    <t xml:space="preserve">Ojalete 3/16 (unidad) </t>
  </si>
  <si>
    <t>Pirigallo (unidad)</t>
  </si>
  <si>
    <t>Tacon dama 5 1/2   7 1/2 (par)</t>
  </si>
  <si>
    <t>Suelas varias ejercicios (par)</t>
  </si>
  <si>
    <t>Hiladilla (cm)</t>
  </si>
  <si>
    <t>Cierres separables en pasta ( unidad)</t>
  </si>
  <si>
    <t>Cierres separables pavonados ( unidad)</t>
  </si>
  <si>
    <t>Broche Cazuela  Grande (unidad)</t>
  </si>
  <si>
    <t>Broche Cazuela Pequeño (unidad)</t>
  </si>
  <si>
    <t>Argolla Plastica de 1 1/2"- 40mm ( unidad)</t>
  </si>
  <si>
    <t>Bolsa plastica de 12*14 ( unidad)</t>
  </si>
  <si>
    <t>Bolsa Plastica de 15*22 ( unidad)</t>
  </si>
  <si>
    <t>Bolsa Plastica Cargadera ( unidad)</t>
  </si>
  <si>
    <t>Halogenante LH rapido ( galòn 3600 cm 3)</t>
  </si>
  <si>
    <t>Limpiador AT 20  ( galón 3600 cm 3)</t>
  </si>
  <si>
    <t>Limpiador VZ 40 ( galón 3600 cm 3)</t>
  </si>
  <si>
    <t>Cambre de 100gr   (cm²)</t>
  </si>
  <si>
    <t>Entretela fusionable para cuero  (cm²)</t>
  </si>
  <si>
    <t>Espuma Multifor de 0.3 mm  (cm²)</t>
  </si>
  <si>
    <t>Forro Badana Sintetica  (cm²)</t>
  </si>
  <si>
    <t>Forro Malla  (cm²)</t>
  </si>
  <si>
    <t>Forro para calzado piquet (terry)   (cm²)</t>
  </si>
  <si>
    <t>Interlon  (cm²)</t>
  </si>
  <si>
    <t>Lambrilla de 3mm  (cm²)</t>
  </si>
  <si>
    <t>Lambrilla de 4mm  (cm²)</t>
  </si>
  <si>
    <t>Lona Sintetica Colores  (cm²)</t>
  </si>
  <si>
    <t>Lona sintetica Polar  (cm²)</t>
  </si>
  <si>
    <t>Neolite#3   (cm²)</t>
  </si>
  <si>
    <t>Odena #1  (cm²)</t>
  </si>
  <si>
    <t>Odena vulcan# 1.5  (cm²)</t>
  </si>
  <si>
    <t>Odena#0,8  (cm²)</t>
  </si>
  <si>
    <t>Salpa 0.5mm   (cm²)</t>
  </si>
  <si>
    <t>Seda 30-100 Colores  (cm²)</t>
  </si>
  <si>
    <t>Sedas   (cm²)</t>
  </si>
  <si>
    <t>Sintetico  (cm²)</t>
  </si>
  <si>
    <t>Sintetico Delgado  (cm²)</t>
  </si>
  <si>
    <t>Solven 617  (cm²)</t>
  </si>
  <si>
    <t>Solven 619  (cm²)</t>
  </si>
  <si>
    <t>VALOR</t>
  </si>
  <si>
    <t>CANTIDAD</t>
  </si>
  <si>
    <t>MEDIDA</t>
  </si>
  <si>
    <t>COSTO TOTAL</t>
  </si>
  <si>
    <t>COSTO</t>
  </si>
  <si>
    <r>
      <t xml:space="preserve">Elaborado por: JAIRO E GUERRERO B. Docente técnico SENA ITAGUI ANTIOQUIA 16-09-2010                </t>
    </r>
    <r>
      <rPr>
        <b/>
        <sz val="10"/>
        <color indexed="1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</si>
  <si>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</si>
  <si>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>cm²</t>
  </si>
  <si>
    <t>OBSERVACIONES</t>
  </si>
  <si>
    <t>INSUMOS SIN COSTO</t>
  </si>
  <si>
    <t>CANTIDA</t>
  </si>
  <si>
    <t>Cartulina  (pliego)</t>
  </si>
  <si>
    <t>Cinta de trasparente (unidad)</t>
  </si>
  <si>
    <t>Cinta de Enmascarar de 2"  (unidad)</t>
  </si>
  <si>
    <t>NOMBRE DEL PRODUCTO</t>
  </si>
  <si>
    <t>COLOR     O REFERENCIA.</t>
  </si>
  <si>
    <t>FECHA ENTREGA DEL PRODUCTO</t>
  </si>
  <si>
    <t>FECHA DE ELABORACION DEL PRODUCTO</t>
  </si>
  <si>
    <t>Crepe #3   (cm²)</t>
  </si>
  <si>
    <t>Cola de Rata#3 (cm)</t>
  </si>
  <si>
    <t>Cola de Rata#8 (cm)</t>
  </si>
  <si>
    <t xml:space="preserve">Cordon Algodón Poliester 60 cm  (par) </t>
  </si>
  <si>
    <t>Cuero tala para talla del valle (Dm2)</t>
  </si>
  <si>
    <t>Cuero vaqueta Tanino (Dm2)</t>
  </si>
  <si>
    <t>Forro Cerdo  (Dm2)</t>
  </si>
  <si>
    <t>Forro cuero Marquilla  (Dm2)</t>
  </si>
  <si>
    <t>Cesgo para ribetear 25 mm (cm)</t>
  </si>
  <si>
    <t>Plantitex  (cm²)</t>
  </si>
  <si>
    <t>VALOR DEL PRODUCTO FINAL</t>
  </si>
  <si>
    <t>ESPACIO PARA LA IMAGEN DEL PRODUCTO                                                                                                     poner la imagen es obligatorio</t>
  </si>
  <si>
    <t>COSTO POR PAR/PRODUCTO</t>
  </si>
  <si>
    <t>NUMERO DE FICHA</t>
  </si>
  <si>
    <t>NUMERO DE CEDULA</t>
  </si>
  <si>
    <t>CURSO/TECNICO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</si>
  <si>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</si>
  <si>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</si>
  <si>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</si>
  <si>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</si>
  <si>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</si>
  <si>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</si>
  <si>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 xml:space="preserve">cuadrante 1" ¼ niquel </t>
  </si>
  <si>
    <t xml:space="preserve">cuadrante 1"  ½ niquel </t>
  </si>
  <si>
    <t xml:space="preserve">cuadrante 2" niquel </t>
  </si>
  <si>
    <t>cuadrante 1" pb</t>
  </si>
  <si>
    <t xml:space="preserve">cuadrante 1"¼ pb </t>
  </si>
  <si>
    <t>cuadrante 1"  ½ pb</t>
  </si>
  <si>
    <t xml:space="preserve">trabilla 1"  ½ niquel </t>
  </si>
  <si>
    <t xml:space="preserve">trabilla 2" niquel </t>
  </si>
  <si>
    <t>trabilla 1" pb</t>
  </si>
  <si>
    <t xml:space="preserve">trabilla 1"¼ pb </t>
  </si>
  <si>
    <t>trabilla 1"  ½ pb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</si>
  <si>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</si>
  <si>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</si>
  <si>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</si>
  <si>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</si>
  <si>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</si>
  <si>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</si>
  <si>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</si>
  <si>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Cuero DIAN (dm2)</t>
  </si>
  <si>
    <t>Espuma multifor densidad 40 de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</si>
  <si>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</si>
  <si>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</si>
  <si>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</si>
  <si>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</si>
  <si>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</si>
  <si>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</si>
  <si>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</si>
  <si>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</si>
  <si>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t xml:space="preserve">hebilla  </t>
    </r>
    <r>
      <rPr>
        <sz val="11"/>
        <color indexed="8"/>
        <rFont val="Calibri"/>
        <family val="2"/>
      </rPr>
      <t>¾ negra</t>
    </r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</si>
  <si>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</si>
  <si>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</si>
  <si>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</si>
  <si>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</si>
  <si>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</si>
  <si>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Tachuela Mosca  2 1/2 (caja)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</si>
  <si>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niquel </t>
    </r>
  </si>
  <si>
    <r>
      <t xml:space="preserve">cuadrante </t>
    </r>
    <r>
      <rPr>
        <sz val="11"/>
        <color indexed="8"/>
        <rFont val="Calibri"/>
        <family val="2"/>
      </rPr>
      <t xml:space="preserve">¾ </t>
    </r>
    <r>
      <rPr>
        <sz val="10"/>
        <color indexed="8"/>
        <rFont val="Arial"/>
        <family val="2"/>
      </rPr>
      <t xml:space="preserve">niquel </t>
    </r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</si>
  <si>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pb</t>
    </r>
  </si>
  <si>
    <r>
      <t xml:space="preserve">cuadrante </t>
    </r>
    <r>
      <rPr>
        <sz val="11"/>
        <color indexed="8"/>
        <rFont val="Calibri"/>
        <family val="2"/>
      </rPr>
      <t>¾ pb</t>
    </r>
  </si>
  <si>
    <r>
      <t xml:space="preserve">Remache  doble cabeza </t>
    </r>
    <r>
      <rPr>
        <i/>
        <sz val="10"/>
        <color indexed="8"/>
        <rFont val="Arial"/>
        <family val="2"/>
      </rPr>
      <t># 8 (unidad)</t>
    </r>
  </si>
  <si>
    <r>
      <t xml:space="preserve">Remache doble cabeza </t>
    </r>
    <r>
      <rPr>
        <i/>
        <sz val="10"/>
        <color indexed="8"/>
        <rFont val="Arial"/>
        <family val="2"/>
      </rPr>
      <t># 4 (unidad)</t>
    </r>
  </si>
  <si>
    <r>
      <t xml:space="preserve">Remache doble cabeza </t>
    </r>
    <r>
      <rPr>
        <i/>
        <sz val="10"/>
        <color indexed="8"/>
        <rFont val="Arial"/>
        <family val="2"/>
      </rPr>
      <t># 6 (unidad)</t>
    </r>
  </si>
  <si>
    <r>
      <t xml:space="preserve">Remache tubular doble cabeza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</si>
  <si>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</si>
  <si>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4 (unidad)</t>
    </r>
  </si>
  <si>
    <r>
      <t xml:space="preserve">Remache tubular sencillo </t>
    </r>
    <r>
      <rPr>
        <i/>
        <sz val="10"/>
        <color indexed="8"/>
        <rFont val="Arial"/>
        <family val="2"/>
      </rPr>
      <t># 6 (unidad)</t>
    </r>
  </si>
  <si>
    <r>
      <t xml:space="preserve">Remache tubular sencillo </t>
    </r>
    <r>
      <rPr>
        <i/>
        <sz val="10"/>
        <color indexed="8"/>
        <rFont val="Arial"/>
        <family val="2"/>
      </rPr>
      <t># 8 (unidad)</t>
    </r>
  </si>
  <si>
    <t>FICHA PARA EL CONSUMO DE MATERIALES  DE CALZADO Y MARROQUINERIA</t>
  </si>
  <si>
    <t>VALOR DE LA PRODUCCION</t>
  </si>
  <si>
    <t>Yumbolon 4mm  (cm²)</t>
  </si>
  <si>
    <t>POR CADA PRODUCTO</t>
  </si>
  <si>
    <t>REQUISICION DE MATERIALES    DM, UD Y CM</t>
  </si>
  <si>
    <t>Yumbolon 3mm  (cm²)</t>
  </si>
  <si>
    <t>argolla para llaveros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</si>
  <si>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</si>
  <si>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</si>
  <si>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</si>
  <si>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</si>
  <si>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</si>
  <si>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MEDIDAS DE ANCHO EN CM</t>
  </si>
  <si>
    <t>ESTA TABLA ESTA DISEÑADA PARA CONVERTIR LAS MEDIDAS DE LOS ROLLOS DE MATERIAL QUE HAY EN EL ALMACEN DE CDMC</t>
  </si>
  <si>
    <t>velcro</t>
  </si>
  <si>
    <t>Hilo Terlenka 2 cabos (cono 150mt)</t>
  </si>
  <si>
    <t>CANTIDAD CM²</t>
  </si>
  <si>
    <t>CANTIDAD DM²</t>
  </si>
  <si>
    <t>CANTIDAD M²</t>
  </si>
  <si>
    <t xml:space="preserve">MEDIDAS DE MATERIALES ANCHO EN CENTIMETROS </t>
  </si>
  <si>
    <t>MEDIDAS DE MATERIALES ANCHO EN DECIMETROS</t>
  </si>
  <si>
    <t>MEDIDAS DE MATERIALES ANCHO EN METROS</t>
  </si>
  <si>
    <t>Halogenante rapido 0817</t>
  </si>
  <si>
    <t>Limpiador para acabados</t>
  </si>
  <si>
    <t>Pu  419 pegante poliuretano</t>
  </si>
  <si>
    <t>Primer eva plus</t>
  </si>
  <si>
    <t>Primer PU 419</t>
  </si>
  <si>
    <t>PU 689 adhesivo</t>
  </si>
  <si>
    <t>Pegante advance o pega amarilla</t>
  </si>
  <si>
    <t>Primer pu 85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</si>
  <si>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</si>
  <si>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</si>
  <si>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</si>
  <si>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</si>
  <si>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</si>
  <si>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Vulcanizante PU</t>
  </si>
  <si>
    <t>Vulcanizante PU AQUOSO 212</t>
  </si>
  <si>
    <t>Vulcanizante PU SOLVENTE</t>
  </si>
  <si>
    <t>Ecolimpiador para suelas</t>
  </si>
  <si>
    <t>Ecohalogenante para suelas</t>
  </si>
  <si>
    <t>CM     LINEAL</t>
  </si>
  <si>
    <t>EVA espuma para suelas (cm²)</t>
  </si>
  <si>
    <t>COMPLEMENTARIOS</t>
  </si>
  <si>
    <t>JULIANA ROMERO</t>
  </si>
  <si>
    <t>HILO ENCERADO A TONO DEL CUERO</t>
  </si>
  <si>
    <t>MIEL O CAFÉ</t>
  </si>
  <si>
    <t>CAFÉ</t>
  </si>
  <si>
    <t>CARTUCHERA</t>
  </si>
  <si>
    <t>PABONADO</t>
  </si>
  <si>
    <t>CARTUCHERA SENCILLA 20 CM X 11 CM X 9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</si>
</sst>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\ * #,##0.00_);_(&quot;$&quot;\ * \(#,##0.00\);_(&quot;$&quot;\ * &quot;-&quot;??_);_(@_)"/>
    <numFmt numFmtId="165" formatCode="_-* #,##0.00\ &quot;€&quot;_-;\-* #,##0.00\ &quot;€&quot;_-;_-* &quot;-&quot;??\ &quot;€&quot;_-;_-@_-"/>
    <numFmt numFmtId="166" formatCode="_-* #,##0.00\ _€_-;\-* #,##0.00\ _€_-;_-* &quot;-&quot;??\ _€_-;_-@_-"/>
    <numFmt numFmtId="167" formatCode="0.0"/>
    <numFmt numFmtId="168" formatCode="_-* #,##0.0\ _€_-;\-* #,##0.0\ _€_-;_-* &quot;-&quot;??\ _€_-;_-@_-"/>
    <numFmt numFmtId="169" formatCode="&quot;$&quot;\ #,##0"/>
    <numFmt numFmtId="170" formatCode="#,##0.0"/>
    <numFmt numFmtId="171" formatCode="&quot;$&quot;#,##0.0"/>
    <numFmt numFmtId="172" formatCode="&quot;$&quot;\ #,##0.0"/>
  </numFmts>
  <fonts count="6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b/>
      <sz val="16"/>
      <name val="Arial"/>
      <family val="2"/>
    </font>
    <font>
      <b/>
      <sz val="6"/>
      <name val="Calibri"/>
      <family val="2"/>
    </font>
    <font>
      <b/>
      <sz val="10"/>
      <color indexed="10"/>
      <name val="Calibri"/>
      <family val="2"/>
    </font>
    <font>
      <b/>
      <sz val="10"/>
      <name val="Calibri"/>
      <family val="2"/>
    </font>
    <font>
      <sz val="6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sz val="8"/>
      <name val="Calibri"/>
      <family val="2"/>
    </font>
    <font>
      <b/>
      <sz val="8"/>
      <color indexed="10"/>
      <name val="Calibri"/>
      <family val="2"/>
    </font>
    <font>
      <b/>
      <sz val="8"/>
      <color indexed="8"/>
      <name val="Calibri"/>
      <family val="2"/>
    </font>
    <font>
      <b/>
      <sz val="6"/>
      <color indexed="8"/>
      <name val="Calibri"/>
      <family val="2"/>
    </font>
    <font>
      <b/>
      <sz val="7"/>
      <color indexed="8"/>
      <name val="Calibri"/>
      <family val="2"/>
    </font>
    <font>
      <b/>
      <sz val="12"/>
      <color indexed="10"/>
      <name val="Calibri"/>
      <family val="2"/>
    </font>
    <font>
      <sz val="10"/>
      <color indexed="8"/>
      <name val="Calibri"/>
      <family val="2"/>
    </font>
    <font>
      <b/>
      <sz val="16"/>
      <name val="Calibri"/>
      <family val="2"/>
    </font>
    <font>
      <b/>
      <sz val="14"/>
      <color indexed="10"/>
      <name val="Calibri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b/>
      <sz val="5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sz val="12"/>
      <color rgb="FFFF0000"/>
      <name val="Calibri"/>
      <family val="2"/>
    </font>
    <font>
      <b/>
      <sz val="14"/>
      <color rgb="FFFF0000"/>
      <name val="Calibri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b/>
      <sz val="22"/>
      <color theme="6" tint="-0.499984740745262"/>
      <name val="Calibri"/>
      <family val="2"/>
    </font>
    <font>
      <b/>
      <sz val="12"/>
      <color theme="1"/>
      <name val="Calibri"/>
      <family val="2"/>
    </font>
    <font>
      <b/>
      <sz val="8"/>
      <color theme="1"/>
      <name val="Calibri"/>
      <family val="2"/>
    </font>
    <font>
      <sz val="20"/>
      <color theme="2" tint="-0.89999084444715716"/>
      <name val="Calibri"/>
      <family val="2"/>
    </font>
    <font>
      <b/>
      <sz val="18"/>
      <color rgb="FFFF0000"/>
      <name val="Calibri"/>
      <family val="2"/>
    </font>
    <font>
      <b/>
      <sz val="20"/>
      <color rgb="FFFF0000"/>
      <name val="Calibri"/>
      <family val="2"/>
    </font>
    <font>
      <sz val="22"/>
      <color rgb="FFFF0000"/>
      <name val="Calibri"/>
      <family val="2"/>
    </font>
    <font>
      <b/>
      <sz val="14"/>
      <color rgb="FF00000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color rgb="FF000000"/>
      <name val="Calibri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0">
    <xf numFmtId="0" fontId="0" fillId="0" borderId="0" xfId="0"/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3" fillId="0" borderId="0" xfId="0" applyFont="1" applyAlignment="1">
      <alignment horizontal="center"/>
    </xf>
    <xf numFmtId="0" fontId="0" fillId="3" borderId="1" xfId="0" applyFill="1" applyBorder="1"/>
    <xf numFmtId="0" fontId="7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7" fontId="0" fillId="3" borderId="0" xfId="0" applyNumberFormat="1" applyFill="1" applyAlignment="1">
      <alignment horizontal="center" vertical="top"/>
    </xf>
    <xf numFmtId="167" fontId="7" fillId="3" borderId="0" xfId="0" applyNumberFormat="1" applyFont="1" applyFill="1" applyAlignment="1">
      <alignment horizontal="center" vertical="top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wrapText="1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 applyProtection="1">
      <alignment horizontal="center" vertical="top"/>
      <protection locked="0"/>
    </xf>
    <xf numFmtId="12" fontId="10" fillId="3" borderId="1" xfId="0" applyNumberFormat="1" applyFont="1" applyFill="1" applyBorder="1" applyAlignment="1" applyProtection="1">
      <alignment horizontal="center" vertical="top"/>
      <protection locked="0"/>
    </xf>
    <xf numFmtId="49" fontId="10" fillId="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wrapText="1"/>
    </xf>
    <xf numFmtId="164" fontId="11" fillId="3" borderId="1" xfId="0" applyNumberFormat="1" applyFont="1" applyFill="1" applyBorder="1"/>
    <xf numFmtId="167" fontId="7" fillId="3" borderId="1" xfId="0" applyNumberFormat="1" applyFont="1" applyFill="1" applyBorder="1" applyAlignment="1">
      <alignment horizontal="center" vertical="top"/>
    </xf>
    <xf numFmtId="167" fontId="0" fillId="3" borderId="2" xfId="0" applyNumberFormat="1" applyFill="1" applyBorder="1" applyAlignment="1">
      <alignment horizontal="center" vertical="top"/>
    </xf>
    <xf numFmtId="169" fontId="39" fillId="3" borderId="3" xfId="0" applyNumberFormat="1" applyFont="1" applyFill="1" applyBorder="1"/>
    <xf numFmtId="2" fontId="40" fillId="4" borderId="3" xfId="0" applyNumberFormat="1" applyFont="1" applyFill="1" applyBorder="1" applyAlignment="1">
      <alignment horizontal="center" vertical="center" wrapText="1"/>
    </xf>
    <xf numFmtId="2" fontId="40" fillId="4" borderId="1" xfId="0" applyNumberFormat="1" applyFont="1" applyFill="1" applyBorder="1" applyAlignment="1">
      <alignment horizontal="center" vertical="center" wrapText="1"/>
    </xf>
    <xf numFmtId="2" fontId="40" fillId="4" borderId="4" xfId="0" applyNumberFormat="1" applyFont="1" applyFill="1" applyBorder="1" applyAlignment="1">
      <alignment horizontal="center" vertical="center" wrapText="1"/>
    </xf>
    <xf numFmtId="1" fontId="4" fillId="5" borderId="1" xfId="1" applyNumberFormat="1" applyFont="1" applyFill="1" applyBorder="1" applyAlignment="1" applyProtection="1">
      <alignment vertical="center"/>
      <protection locked="0"/>
    </xf>
    <xf numFmtId="0" fontId="15" fillId="6" borderId="5" xfId="0" applyFont="1" applyFill="1" applyBorder="1" applyAlignment="1" applyProtection="1">
      <alignment vertical="center" wrapText="1"/>
      <protection locked="0"/>
    </xf>
    <xf numFmtId="0" fontId="16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 applyProtection="1">
      <alignment horizontal="center" vertical="center"/>
      <protection locked="0"/>
    </xf>
    <xf numFmtId="0" fontId="16" fillId="3" borderId="0" xfId="0" applyFont="1" applyFill="1"/>
    <xf numFmtId="1" fontId="16" fillId="3" borderId="1" xfId="0" applyNumberFormat="1" applyFont="1" applyFill="1" applyBorder="1"/>
    <xf numFmtId="0" fontId="13" fillId="0" borderId="2" xfId="0" applyFont="1" applyBorder="1" applyAlignment="1">
      <alignment horizontal="left" vertical="center"/>
    </xf>
    <xf numFmtId="0" fontId="41" fillId="0" borderId="1" xfId="0" applyFont="1" applyBorder="1" applyAlignment="1">
      <alignment wrapText="1"/>
    </xf>
    <xf numFmtId="0" fontId="14" fillId="3" borderId="1" xfId="0" applyFont="1" applyFill="1" applyBorder="1" applyAlignment="1">
      <alignment vertical="center"/>
    </xf>
    <xf numFmtId="167" fontId="42" fillId="3" borderId="0" xfId="0" applyNumberFormat="1" applyFont="1" applyFill="1" applyAlignment="1">
      <alignment horizontal="center" vertical="center"/>
    </xf>
    <xf numFmtId="0" fontId="24" fillId="0" borderId="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1" fontId="22" fillId="7" borderId="1" xfId="0" applyNumberFormat="1" applyFont="1" applyFill="1" applyBorder="1" applyAlignment="1">
      <alignment horizontal="center" vertical="center"/>
    </xf>
    <xf numFmtId="0" fontId="22" fillId="3" borderId="5" xfId="0" applyFont="1" applyFill="1" applyBorder="1" applyAlignment="1" applyProtection="1">
      <alignment horizontal="center" vertical="center"/>
      <protection locked="0"/>
    </xf>
    <xf numFmtId="167" fontId="42" fillId="6" borderId="1" xfId="0" applyNumberFormat="1" applyFont="1" applyFill="1" applyBorder="1" applyAlignment="1">
      <alignment vertical="center"/>
    </xf>
    <xf numFmtId="0" fontId="16" fillId="3" borderId="6" xfId="0" applyFont="1" applyFill="1" applyBorder="1" applyAlignment="1">
      <alignment horizontal="left"/>
    </xf>
    <xf numFmtId="0" fontId="16" fillId="3" borderId="7" xfId="0" applyFont="1" applyFill="1" applyBorder="1" applyAlignment="1">
      <alignment horizontal="left"/>
    </xf>
    <xf numFmtId="0" fontId="16" fillId="3" borderId="0" xfId="0" applyFont="1" applyFill="1" applyAlignment="1">
      <alignment horizontal="left"/>
    </xf>
    <xf numFmtId="49" fontId="26" fillId="5" borderId="1" xfId="0" applyNumberFormat="1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/>
    <xf numFmtId="0" fontId="16" fillId="0" borderId="0" xfId="0" applyFont="1"/>
    <xf numFmtId="0" fontId="20" fillId="6" borderId="1" xfId="0" applyFont="1" applyFill="1" applyBorder="1" applyAlignment="1" applyProtection="1">
      <alignment horizontal="center" vertical="center" wrapText="1"/>
      <protection locked="0"/>
    </xf>
    <xf numFmtId="0" fontId="27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 applyProtection="1">
      <alignment horizontal="center" vertical="center" wrapText="1"/>
      <protection hidden="1"/>
    </xf>
    <xf numFmtId="167" fontId="22" fillId="3" borderId="1" xfId="1" applyNumberFormat="1" applyFont="1" applyFill="1" applyBorder="1" applyAlignment="1" applyProtection="1">
      <alignment horizontal="right"/>
      <protection locked="0"/>
    </xf>
    <xf numFmtId="0" fontId="19" fillId="8" borderId="1" xfId="0" applyFont="1" applyFill="1" applyBorder="1" applyAlignment="1">
      <alignment horizontal="center" vertical="center"/>
    </xf>
    <xf numFmtId="0" fontId="19" fillId="3" borderId="0" xfId="0" applyFont="1" applyFill="1"/>
    <xf numFmtId="167" fontId="16" fillId="5" borderId="1" xfId="2" applyNumberFormat="1" applyFont="1" applyFill="1" applyBorder="1" applyAlignment="1" applyProtection="1">
      <alignment vertical="center"/>
      <protection locked="0"/>
    </xf>
    <xf numFmtId="0" fontId="19" fillId="6" borderId="1" xfId="0" applyFont="1" applyFill="1" applyBorder="1" applyAlignment="1" applyProtection="1">
      <alignment horizontal="center" vertical="center" wrapText="1"/>
      <protection hidden="1"/>
    </xf>
    <xf numFmtId="0" fontId="27" fillId="6" borderId="8" xfId="0" applyFont="1" applyFill="1" applyBorder="1" applyAlignment="1" applyProtection="1">
      <alignment horizontal="center" vertical="center" wrapText="1"/>
      <protection hidden="1"/>
    </xf>
    <xf numFmtId="0" fontId="27" fillId="6" borderId="9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1" fontId="4" fillId="5" borderId="1" xfId="1" applyNumberFormat="1" applyFont="1" applyFill="1" applyBorder="1" applyAlignment="1">
      <alignment horizontal="right"/>
    </xf>
    <xf numFmtId="170" fontId="22" fillId="7" borderId="1" xfId="0" applyNumberFormat="1" applyFont="1" applyFill="1" applyBorder="1" applyAlignment="1">
      <alignment vertical="center"/>
    </xf>
    <xf numFmtId="172" fontId="22" fillId="3" borderId="1" xfId="0" applyNumberFormat="1" applyFont="1" applyFill="1" applyBorder="1" applyAlignment="1">
      <alignment horizontal="right"/>
    </xf>
    <xf numFmtId="2" fontId="23" fillId="9" borderId="1" xfId="0" applyNumberFormat="1" applyFont="1" applyFill="1" applyBorder="1" applyAlignment="1">
      <alignment horizontal="left" vertical="center" wrapText="1"/>
    </xf>
    <xf numFmtId="1" fontId="28" fillId="3" borderId="1" xfId="0" applyNumberFormat="1" applyFont="1" applyFill="1" applyBorder="1" applyProtection="1">
      <protection locked="0"/>
    </xf>
    <xf numFmtId="167" fontId="4" fillId="5" borderId="1" xfId="1" applyNumberFormat="1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168" fontId="4" fillId="3" borderId="0" xfId="1" applyNumberFormat="1" applyFont="1" applyFill="1" applyAlignment="1">
      <alignment horizontal="center"/>
    </xf>
    <xf numFmtId="168" fontId="4" fillId="3" borderId="0" xfId="1" applyNumberFormat="1" applyFont="1" applyFill="1" applyAlignment="1">
      <alignment vertical="center"/>
    </xf>
    <xf numFmtId="14" fontId="19" fillId="6" borderId="1" xfId="0" applyNumberFormat="1" applyFont="1" applyFill="1" applyBorder="1" applyAlignment="1" applyProtection="1">
      <alignment horizontal="center" vertical="center" wrapText="1"/>
      <protection hidden="1"/>
    </xf>
    <xf numFmtId="1" fontId="19" fillId="6" borderId="1" xfId="0" applyNumberFormat="1" applyFont="1" applyFill="1" applyBorder="1" applyAlignment="1" applyProtection="1">
      <alignment horizontal="center" vertical="center" wrapText="1"/>
      <protection hidden="1"/>
    </xf>
    <xf numFmtId="2" fontId="40" fillId="5" borderId="3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171" fontId="16" fillId="3" borderId="1" xfId="0" applyNumberFormat="1" applyFont="1" applyFill="1" applyBorder="1" applyAlignment="1">
      <alignment horizontal="center" vertical="center"/>
    </xf>
    <xf numFmtId="0" fontId="44" fillId="6" borderId="1" xfId="0" applyFont="1" applyFill="1" applyBorder="1" applyAlignment="1" applyProtection="1">
      <alignment horizontal="center" vertical="center" wrapText="1"/>
      <protection hidden="1"/>
    </xf>
    <xf numFmtId="0" fontId="30" fillId="6" borderId="1" xfId="0" applyFont="1" applyFill="1" applyBorder="1" applyAlignment="1" applyProtection="1">
      <alignment horizontal="center" vertical="center" wrapText="1"/>
      <protection hidden="1"/>
    </xf>
    <xf numFmtId="0" fontId="19" fillId="6" borderId="3" xfId="0" applyFont="1" applyFill="1" applyBorder="1" applyAlignment="1">
      <alignment horizontal="center" vertical="center" wrapText="1"/>
    </xf>
    <xf numFmtId="1" fontId="19" fillId="6" borderId="3" xfId="0" applyNumberFormat="1" applyFont="1" applyFill="1" applyBorder="1" applyAlignment="1" applyProtection="1">
      <alignment horizontal="center" vertical="center" wrapText="1"/>
      <protection hidden="1"/>
    </xf>
    <xf numFmtId="171" fontId="22" fillId="3" borderId="1" xfId="0" applyNumberFormat="1" applyFont="1" applyFill="1" applyBorder="1" applyAlignment="1">
      <alignment horizontal="center"/>
    </xf>
    <xf numFmtId="2" fontId="40" fillId="4" borderId="1" xfId="0" applyNumberFormat="1" applyFont="1" applyFill="1" applyBorder="1" applyAlignment="1">
      <alignment horizontal="right"/>
    </xf>
    <xf numFmtId="2" fontId="45" fillId="4" borderId="1" xfId="0" applyNumberFormat="1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/>
    </xf>
    <xf numFmtId="0" fontId="40" fillId="4" borderId="1" xfId="0" applyFont="1" applyFill="1" applyBorder="1"/>
    <xf numFmtId="2" fontId="40" fillId="4" borderId="0" xfId="0" applyNumberFormat="1" applyFont="1" applyFill="1"/>
    <xf numFmtId="2" fontId="40" fillId="3" borderId="0" xfId="0" applyNumberFormat="1" applyFont="1" applyFill="1"/>
    <xf numFmtId="0" fontId="40" fillId="3" borderId="0" xfId="0" applyFont="1" applyFill="1"/>
    <xf numFmtId="2" fontId="40" fillId="3" borderId="0" xfId="0" applyNumberFormat="1" applyFont="1" applyFill="1" applyAlignment="1">
      <alignment horizontal="right"/>
    </xf>
    <xf numFmtId="0" fontId="46" fillId="5" borderId="1" xfId="0" applyFont="1" applyFill="1" applyBorder="1" applyAlignment="1">
      <alignment horizontal="left"/>
    </xf>
    <xf numFmtId="0" fontId="46" fillId="5" borderId="10" xfId="0" applyFont="1" applyFill="1" applyBorder="1" applyAlignment="1">
      <alignment horizontal="left"/>
    </xf>
    <xf numFmtId="0" fontId="13" fillId="6" borderId="1" xfId="0" applyFont="1" applyFill="1" applyBorder="1" applyAlignment="1" applyProtection="1">
      <alignment horizontal="center" vertical="center" wrapText="1"/>
      <protection hidden="1"/>
    </xf>
    <xf numFmtId="1" fontId="14" fillId="6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20" fillId="8" borderId="1" xfId="0" applyFont="1" applyFill="1" applyBorder="1" applyAlignment="1">
      <alignment horizontal="center" vertical="center" wrapText="1"/>
    </xf>
    <xf numFmtId="0" fontId="47" fillId="6" borderId="6" xfId="0" applyFont="1" applyFill="1" applyBorder="1" applyAlignment="1">
      <alignment vertical="center" wrapText="1"/>
    </xf>
    <xf numFmtId="0" fontId="47" fillId="6" borderId="1" xfId="0" applyFont="1" applyFill="1" applyBorder="1" applyAlignment="1" applyProtection="1">
      <alignment vertical="center" wrapText="1"/>
      <protection locked="0"/>
    </xf>
    <xf numFmtId="14" fontId="47" fillId="6" borderId="1" xfId="0" applyNumberFormat="1" applyFont="1" applyFill="1" applyBorder="1" applyAlignment="1">
      <alignment vertical="center"/>
    </xf>
    <xf numFmtId="14" fontId="16" fillId="6" borderId="2" xfId="0" applyNumberFormat="1" applyFont="1" applyFill="1" applyBorder="1" applyAlignment="1">
      <alignment vertical="center" wrapText="1"/>
    </xf>
    <xf numFmtId="167" fontId="0" fillId="5" borderId="1" xfId="0" applyNumberFormat="1" applyFill="1" applyBorder="1" applyAlignment="1" applyProtection="1">
      <alignment horizontal="center"/>
      <protection locked="0"/>
    </xf>
    <xf numFmtId="167" fontId="0" fillId="5" borderId="10" xfId="0" applyNumberFormat="1" applyFill="1" applyBorder="1" applyAlignment="1" applyProtection="1">
      <alignment horizontal="center"/>
      <protection locked="0"/>
    </xf>
    <xf numFmtId="0" fontId="5" fillId="5" borderId="1" xfId="0" applyFont="1" applyFill="1" applyBorder="1" applyAlignment="1" applyProtection="1">
      <alignment horizontal="left" vertical="center"/>
      <protection hidden="1"/>
    </xf>
    <xf numFmtId="1" fontId="5" fillId="5" borderId="1" xfId="0" applyNumberFormat="1" applyFont="1" applyFill="1" applyBorder="1" applyAlignment="1" applyProtection="1">
      <alignment horizontal="center" vertical="center"/>
      <protection hidden="1"/>
    </xf>
    <xf numFmtId="167" fontId="7" fillId="5" borderId="1" xfId="0" applyNumberFormat="1" applyFont="1" applyFill="1" applyBorder="1" applyAlignment="1">
      <alignment horizontal="center" vertical="top"/>
    </xf>
    <xf numFmtId="0" fontId="4" fillId="5" borderId="1" xfId="0" applyFont="1" applyFill="1" applyBorder="1" applyAlignment="1" applyProtection="1">
      <alignment horizontal="center" vertical="center"/>
      <protection hidden="1"/>
    </xf>
    <xf numFmtId="170" fontId="0" fillId="5" borderId="1" xfId="0" applyNumberFormat="1" applyFill="1" applyBorder="1" applyAlignment="1">
      <alignment horizontal="right"/>
    </xf>
    <xf numFmtId="0" fontId="0" fillId="5" borderId="0" xfId="0" applyFill="1"/>
    <xf numFmtId="0" fontId="7" fillId="5" borderId="1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top"/>
    </xf>
    <xf numFmtId="0" fontId="7" fillId="5" borderId="10" xfId="0" applyFon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top"/>
    </xf>
    <xf numFmtId="0" fontId="48" fillId="10" borderId="1" xfId="0" applyFont="1" applyFill="1" applyBorder="1" applyAlignment="1">
      <alignment horizontal="center" vertical="center" wrapText="1"/>
    </xf>
    <xf numFmtId="0" fontId="38" fillId="11" borderId="1" xfId="0" applyFont="1" applyFill="1" applyBorder="1" applyAlignment="1">
      <alignment horizontal="center" vertical="center" wrapText="1"/>
    </xf>
    <xf numFmtId="0" fontId="49" fillId="10" borderId="1" xfId="0" applyFont="1" applyFill="1" applyBorder="1" applyAlignment="1">
      <alignment horizontal="center" vertical="center" wrapText="1"/>
    </xf>
    <xf numFmtId="0" fontId="49" fillId="11" borderId="1" xfId="0" applyFont="1" applyFill="1" applyBorder="1" applyAlignment="1">
      <alignment horizontal="center" vertical="center" wrapText="1"/>
    </xf>
    <xf numFmtId="0" fontId="50" fillId="4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37" fillId="11" borderId="1" xfId="0" applyFont="1" applyFill="1" applyBorder="1" applyAlignment="1">
      <alignment horizontal="center" vertical="center"/>
    </xf>
    <xf numFmtId="2" fontId="0" fillId="10" borderId="1" xfId="0" applyNumberFormat="1" applyFill="1" applyBorder="1"/>
    <xf numFmtId="2" fontId="0" fillId="4" borderId="1" xfId="0" applyNumberFormat="1" applyFill="1" applyBorder="1"/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48" fillId="11" borderId="1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2" fontId="45" fillId="4" borderId="2" xfId="0" applyNumberFormat="1" applyFont="1" applyFill="1" applyBorder="1" applyAlignment="1">
      <alignment horizontal="center" vertical="center"/>
    </xf>
    <xf numFmtId="2" fontId="40" fillId="4" borderId="2" xfId="0" applyNumberFormat="1" applyFont="1" applyFill="1" applyBorder="1" applyAlignment="1">
      <alignment horizontal="center" vertical="center"/>
    </xf>
    <xf numFmtId="0" fontId="40" fillId="4" borderId="2" xfId="0" applyFont="1" applyFill="1" applyBorder="1"/>
    <xf numFmtId="0" fontId="7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51" fillId="5" borderId="1" xfId="0" applyNumberFormat="1" applyFont="1" applyFill="1" applyBorder="1" applyAlignment="1" applyProtection="1">
      <alignment horizontal="center" vertical="center"/>
      <protection hidden="1"/>
    </xf>
    <xf numFmtId="0" fontId="14" fillId="6" borderId="10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52" fillId="5" borderId="1" xfId="0" applyFont="1" applyFill="1" applyBorder="1"/>
    <xf numFmtId="0" fontId="47" fillId="6" borderId="2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vertical="center" wrapText="1"/>
    </xf>
    <xf numFmtId="14" fontId="14" fillId="6" borderId="2" xfId="0" applyNumberFormat="1" applyFont="1" applyFill="1" applyBorder="1" applyAlignment="1" applyProtection="1">
      <alignment wrapText="1"/>
      <protection locked="0"/>
    </xf>
    <xf numFmtId="1" fontId="16" fillId="6" borderId="8" xfId="0" applyNumberFormat="1" applyFont="1" applyFill="1" applyBorder="1" applyAlignment="1">
      <alignment horizontal="center" vertical="center" wrapText="1"/>
    </xf>
    <xf numFmtId="0" fontId="47" fillId="6" borderId="1" xfId="0" applyFont="1" applyFill="1" applyBorder="1" applyAlignment="1">
      <alignment vertical="center" wrapText="1"/>
    </xf>
    <xf numFmtId="0" fontId="12" fillId="3" borderId="11" xfId="0" applyFont="1" applyFill="1" applyBorder="1" applyAlignment="1" applyProtection="1">
      <alignment horizontal="left"/>
      <protection hidden="1"/>
    </xf>
    <xf numFmtId="0" fontId="12" fillId="3" borderId="0" xfId="0" applyFont="1" applyFill="1" applyAlignment="1" applyProtection="1">
      <alignment horizontal="left"/>
      <protection hidden="1"/>
    </xf>
    <xf numFmtId="0" fontId="60" fillId="0" borderId="0" xfId="0" applyFont="1"/>
    <xf numFmtId="1" fontId="21" fillId="13" borderId="2" xfId="0" applyNumberFormat="1" applyFont="1" applyFill="1" applyBorder="1" applyAlignment="1">
      <alignment horizontal="center" vertical="center"/>
    </xf>
    <xf numFmtId="1" fontId="21" fillId="13" borderId="12" xfId="0" applyNumberFormat="1" applyFont="1" applyFill="1" applyBorder="1" applyAlignment="1">
      <alignment horizontal="center" vertical="center"/>
    </xf>
    <xf numFmtId="1" fontId="21" fillId="13" borderId="3" xfId="0" applyNumberFormat="1" applyFont="1" applyFill="1" applyBorder="1" applyAlignment="1">
      <alignment horizontal="center" vertical="center"/>
    </xf>
    <xf numFmtId="0" fontId="57" fillId="6" borderId="10" xfId="0" applyFont="1" applyFill="1" applyBorder="1" applyAlignment="1">
      <alignment horizontal="center" vertical="center"/>
    </xf>
    <xf numFmtId="0" fontId="57" fillId="6" borderId="8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 wrapText="1"/>
    </xf>
    <xf numFmtId="0" fontId="29" fillId="6" borderId="22" xfId="0" applyFont="1" applyFill="1" applyBorder="1" applyAlignment="1">
      <alignment horizontal="center" vertical="center" wrapText="1"/>
    </xf>
    <xf numFmtId="0" fontId="29" fillId="6" borderId="13" xfId="0" applyFont="1" applyFill="1" applyBorder="1" applyAlignment="1">
      <alignment horizontal="center" vertical="center" wrapText="1"/>
    </xf>
    <xf numFmtId="0" fontId="29" fillId="6" borderId="11" xfId="0" applyFont="1" applyFill="1" applyBorder="1" applyAlignment="1">
      <alignment horizontal="center" vertical="center" wrapText="1"/>
    </xf>
    <xf numFmtId="0" fontId="29" fillId="6" borderId="9" xfId="0" applyFont="1" applyFill="1" applyBorder="1" applyAlignment="1">
      <alignment horizontal="center" vertical="center" wrapText="1"/>
    </xf>
    <xf numFmtId="0" fontId="29" fillId="6" borderId="4" xfId="0" applyFont="1" applyFill="1" applyBorder="1" applyAlignment="1">
      <alignment horizontal="center" vertical="center" wrapText="1"/>
    </xf>
    <xf numFmtId="169" fontId="53" fillId="6" borderId="7" xfId="0" applyNumberFormat="1" applyFont="1" applyFill="1" applyBorder="1" applyAlignment="1">
      <alignment horizontal="center" vertical="center"/>
    </xf>
    <xf numFmtId="169" fontId="53" fillId="6" borderId="22" xfId="0" applyNumberFormat="1" applyFont="1" applyFill="1" applyBorder="1" applyAlignment="1">
      <alignment horizontal="center" vertical="center"/>
    </xf>
    <xf numFmtId="169" fontId="53" fillId="6" borderId="13" xfId="0" applyNumberFormat="1" applyFont="1" applyFill="1" applyBorder="1" applyAlignment="1">
      <alignment horizontal="center" vertical="center"/>
    </xf>
    <xf numFmtId="169" fontId="53" fillId="6" borderId="11" xfId="0" applyNumberFormat="1" applyFont="1" applyFill="1" applyBorder="1" applyAlignment="1">
      <alignment horizontal="center" vertical="center"/>
    </xf>
    <xf numFmtId="169" fontId="53" fillId="6" borderId="9" xfId="0" applyNumberFormat="1" applyFont="1" applyFill="1" applyBorder="1" applyAlignment="1">
      <alignment horizontal="center" vertical="center"/>
    </xf>
    <xf numFmtId="169" fontId="53" fillId="6" borderId="4" xfId="0" applyNumberFormat="1" applyFont="1" applyFill="1" applyBorder="1" applyAlignment="1">
      <alignment horizontal="center" vertical="center"/>
    </xf>
    <xf numFmtId="0" fontId="54" fillId="6" borderId="13" xfId="0" applyFont="1" applyFill="1" applyBorder="1" applyAlignment="1">
      <alignment horizontal="center" vertical="center"/>
    </xf>
    <xf numFmtId="0" fontId="54" fillId="6" borderId="0" xfId="0" applyFont="1" applyFill="1" applyAlignment="1">
      <alignment horizontal="center" vertical="center"/>
    </xf>
    <xf numFmtId="0" fontId="54" fillId="6" borderId="11" xfId="0" applyFont="1" applyFill="1" applyBorder="1" applyAlignment="1">
      <alignment horizontal="center" vertical="center"/>
    </xf>
    <xf numFmtId="1" fontId="58" fillId="6" borderId="1" xfId="0" applyNumberFormat="1" applyFont="1" applyFill="1" applyBorder="1" applyAlignment="1" applyProtection="1">
      <alignment horizontal="center" vertical="center" wrapText="1"/>
      <protection locked="0"/>
    </xf>
    <xf numFmtId="169" fontId="59" fillId="6" borderId="9" xfId="0" applyNumberFormat="1" applyFont="1" applyFill="1" applyBorder="1" applyAlignment="1">
      <alignment horizontal="center" vertical="center"/>
    </xf>
    <xf numFmtId="169" fontId="59" fillId="6" borderId="5" xfId="0" applyNumberFormat="1" applyFont="1" applyFill="1" applyBorder="1" applyAlignment="1">
      <alignment horizontal="center" vertical="center"/>
    </xf>
    <xf numFmtId="169" fontId="59" fillId="6" borderId="4" xfId="0" applyNumberFormat="1" applyFont="1" applyFill="1" applyBorder="1" applyAlignment="1">
      <alignment horizontal="center" vertical="center"/>
    </xf>
    <xf numFmtId="0" fontId="44" fillId="6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 applyProtection="1">
      <alignment horizontal="center" vertical="center" wrapText="1"/>
      <protection locked="0"/>
    </xf>
    <xf numFmtId="1" fontId="16" fillId="6" borderId="2" xfId="0" applyNumberFormat="1" applyFont="1" applyFill="1" applyBorder="1" applyAlignment="1">
      <alignment horizontal="center" vertical="center" wrapText="1"/>
    </xf>
    <xf numFmtId="1" fontId="16" fillId="6" borderId="22" xfId="0" applyNumberFormat="1" applyFont="1" applyFill="1" applyBorder="1" applyAlignment="1">
      <alignment horizontal="center" vertical="center" wrapText="1"/>
    </xf>
    <xf numFmtId="0" fontId="16" fillId="3" borderId="0" xfId="0" applyFont="1" applyFill="1" applyAlignment="1" applyProtection="1">
      <alignment horizontal="left"/>
      <protection locked="0"/>
    </xf>
    <xf numFmtId="1" fontId="16" fillId="6" borderId="3" xfId="0" applyNumberFormat="1" applyFont="1" applyFill="1" applyBorder="1" applyAlignment="1">
      <alignment horizontal="center" vertical="center" wrapText="1"/>
    </xf>
    <xf numFmtId="0" fontId="47" fillId="6" borderId="3" xfId="0" applyFont="1" applyFill="1" applyBorder="1" applyAlignment="1">
      <alignment horizontal="center" vertical="center" wrapText="1"/>
    </xf>
    <xf numFmtId="0" fontId="47" fillId="6" borderId="1" xfId="0" applyFont="1" applyFill="1" applyBorder="1" applyAlignment="1">
      <alignment horizontal="center" vertical="center" wrapText="1"/>
    </xf>
    <xf numFmtId="0" fontId="56" fillId="6" borderId="2" xfId="0" applyFont="1" applyFill="1" applyBorder="1" applyAlignment="1">
      <alignment horizontal="center" vertical="center" wrapText="1"/>
    </xf>
    <xf numFmtId="0" fontId="56" fillId="6" borderId="12" xfId="0" applyFont="1" applyFill="1" applyBorder="1" applyAlignment="1">
      <alignment horizontal="center" vertical="center" wrapText="1"/>
    </xf>
    <xf numFmtId="0" fontId="56" fillId="6" borderId="3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 applyProtection="1">
      <alignment vertical="center" wrapText="1"/>
      <protection locked="0"/>
    </xf>
    <xf numFmtId="0" fontId="19" fillId="6" borderId="4" xfId="0" applyFont="1" applyFill="1" applyBorder="1" applyAlignment="1" applyProtection="1">
      <alignment vertical="center" wrapText="1"/>
      <protection locked="0"/>
    </xf>
    <xf numFmtId="0" fontId="13" fillId="3" borderId="1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1" fontId="16" fillId="6" borderId="7" xfId="0" applyNumberFormat="1" applyFont="1" applyFill="1" applyBorder="1" applyAlignment="1">
      <alignment horizontal="center" vertical="center" wrapText="1"/>
    </xf>
    <xf numFmtId="1" fontId="16" fillId="6" borderId="12" xfId="0" applyNumberFormat="1" applyFont="1" applyFill="1" applyBorder="1" applyAlignment="1">
      <alignment horizontal="center" vertical="center" wrapText="1"/>
    </xf>
    <xf numFmtId="169" fontId="53" fillId="6" borderId="13" xfId="3" applyNumberFormat="1" applyFont="1" applyFill="1" applyBorder="1" applyAlignment="1">
      <alignment horizontal="center" vertical="center"/>
    </xf>
    <xf numFmtId="169" fontId="53" fillId="6" borderId="11" xfId="3" applyNumberFormat="1" applyFont="1" applyFill="1" applyBorder="1" applyAlignment="1">
      <alignment horizontal="center" vertical="center"/>
    </xf>
    <xf numFmtId="169" fontId="53" fillId="6" borderId="9" xfId="3" applyNumberFormat="1" applyFont="1" applyFill="1" applyBorder="1" applyAlignment="1">
      <alignment horizontal="center" vertical="center"/>
    </xf>
    <xf numFmtId="169" fontId="53" fillId="6" borderId="4" xfId="3" applyNumberFormat="1" applyFont="1" applyFill="1" applyBorder="1" applyAlignment="1">
      <alignment horizontal="center" vertical="center"/>
    </xf>
    <xf numFmtId="0" fontId="54" fillId="3" borderId="14" xfId="0" applyFont="1" applyFill="1" applyBorder="1" applyAlignment="1">
      <alignment horizontal="center" vertical="center" wrapText="1"/>
    </xf>
    <xf numFmtId="0" fontId="55" fillId="3" borderId="15" xfId="0" applyFont="1" applyFill="1" applyBorder="1" applyAlignment="1">
      <alignment horizontal="center" vertical="center" wrapText="1"/>
    </xf>
    <xf numFmtId="0" fontId="55" fillId="3" borderId="16" xfId="0" applyFont="1" applyFill="1" applyBorder="1" applyAlignment="1">
      <alignment horizontal="center" vertical="center" wrapText="1"/>
    </xf>
    <xf numFmtId="0" fontId="55" fillId="3" borderId="17" xfId="0" applyFont="1" applyFill="1" applyBorder="1" applyAlignment="1">
      <alignment horizontal="center" vertical="center" wrapText="1"/>
    </xf>
    <xf numFmtId="0" fontId="55" fillId="3" borderId="0" xfId="0" applyFont="1" applyFill="1" applyAlignment="1">
      <alignment horizontal="center" vertical="center" wrapText="1"/>
    </xf>
    <xf numFmtId="0" fontId="55" fillId="3" borderId="18" xfId="0" applyFont="1" applyFill="1" applyBorder="1" applyAlignment="1">
      <alignment horizontal="center" vertical="center" wrapText="1"/>
    </xf>
    <xf numFmtId="0" fontId="55" fillId="3" borderId="19" xfId="0" applyFont="1" applyFill="1" applyBorder="1" applyAlignment="1">
      <alignment horizontal="center" vertical="center" wrapText="1"/>
    </xf>
    <xf numFmtId="0" fontId="55" fillId="3" borderId="20" xfId="0" applyFont="1" applyFill="1" applyBorder="1" applyAlignment="1">
      <alignment horizontal="center" vertical="center" wrapText="1"/>
    </xf>
    <xf numFmtId="0" fontId="55" fillId="3" borderId="2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 applyProtection="1">
      <alignment horizontal="center" vertical="center" wrapText="1"/>
      <protection locked="0"/>
    </xf>
    <xf numFmtId="0" fontId="54" fillId="6" borderId="1" xfId="0" applyFont="1" applyFill="1" applyBorder="1" applyAlignment="1">
      <alignment horizontal="center" vertical="center" wrapText="1"/>
    </xf>
    <xf numFmtId="0" fontId="47" fillId="6" borderId="2" xfId="0" applyFont="1" applyFill="1" applyBorder="1" applyAlignment="1">
      <alignment vertical="center" wrapText="1"/>
    </xf>
    <xf numFmtId="0" fontId="47" fillId="6" borderId="3" xfId="0" applyFont="1" applyFill="1" applyBorder="1" applyAlignment="1">
      <alignment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9" fillId="6" borderId="6" xfId="0" applyFont="1" applyFill="1" applyBorder="1" applyAlignment="1">
      <alignment horizontal="center" vertical="center" wrapText="1"/>
    </xf>
    <xf numFmtId="0" fontId="19" fillId="6" borderId="22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1" fontId="40" fillId="14" borderId="2" xfId="0" applyNumberFormat="1" applyFont="1" applyFill="1" applyBorder="1" applyAlignment="1">
      <alignment horizontal="center"/>
    </xf>
    <xf numFmtId="1" fontId="40" fillId="14" borderId="12" xfId="0" applyNumberFormat="1" applyFont="1" applyFill="1" applyBorder="1" applyAlignment="1">
      <alignment horizontal="center"/>
    </xf>
    <xf numFmtId="1" fontId="40" fillId="14" borderId="3" xfId="0" applyNumberFormat="1" applyFont="1" applyFill="1" applyBorder="1" applyAlignment="1">
      <alignment horizontal="center"/>
    </xf>
    <xf numFmtId="0" fontId="51" fillId="5" borderId="7" xfId="0" applyFont="1" applyFill="1" applyBorder="1" applyAlignment="1">
      <alignment horizontal="center" vertical="center" wrapText="1"/>
    </xf>
    <xf numFmtId="0" fontId="51" fillId="5" borderId="6" xfId="0" applyFont="1" applyFill="1" applyBorder="1" applyAlignment="1">
      <alignment horizontal="center" vertical="center" wrapText="1"/>
    </xf>
    <xf numFmtId="0" fontId="51" fillId="5" borderId="22" xfId="0" applyFont="1" applyFill="1" applyBorder="1" applyAlignment="1">
      <alignment horizontal="center" vertical="center" wrapText="1"/>
    </xf>
    <xf numFmtId="0" fontId="51" fillId="5" borderId="9" xfId="0" applyFont="1" applyFill="1" applyBorder="1" applyAlignment="1">
      <alignment horizontal="center" vertical="center" wrapText="1"/>
    </xf>
    <xf numFmtId="0" fontId="51" fillId="5" borderId="5" xfId="0" applyFont="1" applyFill="1" applyBorder="1" applyAlignment="1">
      <alignment horizontal="center" vertical="center" wrapText="1"/>
    </xf>
    <xf numFmtId="0" fontId="51" fillId="5" borderId="4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 applyProtection="1">
      <alignment horizontal="left"/>
      <protection hidden="1"/>
    </xf>
    <xf numFmtId="0" fontId="12" fillId="3" borderId="24" xfId="0" applyFont="1" applyFill="1" applyBorder="1" applyAlignment="1" applyProtection="1">
      <alignment horizontal="left"/>
      <protection hidden="1"/>
    </xf>
    <xf numFmtId="0" fontId="12" fillId="3" borderId="25" xfId="0" applyFont="1" applyFill="1" applyBorder="1" applyAlignment="1" applyProtection="1">
      <alignment horizontal="left"/>
      <protection hidden="1"/>
    </xf>
    <xf numFmtId="0" fontId="12" fillId="3" borderId="26" xfId="0" applyFont="1" applyFill="1" applyBorder="1" applyAlignment="1" applyProtection="1">
      <alignment horizontal="left"/>
      <protection hidden="1"/>
    </xf>
    <xf numFmtId="0" fontId="12" fillId="3" borderId="27" xfId="0" applyFont="1" applyFill="1" applyBorder="1" applyAlignment="1" applyProtection="1">
      <alignment horizontal="left"/>
      <protection hidden="1"/>
    </xf>
    <xf numFmtId="0" fontId="4" fillId="15" borderId="13" xfId="0" applyFont="1" applyFill="1" applyBorder="1" applyAlignment="1">
      <alignment horizontal="center" vertical="center" wrapText="1"/>
    </xf>
    <xf numFmtId="0" fontId="7" fillId="15" borderId="0" xfId="0" applyFont="1" applyFill="1" applyAlignment="1">
      <alignment horizontal="center" vertical="center" wrapText="1"/>
    </xf>
    <xf numFmtId="0" fontId="7" fillId="15" borderId="1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3" fillId="3" borderId="0" xfId="0" applyFont="1" applyFill="1" applyAlignment="1">
      <alignment horizontal="center" vertical="top"/>
    </xf>
    <xf numFmtId="0" fontId="0" fillId="3" borderId="0" xfId="0" applyFill="1" applyAlignment="1">
      <alignment horizontal="center" vertical="top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152400</xdr:colOff>
      <xdr:row>6</xdr:row>
      <xdr:rowOff>143934</xdr:rowOff>
    </xdr:from>
    <xdr:to>
      <xdr:col>12</xdr:col>
      <xdr:colOff>676275</xdr:colOff>
      <xdr:row>26</xdr:row>
      <xdr:rowOff>67734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E91DA-D3BB-877B-6003-82149D5FE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7332" r="89940">
                      <a14:foregroundMark x1="20460" y1="88409" x2="16283" y2="76705"/>
                      <a14:foregroundMark x1="16283" y1="76705" x2="7332" y2="71477"/>
                      <a14:foregroundMark x1="7332" y1="71477" x2="12020" y2="70568"/>
                      <a14:backgroundMark x1="51407" y1="83295" x2="64109" y2="79432"/>
                      <a14:backgroundMark x1="64109" y1="79432" x2="73487" y2="72273"/>
                      <a14:backgroundMark x1="73487" y1="72273" x2="79454" y2="61023"/>
                      <a14:backgroundMark x1="79454" y1="61023" x2="80051" y2="4420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375400" y="2192867"/>
          <a:ext cx="4876800" cy="3657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>
        <row r="1">
          <cell r="E1" t="str">
            <v>Cuero</v>
          </cell>
          <cell r="F1">
            <v>5000</v>
          </cell>
        </row>
        <row r="2">
          <cell r="E2" t="str">
            <v>HILO</v>
          </cell>
          <cell r="F2">
            <v>3000</v>
          </cell>
        </row>
        <row r="3">
          <cell r="E3" t="str">
            <v>Forro</v>
          </cell>
          <cell r="F3">
            <v>2350</v>
          </cell>
        </row>
        <row r="4">
          <cell r="E4" t="str">
            <v>salpa</v>
          </cell>
          <cell r="F4">
            <v>1000</v>
          </cell>
        </row>
        <row r="5">
          <cell r="E5" t="str">
            <v>paso</v>
          </cell>
          <cell r="F5">
            <v>4000</v>
          </cell>
        </row>
        <row r="6">
          <cell r="E6" t="str">
            <v>ojo</v>
          </cell>
        </row>
        <row r="7">
          <cell r="E7" t="str">
            <v>HILO</v>
          </cell>
          <cell r="F7">
            <v>5700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248"/>
  <sheetViews>
    <sheetView tabSelected="1" zoomScale="150" zoomScaleNormal="90" workbookViewId="0">
      <selection activeCell="N4" sqref="N4"/>
    </sheetView>
  </sheetViews>
  <sheetFormatPr baseColWidth="10" defaultRowHeight="12.75" x14ac:dyDescent="0.2"/>
  <cols>
    <col min="1" max="1" width="36.7109375" customWidth="1"/>
    <col min="2" max="2" width="13" hidden="1" customWidth="1"/>
    <col min="3" max="3" width="14.28515625" hidden="1" customWidth="1"/>
    <col min="4" max="4" width="15.85546875" customWidth="1"/>
    <col min="5" max="6" width="18.42578125" customWidth="1"/>
    <col min="7" max="7" width="18" hidden="1" customWidth="1"/>
    <col min="8" max="8" width="17.28515625" hidden="1" customWidth="1"/>
    <col min="9" max="9" width="11.42578125" hidden="1" customWidth="1"/>
    <col min="10" max="10" width="15.42578125" customWidth="1"/>
    <col min="11" max="11" width="14.42578125" customWidth="1"/>
    <col min="13" max="13" width="10.140625" customWidth="1"/>
    <col min="14" max="14" width="11.42578125" customWidth="1"/>
  </cols>
  <sheetData>
    <row r="1" spans="1:22" ht="29.25" customHeight="1" x14ac:dyDescent="0.2">
      <c r="A1" s="166" t="s">
        <v>266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</row>
    <row r="2" spans="1:22" ht="24" customHeight="1" x14ac:dyDescent="0.2">
      <c r="A2" s="199" t="s">
        <v>18</v>
      </c>
      <c r="B2" s="200"/>
      <c r="C2" s="30"/>
      <c r="D2" s="168" t="s">
        <v>309</v>
      </c>
      <c r="E2" s="171"/>
      <c r="F2" s="181" t="s">
        <v>212</v>
      </c>
      <c r="G2" s="181"/>
      <c r="H2" s="181"/>
      <c r="I2" s="145">
        <v>1</v>
      </c>
      <c r="J2" s="198" t="s">
        <v>209</v>
      </c>
      <c r="K2" s="198"/>
      <c r="L2" s="198"/>
      <c r="M2" s="198"/>
      <c r="N2" s="6"/>
      <c r="O2" s="6"/>
      <c r="P2" s="6"/>
      <c r="Q2" s="6"/>
      <c r="R2" s="6"/>
      <c r="S2" s="6"/>
      <c r="T2" s="6"/>
      <c r="U2" s="6"/>
      <c r="V2" s="6"/>
    </row>
    <row r="3" spans="1:22" ht="20.25" customHeight="1" x14ac:dyDescent="0.2">
      <c r="A3" s="95" t="s">
        <v>193</v>
      </c>
      <c r="B3" s="96"/>
      <c r="C3" s="31"/>
      <c r="D3" s="168" t="s">
        <v>313</v>
      </c>
      <c r="E3" s="169"/>
      <c r="F3" s="182" t="s">
        <v>308</v>
      </c>
      <c r="G3" s="183"/>
      <c r="H3" s="171"/>
      <c r="I3" s="146"/>
      <c r="J3" s="163">
        <f>SUM(G8:G32)</f>
        <v>5307</v>
      </c>
      <c r="K3" s="164"/>
      <c r="L3" s="164"/>
      <c r="M3" s="165"/>
      <c r="N3" s="6"/>
      <c r="O3" s="6"/>
      <c r="P3" s="6"/>
      <c r="Q3" s="6"/>
      <c r="R3" s="6"/>
      <c r="S3" s="6"/>
      <c r="T3" s="6"/>
      <c r="U3" s="6"/>
      <c r="V3" s="6"/>
    </row>
    <row r="4" spans="1:22" ht="20.25" customHeight="1" x14ac:dyDescent="0.2">
      <c r="A4" s="134" t="s">
        <v>196</v>
      </c>
      <c r="B4" s="96"/>
      <c r="C4" s="135"/>
      <c r="D4" s="98"/>
      <c r="E4" s="92" t="s">
        <v>211</v>
      </c>
      <c r="F4" s="92" t="s">
        <v>210</v>
      </c>
      <c r="G4" s="172" t="s">
        <v>210</v>
      </c>
      <c r="H4" s="173"/>
      <c r="I4" s="145">
        <v>1</v>
      </c>
      <c r="J4" s="159" t="s">
        <v>29</v>
      </c>
      <c r="K4" s="160"/>
      <c r="L4" s="160"/>
      <c r="M4" s="161"/>
      <c r="N4" s="6"/>
      <c r="O4" s="6"/>
      <c r="P4" s="6"/>
      <c r="Q4" s="6"/>
      <c r="R4" s="6"/>
      <c r="S4" s="6"/>
      <c r="T4" s="6"/>
      <c r="U4" s="6"/>
      <c r="V4" s="6"/>
    </row>
    <row r="5" spans="1:22" ht="20.25" customHeight="1" thickBot="1" x14ac:dyDescent="0.3">
      <c r="A5" s="97" t="s">
        <v>195</v>
      </c>
      <c r="B5" s="95"/>
      <c r="C5" s="136"/>
      <c r="D5" s="98">
        <v>45055</v>
      </c>
      <c r="E5" s="137">
        <v>1032366226</v>
      </c>
      <c r="F5" s="141">
        <v>2709092</v>
      </c>
      <c r="G5" s="138"/>
      <c r="H5" s="138"/>
      <c r="I5" s="146"/>
      <c r="J5" s="162">
        <v>30</v>
      </c>
      <c r="K5" s="162"/>
      <c r="L5" s="162"/>
      <c r="M5" s="162"/>
      <c r="N5" s="6"/>
      <c r="O5" s="6"/>
      <c r="P5" s="6"/>
      <c r="Q5" s="6"/>
      <c r="R5" s="6"/>
      <c r="S5" s="6"/>
      <c r="T5" s="6"/>
      <c r="U5" s="6"/>
      <c r="V5" s="6"/>
    </row>
    <row r="6" spans="1:22" ht="10.5" hidden="1" customHeight="1" x14ac:dyDescent="0.2">
      <c r="A6" s="177"/>
      <c r="B6" s="178"/>
      <c r="C6" s="29"/>
      <c r="D6" s="197"/>
      <c r="E6" s="197"/>
      <c r="F6" s="50"/>
      <c r="G6" s="167"/>
      <c r="H6" s="167"/>
      <c r="I6" s="32"/>
      <c r="N6" s="6"/>
      <c r="O6" s="6"/>
      <c r="P6" s="6"/>
      <c r="Q6" s="6"/>
      <c r="R6" s="6"/>
      <c r="S6" s="6"/>
      <c r="T6" s="6"/>
      <c r="U6" s="6"/>
      <c r="V6" s="6"/>
    </row>
    <row r="7" spans="1:22" ht="48.75" customHeight="1" x14ac:dyDescent="0.2">
      <c r="A7" s="51" t="s">
        <v>2</v>
      </c>
      <c r="B7" s="51" t="s">
        <v>24</v>
      </c>
      <c r="C7" s="51" t="s">
        <v>181</v>
      </c>
      <c r="D7" s="51" t="s">
        <v>194</v>
      </c>
      <c r="E7" s="52" t="s">
        <v>38</v>
      </c>
      <c r="F7" s="52" t="s">
        <v>22</v>
      </c>
      <c r="G7" s="76" t="s">
        <v>183</v>
      </c>
      <c r="H7" s="77" t="s">
        <v>182</v>
      </c>
      <c r="J7" s="188" t="s">
        <v>208</v>
      </c>
      <c r="K7" s="189"/>
      <c r="L7" s="189"/>
      <c r="M7" s="190"/>
      <c r="N7" s="6"/>
      <c r="O7" s="6"/>
      <c r="P7" s="6"/>
      <c r="Q7" s="6"/>
      <c r="R7" s="6"/>
      <c r="S7" s="6"/>
      <c r="T7" s="6"/>
      <c r="U7" s="6"/>
    </row>
    <row r="8" spans="1:22" s="6" customFormat="1" ht="18" customHeight="1" x14ac:dyDescent="0.2">
      <c r="A8" s="74" t="s">
        <v>120</v>
      </c>
      <c r="B8" s="33">
        <f t="shared" ref="B8:B32" si="0">VLOOKUP(A8,INVENTARIO,2,FALSE)</f>
        <v>488</v>
      </c>
      <c r="C8" s="33">
        <f t="shared" ref="C8:C32" si="1">VLOOKUP(B8,broche,2,FALSE)</f>
        <v>1</v>
      </c>
      <c r="D8" s="66" t="s">
        <v>311</v>
      </c>
      <c r="E8" s="53">
        <v>9</v>
      </c>
      <c r="F8" s="64">
        <f>F34/G34</f>
        <v>488</v>
      </c>
      <c r="G8" s="80">
        <f>E8*F8*$I$2</f>
        <v>4392</v>
      </c>
      <c r="H8" s="75">
        <f>H34*F8*E8</f>
        <v>131760</v>
      </c>
      <c r="J8" s="191"/>
      <c r="K8" s="192"/>
      <c r="L8" s="192"/>
      <c r="M8" s="193"/>
    </row>
    <row r="9" spans="1:22" s="6" customFormat="1" ht="18" customHeight="1" x14ac:dyDescent="0.2">
      <c r="A9" s="74" t="s">
        <v>173</v>
      </c>
      <c r="B9" s="33">
        <f t="shared" si="0"/>
        <v>0.5</v>
      </c>
      <c r="C9" s="33">
        <f t="shared" si="1"/>
        <v>1</v>
      </c>
      <c r="D9" s="66" t="s">
        <v>312</v>
      </c>
      <c r="E9" s="53">
        <v>1400</v>
      </c>
      <c r="F9" s="64">
        <f>F35/G35</f>
        <v>0.5</v>
      </c>
      <c r="G9" s="80">
        <f t="shared" ref="G9:G32" si="2">E9*F9*$I$2</f>
        <v>700</v>
      </c>
      <c r="H9" s="75">
        <f t="shared" ref="H9:H32" si="3">H35*F9*E9</f>
        <v>21000</v>
      </c>
      <c r="J9" s="191"/>
      <c r="K9" s="192"/>
      <c r="L9" s="192"/>
      <c r="M9" s="193"/>
    </row>
    <row r="10" spans="1:22" s="6" customFormat="1" ht="18" customHeight="1" x14ac:dyDescent="0.2">
      <c r="A10" s="74" t="s">
        <v>118</v>
      </c>
      <c r="B10" s="33">
        <f t="shared" si="0"/>
        <v>4.4000000000000004</v>
      </c>
      <c r="C10" s="33">
        <f t="shared" si="1"/>
        <v>1</v>
      </c>
      <c r="D10" s="66" t="s">
        <v>312</v>
      </c>
      <c r="E10" s="53">
        <v>25</v>
      </c>
      <c r="F10" s="64">
        <f>F36/G36</f>
        <v>4.4000000000000004</v>
      </c>
      <c r="G10" s="80">
        <f t="shared" si="2"/>
        <v>110.00000000000001</v>
      </c>
      <c r="H10" s="75">
        <f t="shared" si="3"/>
        <v>3300</v>
      </c>
      <c r="J10" s="191"/>
      <c r="K10" s="192"/>
      <c r="L10" s="192"/>
      <c r="M10" s="193"/>
    </row>
    <row r="11" spans="1:22" s="6" customFormat="1" ht="18" customHeight="1" x14ac:dyDescent="0.2">
      <c r="A11" s="74" t="s">
        <v>215</v>
      </c>
      <c r="B11" s="33">
        <f t="shared" si="0"/>
        <v>105</v>
      </c>
      <c r="C11" s="33">
        <f t="shared" si="1"/>
        <v>1</v>
      </c>
      <c r="D11" s="66" t="s">
        <v>314</v>
      </c>
      <c r="E11" s="53">
        <v>1</v>
      </c>
      <c r="F11" s="64">
        <f>F37/G37</f>
        <v>105</v>
      </c>
      <c r="G11" s="80">
        <f t="shared" si="2"/>
        <v>105</v>
      </c>
      <c r="H11" s="75">
        <f t="shared" si="3"/>
        <v>3150</v>
      </c>
      <c r="J11" s="191"/>
      <c r="K11" s="192"/>
      <c r="L11" s="192"/>
      <c r="M11" s="193"/>
    </row>
    <row r="12" spans="1:22" s="6" customFormat="1" ht="18" customHeight="1" x14ac:dyDescent="0.2">
      <c r="A12" s="74" t="s">
        <v>94</v>
      </c>
      <c r="B12" s="33"/>
      <c r="C12" s="33"/>
      <c r="D12" s="66" t="s">
        <v>312</v>
      </c>
      <c r="E12" s="53">
        <v>20</v>
      </c>
      <c r="F12" s="64">
        <f t="shared" ref="F12:F32" si="4">F38/G38</f>
        <v>0</v>
      </c>
      <c r="G12" s="80">
        <f t="shared" si="2"/>
        <v>0</v>
      </c>
      <c r="H12" s="75">
        <f t="shared" si="3"/>
        <v>0</v>
      </c>
      <c r="J12" s="191"/>
      <c r="K12" s="192"/>
      <c r="L12" s="192"/>
      <c r="M12" s="193"/>
    </row>
    <row r="13" spans="1:22" s="6" customFormat="1" ht="18" customHeight="1" x14ac:dyDescent="0.2">
      <c r="A13" s="74">
        <v>0</v>
      </c>
      <c r="B13" s="33"/>
      <c r="C13" s="33"/>
      <c r="D13" s="66">
        <v>0</v>
      </c>
      <c r="E13" s="53">
        <v>0</v>
      </c>
      <c r="F13" s="64">
        <f t="shared" si="4"/>
        <v>0</v>
      </c>
      <c r="G13" s="80">
        <f t="shared" si="2"/>
        <v>0</v>
      </c>
      <c r="H13" s="75">
        <f t="shared" si="3"/>
        <v>0</v>
      </c>
      <c r="J13" s="191"/>
      <c r="K13" s="192"/>
      <c r="L13" s="192"/>
      <c r="M13" s="193"/>
    </row>
    <row r="14" spans="1:22" s="6" customFormat="1" ht="18" customHeight="1" x14ac:dyDescent="0.2">
      <c r="A14" s="74">
        <v>0</v>
      </c>
      <c r="B14" s="33"/>
      <c r="C14" s="33"/>
      <c r="D14" s="66">
        <v>0</v>
      </c>
      <c r="E14" s="53">
        <v>0</v>
      </c>
      <c r="F14" s="64">
        <f t="shared" si="4"/>
        <v>0</v>
      </c>
      <c r="G14" s="80">
        <f t="shared" si="2"/>
        <v>0</v>
      </c>
      <c r="H14" s="75">
        <f t="shared" si="3"/>
        <v>0</v>
      </c>
      <c r="J14" s="191"/>
      <c r="K14" s="192"/>
      <c r="L14" s="192"/>
      <c r="M14" s="193"/>
    </row>
    <row r="15" spans="1:22" s="6" customFormat="1" ht="18" customHeight="1" x14ac:dyDescent="0.2">
      <c r="A15" s="74">
        <v>0</v>
      </c>
      <c r="B15" s="33">
        <f t="shared" si="0"/>
        <v>0</v>
      </c>
      <c r="C15" s="33">
        <f t="shared" si="1"/>
        <v>0</v>
      </c>
      <c r="D15" s="66">
        <v>0</v>
      </c>
      <c r="E15" s="53">
        <v>0</v>
      </c>
      <c r="F15" s="64">
        <f t="shared" si="4"/>
        <v>0</v>
      </c>
      <c r="G15" s="80">
        <f t="shared" si="2"/>
        <v>0</v>
      </c>
      <c r="H15" s="75">
        <f t="shared" si="3"/>
        <v>0</v>
      </c>
      <c r="J15" s="191"/>
      <c r="K15" s="192"/>
      <c r="L15" s="192"/>
      <c r="M15" s="193"/>
    </row>
    <row r="16" spans="1:22" s="6" customFormat="1" ht="18" customHeight="1" x14ac:dyDescent="0.2">
      <c r="A16" s="74">
        <v>0</v>
      </c>
      <c r="B16" s="33">
        <f t="shared" si="0"/>
        <v>0</v>
      </c>
      <c r="C16" s="33">
        <f t="shared" si="1"/>
        <v>0</v>
      </c>
      <c r="D16" s="66">
        <v>0</v>
      </c>
      <c r="E16" s="53">
        <v>0</v>
      </c>
      <c r="F16" s="64">
        <f t="shared" si="4"/>
        <v>0</v>
      </c>
      <c r="G16" s="80">
        <f t="shared" si="2"/>
        <v>0</v>
      </c>
      <c r="H16" s="75">
        <f t="shared" si="3"/>
        <v>0</v>
      </c>
      <c r="J16" s="191"/>
      <c r="K16" s="192"/>
      <c r="L16" s="192"/>
      <c r="M16" s="193"/>
    </row>
    <row r="17" spans="1:18" s="6" customFormat="1" ht="18" customHeight="1" x14ac:dyDescent="0.2">
      <c r="A17" s="74">
        <v>0</v>
      </c>
      <c r="B17" s="33">
        <f t="shared" si="0"/>
        <v>0</v>
      </c>
      <c r="C17" s="33">
        <f t="shared" si="1"/>
        <v>0</v>
      </c>
      <c r="D17" s="66">
        <v>0</v>
      </c>
      <c r="E17" s="53">
        <v>0</v>
      </c>
      <c r="F17" s="64">
        <f t="shared" si="4"/>
        <v>0</v>
      </c>
      <c r="G17" s="80">
        <f t="shared" si="2"/>
        <v>0</v>
      </c>
      <c r="H17" s="75">
        <f t="shared" si="3"/>
        <v>0</v>
      </c>
      <c r="J17" s="191"/>
      <c r="K17" s="192"/>
      <c r="L17" s="192"/>
      <c r="M17" s="193"/>
    </row>
    <row r="18" spans="1:18" s="6" customFormat="1" ht="18" customHeight="1" x14ac:dyDescent="0.2">
      <c r="A18" s="74">
        <v>0</v>
      </c>
      <c r="B18" s="33">
        <f t="shared" si="0"/>
        <v>0</v>
      </c>
      <c r="C18" s="33">
        <f t="shared" si="1"/>
        <v>0</v>
      </c>
      <c r="D18" s="66"/>
      <c r="E18" s="53">
        <v>0</v>
      </c>
      <c r="F18" s="64">
        <f t="shared" si="4"/>
        <v>0</v>
      </c>
      <c r="G18" s="80">
        <f t="shared" si="2"/>
        <v>0</v>
      </c>
      <c r="H18" s="75">
        <f t="shared" si="3"/>
        <v>0</v>
      </c>
      <c r="J18" s="191"/>
      <c r="K18" s="192"/>
      <c r="L18" s="192"/>
      <c r="M18" s="193"/>
    </row>
    <row r="19" spans="1:18" s="6" customFormat="1" ht="18" customHeight="1" x14ac:dyDescent="0.2">
      <c r="A19" s="74">
        <v>0</v>
      </c>
      <c r="B19" s="33">
        <f t="shared" si="0"/>
        <v>0</v>
      </c>
      <c r="C19" s="33">
        <f t="shared" si="1"/>
        <v>0</v>
      </c>
      <c r="D19" s="66">
        <v>0</v>
      </c>
      <c r="E19" s="53">
        <v>0</v>
      </c>
      <c r="F19" s="64">
        <f t="shared" si="4"/>
        <v>0</v>
      </c>
      <c r="G19" s="80">
        <f t="shared" si="2"/>
        <v>0</v>
      </c>
      <c r="H19" s="75">
        <f t="shared" si="3"/>
        <v>0</v>
      </c>
      <c r="J19" s="191"/>
      <c r="K19" s="192"/>
      <c r="L19" s="192"/>
      <c r="M19" s="193"/>
    </row>
    <row r="20" spans="1:18" s="6" customFormat="1" ht="18" customHeight="1" x14ac:dyDescent="0.2">
      <c r="A20" s="74">
        <v>0</v>
      </c>
      <c r="B20" s="33">
        <f t="shared" si="0"/>
        <v>0</v>
      </c>
      <c r="C20" s="33">
        <f t="shared" si="1"/>
        <v>0</v>
      </c>
      <c r="D20" s="66">
        <v>0</v>
      </c>
      <c r="E20" s="53">
        <v>0</v>
      </c>
      <c r="F20" s="64">
        <f t="shared" si="4"/>
        <v>0</v>
      </c>
      <c r="G20" s="80">
        <f t="shared" si="2"/>
        <v>0</v>
      </c>
      <c r="H20" s="75">
        <f t="shared" si="3"/>
        <v>0</v>
      </c>
      <c r="J20" s="191"/>
      <c r="K20" s="192"/>
      <c r="L20" s="192"/>
      <c r="M20" s="193"/>
    </row>
    <row r="21" spans="1:18" s="6" customFormat="1" ht="18" customHeight="1" x14ac:dyDescent="0.2">
      <c r="A21" s="74">
        <v>0</v>
      </c>
      <c r="B21" s="33">
        <f t="shared" si="0"/>
        <v>0</v>
      </c>
      <c r="C21" s="33">
        <f t="shared" si="1"/>
        <v>0</v>
      </c>
      <c r="D21" s="66">
        <v>0</v>
      </c>
      <c r="E21" s="53">
        <v>0</v>
      </c>
      <c r="F21" s="64">
        <f t="shared" si="4"/>
        <v>0</v>
      </c>
      <c r="G21" s="80">
        <f t="shared" si="2"/>
        <v>0</v>
      </c>
      <c r="H21" s="75">
        <f t="shared" si="3"/>
        <v>0</v>
      </c>
      <c r="J21" s="191"/>
      <c r="K21" s="192"/>
      <c r="L21" s="192"/>
      <c r="M21" s="193"/>
    </row>
    <row r="22" spans="1:18" s="6" customFormat="1" ht="18" customHeight="1" x14ac:dyDescent="0.2">
      <c r="A22" s="74">
        <v>0</v>
      </c>
      <c r="B22" s="33">
        <v>0.5</v>
      </c>
      <c r="C22" s="33">
        <f t="shared" si="1"/>
        <v>1</v>
      </c>
      <c r="D22" s="66"/>
      <c r="E22" s="53">
        <v>0</v>
      </c>
      <c r="F22" s="64">
        <f t="shared" si="4"/>
        <v>0.5</v>
      </c>
      <c r="G22" s="80">
        <f t="shared" si="2"/>
        <v>0</v>
      </c>
      <c r="H22" s="75">
        <f t="shared" si="3"/>
        <v>0</v>
      </c>
      <c r="J22" s="191"/>
      <c r="K22" s="192"/>
      <c r="L22" s="192"/>
      <c r="M22" s="193"/>
    </row>
    <row r="23" spans="1:18" s="6" customFormat="1" ht="18" customHeight="1" x14ac:dyDescent="0.2">
      <c r="A23" s="74">
        <v>0</v>
      </c>
      <c r="B23" s="33">
        <f t="shared" si="0"/>
        <v>0</v>
      </c>
      <c r="C23" s="33">
        <f t="shared" si="1"/>
        <v>0</v>
      </c>
      <c r="D23" s="66">
        <v>0</v>
      </c>
      <c r="E23" s="53">
        <v>0</v>
      </c>
      <c r="F23" s="64">
        <f t="shared" si="4"/>
        <v>0</v>
      </c>
      <c r="G23" s="80">
        <f t="shared" si="2"/>
        <v>0</v>
      </c>
      <c r="H23" s="75">
        <f t="shared" si="3"/>
        <v>0</v>
      </c>
      <c r="J23" s="191"/>
      <c r="K23" s="192"/>
      <c r="L23" s="192"/>
      <c r="M23" s="193"/>
    </row>
    <row r="24" spans="1:18" s="6" customFormat="1" ht="18" customHeight="1" thickBot="1" x14ac:dyDescent="0.25">
      <c r="A24" s="74">
        <v>0</v>
      </c>
      <c r="B24" s="33">
        <f t="shared" si="0"/>
        <v>0</v>
      </c>
      <c r="C24" s="33">
        <f t="shared" si="1"/>
        <v>0</v>
      </c>
      <c r="D24" s="66">
        <v>0</v>
      </c>
      <c r="E24" s="53">
        <v>0</v>
      </c>
      <c r="F24" s="64">
        <f t="shared" si="4"/>
        <v>0</v>
      </c>
      <c r="G24" s="80">
        <f t="shared" si="2"/>
        <v>0</v>
      </c>
      <c r="H24" s="75">
        <f t="shared" si="3"/>
        <v>0</v>
      </c>
      <c r="J24" s="194"/>
      <c r="K24" s="195"/>
      <c r="L24" s="195"/>
      <c r="M24" s="196"/>
    </row>
    <row r="25" spans="1:18" s="6" customFormat="1" ht="18" customHeight="1" x14ac:dyDescent="0.2">
      <c r="A25" s="74">
        <v>0</v>
      </c>
      <c r="B25" s="33">
        <f t="shared" si="0"/>
        <v>0</v>
      </c>
      <c r="C25" s="33">
        <f t="shared" si="1"/>
        <v>0</v>
      </c>
      <c r="D25" s="66">
        <v>0</v>
      </c>
      <c r="E25" s="53">
        <v>0</v>
      </c>
      <c r="F25" s="64">
        <f t="shared" si="4"/>
        <v>0</v>
      </c>
      <c r="G25" s="80">
        <f t="shared" si="2"/>
        <v>0</v>
      </c>
      <c r="H25" s="75">
        <f t="shared" si="3"/>
        <v>0</v>
      </c>
      <c r="J25" s="149" t="s">
        <v>207</v>
      </c>
      <c r="K25" s="150"/>
      <c r="L25" s="184">
        <f>J3*110%</f>
        <v>5837.7000000000007</v>
      </c>
      <c r="M25" s="185"/>
    </row>
    <row r="26" spans="1:18" s="6" customFormat="1" ht="18" customHeight="1" x14ac:dyDescent="0.2">
      <c r="A26" s="74">
        <v>0</v>
      </c>
      <c r="B26" s="33">
        <f t="shared" si="0"/>
        <v>0</v>
      </c>
      <c r="C26" s="33">
        <f t="shared" si="1"/>
        <v>0</v>
      </c>
      <c r="D26" s="66">
        <v>0</v>
      </c>
      <c r="E26" s="53">
        <v>0</v>
      </c>
      <c r="F26" s="64">
        <f t="shared" si="4"/>
        <v>0</v>
      </c>
      <c r="G26" s="80">
        <f t="shared" si="2"/>
        <v>0</v>
      </c>
      <c r="H26" s="75">
        <f t="shared" si="3"/>
        <v>0</v>
      </c>
      <c r="J26" s="149"/>
      <c r="K26" s="150"/>
      <c r="L26" s="184"/>
      <c r="M26" s="185"/>
    </row>
    <row r="27" spans="1:18" s="6" customFormat="1" ht="18" customHeight="1" x14ac:dyDescent="0.2">
      <c r="A27" s="74">
        <v>0</v>
      </c>
      <c r="B27" s="33">
        <f t="shared" si="0"/>
        <v>0</v>
      </c>
      <c r="C27" s="33">
        <f t="shared" si="1"/>
        <v>0</v>
      </c>
      <c r="D27" s="66">
        <v>0</v>
      </c>
      <c r="E27" s="53">
        <v>0</v>
      </c>
      <c r="F27" s="64">
        <f t="shared" si="4"/>
        <v>0</v>
      </c>
      <c r="G27" s="80">
        <f t="shared" si="2"/>
        <v>0</v>
      </c>
      <c r="H27" s="75">
        <f t="shared" si="3"/>
        <v>0</v>
      </c>
      <c r="J27" s="151"/>
      <c r="K27" s="152"/>
      <c r="L27" s="186"/>
      <c r="M27" s="187"/>
    </row>
    <row r="28" spans="1:18" s="6" customFormat="1" ht="18" customHeight="1" x14ac:dyDescent="0.2">
      <c r="A28" s="74">
        <v>0</v>
      </c>
      <c r="B28" s="33">
        <f t="shared" si="0"/>
        <v>0</v>
      </c>
      <c r="C28" s="33">
        <f t="shared" si="1"/>
        <v>0</v>
      </c>
      <c r="D28" s="66">
        <v>0</v>
      </c>
      <c r="E28" s="53">
        <v>0</v>
      </c>
      <c r="F28" s="64">
        <f t="shared" si="4"/>
        <v>0</v>
      </c>
      <c r="G28" s="80">
        <f t="shared" si="2"/>
        <v>0</v>
      </c>
      <c r="H28" s="75">
        <f t="shared" si="3"/>
        <v>0</v>
      </c>
      <c r="J28" s="147" t="s">
        <v>267</v>
      </c>
      <c r="K28" s="148"/>
      <c r="L28" s="153">
        <f>L25*J5</f>
        <v>175131.00000000003</v>
      </c>
      <c r="M28" s="154"/>
    </row>
    <row r="29" spans="1:18" s="6" customFormat="1" ht="18" customHeight="1" x14ac:dyDescent="0.2">
      <c r="A29" s="74">
        <v>0</v>
      </c>
      <c r="B29" s="33">
        <f t="shared" si="0"/>
        <v>0</v>
      </c>
      <c r="C29" s="33">
        <f t="shared" si="1"/>
        <v>0</v>
      </c>
      <c r="D29" s="66">
        <v>0</v>
      </c>
      <c r="E29" s="53">
        <v>0</v>
      </c>
      <c r="F29" s="64">
        <f t="shared" si="4"/>
        <v>0</v>
      </c>
      <c r="G29" s="80">
        <f t="shared" si="2"/>
        <v>0</v>
      </c>
      <c r="H29" s="75">
        <f t="shared" si="3"/>
        <v>0</v>
      </c>
      <c r="J29" s="149"/>
      <c r="K29" s="150"/>
      <c r="L29" s="155"/>
      <c r="M29" s="156"/>
    </row>
    <row r="30" spans="1:18" s="6" customFormat="1" ht="18" customHeight="1" x14ac:dyDescent="0.2">
      <c r="A30" s="74">
        <v>0</v>
      </c>
      <c r="B30" s="33">
        <f t="shared" si="0"/>
        <v>0</v>
      </c>
      <c r="C30" s="33">
        <f t="shared" si="1"/>
        <v>0</v>
      </c>
      <c r="D30" s="66">
        <v>0</v>
      </c>
      <c r="E30" s="53">
        <v>0</v>
      </c>
      <c r="F30" s="64">
        <f t="shared" si="4"/>
        <v>0</v>
      </c>
      <c r="G30" s="80">
        <f t="shared" si="2"/>
        <v>0</v>
      </c>
      <c r="H30" s="75">
        <f t="shared" si="3"/>
        <v>0</v>
      </c>
      <c r="J30" s="151"/>
      <c r="K30" s="152"/>
      <c r="L30" s="157"/>
      <c r="M30" s="158"/>
    </row>
    <row r="31" spans="1:18" s="6" customFormat="1" ht="18" customHeight="1" x14ac:dyDescent="0.2">
      <c r="A31" s="74">
        <v>0</v>
      </c>
      <c r="B31" s="33">
        <f t="shared" si="0"/>
        <v>0</v>
      </c>
      <c r="C31" s="33">
        <f t="shared" si="1"/>
        <v>0</v>
      </c>
      <c r="D31" s="66">
        <v>0</v>
      </c>
      <c r="E31" s="53">
        <v>0</v>
      </c>
      <c r="F31" s="64">
        <f t="shared" si="4"/>
        <v>0</v>
      </c>
      <c r="G31" s="80">
        <f t="shared" si="2"/>
        <v>0</v>
      </c>
      <c r="H31" s="75">
        <f t="shared" si="3"/>
        <v>0</v>
      </c>
    </row>
    <row r="32" spans="1:18" ht="17.25" customHeight="1" x14ac:dyDescent="0.2">
      <c r="A32" s="74">
        <v>0</v>
      </c>
      <c r="B32" s="33">
        <f t="shared" si="0"/>
        <v>0</v>
      </c>
      <c r="C32" s="33">
        <f t="shared" si="1"/>
        <v>0</v>
      </c>
      <c r="D32" s="66">
        <v>0</v>
      </c>
      <c r="E32" s="53">
        <v>0</v>
      </c>
      <c r="F32" s="64">
        <f t="shared" si="4"/>
        <v>0</v>
      </c>
      <c r="G32" s="80">
        <f t="shared" si="2"/>
        <v>0</v>
      </c>
      <c r="H32" s="75">
        <f t="shared" si="3"/>
        <v>0</v>
      </c>
      <c r="J32" s="6"/>
      <c r="K32" s="6"/>
      <c r="L32" s="6"/>
      <c r="M32" s="6"/>
      <c r="N32" s="6"/>
      <c r="O32" s="6"/>
      <c r="P32" s="6"/>
      <c r="Q32" s="6"/>
      <c r="R32" s="6"/>
    </row>
    <row r="33" spans="1:22" ht="18" hidden="1" customHeight="1" x14ac:dyDescent="0.2">
      <c r="A33" s="34"/>
      <c r="B33" s="34"/>
      <c r="C33" s="33"/>
      <c r="D33" s="65"/>
      <c r="E33" s="53"/>
      <c r="F33" s="35"/>
      <c r="G33" s="179"/>
      <c r="H33" s="179"/>
      <c r="I33" s="36"/>
      <c r="J33" s="37"/>
      <c r="K33" s="32"/>
      <c r="L33" s="32"/>
      <c r="M33" s="32"/>
      <c r="N33" s="6"/>
      <c r="O33" s="6"/>
      <c r="P33" s="6"/>
      <c r="Q33" s="6"/>
      <c r="R33" s="6"/>
      <c r="S33" s="6"/>
      <c r="T33" s="6"/>
      <c r="U33" s="6"/>
      <c r="V33" s="6"/>
    </row>
    <row r="34" spans="1:22" ht="12.75" hidden="1" customHeight="1" x14ac:dyDescent="0.2">
      <c r="A34" s="38" t="str">
        <f t="shared" ref="A34:A58" si="5">A8</f>
        <v>Cuero Napa Variada  (Dm2)</v>
      </c>
      <c r="B34" s="39"/>
      <c r="C34" s="39"/>
      <c r="D34" s="40" t="str">
        <f>IF(D8&lt;1,0,D8)</f>
        <v>MIEL O CAFÉ</v>
      </c>
      <c r="E34" s="41">
        <f>IF(C8*B8&lt;1,0,C8)</f>
        <v>1</v>
      </c>
      <c r="F34" s="63">
        <f>B8</f>
        <v>488</v>
      </c>
      <c r="G34" s="42">
        <f t="shared" ref="G34:G58" si="6">IF(E34&lt;1,(1),E34)</f>
        <v>1</v>
      </c>
      <c r="H34" s="33">
        <f>J5</f>
        <v>30</v>
      </c>
      <c r="I34" s="43">
        <f t="shared" ref="I34:I58" si="7">G8/G34</f>
        <v>4392</v>
      </c>
      <c r="J34" s="37"/>
      <c r="K34" s="32"/>
      <c r="L34" s="32"/>
      <c r="M34" s="32"/>
      <c r="N34" s="6"/>
      <c r="O34" s="6"/>
      <c r="P34" s="6"/>
      <c r="Q34" s="6"/>
      <c r="R34" s="6"/>
      <c r="S34" s="6"/>
      <c r="T34" s="6"/>
      <c r="U34" s="6"/>
      <c r="V34" s="6"/>
    </row>
    <row r="35" spans="1:22" ht="12.75" hidden="1" customHeight="1" x14ac:dyDescent="0.2">
      <c r="A35" s="38" t="str">
        <f t="shared" si="5"/>
        <v>Seda 30-100 Colores  (cm²)</v>
      </c>
      <c r="B35" s="39"/>
      <c r="C35" s="39"/>
      <c r="D35" s="40" t="str">
        <f t="shared" ref="D35:D58" si="8">IF(D9&lt;1,0,D9)</f>
        <v>CAFÉ</v>
      </c>
      <c r="E35" s="41">
        <f t="shared" ref="E35:E58" si="9">IF(C9*B9&lt;1,0,C9)</f>
        <v>0</v>
      </c>
      <c r="F35" s="63">
        <f t="shared" ref="F35:F58" si="10">B9</f>
        <v>0.5</v>
      </c>
      <c r="G35" s="42">
        <f t="shared" si="6"/>
        <v>1</v>
      </c>
      <c r="H35" s="33">
        <f>J5</f>
        <v>30</v>
      </c>
      <c r="I35" s="43">
        <f t="shared" si="7"/>
        <v>700</v>
      </c>
      <c r="J35" s="37"/>
      <c r="K35" s="32"/>
      <c r="L35" s="32"/>
      <c r="M35" s="32"/>
      <c r="N35" s="6"/>
      <c r="O35" s="6"/>
      <c r="P35" s="6"/>
      <c r="Q35" s="6"/>
      <c r="R35" s="6"/>
      <c r="S35" s="6"/>
      <c r="T35" s="6"/>
      <c r="U35" s="6"/>
      <c r="V35" s="6"/>
    </row>
    <row r="36" spans="1:22" ht="12.75" hidden="1" customHeight="1" x14ac:dyDescent="0.2">
      <c r="A36" s="38" t="str">
        <f t="shared" si="5"/>
        <v>Cremallera Nylon #4(cm)</v>
      </c>
      <c r="B36" s="39"/>
      <c r="C36" s="39"/>
      <c r="D36" s="40" t="str">
        <f t="shared" si="8"/>
        <v>CAFÉ</v>
      </c>
      <c r="E36" s="41">
        <f t="shared" si="9"/>
        <v>1</v>
      </c>
      <c r="F36" s="63">
        <f t="shared" si="10"/>
        <v>4.4000000000000004</v>
      </c>
      <c r="G36" s="42">
        <f t="shared" si="6"/>
        <v>1</v>
      </c>
      <c r="H36" s="33">
        <f>J5</f>
        <v>30</v>
      </c>
      <c r="I36" s="43">
        <f t="shared" si="7"/>
        <v>110.00000000000001</v>
      </c>
      <c r="J36" s="37"/>
      <c r="K36" s="32"/>
      <c r="L36" s="32"/>
      <c r="M36" s="32"/>
      <c r="N36" s="6"/>
      <c r="O36" s="6"/>
      <c r="P36" s="6"/>
      <c r="Q36" s="6"/>
      <c r="R36" s="6"/>
      <c r="S36" s="6"/>
      <c r="T36" s="6"/>
      <c r="U36" s="6"/>
      <c r="V36" s="6"/>
    </row>
    <row r="37" spans="1:22" ht="12.75" hidden="1" customHeight="1" x14ac:dyDescent="0.2">
      <c r="A37" s="38" t="str">
        <f t="shared" si="5"/>
        <v xml:space="preserve">llaves #4 Pb </v>
      </c>
      <c r="B37" s="39"/>
      <c r="C37" s="39"/>
      <c r="D37" s="40" t="str">
        <f t="shared" si="8"/>
        <v>PABONADO</v>
      </c>
      <c r="E37" s="41">
        <f t="shared" si="9"/>
        <v>1</v>
      </c>
      <c r="F37" s="63">
        <f t="shared" si="10"/>
        <v>105</v>
      </c>
      <c r="G37" s="42">
        <f t="shared" si="6"/>
        <v>1</v>
      </c>
      <c r="H37" s="33">
        <f>J5</f>
        <v>30</v>
      </c>
      <c r="I37" s="43">
        <f t="shared" si="7"/>
        <v>105</v>
      </c>
      <c r="J37" s="37"/>
      <c r="K37" s="32"/>
      <c r="L37" s="32"/>
      <c r="M37" s="32"/>
      <c r="N37" s="6"/>
      <c r="O37" s="6"/>
      <c r="P37" s="6"/>
      <c r="Q37" s="6"/>
      <c r="R37" s="6"/>
      <c r="S37" s="6"/>
      <c r="T37" s="6"/>
      <c r="U37" s="6"/>
      <c r="V37" s="6"/>
    </row>
    <row r="38" spans="1:22" ht="12.75" hidden="1" customHeight="1" x14ac:dyDescent="0.2">
      <c r="A38" s="38" t="str">
        <f t="shared" si="5"/>
        <v>Cinta Falla de 25mm  (Cm)</v>
      </c>
      <c r="B38" s="39"/>
      <c r="C38" s="39"/>
      <c r="D38" s="40" t="str">
        <f t="shared" si="8"/>
        <v>CAFÉ</v>
      </c>
      <c r="E38" s="41">
        <f t="shared" si="9"/>
        <v>0</v>
      </c>
      <c r="F38" s="63">
        <f t="shared" si="10"/>
        <v>0</v>
      </c>
      <c r="G38" s="42">
        <f t="shared" si="6"/>
        <v>1</v>
      </c>
      <c r="H38" s="33">
        <f>J5</f>
        <v>30</v>
      </c>
      <c r="I38" s="43">
        <f t="shared" si="7"/>
        <v>0</v>
      </c>
      <c r="J38" s="37"/>
      <c r="K38" s="32"/>
      <c r="L38" s="32"/>
      <c r="M38" s="32"/>
      <c r="N38" s="6"/>
      <c r="O38" s="6"/>
      <c r="P38" s="6"/>
      <c r="Q38" s="6"/>
      <c r="R38" s="6"/>
      <c r="S38" s="6"/>
      <c r="T38" s="6"/>
      <c r="U38" s="6"/>
      <c r="V38" s="6"/>
    </row>
    <row r="39" spans="1:22" ht="12.75" hidden="1" customHeight="1" x14ac:dyDescent="0.2">
      <c r="A39" s="38">
        <f t="shared" si="5"/>
        <v>0</v>
      </c>
      <c r="B39" s="39"/>
      <c r="C39" s="39"/>
      <c r="D39" s="40">
        <f t="shared" si="8"/>
        <v>0</v>
      </c>
      <c r="E39" s="41">
        <f t="shared" si="9"/>
        <v>0</v>
      </c>
      <c r="F39" s="63">
        <f t="shared" si="10"/>
        <v>0</v>
      </c>
      <c r="G39" s="42">
        <f t="shared" si="6"/>
        <v>1</v>
      </c>
      <c r="H39" s="33">
        <f>J5</f>
        <v>30</v>
      </c>
      <c r="I39" s="43">
        <f t="shared" si="7"/>
        <v>0</v>
      </c>
      <c r="J39" s="37"/>
      <c r="K39" s="32"/>
      <c r="L39" s="32"/>
      <c r="M39" s="32"/>
      <c r="N39" s="6"/>
      <c r="O39" s="6"/>
      <c r="P39" s="6"/>
      <c r="Q39" s="6"/>
      <c r="R39" s="6"/>
      <c r="S39" s="6"/>
      <c r="T39" s="6"/>
      <c r="U39" s="6"/>
      <c r="V39" s="6"/>
    </row>
    <row r="40" spans="1:22" ht="12.75" hidden="1" customHeight="1" x14ac:dyDescent="0.2">
      <c r="A40" s="38">
        <f t="shared" si="5"/>
        <v>0</v>
      </c>
      <c r="B40" s="39"/>
      <c r="C40" s="39"/>
      <c r="D40" s="40">
        <f t="shared" si="8"/>
        <v>0</v>
      </c>
      <c r="E40" s="41">
        <f t="shared" si="9"/>
        <v>0</v>
      </c>
      <c r="F40" s="63">
        <f t="shared" si="10"/>
        <v>0</v>
      </c>
      <c r="G40" s="42">
        <f t="shared" si="6"/>
        <v>1</v>
      </c>
      <c r="H40" s="33">
        <f>J5</f>
        <v>30</v>
      </c>
      <c r="I40" s="43">
        <f t="shared" si="7"/>
        <v>0</v>
      </c>
      <c r="J40" s="37"/>
      <c r="K40" s="32"/>
      <c r="L40" s="32"/>
      <c r="M40" s="32"/>
      <c r="N40" s="6"/>
      <c r="O40" s="6"/>
      <c r="P40" s="6"/>
      <c r="Q40" s="6"/>
      <c r="R40" s="6"/>
      <c r="S40" s="6"/>
      <c r="T40" s="6"/>
      <c r="U40" s="6"/>
      <c r="V40" s="6"/>
    </row>
    <row r="41" spans="1:22" ht="12.75" hidden="1" customHeight="1" x14ac:dyDescent="0.2">
      <c r="A41" s="38">
        <f t="shared" si="5"/>
        <v>0</v>
      </c>
      <c r="B41" s="39"/>
      <c r="C41" s="39"/>
      <c r="D41" s="40">
        <f t="shared" si="8"/>
        <v>0</v>
      </c>
      <c r="E41" s="41">
        <f t="shared" si="9"/>
        <v>0</v>
      </c>
      <c r="F41" s="63">
        <f t="shared" si="10"/>
        <v>0</v>
      </c>
      <c r="G41" s="42">
        <f t="shared" si="6"/>
        <v>1</v>
      </c>
      <c r="H41" s="33">
        <f>J5</f>
        <v>30</v>
      </c>
      <c r="I41" s="43">
        <f t="shared" si="7"/>
        <v>0</v>
      </c>
      <c r="J41" s="37"/>
      <c r="K41" s="32"/>
      <c r="L41" s="32"/>
      <c r="M41" s="32"/>
      <c r="N41" s="6"/>
      <c r="O41" s="6"/>
      <c r="P41" s="6"/>
      <c r="Q41" s="6"/>
      <c r="R41" s="6"/>
      <c r="S41" s="6"/>
      <c r="T41" s="6"/>
      <c r="U41" s="6"/>
      <c r="V41" s="6"/>
    </row>
    <row r="42" spans="1:22" ht="12.75" hidden="1" customHeight="1" x14ac:dyDescent="0.2">
      <c r="A42" s="38">
        <f t="shared" si="5"/>
        <v>0</v>
      </c>
      <c r="B42" s="39"/>
      <c r="C42" s="39"/>
      <c r="D42" s="40">
        <f t="shared" si="8"/>
        <v>0</v>
      </c>
      <c r="E42" s="41">
        <f t="shared" si="9"/>
        <v>0</v>
      </c>
      <c r="F42" s="63">
        <f t="shared" si="10"/>
        <v>0</v>
      </c>
      <c r="G42" s="42">
        <f t="shared" si="6"/>
        <v>1</v>
      </c>
      <c r="H42" s="33">
        <f>J5</f>
        <v>30</v>
      </c>
      <c r="I42" s="43">
        <f t="shared" si="7"/>
        <v>0</v>
      </c>
      <c r="J42" s="37"/>
      <c r="K42" s="32"/>
      <c r="L42" s="32"/>
      <c r="M42" s="32"/>
      <c r="N42" s="6"/>
      <c r="O42" s="6"/>
      <c r="P42" s="6"/>
      <c r="Q42" s="6"/>
      <c r="R42" s="6"/>
      <c r="S42" s="6"/>
      <c r="T42" s="6"/>
      <c r="U42" s="6"/>
      <c r="V42" s="6"/>
    </row>
    <row r="43" spans="1:22" ht="12.75" hidden="1" customHeight="1" x14ac:dyDescent="0.2">
      <c r="A43" s="38">
        <f t="shared" si="5"/>
        <v>0</v>
      </c>
      <c r="B43" s="39"/>
      <c r="C43" s="39"/>
      <c r="D43" s="40">
        <f t="shared" si="8"/>
        <v>0</v>
      </c>
      <c r="E43" s="41">
        <f t="shared" si="9"/>
        <v>0</v>
      </c>
      <c r="F43" s="63">
        <f t="shared" si="10"/>
        <v>0</v>
      </c>
      <c r="G43" s="42">
        <f t="shared" si="6"/>
        <v>1</v>
      </c>
      <c r="H43" s="33">
        <f>J5</f>
        <v>30</v>
      </c>
      <c r="I43" s="43">
        <f t="shared" si="7"/>
        <v>0</v>
      </c>
      <c r="J43" s="37"/>
      <c r="K43" s="32"/>
      <c r="L43" s="32"/>
      <c r="M43" s="32"/>
      <c r="N43" s="6"/>
      <c r="O43" s="6"/>
      <c r="P43" s="6"/>
      <c r="Q43" s="6"/>
      <c r="R43" s="6"/>
      <c r="S43" s="6"/>
      <c r="T43" s="6"/>
      <c r="U43" s="6"/>
      <c r="V43" s="6"/>
    </row>
    <row r="44" spans="1:22" ht="12.75" hidden="1" customHeight="1" x14ac:dyDescent="0.2">
      <c r="A44" s="38">
        <f t="shared" si="5"/>
        <v>0</v>
      </c>
      <c r="B44" s="39"/>
      <c r="C44" s="39"/>
      <c r="D44" s="40">
        <f t="shared" si="8"/>
        <v>0</v>
      </c>
      <c r="E44" s="41">
        <f t="shared" si="9"/>
        <v>0</v>
      </c>
      <c r="F44" s="63">
        <f t="shared" si="10"/>
        <v>0</v>
      </c>
      <c r="G44" s="42">
        <f t="shared" si="6"/>
        <v>1</v>
      </c>
      <c r="H44" s="33">
        <f>J5</f>
        <v>30</v>
      </c>
      <c r="I44" s="43">
        <f t="shared" si="7"/>
        <v>0</v>
      </c>
      <c r="J44" s="37"/>
      <c r="K44" s="32"/>
      <c r="L44" s="32"/>
      <c r="M44" s="32"/>
      <c r="N44" s="6"/>
      <c r="O44" s="6"/>
      <c r="P44" s="6"/>
      <c r="Q44" s="6"/>
      <c r="R44" s="6"/>
      <c r="S44" s="6"/>
      <c r="T44" s="6"/>
      <c r="U44" s="6"/>
      <c r="V44" s="6"/>
    </row>
    <row r="45" spans="1:22" ht="12.75" hidden="1" customHeight="1" x14ac:dyDescent="0.2">
      <c r="A45" s="38">
        <f t="shared" si="5"/>
        <v>0</v>
      </c>
      <c r="B45" s="39"/>
      <c r="C45" s="39"/>
      <c r="D45" s="40">
        <f t="shared" si="8"/>
        <v>0</v>
      </c>
      <c r="E45" s="41">
        <f t="shared" si="9"/>
        <v>0</v>
      </c>
      <c r="F45" s="63">
        <f t="shared" si="10"/>
        <v>0</v>
      </c>
      <c r="G45" s="42">
        <f t="shared" si="6"/>
        <v>1</v>
      </c>
      <c r="H45" s="33">
        <f>J5</f>
        <v>30</v>
      </c>
      <c r="I45" s="43">
        <f t="shared" si="7"/>
        <v>0</v>
      </c>
      <c r="J45" s="37"/>
      <c r="K45" s="32"/>
      <c r="L45" s="32"/>
      <c r="M45" s="32"/>
      <c r="N45" s="6"/>
      <c r="O45" s="6"/>
      <c r="P45" s="6"/>
      <c r="Q45" s="6"/>
      <c r="R45" s="6"/>
      <c r="S45" s="6"/>
      <c r="T45" s="6"/>
      <c r="U45" s="6"/>
      <c r="V45" s="6"/>
    </row>
    <row r="46" spans="1:22" ht="12.75" hidden="1" customHeight="1" x14ac:dyDescent="0.2">
      <c r="A46" s="38">
        <f t="shared" si="5"/>
        <v>0</v>
      </c>
      <c r="B46" s="39"/>
      <c r="C46" s="39"/>
      <c r="D46" s="40">
        <f t="shared" si="8"/>
        <v>0</v>
      </c>
      <c r="E46" s="41">
        <f t="shared" si="9"/>
        <v>0</v>
      </c>
      <c r="F46" s="63">
        <f t="shared" si="10"/>
        <v>0</v>
      </c>
      <c r="G46" s="42">
        <f t="shared" si="6"/>
        <v>1</v>
      </c>
      <c r="H46" s="33">
        <f>J5</f>
        <v>30</v>
      </c>
      <c r="I46" s="43">
        <f t="shared" si="7"/>
        <v>0</v>
      </c>
      <c r="J46" s="37"/>
      <c r="K46" s="32"/>
      <c r="L46" s="32"/>
      <c r="M46" s="32"/>
      <c r="N46" s="6"/>
      <c r="O46" s="6"/>
      <c r="P46" s="6"/>
      <c r="Q46" s="6"/>
      <c r="R46" s="6"/>
      <c r="S46" s="6"/>
      <c r="T46" s="6"/>
      <c r="U46" s="6"/>
      <c r="V46" s="6"/>
    </row>
    <row r="47" spans="1:22" ht="12.75" hidden="1" customHeight="1" x14ac:dyDescent="0.2">
      <c r="A47" s="38">
        <f t="shared" si="5"/>
        <v>0</v>
      </c>
      <c r="B47" s="39"/>
      <c r="C47" s="39"/>
      <c r="D47" s="40">
        <f t="shared" si="8"/>
        <v>0</v>
      </c>
      <c r="E47" s="41">
        <f t="shared" si="9"/>
        <v>0</v>
      </c>
      <c r="F47" s="63">
        <f t="shared" si="10"/>
        <v>0</v>
      </c>
      <c r="G47" s="42">
        <f t="shared" si="6"/>
        <v>1</v>
      </c>
      <c r="H47" s="33">
        <f>J5</f>
        <v>30</v>
      </c>
      <c r="I47" s="43">
        <f t="shared" si="7"/>
        <v>0</v>
      </c>
      <c r="J47" s="37"/>
      <c r="K47" s="32"/>
      <c r="L47" s="32"/>
      <c r="M47" s="32"/>
      <c r="N47" s="6"/>
      <c r="O47" s="6"/>
      <c r="P47" s="6"/>
      <c r="Q47" s="6"/>
      <c r="R47" s="6"/>
      <c r="S47" s="6"/>
      <c r="T47" s="6"/>
      <c r="U47" s="6"/>
      <c r="V47" s="6"/>
    </row>
    <row r="48" spans="1:22" ht="12.75" hidden="1" customHeight="1" x14ac:dyDescent="0.2">
      <c r="A48" s="38">
        <f t="shared" si="5"/>
        <v>0</v>
      </c>
      <c r="B48" s="39"/>
      <c r="C48" s="39"/>
      <c r="D48" s="40">
        <f t="shared" si="8"/>
        <v>0</v>
      </c>
      <c r="E48" s="41">
        <f t="shared" si="9"/>
        <v>0</v>
      </c>
      <c r="F48" s="63">
        <f t="shared" si="10"/>
        <v>0.5</v>
      </c>
      <c r="G48" s="42">
        <f t="shared" si="6"/>
        <v>1</v>
      </c>
      <c r="H48" s="33">
        <f>J5</f>
        <v>30</v>
      </c>
      <c r="I48" s="43">
        <f t="shared" si="7"/>
        <v>0</v>
      </c>
      <c r="J48" s="37"/>
      <c r="K48" s="32"/>
      <c r="L48" s="32"/>
      <c r="M48" s="32"/>
      <c r="N48" s="6"/>
      <c r="O48" s="6"/>
      <c r="P48" s="6"/>
      <c r="Q48" s="6"/>
      <c r="R48" s="6"/>
      <c r="S48" s="6"/>
      <c r="T48" s="6"/>
      <c r="U48" s="6"/>
      <c r="V48" s="6"/>
    </row>
    <row r="49" spans="1:22" ht="12.75" hidden="1" customHeight="1" x14ac:dyDescent="0.2">
      <c r="A49" s="38">
        <f t="shared" si="5"/>
        <v>0</v>
      </c>
      <c r="B49" s="39"/>
      <c r="C49" s="39"/>
      <c r="D49" s="40">
        <f t="shared" si="8"/>
        <v>0</v>
      </c>
      <c r="E49" s="41">
        <f t="shared" si="9"/>
        <v>0</v>
      </c>
      <c r="F49" s="63">
        <f t="shared" si="10"/>
        <v>0</v>
      </c>
      <c r="G49" s="42">
        <f t="shared" si="6"/>
        <v>1</v>
      </c>
      <c r="H49" s="33">
        <f>J5</f>
        <v>30</v>
      </c>
      <c r="I49" s="43">
        <f t="shared" si="7"/>
        <v>0</v>
      </c>
      <c r="J49" s="37"/>
      <c r="K49" s="32"/>
      <c r="L49" s="32"/>
      <c r="M49" s="32"/>
      <c r="N49" s="6"/>
      <c r="O49" s="6"/>
      <c r="P49" s="6"/>
      <c r="Q49" s="6"/>
      <c r="R49" s="6"/>
      <c r="S49" s="6"/>
      <c r="T49" s="6"/>
      <c r="U49" s="6"/>
      <c r="V49" s="6"/>
    </row>
    <row r="50" spans="1:22" ht="12.75" hidden="1" customHeight="1" x14ac:dyDescent="0.2">
      <c r="A50" s="38">
        <f t="shared" si="5"/>
        <v>0</v>
      </c>
      <c r="B50" s="39"/>
      <c r="C50" s="39"/>
      <c r="D50" s="40">
        <f t="shared" si="8"/>
        <v>0</v>
      </c>
      <c r="E50" s="41">
        <f t="shared" si="9"/>
        <v>0</v>
      </c>
      <c r="F50" s="63">
        <f t="shared" si="10"/>
        <v>0</v>
      </c>
      <c r="G50" s="42">
        <f t="shared" si="6"/>
        <v>1</v>
      </c>
      <c r="H50" s="33">
        <f>J5</f>
        <v>30</v>
      </c>
      <c r="I50" s="43">
        <f t="shared" si="7"/>
        <v>0</v>
      </c>
      <c r="J50" s="37"/>
      <c r="K50" s="32"/>
      <c r="L50" s="32"/>
      <c r="M50" s="32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hidden="1" customHeight="1" x14ac:dyDescent="0.2">
      <c r="A51" s="38">
        <f t="shared" si="5"/>
        <v>0</v>
      </c>
      <c r="B51" s="39"/>
      <c r="C51" s="39"/>
      <c r="D51" s="40">
        <f t="shared" si="8"/>
        <v>0</v>
      </c>
      <c r="E51" s="41">
        <f t="shared" si="9"/>
        <v>0</v>
      </c>
      <c r="F51" s="63">
        <f t="shared" si="10"/>
        <v>0</v>
      </c>
      <c r="G51" s="42">
        <f t="shared" si="6"/>
        <v>1</v>
      </c>
      <c r="H51" s="33">
        <f>J5</f>
        <v>30</v>
      </c>
      <c r="I51" s="43">
        <f t="shared" si="7"/>
        <v>0</v>
      </c>
      <c r="J51" s="37"/>
      <c r="K51" s="32"/>
      <c r="L51" s="32"/>
      <c r="M51" s="32"/>
      <c r="N51" s="6"/>
      <c r="O51" s="6"/>
      <c r="P51" s="6"/>
      <c r="Q51" s="6"/>
      <c r="R51" s="6"/>
      <c r="S51" s="6"/>
      <c r="T51" s="6"/>
      <c r="U51" s="6"/>
      <c r="V51" s="6"/>
    </row>
    <row r="52" spans="1:22" ht="12.75" hidden="1" customHeight="1" x14ac:dyDescent="0.2">
      <c r="A52" s="38">
        <f t="shared" si="5"/>
        <v>0</v>
      </c>
      <c r="B52" s="39"/>
      <c r="C52" s="39"/>
      <c r="D52" s="40">
        <f t="shared" si="8"/>
        <v>0</v>
      </c>
      <c r="E52" s="41">
        <f t="shared" si="9"/>
        <v>0</v>
      </c>
      <c r="F52" s="63">
        <f t="shared" si="10"/>
        <v>0</v>
      </c>
      <c r="G52" s="42">
        <f t="shared" si="6"/>
        <v>1</v>
      </c>
      <c r="H52" s="33">
        <f>J5</f>
        <v>30</v>
      </c>
      <c r="I52" s="43">
        <f t="shared" si="7"/>
        <v>0</v>
      </c>
      <c r="J52" s="37"/>
      <c r="K52" s="32"/>
      <c r="L52" s="32"/>
      <c r="M52" s="32"/>
      <c r="N52" s="6"/>
      <c r="O52" s="6"/>
      <c r="P52" s="6"/>
      <c r="Q52" s="6"/>
      <c r="R52" s="6"/>
      <c r="S52" s="6"/>
      <c r="T52" s="6"/>
      <c r="U52" s="6"/>
      <c r="V52" s="6"/>
    </row>
    <row r="53" spans="1:22" ht="12.75" hidden="1" customHeight="1" x14ac:dyDescent="0.2">
      <c r="A53" s="38">
        <f t="shared" si="5"/>
        <v>0</v>
      </c>
      <c r="B53" s="39"/>
      <c r="C53" s="39"/>
      <c r="D53" s="40">
        <f t="shared" si="8"/>
        <v>0</v>
      </c>
      <c r="E53" s="41">
        <f t="shared" si="9"/>
        <v>0</v>
      </c>
      <c r="F53" s="63">
        <f t="shared" si="10"/>
        <v>0</v>
      </c>
      <c r="G53" s="42">
        <f t="shared" si="6"/>
        <v>1</v>
      </c>
      <c r="H53" s="33">
        <f>J5</f>
        <v>30</v>
      </c>
      <c r="I53" s="43">
        <f t="shared" si="7"/>
        <v>0</v>
      </c>
      <c r="J53" s="37"/>
      <c r="K53" s="32"/>
      <c r="L53" s="32"/>
      <c r="M53" s="32"/>
      <c r="N53" s="6"/>
      <c r="O53" s="6"/>
      <c r="P53" s="6"/>
      <c r="Q53" s="6"/>
      <c r="R53" s="6"/>
      <c r="S53" s="6"/>
      <c r="T53" s="6"/>
      <c r="U53" s="6"/>
      <c r="V53" s="6"/>
    </row>
    <row r="54" spans="1:22" ht="12.75" hidden="1" customHeight="1" x14ac:dyDescent="0.2">
      <c r="A54" s="38">
        <f t="shared" si="5"/>
        <v>0</v>
      </c>
      <c r="B54" s="39"/>
      <c r="C54" s="39"/>
      <c r="D54" s="40">
        <f t="shared" si="8"/>
        <v>0</v>
      </c>
      <c r="E54" s="41">
        <f t="shared" si="9"/>
        <v>0</v>
      </c>
      <c r="F54" s="63">
        <f t="shared" si="10"/>
        <v>0</v>
      </c>
      <c r="G54" s="42">
        <f t="shared" si="6"/>
        <v>1</v>
      </c>
      <c r="H54" s="33">
        <f>J5</f>
        <v>30</v>
      </c>
      <c r="I54" s="43">
        <f t="shared" si="7"/>
        <v>0</v>
      </c>
      <c r="J54" s="37"/>
      <c r="K54" s="32"/>
      <c r="L54" s="32"/>
      <c r="M54" s="32"/>
      <c r="N54" s="6"/>
      <c r="O54" s="6"/>
      <c r="P54" s="6"/>
      <c r="Q54" s="6"/>
      <c r="R54" s="6"/>
      <c r="S54" s="6"/>
      <c r="T54" s="6"/>
      <c r="U54" s="6"/>
      <c r="V54" s="6"/>
    </row>
    <row r="55" spans="1:22" ht="12.75" hidden="1" customHeight="1" x14ac:dyDescent="0.2">
      <c r="A55" s="38">
        <f t="shared" si="5"/>
        <v>0</v>
      </c>
      <c r="B55" s="39"/>
      <c r="C55" s="39"/>
      <c r="D55" s="40">
        <f t="shared" si="8"/>
        <v>0</v>
      </c>
      <c r="E55" s="41">
        <f t="shared" si="9"/>
        <v>0</v>
      </c>
      <c r="F55" s="63">
        <f t="shared" si="10"/>
        <v>0</v>
      </c>
      <c r="G55" s="42">
        <f t="shared" si="6"/>
        <v>1</v>
      </c>
      <c r="H55" s="33">
        <f>J5</f>
        <v>30</v>
      </c>
      <c r="I55" s="43">
        <f t="shared" si="7"/>
        <v>0</v>
      </c>
      <c r="J55" s="37"/>
      <c r="K55" s="32"/>
      <c r="L55" s="32"/>
      <c r="M55" s="32"/>
      <c r="N55" s="6"/>
      <c r="O55" s="6"/>
      <c r="P55" s="6"/>
      <c r="Q55" s="6"/>
      <c r="R55" s="6"/>
      <c r="S55" s="6"/>
      <c r="T55" s="6"/>
      <c r="U55" s="6"/>
      <c r="V55" s="6"/>
    </row>
    <row r="56" spans="1:22" ht="12.75" hidden="1" customHeight="1" x14ac:dyDescent="0.2">
      <c r="A56" s="38">
        <f t="shared" si="5"/>
        <v>0</v>
      </c>
      <c r="B56" s="39"/>
      <c r="C56" s="39"/>
      <c r="D56" s="40">
        <f t="shared" si="8"/>
        <v>0</v>
      </c>
      <c r="E56" s="41">
        <f t="shared" si="9"/>
        <v>0</v>
      </c>
      <c r="F56" s="63">
        <f t="shared" si="10"/>
        <v>0</v>
      </c>
      <c r="G56" s="42">
        <f t="shared" si="6"/>
        <v>1</v>
      </c>
      <c r="H56" s="33">
        <f>J5</f>
        <v>30</v>
      </c>
      <c r="I56" s="43">
        <f t="shared" si="7"/>
        <v>0</v>
      </c>
      <c r="J56" s="37"/>
      <c r="K56" s="32"/>
      <c r="L56" s="32"/>
      <c r="M56" s="32"/>
      <c r="N56" s="6"/>
      <c r="O56" s="6"/>
      <c r="P56" s="6"/>
      <c r="Q56" s="6"/>
      <c r="R56" s="6"/>
      <c r="S56" s="6"/>
      <c r="T56" s="6"/>
      <c r="U56" s="6"/>
      <c r="V56" s="6"/>
    </row>
    <row r="57" spans="1:22" ht="12.75" hidden="1" customHeight="1" x14ac:dyDescent="0.2">
      <c r="A57" s="38">
        <f t="shared" si="5"/>
        <v>0</v>
      </c>
      <c r="B57" s="39"/>
      <c r="C57" s="39"/>
      <c r="D57" s="40">
        <f t="shared" si="8"/>
        <v>0</v>
      </c>
      <c r="E57" s="41">
        <f t="shared" si="9"/>
        <v>0</v>
      </c>
      <c r="F57" s="63">
        <f t="shared" si="10"/>
        <v>0</v>
      </c>
      <c r="G57" s="42">
        <f t="shared" si="6"/>
        <v>1</v>
      </c>
      <c r="H57" s="33">
        <f>J5</f>
        <v>30</v>
      </c>
      <c r="I57" s="43">
        <f t="shared" si="7"/>
        <v>0</v>
      </c>
      <c r="J57" s="37"/>
      <c r="K57" s="32"/>
      <c r="L57" s="32"/>
      <c r="M57" s="32"/>
      <c r="N57" s="6"/>
      <c r="O57" s="6"/>
      <c r="P57" s="6"/>
      <c r="Q57" s="6"/>
      <c r="R57" s="6"/>
      <c r="S57" s="6"/>
      <c r="T57" s="6"/>
      <c r="U57" s="6"/>
      <c r="V57" s="6"/>
    </row>
    <row r="58" spans="1:22" hidden="1" x14ac:dyDescent="0.2">
      <c r="A58" s="38">
        <f t="shared" si="5"/>
        <v>0</v>
      </c>
      <c r="B58" s="39"/>
      <c r="C58" s="39"/>
      <c r="D58" s="40">
        <f t="shared" si="8"/>
        <v>0</v>
      </c>
      <c r="E58" s="41">
        <f t="shared" si="9"/>
        <v>0</v>
      </c>
      <c r="F58" s="63">
        <f t="shared" si="10"/>
        <v>0</v>
      </c>
      <c r="G58" s="42">
        <f t="shared" si="6"/>
        <v>1</v>
      </c>
      <c r="H58" s="33">
        <f>J5</f>
        <v>30</v>
      </c>
      <c r="I58" s="43">
        <f t="shared" si="7"/>
        <v>0</v>
      </c>
      <c r="J58" s="37"/>
      <c r="K58" s="32"/>
      <c r="L58" s="32"/>
      <c r="M58" s="32"/>
      <c r="N58" s="6"/>
      <c r="O58" s="6"/>
      <c r="P58" s="6"/>
      <c r="Q58" s="6"/>
      <c r="R58" s="6"/>
      <c r="S58" s="6"/>
      <c r="T58" s="6"/>
      <c r="U58" s="6"/>
      <c r="V58" s="6"/>
    </row>
    <row r="59" spans="1:22" ht="12.75" hidden="1" customHeight="1" x14ac:dyDescent="0.2">
      <c r="A59" s="44"/>
      <c r="B59" s="44"/>
      <c r="C59" s="44"/>
      <c r="D59" s="45"/>
      <c r="E59" s="44"/>
      <c r="F59" s="44"/>
      <c r="G59" s="32"/>
      <c r="H59" s="32"/>
      <c r="I59" s="32"/>
      <c r="J59" s="32"/>
      <c r="K59" s="32"/>
      <c r="L59" s="32"/>
      <c r="M59" s="32"/>
      <c r="N59" s="6"/>
      <c r="O59" s="6"/>
      <c r="P59" s="6"/>
      <c r="Q59" s="6"/>
      <c r="R59" s="6"/>
      <c r="S59" s="6"/>
      <c r="T59" s="6"/>
      <c r="U59" s="6"/>
      <c r="V59" s="6"/>
    </row>
    <row r="60" spans="1:22" ht="12.75" hidden="1" customHeight="1" x14ac:dyDescent="0.2">
      <c r="A60" s="46"/>
      <c r="B60" s="46"/>
      <c r="C60" s="46"/>
      <c r="D60" s="46"/>
      <c r="E60" s="46"/>
      <c r="F60" s="46"/>
      <c r="G60" s="32"/>
      <c r="H60" s="32"/>
      <c r="I60" s="32"/>
      <c r="J60" s="32"/>
      <c r="K60" s="32"/>
      <c r="L60" s="32"/>
      <c r="M60" s="32"/>
      <c r="N60" s="6"/>
      <c r="O60" s="6"/>
      <c r="P60" s="6"/>
      <c r="Q60" s="6"/>
      <c r="R60" s="6"/>
      <c r="S60" s="6"/>
      <c r="T60" s="6"/>
      <c r="U60" s="6"/>
      <c r="V60" s="6"/>
    </row>
    <row r="61" spans="1:22" ht="12.75" hidden="1" customHeight="1" x14ac:dyDescent="0.2">
      <c r="A61" s="170"/>
      <c r="B61" s="170"/>
      <c r="C61" s="170"/>
      <c r="D61" s="170"/>
      <c r="E61" s="170"/>
      <c r="F61" s="170"/>
      <c r="G61" s="32"/>
      <c r="H61" s="32"/>
      <c r="I61" s="32"/>
      <c r="J61" s="32"/>
      <c r="K61" s="32"/>
      <c r="L61" s="32"/>
      <c r="M61" s="32"/>
      <c r="N61" s="6"/>
      <c r="O61" s="6"/>
      <c r="P61" s="6"/>
      <c r="Q61" s="6"/>
      <c r="R61" s="6"/>
      <c r="S61" s="6"/>
      <c r="T61" s="6"/>
      <c r="U61" s="6"/>
      <c r="V61" s="6"/>
    </row>
    <row r="62" spans="1:22" ht="36" customHeight="1" x14ac:dyDescent="0.2">
      <c r="A62" s="174" t="s">
        <v>187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6"/>
      <c r="N62" s="6"/>
      <c r="O62" s="6"/>
      <c r="P62" s="6"/>
      <c r="Q62" s="6"/>
      <c r="R62" s="6"/>
      <c r="S62" s="6"/>
      <c r="T62" s="6"/>
      <c r="U62" s="6"/>
      <c r="V62" s="6"/>
    </row>
    <row r="63" spans="1:22" ht="12.75" customHeight="1" x14ac:dyDescent="0.2">
      <c r="A63" s="142" t="s">
        <v>315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4"/>
      <c r="N63" s="6"/>
      <c r="O63" s="6"/>
      <c r="P63" s="6"/>
      <c r="Q63" s="6"/>
      <c r="R63" s="6"/>
      <c r="S63" s="6"/>
      <c r="T63" s="6"/>
      <c r="U63" s="6"/>
      <c r="V63" s="6"/>
    </row>
    <row r="64" spans="1:22" ht="12.75" customHeight="1" x14ac:dyDescent="0.2">
      <c r="A64" s="142" t="s">
        <v>310</v>
      </c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4"/>
      <c r="N64" s="6"/>
      <c r="O64" s="6"/>
      <c r="P64" s="6"/>
      <c r="Q64" s="6"/>
      <c r="R64" s="6"/>
      <c r="S64" s="6"/>
      <c r="T64" s="6"/>
      <c r="U64" s="6"/>
      <c r="V64" s="6"/>
    </row>
    <row r="65" spans="1:22" ht="12.75" customHeight="1" x14ac:dyDescent="0.2">
      <c r="A65" s="142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4"/>
      <c r="N65" s="6"/>
      <c r="O65" s="6"/>
      <c r="P65" s="6"/>
      <c r="Q65" s="6"/>
      <c r="R65" s="6"/>
      <c r="S65" s="6"/>
      <c r="T65" s="6"/>
      <c r="U65" s="6"/>
      <c r="V65" s="6"/>
    </row>
    <row r="66" spans="1:22" s="6" customFormat="1" ht="12.75" customHeight="1" x14ac:dyDescent="0.2">
      <c r="A66" s="142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4"/>
    </row>
    <row r="67" spans="1:22" s="6" customFormat="1" ht="12.75" customHeight="1" x14ac:dyDescent="0.2">
      <c r="A67" s="142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4"/>
    </row>
    <row r="68" spans="1:22" s="6" customFormat="1" ht="12.75" customHeight="1" x14ac:dyDescent="0.2">
      <c r="A68" s="142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4"/>
    </row>
    <row r="69" spans="1:22" s="6" customFormat="1" ht="12.75" customHeight="1" x14ac:dyDescent="0.2">
      <c r="A69" s="142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4"/>
    </row>
    <row r="70" spans="1:22" s="6" customFormat="1" ht="12.75" customHeight="1" x14ac:dyDescent="0.2">
      <c r="A70" s="142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4"/>
    </row>
    <row r="71" spans="1:22" s="6" customFormat="1" ht="12.75" customHeight="1" x14ac:dyDescent="0.2">
      <c r="A71" s="142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4"/>
    </row>
    <row r="72" spans="1:22" s="6" customFormat="1" ht="12.75" customHeight="1" x14ac:dyDescent="0.2">
      <c r="A72" s="142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4"/>
    </row>
    <row r="73" spans="1:22" s="6" customFormat="1" ht="12.75" customHeight="1" x14ac:dyDescent="0.2">
      <c r="A73" s="142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4"/>
    </row>
    <row r="74" spans="1:22" s="6" customFormat="1" ht="12.75" customHeight="1" x14ac:dyDescent="0.2">
      <c r="A74" s="142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4"/>
    </row>
    <row r="75" spans="1:22" s="6" customFormat="1" ht="12.75" customHeight="1" x14ac:dyDescent="0.2">
      <c r="A75" s="142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4"/>
    </row>
    <row r="76" spans="1:22" s="6" customFormat="1" ht="17.25" customHeight="1" x14ac:dyDescent="0.25">
      <c r="A76" s="54" t="s">
        <v>188</v>
      </c>
      <c r="B76" s="54"/>
      <c r="C76" s="55"/>
      <c r="D76" s="54" t="s">
        <v>189</v>
      </c>
      <c r="E76" s="180" t="str">
        <f>PEDIDO!A30</f>
        <v>MODIFICADO POR: JAIDER ROJAS - ALMACENISTA (26-02-2017)SENA ITAGUI ANTIOQUIA</v>
      </c>
      <c r="F76" s="180"/>
      <c r="G76" s="180"/>
      <c r="H76" s="180"/>
      <c r="I76" s="180"/>
      <c r="J76" s="180"/>
      <c r="K76" s="180"/>
      <c r="L76" s="180"/>
      <c r="M76" s="180"/>
    </row>
    <row r="77" spans="1:22" s="6" customFormat="1" x14ac:dyDescent="0.2">
      <c r="A77" s="133" t="s">
        <v>100</v>
      </c>
      <c r="B77" s="47"/>
      <c r="C77" s="32"/>
      <c r="D77" s="56">
        <v>0</v>
      </c>
      <c r="E77" s="32"/>
      <c r="F77" s="32"/>
      <c r="G77" s="32"/>
      <c r="H77" s="32"/>
      <c r="I77" s="32"/>
      <c r="J77" s="32"/>
      <c r="K77" s="32"/>
      <c r="L77" s="32"/>
      <c r="M77" s="32"/>
    </row>
    <row r="78" spans="1:22" s="6" customFormat="1" x14ac:dyDescent="0.2">
      <c r="A78" s="133" t="s">
        <v>101</v>
      </c>
      <c r="B78" s="47"/>
      <c r="C78" s="32"/>
      <c r="D78" s="56">
        <v>0</v>
      </c>
      <c r="E78" s="32"/>
      <c r="F78" s="32"/>
      <c r="G78" s="32"/>
      <c r="H78" s="32"/>
      <c r="I78" s="32"/>
      <c r="J78" s="32"/>
      <c r="K78" s="32"/>
      <c r="L78" s="32"/>
      <c r="M78" s="32"/>
    </row>
    <row r="79" spans="1:22" s="6" customFormat="1" x14ac:dyDescent="0.2">
      <c r="A79" s="133" t="s">
        <v>153</v>
      </c>
      <c r="B79" s="47"/>
      <c r="C79" s="32"/>
      <c r="D79" s="56">
        <v>0</v>
      </c>
      <c r="E79" s="32"/>
      <c r="F79" s="32"/>
      <c r="G79" s="32"/>
      <c r="H79" s="32"/>
      <c r="I79" s="32"/>
      <c r="J79" s="32"/>
      <c r="K79" s="32"/>
      <c r="L79" s="32"/>
      <c r="M79" s="32"/>
    </row>
    <row r="80" spans="1:22" s="6" customFormat="1" x14ac:dyDescent="0.2">
      <c r="A80" s="133" t="s">
        <v>151</v>
      </c>
      <c r="B80" s="47"/>
      <c r="C80" s="32"/>
      <c r="D80" s="56">
        <v>0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6" customFormat="1" x14ac:dyDescent="0.2">
      <c r="A81" s="133" t="s">
        <v>152</v>
      </c>
      <c r="B81" s="47"/>
      <c r="C81" s="32"/>
      <c r="D81" s="56">
        <v>0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6" customFormat="1" x14ac:dyDescent="0.2">
      <c r="A82" s="133" t="s">
        <v>157</v>
      </c>
      <c r="B82" s="47"/>
      <c r="C82" s="32"/>
      <c r="D82" s="56">
        <v>0</v>
      </c>
      <c r="E82" s="32"/>
      <c r="F82" s="32"/>
      <c r="G82" s="32"/>
      <c r="H82" s="32"/>
      <c r="I82" s="32"/>
      <c r="J82" s="32"/>
      <c r="K82" s="32"/>
      <c r="L82" s="32"/>
      <c r="M82" s="32"/>
    </row>
    <row r="83" spans="1:13" s="6" customFormat="1" x14ac:dyDescent="0.2">
      <c r="A83" s="133" t="s">
        <v>102</v>
      </c>
      <c r="B83" s="47"/>
      <c r="C83" s="32"/>
      <c r="D83" s="56">
        <v>0</v>
      </c>
      <c r="E83" s="32"/>
      <c r="F83" s="32"/>
      <c r="G83" s="32"/>
      <c r="H83" s="32"/>
      <c r="I83" s="32"/>
      <c r="J83" s="32"/>
      <c r="K83" s="32"/>
      <c r="L83" s="32"/>
      <c r="M83" s="32"/>
    </row>
    <row r="84" spans="1:13" s="6" customFormat="1" x14ac:dyDescent="0.2">
      <c r="A84" s="133" t="s">
        <v>49</v>
      </c>
      <c r="B84" s="47"/>
      <c r="C84" s="32"/>
      <c r="D84" s="56">
        <v>0</v>
      </c>
      <c r="E84" s="32"/>
      <c r="F84" s="32"/>
      <c r="G84" s="32"/>
      <c r="H84" s="32"/>
      <c r="I84" s="32"/>
      <c r="J84" s="32"/>
      <c r="K84" s="32"/>
      <c r="L84" s="32"/>
      <c r="M84" s="32"/>
    </row>
    <row r="85" spans="1:13" s="6" customFormat="1" x14ac:dyDescent="0.2">
      <c r="A85" s="133" t="s">
        <v>104</v>
      </c>
      <c r="B85" s="47"/>
      <c r="C85" s="32"/>
      <c r="D85" s="56">
        <v>0</v>
      </c>
      <c r="E85" s="32"/>
      <c r="F85" s="32"/>
      <c r="G85" s="32"/>
      <c r="H85" s="32"/>
      <c r="I85" s="32"/>
      <c r="J85" s="32"/>
      <c r="K85" s="32"/>
      <c r="L85" s="32"/>
      <c r="M85" s="32"/>
    </row>
    <row r="86" spans="1:13" s="6" customFormat="1" x14ac:dyDescent="0.2">
      <c r="A86" s="133" t="s">
        <v>190</v>
      </c>
      <c r="B86" s="47"/>
      <c r="C86" s="32"/>
      <c r="D86" s="56">
        <v>6</v>
      </c>
      <c r="E86" s="32"/>
      <c r="F86" s="32"/>
      <c r="G86" s="32"/>
      <c r="H86" s="32"/>
      <c r="I86" s="32"/>
      <c r="J86" s="32"/>
      <c r="K86" s="32"/>
      <c r="L86" s="32"/>
      <c r="M86" s="32"/>
    </row>
    <row r="87" spans="1:13" s="6" customFormat="1" x14ac:dyDescent="0.2">
      <c r="A87" s="133" t="s">
        <v>192</v>
      </c>
      <c r="B87" s="47"/>
      <c r="C87" s="32"/>
      <c r="D87" s="56">
        <v>0</v>
      </c>
      <c r="E87" s="32"/>
      <c r="F87" s="32"/>
      <c r="G87" s="32"/>
      <c r="H87" s="32"/>
      <c r="I87" s="32"/>
      <c r="J87" s="32"/>
      <c r="K87" s="32"/>
      <c r="L87" s="32"/>
      <c r="M87" s="32"/>
    </row>
    <row r="88" spans="1:13" s="6" customFormat="1" x14ac:dyDescent="0.2">
      <c r="A88" s="133" t="s">
        <v>191</v>
      </c>
      <c r="B88" s="48"/>
      <c r="C88" s="32"/>
      <c r="D88" s="56">
        <v>0</v>
      </c>
      <c r="E88" s="32"/>
      <c r="F88" s="32"/>
      <c r="G88" s="32"/>
      <c r="H88" s="32"/>
      <c r="I88" s="32"/>
      <c r="J88" s="32"/>
      <c r="K88" s="32"/>
      <c r="L88" s="32"/>
      <c r="M88" s="32"/>
    </row>
    <row r="89" spans="1:13" s="6" customFormat="1" x14ac:dyDescent="0.2">
      <c r="A89" s="89" t="s">
        <v>305</v>
      </c>
      <c r="B89" s="47"/>
      <c r="C89" s="32"/>
      <c r="D89" s="56">
        <v>0</v>
      </c>
      <c r="E89" s="32"/>
      <c r="F89" s="32"/>
      <c r="G89" s="32"/>
      <c r="H89" s="32"/>
      <c r="I89" s="32"/>
      <c r="J89" s="32"/>
      <c r="K89" s="32"/>
      <c r="L89" s="32"/>
      <c r="M89" s="32"/>
    </row>
    <row r="90" spans="1:13" s="6" customFormat="1" x14ac:dyDescent="0.2">
      <c r="A90" s="89" t="s">
        <v>304</v>
      </c>
      <c r="B90" s="47"/>
      <c r="C90" s="32"/>
      <c r="D90" s="56">
        <v>0</v>
      </c>
      <c r="E90" s="32"/>
      <c r="F90" s="32"/>
      <c r="G90" s="32"/>
      <c r="H90" s="32"/>
      <c r="I90" s="32"/>
      <c r="J90" s="32"/>
      <c r="K90" s="32"/>
      <c r="L90" s="32"/>
      <c r="M90" s="32"/>
    </row>
    <row r="91" spans="1:13" s="6" customFormat="1" x14ac:dyDescent="0.2">
      <c r="A91" s="133" t="s">
        <v>154</v>
      </c>
      <c r="B91" s="48"/>
      <c r="C91" s="32"/>
      <c r="D91" s="56">
        <v>0</v>
      </c>
      <c r="E91" s="32"/>
      <c r="F91" s="32"/>
      <c r="G91" s="32"/>
      <c r="H91" s="32"/>
      <c r="I91" s="32"/>
      <c r="J91" s="32"/>
      <c r="K91" s="32"/>
      <c r="L91" s="32"/>
      <c r="M91" s="32"/>
    </row>
    <row r="92" spans="1:13" s="6" customFormat="1" x14ac:dyDescent="0.2">
      <c r="A92" s="89" t="s">
        <v>288</v>
      </c>
      <c r="B92" s="48"/>
      <c r="C92" s="32"/>
      <c r="D92" s="56">
        <v>0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6" customFormat="1" x14ac:dyDescent="0.2">
      <c r="A93" s="133" t="s">
        <v>98</v>
      </c>
      <c r="B93" s="47"/>
      <c r="C93" s="32"/>
      <c r="D93" s="56"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6" customFormat="1" x14ac:dyDescent="0.2">
      <c r="A94" s="133" t="s">
        <v>97</v>
      </c>
      <c r="B94" s="48"/>
      <c r="C94" s="32"/>
      <c r="D94" s="56"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6" customFormat="1" x14ac:dyDescent="0.2">
      <c r="A95" s="133" t="s">
        <v>96</v>
      </c>
      <c r="B95" s="48"/>
      <c r="C95" s="32"/>
      <c r="D95" s="56"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6" customFormat="1" x14ac:dyDescent="0.2">
      <c r="A96" s="133" t="s">
        <v>99</v>
      </c>
      <c r="B96" s="48"/>
      <c r="C96" s="32"/>
      <c r="D96" s="56">
        <v>3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8" s="6" customFormat="1" x14ac:dyDescent="0.2">
      <c r="A97" s="133" t="s">
        <v>281</v>
      </c>
      <c r="B97" s="48"/>
      <c r="C97" s="49"/>
      <c r="D97" s="56"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8" s="6" customFormat="1" x14ac:dyDescent="0.2">
      <c r="A98" s="133" t="s">
        <v>163</v>
      </c>
      <c r="B98" s="48"/>
      <c r="C98" s="49"/>
      <c r="D98" s="56">
        <v>0</v>
      </c>
      <c r="E98" s="32"/>
      <c r="F98" s="32"/>
      <c r="G98" s="32"/>
      <c r="H98" s="32"/>
      <c r="I98" s="32"/>
      <c r="J98" s="32"/>
      <c r="K98" s="32"/>
      <c r="L98" s="32"/>
      <c r="M98" s="32"/>
    </row>
    <row r="99" spans="1:18" s="6" customFormat="1" x14ac:dyDescent="0.2">
      <c r="A99" s="133" t="s">
        <v>124</v>
      </c>
      <c r="B99" s="48"/>
      <c r="C99" s="49"/>
      <c r="D99" s="56">
        <v>0</v>
      </c>
      <c r="E99" s="32"/>
      <c r="F99" s="32"/>
      <c r="G99" s="32"/>
      <c r="H99" s="32"/>
      <c r="I99" s="32"/>
      <c r="J99" s="32"/>
      <c r="K99" s="32"/>
      <c r="L99" s="32"/>
      <c r="M99" s="32"/>
    </row>
    <row r="100" spans="1:18" s="6" customFormat="1" x14ac:dyDescent="0.2">
      <c r="A100" s="133" t="s">
        <v>105</v>
      </c>
      <c r="B100" s="48"/>
      <c r="C100" s="49"/>
      <c r="D100" s="56">
        <v>0</v>
      </c>
      <c r="E100" s="32"/>
      <c r="F100" s="32"/>
      <c r="G100" s="32"/>
      <c r="H100" s="32"/>
      <c r="I100" s="32"/>
      <c r="J100" s="32"/>
      <c r="K100" s="32"/>
      <c r="L100" s="32"/>
      <c r="M100" s="32"/>
    </row>
    <row r="101" spans="1:18" s="6" customFormat="1" x14ac:dyDescent="0.2">
      <c r="A101" s="133" t="s">
        <v>106</v>
      </c>
      <c r="B101" s="48"/>
      <c r="C101" s="32"/>
      <c r="D101" s="56">
        <v>0</v>
      </c>
      <c r="E101" s="32"/>
      <c r="F101" s="32"/>
      <c r="G101" s="32"/>
      <c r="H101" s="32"/>
      <c r="I101" s="32"/>
      <c r="J101" s="32"/>
      <c r="K101" s="32"/>
      <c r="L101" s="32"/>
      <c r="M101" s="32"/>
    </row>
    <row r="102" spans="1:18" s="6" customFormat="1" x14ac:dyDescent="0.2">
      <c r="A102" s="133" t="s">
        <v>107</v>
      </c>
      <c r="B102" s="48"/>
      <c r="C102" s="32"/>
      <c r="D102" s="56">
        <v>0</v>
      </c>
      <c r="E102" s="32"/>
      <c r="F102" s="32"/>
      <c r="G102" s="32"/>
      <c r="H102" s="32"/>
      <c r="I102" s="32"/>
      <c r="J102" s="32"/>
      <c r="K102" s="32"/>
      <c r="L102" s="32"/>
      <c r="M102" s="32"/>
    </row>
    <row r="103" spans="1:18" x14ac:dyDescent="0.2">
      <c r="A103" s="133" t="s">
        <v>108</v>
      </c>
      <c r="B103" s="48"/>
      <c r="C103" s="49"/>
      <c r="D103" s="56">
        <v>0</v>
      </c>
      <c r="E103" s="32"/>
      <c r="F103" s="32"/>
      <c r="G103" s="32"/>
      <c r="H103" s="32"/>
      <c r="I103" s="32"/>
      <c r="J103" s="32"/>
      <c r="K103" s="32"/>
      <c r="L103" s="32"/>
      <c r="M103" s="32"/>
      <c r="N103" s="6"/>
      <c r="O103" s="6"/>
      <c r="P103" s="6"/>
      <c r="Q103" s="6"/>
      <c r="R103" s="6"/>
    </row>
    <row r="104" spans="1:18" x14ac:dyDescent="0.2">
      <c r="A104" s="133" t="s">
        <v>109</v>
      </c>
      <c r="B104" s="48"/>
      <c r="C104" s="49"/>
      <c r="D104" s="56">
        <v>0</v>
      </c>
      <c r="E104" s="32"/>
      <c r="F104" s="32"/>
      <c r="G104" s="32"/>
      <c r="H104" s="32"/>
      <c r="I104" s="32"/>
      <c r="J104" s="32"/>
      <c r="K104" s="32"/>
      <c r="L104" s="32"/>
      <c r="M104" s="32"/>
      <c r="N104" s="6"/>
      <c r="O104" s="6"/>
      <c r="P104" s="6"/>
      <c r="Q104" s="6"/>
      <c r="R104" s="6"/>
    </row>
    <row r="105" spans="1:18" x14ac:dyDescent="0.2">
      <c r="A105" s="133" t="s">
        <v>155</v>
      </c>
      <c r="B105" s="48"/>
      <c r="C105" s="49"/>
      <c r="D105" s="56">
        <v>0</v>
      </c>
      <c r="E105" s="32"/>
      <c r="F105" s="32"/>
      <c r="G105" s="32"/>
      <c r="H105" s="32"/>
      <c r="I105" s="32"/>
      <c r="J105" s="32"/>
      <c r="K105" s="32"/>
      <c r="L105" s="32"/>
      <c r="M105" s="32"/>
      <c r="N105" s="6"/>
      <c r="O105" s="6"/>
      <c r="P105" s="6"/>
      <c r="Q105" s="6"/>
      <c r="R105" s="6"/>
    </row>
    <row r="106" spans="1:18" x14ac:dyDescent="0.2">
      <c r="A106" s="89" t="s">
        <v>289</v>
      </c>
      <c r="B106" s="48"/>
      <c r="C106" s="49"/>
      <c r="D106" s="56">
        <v>0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6"/>
      <c r="O106" s="6"/>
      <c r="P106" s="6"/>
      <c r="Q106" s="6"/>
      <c r="R106" s="6"/>
    </row>
    <row r="107" spans="1:18" x14ac:dyDescent="0.2">
      <c r="A107" s="133" t="s">
        <v>156</v>
      </c>
      <c r="B107" s="48"/>
      <c r="C107" s="49"/>
      <c r="D107" s="56">
        <v>0</v>
      </c>
      <c r="E107" s="32"/>
      <c r="F107" s="32"/>
      <c r="G107" s="32"/>
      <c r="H107" s="32"/>
      <c r="I107" s="32"/>
      <c r="J107" s="32"/>
      <c r="K107" s="32"/>
      <c r="L107" s="32"/>
      <c r="M107" s="32"/>
      <c r="N107" s="6"/>
      <c r="O107" s="6"/>
      <c r="P107" s="6"/>
      <c r="Q107" s="6"/>
      <c r="R107" s="6"/>
    </row>
    <row r="108" spans="1:18" x14ac:dyDescent="0.2">
      <c r="A108" s="133" t="s">
        <v>51</v>
      </c>
      <c r="B108" s="48"/>
      <c r="C108" s="49"/>
      <c r="D108" s="56">
        <v>0</v>
      </c>
      <c r="E108" s="32"/>
      <c r="F108" s="32"/>
      <c r="G108" s="32"/>
      <c r="H108" s="32"/>
      <c r="I108" s="32"/>
      <c r="J108" s="32"/>
      <c r="K108" s="32"/>
      <c r="L108" s="32"/>
      <c r="M108" s="32"/>
      <c r="N108" s="6"/>
      <c r="O108" s="6"/>
      <c r="P108" s="6"/>
      <c r="Q108" s="6"/>
      <c r="R108" s="6"/>
    </row>
    <row r="109" spans="1:18" x14ac:dyDescent="0.2">
      <c r="A109" s="89" t="s">
        <v>294</v>
      </c>
      <c r="B109" s="48"/>
      <c r="C109" s="49"/>
      <c r="D109" s="56">
        <v>0</v>
      </c>
      <c r="E109" s="32"/>
      <c r="F109" s="32"/>
      <c r="G109" s="32"/>
      <c r="H109" s="32"/>
      <c r="I109" s="32"/>
      <c r="J109" s="32"/>
      <c r="K109" s="32"/>
      <c r="L109" s="32"/>
      <c r="M109" s="32"/>
      <c r="N109" s="6"/>
      <c r="O109" s="6"/>
      <c r="P109" s="6"/>
      <c r="Q109" s="6"/>
      <c r="R109" s="6"/>
    </row>
    <row r="110" spans="1:18" x14ac:dyDescent="0.2">
      <c r="A110" s="89" t="s">
        <v>290</v>
      </c>
      <c r="B110" s="73"/>
      <c r="C110" s="49"/>
      <c r="D110" s="56">
        <v>0</v>
      </c>
      <c r="E110" s="32"/>
      <c r="F110" s="32"/>
      <c r="G110" s="32"/>
      <c r="H110" s="32"/>
      <c r="I110" s="32"/>
      <c r="J110" s="32"/>
      <c r="K110" s="32"/>
      <c r="L110" s="32"/>
      <c r="M110" s="32"/>
      <c r="N110" s="6"/>
      <c r="O110" s="6"/>
      <c r="P110" s="6"/>
      <c r="Q110" s="6"/>
      <c r="R110" s="6"/>
    </row>
    <row r="111" spans="1:18" x14ac:dyDescent="0.2">
      <c r="A111" s="133" t="s">
        <v>110</v>
      </c>
      <c r="B111" s="6"/>
      <c r="C111" s="68"/>
      <c r="D111" s="56">
        <v>0</v>
      </c>
      <c r="E111" s="32"/>
      <c r="F111" s="32"/>
      <c r="G111" s="32"/>
      <c r="H111" s="32"/>
      <c r="I111" s="32"/>
      <c r="J111" s="32"/>
      <c r="K111" s="32"/>
      <c r="L111" s="32"/>
      <c r="M111" s="32"/>
      <c r="N111" s="6"/>
      <c r="O111" s="6"/>
      <c r="P111" s="6"/>
      <c r="Q111" s="6"/>
      <c r="R111" s="6"/>
    </row>
    <row r="112" spans="1:18" x14ac:dyDescent="0.2">
      <c r="A112" s="89" t="s">
        <v>291</v>
      </c>
      <c r="B112" s="6"/>
      <c r="C112" s="68"/>
      <c r="D112" s="56">
        <v>0</v>
      </c>
      <c r="E112" s="32"/>
      <c r="F112" s="32"/>
      <c r="G112" s="32"/>
      <c r="H112" s="32"/>
      <c r="I112" s="32"/>
      <c r="J112" s="32"/>
      <c r="K112" s="32"/>
      <c r="L112" s="32"/>
      <c r="M112" s="32"/>
      <c r="N112" s="6"/>
      <c r="O112" s="6"/>
      <c r="P112" s="6"/>
      <c r="Q112" s="6"/>
      <c r="R112" s="6"/>
    </row>
    <row r="113" spans="1:20" x14ac:dyDescent="0.2">
      <c r="A113" s="89" t="s">
        <v>292</v>
      </c>
      <c r="B113" s="6"/>
      <c r="C113" s="68"/>
      <c r="D113" s="56">
        <v>0</v>
      </c>
      <c r="E113" s="32"/>
      <c r="F113" s="32"/>
      <c r="G113" s="32"/>
      <c r="H113" s="32"/>
      <c r="I113" s="32"/>
      <c r="J113" s="32"/>
      <c r="K113" s="32"/>
      <c r="L113" s="32"/>
      <c r="M113" s="32"/>
      <c r="N113" s="6"/>
      <c r="O113" s="6"/>
      <c r="P113" s="6"/>
      <c r="Q113" s="6"/>
      <c r="R113" s="6"/>
    </row>
    <row r="114" spans="1:20" x14ac:dyDescent="0.2">
      <c r="A114" s="89" t="s">
        <v>295</v>
      </c>
      <c r="B114" s="6"/>
      <c r="C114" s="68"/>
      <c r="D114" s="56">
        <v>0</v>
      </c>
      <c r="E114" s="32"/>
      <c r="F114" s="32"/>
      <c r="G114" s="32"/>
      <c r="H114" s="32"/>
      <c r="I114" s="32"/>
      <c r="J114" s="32"/>
      <c r="K114" s="32"/>
      <c r="L114" s="32"/>
      <c r="M114" s="32"/>
      <c r="N114" s="6"/>
      <c r="O114" s="6"/>
      <c r="P114" s="6"/>
      <c r="Q114" s="6"/>
      <c r="R114" s="6"/>
    </row>
    <row r="115" spans="1:20" x14ac:dyDescent="0.2">
      <c r="A115" s="89" t="s">
        <v>293</v>
      </c>
      <c r="B115" s="6"/>
      <c r="C115" s="68"/>
      <c r="D115" s="56">
        <v>0</v>
      </c>
      <c r="E115" s="32"/>
      <c r="F115" s="32"/>
      <c r="G115" s="32"/>
      <c r="H115" s="32"/>
      <c r="I115" s="32"/>
      <c r="J115" s="32"/>
      <c r="K115" s="32"/>
      <c r="L115" s="32"/>
      <c r="M115" s="32"/>
      <c r="N115" s="6"/>
      <c r="O115" s="6"/>
      <c r="P115" s="6"/>
      <c r="Q115" s="6"/>
      <c r="R115" s="6"/>
    </row>
    <row r="116" spans="1:20" x14ac:dyDescent="0.2">
      <c r="A116" s="89" t="s">
        <v>296</v>
      </c>
      <c r="B116" s="6"/>
      <c r="C116" s="68"/>
      <c r="D116" s="56">
        <v>0</v>
      </c>
      <c r="E116" s="32"/>
      <c r="F116" s="32"/>
      <c r="G116" s="32"/>
      <c r="H116" s="32"/>
      <c r="I116" s="32"/>
      <c r="J116" s="32"/>
      <c r="K116" s="32"/>
      <c r="L116" s="32"/>
      <c r="M116" s="32"/>
      <c r="N116" s="6"/>
      <c r="O116" s="6"/>
      <c r="P116" s="6"/>
      <c r="Q116" s="6"/>
      <c r="R116" s="6"/>
    </row>
    <row r="117" spans="1:20" x14ac:dyDescent="0.2">
      <c r="A117" s="89" t="s">
        <v>297</v>
      </c>
      <c r="B117" s="6"/>
      <c r="C117" s="68"/>
      <c r="D117" s="56">
        <v>0</v>
      </c>
    </row>
    <row r="118" spans="1:20" x14ac:dyDescent="0.2">
      <c r="A118" s="89" t="s">
        <v>298</v>
      </c>
      <c r="B118" s="6"/>
      <c r="C118" s="68"/>
      <c r="D118" s="56">
        <v>0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 x14ac:dyDescent="0.2">
      <c r="A119" s="90" t="s">
        <v>299</v>
      </c>
      <c r="B119" s="6"/>
      <c r="C119" s="68"/>
      <c r="D119" s="56">
        <v>0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x14ac:dyDescent="0.2">
      <c r="A120" s="89" t="s">
        <v>300</v>
      </c>
      <c r="B120" s="6"/>
      <c r="C120" s="68"/>
      <c r="D120" s="56">
        <v>0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 x14ac:dyDescent="0.2">
      <c r="A121" s="133" t="s">
        <v>138</v>
      </c>
      <c r="B121" s="6"/>
      <c r="C121" s="68"/>
      <c r="D121" s="56">
        <v>0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 x14ac:dyDescent="0.2">
      <c r="A122" s="89" t="s">
        <v>301</v>
      </c>
      <c r="B122" s="6"/>
      <c r="C122" s="68"/>
      <c r="D122" s="56">
        <v>0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x14ac:dyDescent="0.2">
      <c r="A123" s="89" t="s">
        <v>302</v>
      </c>
      <c r="B123" s="6"/>
      <c r="C123" s="68"/>
      <c r="D123" s="56">
        <v>0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x14ac:dyDescent="0.2">
      <c r="A124" s="89" t="s">
        <v>303</v>
      </c>
      <c r="B124" s="6"/>
      <c r="C124" s="68"/>
      <c r="D124" s="56">
        <v>0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 x14ac:dyDescent="0.2">
      <c r="A125" s="6"/>
      <c r="B125" s="6"/>
      <c r="C125" s="68"/>
      <c r="D125" s="69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 x14ac:dyDescent="0.2">
      <c r="A126" s="6"/>
      <c r="B126" s="6"/>
      <c r="C126" s="68"/>
      <c r="D126" s="69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 x14ac:dyDescent="0.2">
      <c r="A127" s="6"/>
      <c r="B127" s="6"/>
      <c r="C127" s="68"/>
      <c r="D127" s="70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 x14ac:dyDescent="0.2">
      <c r="A128" s="6"/>
      <c r="B128" s="6"/>
      <c r="C128" s="68"/>
      <c r="D128" s="69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 x14ac:dyDescent="0.2">
      <c r="A129" s="6"/>
      <c r="B129" s="6"/>
      <c r="C129" s="68"/>
      <c r="D129" s="69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 x14ac:dyDescent="0.2">
      <c r="A130" s="6"/>
      <c r="B130" s="6"/>
      <c r="C130" s="68"/>
      <c r="D130" s="70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 x14ac:dyDescent="0.2">
      <c r="A131" s="6"/>
      <c r="B131" s="6"/>
      <c r="C131" s="68"/>
      <c r="D131" s="69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 x14ac:dyDescent="0.2">
      <c r="A132" s="6"/>
      <c r="B132" s="6"/>
      <c r="C132" s="68"/>
      <c r="D132" s="69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 x14ac:dyDescent="0.2">
      <c r="A133" s="6"/>
      <c r="B133" s="6"/>
      <c r="C133" s="68"/>
      <c r="D133" s="70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 x14ac:dyDescent="0.2">
      <c r="A134" s="6"/>
      <c r="B134" s="6"/>
      <c r="C134" s="68"/>
      <c r="D134" s="69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 x14ac:dyDescent="0.2">
      <c r="A135" s="6"/>
      <c r="B135" s="6"/>
      <c r="C135" s="68"/>
      <c r="D135" s="69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 x14ac:dyDescent="0.2">
      <c r="A136" s="6"/>
      <c r="B136" s="6"/>
      <c r="C136" s="68"/>
      <c r="D136" s="70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 x14ac:dyDescent="0.2">
      <c r="A137" s="6"/>
      <c r="B137" s="6"/>
      <c r="C137" s="68"/>
      <c r="D137" s="69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 x14ac:dyDescent="0.2">
      <c r="A138" s="6"/>
      <c r="B138" s="6"/>
      <c r="C138" s="68"/>
      <c r="D138" s="69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 x14ac:dyDescent="0.2">
      <c r="A139" s="6"/>
      <c r="B139" s="6"/>
      <c r="C139" s="68"/>
      <c r="D139" s="70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 x14ac:dyDescent="0.2">
      <c r="A140" s="6"/>
      <c r="B140" s="6"/>
      <c r="C140" s="68"/>
      <c r="D140" s="69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 x14ac:dyDescent="0.2">
      <c r="A141" s="6"/>
      <c r="B141" s="6"/>
      <c r="C141" s="68"/>
      <c r="D141" s="69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 x14ac:dyDescent="0.2">
      <c r="A142" s="6"/>
      <c r="B142" s="6"/>
      <c r="C142" s="68"/>
      <c r="D142" s="70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 x14ac:dyDescent="0.2">
      <c r="A143" s="6"/>
      <c r="B143" s="6"/>
      <c r="C143" s="68"/>
      <c r="D143" s="6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 x14ac:dyDescent="0.2">
      <c r="A144" s="6"/>
      <c r="B144" s="6"/>
      <c r="C144" s="68"/>
      <c r="D144" s="6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 x14ac:dyDescent="0.2">
      <c r="A145" s="6"/>
      <c r="B145" s="6"/>
      <c r="C145" s="68"/>
      <c r="D145" s="70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 x14ac:dyDescent="0.2">
      <c r="A146" s="6"/>
      <c r="B146" s="6"/>
      <c r="C146" s="68"/>
      <c r="D146" s="69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 x14ac:dyDescent="0.2">
      <c r="A147" s="6"/>
      <c r="B147" s="6"/>
      <c r="C147" s="68"/>
      <c r="D147" s="69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 x14ac:dyDescent="0.2">
      <c r="A148" s="6"/>
      <c r="B148" s="6"/>
      <c r="C148" s="68"/>
      <c r="D148" s="70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 x14ac:dyDescent="0.2">
      <c r="A149" s="6"/>
      <c r="B149" s="6"/>
      <c r="C149" s="68"/>
      <c r="D149" s="69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 x14ac:dyDescent="0.2">
      <c r="A150" s="6"/>
      <c r="B150" s="6"/>
      <c r="C150" s="68"/>
      <c r="D150" s="69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 x14ac:dyDescent="0.2">
      <c r="A151" s="6"/>
      <c r="B151" s="6"/>
      <c r="C151" s="68"/>
      <c r="D151" s="70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 x14ac:dyDescent="0.2">
      <c r="A152" s="6"/>
      <c r="B152" s="6"/>
      <c r="C152" s="68"/>
      <c r="D152" s="69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 x14ac:dyDescent="0.2">
      <c r="A153" s="6"/>
      <c r="B153" s="6"/>
      <c r="C153" s="68"/>
      <c r="D153" s="69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 x14ac:dyDescent="0.2">
      <c r="A154" s="6"/>
      <c r="B154" s="6"/>
      <c r="C154" s="68"/>
      <c r="D154" s="70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 x14ac:dyDescent="0.2">
      <c r="A155" s="6"/>
      <c r="B155" s="6"/>
      <c r="C155" s="68"/>
      <c r="D155" s="69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 x14ac:dyDescent="0.2">
      <c r="A156" s="6"/>
      <c r="B156" s="6"/>
      <c r="C156" s="68"/>
      <c r="D156" s="69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 x14ac:dyDescent="0.2">
      <c r="A157" s="6"/>
      <c r="B157" s="6"/>
      <c r="C157" s="68"/>
      <c r="D157" s="70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 x14ac:dyDescent="0.2">
      <c r="A158" s="6"/>
      <c r="B158" s="6"/>
      <c r="C158" s="68"/>
      <c r="D158" s="69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 x14ac:dyDescent="0.2">
      <c r="A159" s="6"/>
      <c r="B159" s="6"/>
      <c r="C159" s="68"/>
      <c r="D159" s="69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 x14ac:dyDescent="0.2">
      <c r="A160" s="6"/>
      <c r="B160" s="6"/>
      <c r="C160" s="68"/>
      <c r="D160" s="70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 x14ac:dyDescent="0.2">
      <c r="A161" s="6"/>
      <c r="B161" s="6"/>
      <c r="C161" s="68"/>
      <c r="D161" s="69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 x14ac:dyDescent="0.2">
      <c r="A162" s="6"/>
      <c r="B162" s="6"/>
      <c r="C162" s="68"/>
      <c r="D162" s="69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 x14ac:dyDescent="0.2">
      <c r="A163" s="6"/>
      <c r="B163" s="6"/>
      <c r="C163" s="68"/>
      <c r="D163" s="70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 x14ac:dyDescent="0.2">
      <c r="A164" s="6"/>
      <c r="B164" s="6"/>
      <c r="C164" s="68"/>
      <c r="D164" s="69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 x14ac:dyDescent="0.2">
      <c r="A165" s="6"/>
      <c r="B165" s="6"/>
      <c r="C165" s="68"/>
      <c r="D165" s="69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 x14ac:dyDescent="0.2">
      <c r="A166" s="6"/>
      <c r="B166" s="6"/>
      <c r="C166" s="68"/>
      <c r="D166" s="70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 x14ac:dyDescent="0.2">
      <c r="A167" s="6"/>
      <c r="B167" s="6"/>
      <c r="C167" s="68"/>
      <c r="D167" s="6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 x14ac:dyDescent="0.2">
      <c r="A168" s="6"/>
      <c r="B168" s="6"/>
      <c r="C168" s="68"/>
      <c r="D168" s="69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 x14ac:dyDescent="0.2">
      <c r="A169" s="6"/>
      <c r="B169" s="6"/>
      <c r="C169" s="68"/>
      <c r="D169" s="70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 x14ac:dyDescent="0.2">
      <c r="A170" s="6"/>
      <c r="B170" s="6"/>
      <c r="C170" s="68"/>
      <c r="D170" s="6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 x14ac:dyDescent="0.2">
      <c r="A171" s="6"/>
      <c r="B171" s="6"/>
      <c r="C171" s="68"/>
      <c r="D171" s="6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 x14ac:dyDescent="0.2">
      <c r="A172" s="6"/>
      <c r="B172" s="6"/>
      <c r="C172" s="68"/>
      <c r="D172" s="70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 x14ac:dyDescent="0.2">
      <c r="A173" s="6"/>
      <c r="B173" s="6"/>
      <c r="C173" s="68"/>
      <c r="D173" s="6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 x14ac:dyDescent="0.2">
      <c r="A174" s="6"/>
      <c r="B174" s="6"/>
      <c r="C174" s="68"/>
      <c r="D174" s="6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 x14ac:dyDescent="0.2">
      <c r="A175" s="6"/>
      <c r="B175" s="6"/>
      <c r="C175" s="68"/>
      <c r="D175" s="70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 x14ac:dyDescent="0.2">
      <c r="A176" s="6"/>
      <c r="B176" s="6"/>
      <c r="C176" s="68"/>
      <c r="D176" s="69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 x14ac:dyDescent="0.2">
      <c r="A177" s="6"/>
      <c r="B177" s="6"/>
      <c r="C177" s="68"/>
      <c r="D177" s="69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 x14ac:dyDescent="0.2">
      <c r="A178" s="6"/>
      <c r="B178" s="6"/>
      <c r="C178" s="68"/>
      <c r="D178" s="70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 x14ac:dyDescent="0.2">
      <c r="A179" s="6"/>
      <c r="B179" s="6"/>
      <c r="C179" s="68"/>
      <c r="D179" s="69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 x14ac:dyDescent="0.2">
      <c r="A180" s="6"/>
      <c r="B180" s="6"/>
      <c r="C180" s="68"/>
      <c r="D180" s="69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 x14ac:dyDescent="0.2">
      <c r="A181" s="6"/>
      <c r="B181" s="6"/>
      <c r="C181" s="68"/>
      <c r="D181" s="70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 x14ac:dyDescent="0.2">
      <c r="A182" s="6"/>
      <c r="B182" s="6"/>
      <c r="C182" s="68"/>
      <c r="D182" s="69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 x14ac:dyDescent="0.2">
      <c r="A183" s="6"/>
      <c r="B183" s="6"/>
      <c r="C183" s="68"/>
      <c r="D183" s="69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 x14ac:dyDescent="0.2">
      <c r="A184" s="6"/>
      <c r="B184" s="6"/>
      <c r="C184" s="68"/>
      <c r="D184" s="70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 x14ac:dyDescent="0.2">
      <c r="A185" s="6"/>
      <c r="B185" s="6"/>
      <c r="C185" s="68"/>
      <c r="D185" s="69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 x14ac:dyDescent="0.2">
      <c r="A186" s="6"/>
      <c r="B186" s="6"/>
      <c r="C186" s="68"/>
      <c r="D186" s="69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 x14ac:dyDescent="0.2">
      <c r="A187" s="6"/>
      <c r="B187" s="6"/>
      <c r="C187" s="68"/>
      <c r="D187" s="70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 x14ac:dyDescent="0.2">
      <c r="A188" s="6"/>
      <c r="B188" s="6"/>
      <c r="C188" s="68"/>
      <c r="D188" s="69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 x14ac:dyDescent="0.2">
      <c r="A189" s="6"/>
      <c r="B189" s="6"/>
      <c r="C189" s="68"/>
      <c r="D189" s="69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 x14ac:dyDescent="0.2">
      <c r="A190" s="6"/>
      <c r="B190" s="6"/>
      <c r="C190" s="68"/>
      <c r="D190" s="70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 x14ac:dyDescent="0.2">
      <c r="A191" s="6"/>
      <c r="B191" s="6"/>
      <c r="C191" s="68"/>
      <c r="D191" s="69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 x14ac:dyDescent="0.2">
      <c r="A192" s="6"/>
      <c r="B192" s="6"/>
      <c r="C192" s="68"/>
      <c r="D192" s="69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 x14ac:dyDescent="0.2">
      <c r="A193" s="6"/>
      <c r="B193" s="6"/>
      <c r="C193" s="68"/>
      <c r="D193" s="70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 x14ac:dyDescent="0.2">
      <c r="A194" s="6"/>
      <c r="B194" s="6"/>
      <c r="C194" s="68"/>
      <c r="D194" s="69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 x14ac:dyDescent="0.2">
      <c r="A195" s="6"/>
      <c r="B195" s="6"/>
      <c r="C195" s="68"/>
      <c r="D195" s="69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 x14ac:dyDescent="0.2">
      <c r="A196" s="6"/>
      <c r="B196" s="6"/>
      <c r="C196" s="68"/>
      <c r="D196" s="70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 x14ac:dyDescent="0.2">
      <c r="A197" s="6"/>
      <c r="B197" s="6"/>
      <c r="C197" s="68"/>
      <c r="D197" s="69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 x14ac:dyDescent="0.2">
      <c r="A198" s="6"/>
      <c r="B198" s="6"/>
      <c r="C198" s="68"/>
      <c r="D198" s="69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 x14ac:dyDescent="0.2">
      <c r="A199" s="6"/>
      <c r="B199" s="6"/>
      <c r="C199" s="68"/>
      <c r="D199" s="70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 x14ac:dyDescent="0.2">
      <c r="A200" s="6"/>
      <c r="B200" s="6"/>
      <c r="C200" s="68"/>
      <c r="D200" s="69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 x14ac:dyDescent="0.2">
      <c r="A201" s="6"/>
      <c r="B201" s="6"/>
      <c r="C201" s="68"/>
      <c r="D201" s="69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1:20" x14ac:dyDescent="0.2">
      <c r="A202" s="6"/>
      <c r="B202" s="6"/>
      <c r="C202" s="68"/>
      <c r="D202" s="70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1:20" x14ac:dyDescent="0.2">
      <c r="A203" s="6"/>
      <c r="B203" s="6"/>
      <c r="C203" s="68"/>
      <c r="D203" s="69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1:20" x14ac:dyDescent="0.2">
      <c r="A204" s="6"/>
      <c r="B204" s="6"/>
      <c r="C204" s="68"/>
      <c r="D204" s="69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1:20" x14ac:dyDescent="0.2">
      <c r="A205" s="6"/>
      <c r="B205" s="6"/>
      <c r="C205" s="68"/>
      <c r="D205" s="70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1:20" x14ac:dyDescent="0.2">
      <c r="A206" s="6"/>
      <c r="B206" s="6"/>
      <c r="C206" s="68"/>
      <c r="D206" s="69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1:20" x14ac:dyDescent="0.2">
      <c r="A207" s="6"/>
      <c r="B207" s="6"/>
      <c r="C207" s="68"/>
      <c r="D207" s="69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1:20" x14ac:dyDescent="0.2">
      <c r="A208" s="6"/>
      <c r="B208" s="6"/>
      <c r="C208" s="68"/>
      <c r="D208" s="70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20" x14ac:dyDescent="0.2">
      <c r="A209" s="6"/>
      <c r="B209" s="6"/>
      <c r="C209" s="68"/>
      <c r="D209" s="69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1:20" x14ac:dyDescent="0.2">
      <c r="A210" s="6"/>
      <c r="B210" s="6"/>
      <c r="C210" s="68"/>
      <c r="D210" s="69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1:20" x14ac:dyDescent="0.2">
      <c r="A211" s="6"/>
      <c r="B211" s="6"/>
      <c r="C211" s="68"/>
      <c r="D211" s="70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1:20" x14ac:dyDescent="0.2">
      <c r="A212" s="6"/>
      <c r="B212" s="6"/>
      <c r="C212" s="68"/>
      <c r="D212" s="69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1:20" x14ac:dyDescent="0.2">
      <c r="A213" s="6"/>
      <c r="B213" s="6"/>
      <c r="C213" s="68"/>
      <c r="D213" s="69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spans="1:20" x14ac:dyDescent="0.2">
      <c r="A214" s="6"/>
      <c r="B214" s="6"/>
      <c r="C214" s="68"/>
      <c r="D214" s="70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1:20" x14ac:dyDescent="0.2">
      <c r="A215" s="6"/>
      <c r="B215" s="6"/>
      <c r="C215" s="68"/>
      <c r="D215" s="69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spans="1:20" x14ac:dyDescent="0.2">
      <c r="A216" s="6"/>
      <c r="B216" s="6"/>
      <c r="C216" s="68"/>
      <c r="D216" s="69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1:20" x14ac:dyDescent="0.2">
      <c r="A217" s="6"/>
      <c r="B217" s="6"/>
      <c r="C217" s="68"/>
      <c r="D217" s="70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1:20" x14ac:dyDescent="0.2">
      <c r="A218" s="6"/>
      <c r="B218" s="6"/>
      <c r="C218" s="68"/>
      <c r="D218" s="69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1:20" x14ac:dyDescent="0.2">
      <c r="A219" s="6"/>
      <c r="B219" s="6"/>
      <c r="C219" s="68"/>
      <c r="D219" s="69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1:20" x14ac:dyDescent="0.2">
      <c r="A220" s="6"/>
      <c r="B220" s="6"/>
      <c r="C220" s="68"/>
      <c r="D220" s="70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1:20" x14ac:dyDescent="0.2">
      <c r="A221" s="6"/>
      <c r="B221" s="6"/>
      <c r="C221" s="68"/>
      <c r="D221" s="69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spans="1:20" x14ac:dyDescent="0.2">
      <c r="A222" s="6"/>
      <c r="B222" s="6"/>
      <c r="C222" s="68"/>
      <c r="D222" s="69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1:20" x14ac:dyDescent="0.2">
      <c r="A223" s="6"/>
      <c r="B223" s="6"/>
      <c r="C223" s="68"/>
      <c r="D223" s="70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1:20" x14ac:dyDescent="0.2">
      <c r="A224" s="6"/>
      <c r="B224" s="6"/>
      <c r="C224" s="68"/>
      <c r="D224" s="69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1:20" x14ac:dyDescent="0.2">
      <c r="A225" s="6"/>
      <c r="B225" s="6"/>
      <c r="C225" s="68"/>
      <c r="D225" s="69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1:20" x14ac:dyDescent="0.2">
      <c r="A226" s="6"/>
      <c r="B226" s="6"/>
      <c r="C226" s="68"/>
      <c r="D226" s="70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1:20" x14ac:dyDescent="0.2">
      <c r="A227" s="6"/>
      <c r="B227" s="6"/>
      <c r="C227" s="68"/>
      <c r="D227" s="69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spans="1:20" x14ac:dyDescent="0.2">
      <c r="A228" s="6"/>
      <c r="B228" s="6"/>
      <c r="C228" s="68"/>
      <c r="D228" s="69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1:20" x14ac:dyDescent="0.2">
      <c r="A229" s="6"/>
      <c r="B229" s="6"/>
      <c r="C229" s="68"/>
      <c r="D229" s="70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1:20" x14ac:dyDescent="0.2">
      <c r="A230" s="6"/>
      <c r="B230" s="6"/>
      <c r="C230" s="68"/>
      <c r="D230" s="69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1:20" x14ac:dyDescent="0.2">
      <c r="A231" s="6"/>
      <c r="B231" s="6"/>
      <c r="C231" s="68"/>
      <c r="D231" s="69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1:20" x14ac:dyDescent="0.2">
      <c r="A232" s="6"/>
      <c r="B232" s="6"/>
      <c r="C232" s="68"/>
      <c r="D232" s="70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1:20" x14ac:dyDescent="0.2">
      <c r="A233" s="6"/>
      <c r="B233" s="6"/>
      <c r="C233" s="68"/>
      <c r="D233" s="69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spans="1:20" x14ac:dyDescent="0.2">
      <c r="A234" s="6"/>
      <c r="B234" s="6"/>
      <c r="C234" s="68"/>
      <c r="D234" s="69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1:20" x14ac:dyDescent="0.2">
      <c r="A235" s="6"/>
      <c r="B235" s="6"/>
      <c r="C235" s="68"/>
      <c r="D235" s="70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spans="1:20" x14ac:dyDescent="0.2">
      <c r="B236" s="6"/>
      <c r="C236" s="68"/>
      <c r="D236" s="69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spans="1:20" x14ac:dyDescent="0.2">
      <c r="B237" s="6"/>
      <c r="C237" s="68"/>
      <c r="D237" s="69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spans="1:20" x14ac:dyDescent="0.2">
      <c r="B238" s="6"/>
      <c r="C238" s="68"/>
      <c r="D238" s="70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1:20" x14ac:dyDescent="0.2">
      <c r="B239" s="6"/>
      <c r="C239" s="68"/>
      <c r="D239" s="69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spans="1:20" x14ac:dyDescent="0.2">
      <c r="B240" s="6"/>
      <c r="C240" s="68"/>
      <c r="D240" s="69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5:20" x14ac:dyDescent="0.2"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spans="5:20" x14ac:dyDescent="0.2"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5:20" x14ac:dyDescent="0.2"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spans="5:20" x14ac:dyDescent="0.2"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5:20" x14ac:dyDescent="0.2"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spans="5:20" x14ac:dyDescent="0.2"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5:20" x14ac:dyDescent="0.2"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5:20" x14ac:dyDescent="0.2">
      <c r="N248" s="6"/>
      <c r="O248" s="6"/>
      <c r="P248" s="6"/>
    </row>
  </sheetData>
  <sheetProtection password="B4B1" sheet="1"/>
  <protectedRanges>
    <protectedRange sqref="D2:D4 D5:F5 F3 J5 A8:E32 A63:M75 D77:D124" name="DESBLOQUEADAS"/>
    <protectedRange password="B4B1" sqref="A1:A5 A7:F7 E4:F4 F2 J2:M4 J7 F8:F32 J25:M30 A62 D76:E76 A76:A124" name="bloqueadas"/>
  </protectedRanges>
  <customSheetViews>
    <customSheetView guid="{0F6C7FCE-20BD-4B57-B04C-CA521EC9CEDE}" scale="85" hiddenRows="1" hiddenColumns="1">
      <selection activeCell="D2" sqref="D2:E5"/>
      <pageMargins left="0.19685039370078741" right="0.19685039370078741" top="0.98425196850393704" bottom="0.98425196850393704" header="0" footer="0"/>
      <printOptions horizontalCentered="1"/>
      <pageSetup paperSize="5" orientation="landscape" r:id="rId1"/>
      <headerFooter alignWithMargins="0"/>
    </customSheetView>
  </customSheetViews>
  <mergeCells count="38">
    <mergeCell ref="E76:M76"/>
    <mergeCell ref="F2:H2"/>
    <mergeCell ref="F3:H3"/>
    <mergeCell ref="L25:M27"/>
    <mergeCell ref="J7:M24"/>
    <mergeCell ref="A67:M67"/>
    <mergeCell ref="D6:E6"/>
    <mergeCell ref="J2:M2"/>
    <mergeCell ref="A2:B2"/>
    <mergeCell ref="A74:M74"/>
    <mergeCell ref="A75:M75"/>
    <mergeCell ref="A68:M68"/>
    <mergeCell ref="A69:M69"/>
    <mergeCell ref="A70:M70"/>
    <mergeCell ref="A71:M71"/>
    <mergeCell ref="A72:M72"/>
    <mergeCell ref="A1:M1"/>
    <mergeCell ref="A66:M66"/>
    <mergeCell ref="G6:H6"/>
    <mergeCell ref="D3:E3"/>
    <mergeCell ref="A61:F61"/>
    <mergeCell ref="A63:M63"/>
    <mergeCell ref="A64:M64"/>
    <mergeCell ref="A65:M65"/>
    <mergeCell ref="D2:E2"/>
    <mergeCell ref="G4:H4"/>
    <mergeCell ref="A62:M62"/>
    <mergeCell ref="A6:B6"/>
    <mergeCell ref="G33:H33"/>
    <mergeCell ref="A73:M73"/>
    <mergeCell ref="I2:I3"/>
    <mergeCell ref="I4:I5"/>
    <mergeCell ref="J28:K30"/>
    <mergeCell ref="L28:M30"/>
    <mergeCell ref="J4:M4"/>
    <mergeCell ref="J5:M5"/>
    <mergeCell ref="J25:K27"/>
    <mergeCell ref="J3:M3"/>
  </mergeCells>
  <phoneticPr fontId="2" type="noConversion"/>
  <conditionalFormatting sqref="G8:H32"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111:C240" xr:uid="{00000000-0002-0000-0000-000000000000}">
      <formula1>metro</formula1>
    </dataValidation>
    <dataValidation type="list" showInputMessage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2"/>
  <headerFooter alignWithMargins="0"/>
  <ignoredErrors>
    <ignoredError sqref="G34" unlockedFormula="1"/>
    <ignoredError sqref="F34" evalError="1" unlockedFormula="1"/>
  </ignoredError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9"/>
  <sheetViews>
    <sheetView workbookViewId="0">
      <selection activeCell="A4" sqref="A4:A5"/>
    </sheetView>
  </sheetViews>
  <sheetFormatPr baseColWidth="10" defaultRowHeight="12.75" x14ac:dyDescent="0.2"/>
  <sheetData>
    <row r="1" spans="1:5" x14ac:dyDescent="0.2">
      <c r="A1" t="s">
        <v>3</v>
      </c>
      <c r="B1" s="3" t="s">
        <v>3</v>
      </c>
      <c r="D1" t="s">
        <v>10</v>
      </c>
      <c r="E1" t="s">
        <v>4</v>
      </c>
    </row>
    <row r="2" spans="1:5" x14ac:dyDescent="0.2">
      <c r="A2" t="s">
        <v>4</v>
      </c>
      <c r="B2" s="4" t="s">
        <v>21</v>
      </c>
      <c r="D2" t="s">
        <v>11</v>
      </c>
      <c r="E2" s="7" t="s">
        <v>4</v>
      </c>
    </row>
    <row r="3" spans="1:5" x14ac:dyDescent="0.2">
      <c r="A3" t="s">
        <v>5</v>
      </c>
      <c r="B3" s="5" t="s">
        <v>1</v>
      </c>
      <c r="D3" t="s">
        <v>12</v>
      </c>
      <c r="E3" s="1" t="s">
        <v>1</v>
      </c>
    </row>
    <row r="4" spans="1:5" x14ac:dyDescent="0.2">
      <c r="A4" t="s">
        <v>6</v>
      </c>
      <c r="B4" s="4" t="s">
        <v>186</v>
      </c>
      <c r="D4" t="s">
        <v>13</v>
      </c>
      <c r="E4" s="2" t="s">
        <v>186</v>
      </c>
    </row>
    <row r="5" spans="1:5" x14ac:dyDescent="0.2">
      <c r="A5" t="s">
        <v>7</v>
      </c>
      <c r="B5" s="4" t="s">
        <v>15</v>
      </c>
      <c r="E5" s="7" t="s">
        <v>25</v>
      </c>
    </row>
    <row r="6" spans="1:5" x14ac:dyDescent="0.2">
      <c r="B6" s="4" t="s">
        <v>16</v>
      </c>
      <c r="E6" s="7" t="s">
        <v>26</v>
      </c>
    </row>
    <row r="7" spans="1:5" x14ac:dyDescent="0.2">
      <c r="B7" s="4" t="s">
        <v>19</v>
      </c>
      <c r="E7" s="2" t="s">
        <v>8</v>
      </c>
    </row>
    <row r="8" spans="1:5" x14ac:dyDescent="0.2">
      <c r="B8" s="4" t="s">
        <v>17</v>
      </c>
      <c r="E8" s="2" t="s">
        <v>9</v>
      </c>
    </row>
    <row r="9" spans="1:5" x14ac:dyDescent="0.2">
      <c r="B9" s="4" t="s">
        <v>20</v>
      </c>
      <c r="E9" s="2" t="s">
        <v>33</v>
      </c>
    </row>
    <row r="10" spans="1:5" x14ac:dyDescent="0.2">
      <c r="B10" s="4" t="s">
        <v>28</v>
      </c>
      <c r="E10" s="2" t="s">
        <v>35</v>
      </c>
    </row>
    <row r="11" spans="1:5" x14ac:dyDescent="0.2">
      <c r="B11" s="4"/>
      <c r="E11" s="2"/>
    </row>
    <row r="12" spans="1:5" x14ac:dyDescent="0.2">
      <c r="B12" s="4" t="s">
        <v>27</v>
      </c>
      <c r="E12" s="2"/>
    </row>
    <row r="13" spans="1:5" x14ac:dyDescent="0.2">
      <c r="B13" t="s">
        <v>37</v>
      </c>
      <c r="E13" s="2"/>
    </row>
    <row r="14" spans="1:5" x14ac:dyDescent="0.2">
      <c r="A14" t="s">
        <v>33</v>
      </c>
      <c r="B14" s="4" t="s">
        <v>33</v>
      </c>
      <c r="E14" s="2"/>
    </row>
    <row r="15" spans="1:5" x14ac:dyDescent="0.2">
      <c r="B15" s="4" t="s">
        <v>36</v>
      </c>
      <c r="D15" t="s">
        <v>14</v>
      </c>
      <c r="E15" s="2"/>
    </row>
    <row r="16" spans="1:5" x14ac:dyDescent="0.2">
      <c r="B16" s="4" t="s">
        <v>35</v>
      </c>
      <c r="E16" s="2"/>
    </row>
    <row r="17" spans="2:5" x14ac:dyDescent="0.2">
      <c r="B17" s="4" t="s">
        <v>8</v>
      </c>
      <c r="E17" s="2"/>
    </row>
    <row r="18" spans="2:5" x14ac:dyDescent="0.2">
      <c r="B18" s="4" t="s">
        <v>21</v>
      </c>
    </row>
    <row r="19" spans="2:5" x14ac:dyDescent="0.2">
      <c r="B19" s="5" t="s">
        <v>34</v>
      </c>
    </row>
  </sheetData>
  <sheetProtection formatCells="0" formatColumns="0" formatRows="0" insertColumns="0" insertRows="0" insertHyperlinks="0" deleteColumns="0" deleteRows="0" sort="0" autoFilter="0" pivotTables="0"/>
  <dataConsolidate function="varp" link="1"/>
  <customSheetViews>
    <customSheetView guid="{0F6C7FCE-20BD-4B57-B04C-CA521EC9CEDE}" state="hidden">
      <selection activeCell="A4" sqref="A4:A5"/>
      <pageMargins left="0.7" right="0.7" top="0.75" bottom="0.75" header="0.3" footer="0.3"/>
      <pageSetup paperSize="9" orientation="portrait" horizontalDpi="200" verticalDpi="200" r:id="rId1"/>
    </customSheetView>
  </customSheetViews>
  <dataValidations count="2">
    <dataValidation type="list" allowBlank="1" showInputMessage="1" showErrorMessage="1" sqref="H2" xr:uid="{00000000-0002-0000-0100-000000000000}">
      <formula1>"METRO"</formula1>
    </dataValidation>
    <dataValidation type="list" allowBlank="1" showInputMessage="1" showErrorMessage="1" sqref="H3:H19" xr:uid="{00000000-0002-0000-0100-000001000000}">
      <formula1>$B$2:$B$18</formula1>
    </dataValidation>
  </dataValidations>
  <pageMargins left="0.7" right="0.7" top="0.75" bottom="0.75" header="0.3" footer="0.3"/>
  <pageSetup paperSize="9"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S172"/>
  <sheetViews>
    <sheetView zoomScale="86" zoomScaleNormal="86" workbookViewId="0">
      <selection activeCell="U12" sqref="U12"/>
    </sheetView>
  </sheetViews>
  <sheetFormatPr baseColWidth="10" defaultRowHeight="12.75" x14ac:dyDescent="0.2"/>
  <cols>
    <col min="1" max="1" width="34.42578125" customWidth="1"/>
    <col min="2" max="2" width="16.42578125" customWidth="1"/>
    <col min="3" max="3" width="13.140625" customWidth="1"/>
    <col min="4" max="4" width="16.7109375" customWidth="1"/>
    <col min="5" max="5" width="9.7109375" customWidth="1"/>
    <col min="6" max="6" width="11.42578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</cols>
  <sheetData>
    <row r="1" spans="1:24" ht="35.25" customHeight="1" x14ac:dyDescent="0.2">
      <c r="A1" s="57" t="str">
        <f>consumos!A2</f>
        <v>DOCENTE ENCARGADO</v>
      </c>
      <c r="B1" s="57" t="str">
        <f>consumos!A3</f>
        <v>NOMBRE DEL PRODUCTO</v>
      </c>
      <c r="C1" s="71" t="str">
        <f>consumos!G4</f>
        <v>NUMERO DE FICHA</v>
      </c>
      <c r="D1" s="132" t="str">
        <f>consumos!F2</f>
        <v>CURSO/TECNICO</v>
      </c>
      <c r="E1" s="78"/>
      <c r="F1" s="78"/>
      <c r="G1" s="61"/>
      <c r="H1" s="201" t="s">
        <v>32</v>
      </c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3"/>
    </row>
    <row r="2" spans="1:24" ht="35.25" customHeight="1" x14ac:dyDescent="0.2">
      <c r="A2" s="72" t="str">
        <f>consumos!D2</f>
        <v>JULIANA ROMERO</v>
      </c>
      <c r="B2" s="72" t="str">
        <f>consumos!D3</f>
        <v>CARTUCHERA</v>
      </c>
      <c r="C2" s="72">
        <f>consumos!F5</f>
        <v>2709092</v>
      </c>
      <c r="D2" s="72" t="str">
        <f>consumos!F3</f>
        <v>COMPLEMENTARIOS</v>
      </c>
      <c r="E2" s="79"/>
      <c r="F2" s="79">
        <f>consumos!E5</f>
        <v>1032366226</v>
      </c>
      <c r="G2" s="61"/>
      <c r="H2" s="204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6"/>
    </row>
    <row r="3" spans="1:24" ht="43.5" customHeight="1" x14ac:dyDescent="0.2">
      <c r="A3" s="58" t="s">
        <v>0</v>
      </c>
      <c r="B3" s="59" t="s">
        <v>79</v>
      </c>
      <c r="C3" s="58" t="s">
        <v>269</v>
      </c>
      <c r="D3" s="91" t="s">
        <v>270</v>
      </c>
      <c r="E3" s="91" t="s">
        <v>306</v>
      </c>
      <c r="F3" s="60" t="s">
        <v>24</v>
      </c>
      <c r="G3" s="61"/>
      <c r="H3" s="130" t="s">
        <v>30</v>
      </c>
      <c r="I3" s="131"/>
      <c r="J3" s="131" t="s">
        <v>31</v>
      </c>
      <c r="K3" s="132">
        <v>1</v>
      </c>
      <c r="L3" s="132">
        <v>2</v>
      </c>
      <c r="M3" s="132">
        <v>3</v>
      </c>
      <c r="N3" s="132">
        <v>4</v>
      </c>
      <c r="O3" s="132">
        <v>5</v>
      </c>
      <c r="P3" s="132">
        <v>6</v>
      </c>
      <c r="Q3" s="132">
        <v>7</v>
      </c>
      <c r="R3" s="132">
        <v>8</v>
      </c>
      <c r="S3" s="132">
        <v>9</v>
      </c>
      <c r="T3" s="132">
        <v>10</v>
      </c>
      <c r="U3" s="94" t="s">
        <v>188</v>
      </c>
      <c r="V3" s="94" t="s">
        <v>180</v>
      </c>
      <c r="W3" s="94" t="s">
        <v>31</v>
      </c>
      <c r="X3" s="94" t="s">
        <v>30</v>
      </c>
    </row>
    <row r="4" spans="1:24" x14ac:dyDescent="0.2">
      <c r="A4" s="101" t="str">
        <f>consumos!A34</f>
        <v>Cuero Napa Variada  (Dm2)</v>
      </c>
      <c r="B4" s="102" t="str">
        <f>consumos!D8</f>
        <v>MIEL O CAFÉ</v>
      </c>
      <c r="C4" s="104">
        <f>consumos!E8</f>
        <v>9</v>
      </c>
      <c r="D4" s="129">
        <f>consumos!E8*consumos!J5</f>
        <v>270</v>
      </c>
      <c r="E4" s="129">
        <f>MEDIDAS!C21</f>
        <v>6.2068965517241378E-2</v>
      </c>
      <c r="F4" s="105">
        <f>consumos!H8</f>
        <v>131760</v>
      </c>
      <c r="G4" s="106"/>
      <c r="H4" s="103">
        <f t="shared" ref="H4:H28" si="0">IF(I4&gt;D4,(FALSE),I4)</f>
        <v>0</v>
      </c>
      <c r="I4" s="107">
        <f t="shared" ref="I4:I28" si="1">(K4+L4+M4+N4+O4+P4+Q4+R4+S4+T4)</f>
        <v>0</v>
      </c>
      <c r="J4" s="108">
        <f t="shared" ref="J4:J28" si="2">D4-(K4+L4+M4+N4+O4+P4+Q4+R4+S4+T4)</f>
        <v>270</v>
      </c>
      <c r="K4" s="99">
        <v>0</v>
      </c>
      <c r="L4" s="99">
        <v>0</v>
      </c>
      <c r="M4" s="99">
        <v>0</v>
      </c>
      <c r="N4" s="99">
        <v>0</v>
      </c>
      <c r="O4" s="99">
        <v>0</v>
      </c>
      <c r="P4" s="99">
        <v>0</v>
      </c>
      <c r="Q4" s="99">
        <v>0</v>
      </c>
      <c r="R4" s="99">
        <v>0</v>
      </c>
      <c r="S4" s="99">
        <v>0</v>
      </c>
      <c r="T4" s="99">
        <v>0</v>
      </c>
      <c r="U4" s="93" t="str">
        <f>consumos!A77</f>
        <v>Aguja Corta Cabo Delgada  (unidad)</v>
      </c>
      <c r="V4" s="67">
        <f>IF(consumos!D77&lt;0,(1),consumos!D77)</f>
        <v>0</v>
      </c>
      <c r="W4" s="62">
        <f>V4-X4</f>
        <v>0</v>
      </c>
      <c r="X4" s="28">
        <v>0</v>
      </c>
    </row>
    <row r="5" spans="1:24" x14ac:dyDescent="0.2">
      <c r="A5" s="101" t="str">
        <f>consumos!A35</f>
        <v>Seda 30-100 Colores  (cm²)</v>
      </c>
      <c r="B5" s="102" t="str">
        <f>consumos!D9</f>
        <v>CAFÉ</v>
      </c>
      <c r="C5" s="104">
        <f>consumos!E9</f>
        <v>1400</v>
      </c>
      <c r="D5" s="129">
        <f>consumos!E9*consumos!J5</f>
        <v>42000</v>
      </c>
      <c r="E5" s="129">
        <f>MEDIDAS!C22</f>
        <v>9.6551724137931032</v>
      </c>
      <c r="F5" s="105">
        <f>consumos!H9</f>
        <v>21000</v>
      </c>
      <c r="G5" s="106"/>
      <c r="H5" s="103">
        <f t="shared" si="0"/>
        <v>42000</v>
      </c>
      <c r="I5" s="107">
        <f t="shared" si="1"/>
        <v>42000</v>
      </c>
      <c r="J5" s="108">
        <f t="shared" si="2"/>
        <v>0</v>
      </c>
      <c r="K5" s="99">
        <v>42000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3" t="str">
        <f>consumos!A78</f>
        <v>Aguja Corta Cabo Grueso  (unidad)</v>
      </c>
      <c r="V5" s="67">
        <f>IF(consumos!D78&lt;0,(1),consumos!D78)</f>
        <v>0</v>
      </c>
      <c r="W5" s="62">
        <f>V5-X5</f>
        <v>0</v>
      </c>
      <c r="X5" s="28">
        <v>0</v>
      </c>
    </row>
    <row r="6" spans="1:24" x14ac:dyDescent="0.2">
      <c r="A6" s="101" t="str">
        <f>consumos!A36</f>
        <v>Cremallera Nylon #4(cm)</v>
      </c>
      <c r="B6" s="102" t="str">
        <f>consumos!D10</f>
        <v>CAFÉ</v>
      </c>
      <c r="C6" s="104">
        <f>consumos!E10</f>
        <v>25</v>
      </c>
      <c r="D6" s="129">
        <f>consumos!E10*consumos!J5</f>
        <v>750</v>
      </c>
      <c r="E6" s="129">
        <f>MEDIDAS!C23</f>
        <v>0.17241379310344829</v>
      </c>
      <c r="F6" s="105">
        <f>consumos!H10</f>
        <v>3300</v>
      </c>
      <c r="G6" s="106"/>
      <c r="H6" s="103">
        <f t="shared" si="0"/>
        <v>0</v>
      </c>
      <c r="I6" s="107">
        <f t="shared" si="1"/>
        <v>0</v>
      </c>
      <c r="J6" s="108">
        <f t="shared" si="2"/>
        <v>750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3" t="str">
        <f>consumos!A79</f>
        <v>Bolsa Plastica Cargadera ( unidad)</v>
      </c>
      <c r="V6" s="67">
        <f>IF(consumos!D79&lt;0,(1),consumos!D79)</f>
        <v>0</v>
      </c>
      <c r="W6" s="62">
        <f t="shared" ref="W6:W51" si="3">V6-X6</f>
        <v>0</v>
      </c>
      <c r="X6" s="28">
        <v>0</v>
      </c>
    </row>
    <row r="7" spans="1:24" x14ac:dyDescent="0.2">
      <c r="A7" s="101" t="str">
        <f>consumos!A37</f>
        <v xml:space="preserve">llaves #4 Pb </v>
      </c>
      <c r="B7" s="102" t="str">
        <f>consumos!D11</f>
        <v>PABONADO</v>
      </c>
      <c r="C7" s="104">
        <f>consumos!E11</f>
        <v>1</v>
      </c>
      <c r="D7" s="129">
        <f>consumos!E11*consumos!J5</f>
        <v>30</v>
      </c>
      <c r="E7" s="129">
        <f>MEDIDAS!C24</f>
        <v>6.8965517241379309E-3</v>
      </c>
      <c r="F7" s="105">
        <f>consumos!H11</f>
        <v>3150</v>
      </c>
      <c r="G7" s="106"/>
      <c r="H7" s="103">
        <f t="shared" si="0"/>
        <v>0</v>
      </c>
      <c r="I7" s="107">
        <f t="shared" si="1"/>
        <v>0</v>
      </c>
      <c r="J7" s="108">
        <f t="shared" si="2"/>
        <v>30</v>
      </c>
      <c r="K7" s="99">
        <v>0</v>
      </c>
      <c r="L7" s="99">
        <v>0</v>
      </c>
      <c r="M7" s="99">
        <v>0</v>
      </c>
      <c r="N7" s="99">
        <v>0</v>
      </c>
      <c r="O7" s="99">
        <v>0</v>
      </c>
      <c r="P7" s="99">
        <v>0</v>
      </c>
      <c r="Q7" s="99">
        <v>0</v>
      </c>
      <c r="R7" s="99">
        <v>0</v>
      </c>
      <c r="S7" s="99">
        <v>0</v>
      </c>
      <c r="T7" s="99">
        <v>0</v>
      </c>
      <c r="U7" s="93" t="str">
        <f>consumos!A80</f>
        <v>Bolsa plastica de 12*14 ( unidad)</v>
      </c>
      <c r="V7" s="67">
        <f>IF(consumos!D80&lt;0,(1),consumos!D80)</f>
        <v>0</v>
      </c>
      <c r="W7" s="62">
        <f t="shared" si="3"/>
        <v>0</v>
      </c>
      <c r="X7" s="28">
        <v>0</v>
      </c>
    </row>
    <row r="8" spans="1:24" x14ac:dyDescent="0.2">
      <c r="A8" s="101" t="str">
        <f>consumos!A38</f>
        <v>Cinta Falla de 25mm  (Cm)</v>
      </c>
      <c r="B8" s="102" t="str">
        <f>consumos!D12</f>
        <v>CAFÉ</v>
      </c>
      <c r="C8" s="104">
        <f>consumos!E12</f>
        <v>20</v>
      </c>
      <c r="D8" s="129">
        <f>consumos!E12*consumos!J5</f>
        <v>600</v>
      </c>
      <c r="E8" s="129">
        <f>MEDIDAS!C25</f>
        <v>0.13793103448275862</v>
      </c>
      <c r="F8" s="105">
        <f>consumos!H12</f>
        <v>0</v>
      </c>
      <c r="G8" s="106"/>
      <c r="H8" s="103">
        <f t="shared" si="0"/>
        <v>0</v>
      </c>
      <c r="I8" s="107">
        <f t="shared" si="1"/>
        <v>0</v>
      </c>
      <c r="J8" s="108">
        <f t="shared" si="2"/>
        <v>600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3" t="str">
        <f>consumos!A81</f>
        <v>Bolsa Plastica de 15*22 ( unidad)</v>
      </c>
      <c r="V8" s="67">
        <f>IF(consumos!D81&lt;0,(1),consumos!D81)</f>
        <v>0</v>
      </c>
      <c r="W8" s="62">
        <f t="shared" si="3"/>
        <v>0</v>
      </c>
      <c r="X8" s="28">
        <v>0</v>
      </c>
    </row>
    <row r="9" spans="1:24" x14ac:dyDescent="0.2">
      <c r="A9" s="101">
        <f>consumos!A39</f>
        <v>0</v>
      </c>
      <c r="B9" s="102">
        <f>consumos!D13</f>
        <v>0</v>
      </c>
      <c r="C9" s="104">
        <f>consumos!E13</f>
        <v>0</v>
      </c>
      <c r="D9" s="129">
        <f>consumos!E13*consumos!J5</f>
        <v>0</v>
      </c>
      <c r="E9" s="129">
        <f>MEDIDAS!C26</f>
        <v>0</v>
      </c>
      <c r="F9" s="105">
        <f>consumos!H13</f>
        <v>0</v>
      </c>
      <c r="G9" s="106"/>
      <c r="H9" s="103">
        <f t="shared" si="0"/>
        <v>0</v>
      </c>
      <c r="I9" s="107">
        <f t="shared" si="1"/>
        <v>0</v>
      </c>
      <c r="J9" s="108">
        <f t="shared" si="2"/>
        <v>0</v>
      </c>
      <c r="K9" s="99">
        <v>0</v>
      </c>
      <c r="L9" s="99">
        <v>0</v>
      </c>
      <c r="M9" s="99">
        <v>0</v>
      </c>
      <c r="N9" s="99">
        <v>0</v>
      </c>
      <c r="O9" s="99">
        <v>0</v>
      </c>
      <c r="P9" s="99">
        <v>0</v>
      </c>
      <c r="Q9" s="99">
        <v>0</v>
      </c>
      <c r="R9" s="99">
        <v>0</v>
      </c>
      <c r="S9" s="99">
        <v>0</v>
      </c>
      <c r="T9" s="99">
        <v>0</v>
      </c>
      <c r="U9" s="93" t="str">
        <f>consumos!A82</f>
        <v>Cambre de 100gr   (cm²)</v>
      </c>
      <c r="V9" s="67">
        <f>IF(consumos!D82&lt;0,(1),consumos!D82)</f>
        <v>0</v>
      </c>
      <c r="W9" s="62">
        <f t="shared" si="3"/>
        <v>0</v>
      </c>
      <c r="X9" s="28">
        <v>0</v>
      </c>
    </row>
    <row r="10" spans="1:24" x14ac:dyDescent="0.2">
      <c r="A10" s="101">
        <f>consumos!A40</f>
        <v>0</v>
      </c>
      <c r="B10" s="102">
        <f>consumos!D14</f>
        <v>0</v>
      </c>
      <c r="C10" s="104">
        <f>consumos!E14</f>
        <v>0</v>
      </c>
      <c r="D10" s="129">
        <f>consumos!E14*consumos!J5</f>
        <v>0</v>
      </c>
      <c r="E10" s="129">
        <f>MEDIDAS!C27</f>
        <v>0</v>
      </c>
      <c r="F10" s="105">
        <f>consumos!H14</f>
        <v>0</v>
      </c>
      <c r="G10" s="106"/>
      <c r="H10" s="103">
        <f t="shared" si="0"/>
        <v>0</v>
      </c>
      <c r="I10" s="107">
        <f t="shared" si="1"/>
        <v>0</v>
      </c>
      <c r="J10" s="108">
        <f t="shared" si="2"/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3" t="str">
        <f>consumos!A83</f>
        <v>Carton Corrugado (pliego)</v>
      </c>
      <c r="V10" s="67">
        <f>IF(consumos!D83&lt;0,(1),consumos!D83)</f>
        <v>0</v>
      </c>
      <c r="W10" s="62">
        <f t="shared" si="3"/>
        <v>0</v>
      </c>
      <c r="X10" s="28">
        <v>0</v>
      </c>
    </row>
    <row r="11" spans="1:24" x14ac:dyDescent="0.2">
      <c r="A11" s="101">
        <f>consumos!A41</f>
        <v>0</v>
      </c>
      <c r="B11" s="102">
        <f>consumos!D15</f>
        <v>0</v>
      </c>
      <c r="C11" s="104">
        <f>consumos!E15</f>
        <v>0</v>
      </c>
      <c r="D11" s="129">
        <f>consumos!E15*consumos!J5</f>
        <v>0</v>
      </c>
      <c r="E11" s="129">
        <f>MEDIDAS!C28</f>
        <v>0</v>
      </c>
      <c r="F11" s="105">
        <f>consumos!H15</f>
        <v>0</v>
      </c>
      <c r="G11" s="106"/>
      <c r="H11" s="103">
        <f t="shared" si="0"/>
        <v>0</v>
      </c>
      <c r="I11" s="107">
        <f t="shared" si="1"/>
        <v>0</v>
      </c>
      <c r="J11" s="108">
        <f t="shared" si="2"/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3" t="str">
        <f>consumos!A84</f>
        <v>Carton duplex  (pliego)</v>
      </c>
      <c r="V11" s="67">
        <f>IF(consumos!D84&lt;0,(1),consumos!D84)</f>
        <v>0</v>
      </c>
      <c r="W11" s="62">
        <f t="shared" si="3"/>
        <v>0</v>
      </c>
      <c r="X11" s="28">
        <v>0</v>
      </c>
    </row>
    <row r="12" spans="1:24" x14ac:dyDescent="0.2">
      <c r="A12" s="101">
        <f>consumos!A42</f>
        <v>0</v>
      </c>
      <c r="B12" s="102">
        <f>consumos!D16</f>
        <v>0</v>
      </c>
      <c r="C12" s="104">
        <f>consumos!E16</f>
        <v>0</v>
      </c>
      <c r="D12" s="129">
        <f>consumos!E16*consumos!J5</f>
        <v>0</v>
      </c>
      <c r="E12" s="129">
        <f>MEDIDAS!C29</f>
        <v>0</v>
      </c>
      <c r="F12" s="105">
        <f>consumos!H16</f>
        <v>0</v>
      </c>
      <c r="G12" s="106"/>
      <c r="H12" s="103">
        <f t="shared" si="0"/>
        <v>0</v>
      </c>
      <c r="I12" s="107">
        <f t="shared" si="1"/>
        <v>0</v>
      </c>
      <c r="J12" s="108">
        <f t="shared" si="2"/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3" t="str">
        <f>consumos!A85</f>
        <v>Carton Paja (pliego)</v>
      </c>
      <c r="V12" s="67">
        <f>IF(consumos!D85&lt;0,(1),consumos!D85)</f>
        <v>0</v>
      </c>
      <c r="W12" s="62">
        <f t="shared" si="3"/>
        <v>0</v>
      </c>
      <c r="X12" s="28">
        <v>0</v>
      </c>
    </row>
    <row r="13" spans="1:24" x14ac:dyDescent="0.2">
      <c r="A13" s="101">
        <f>consumos!A43</f>
        <v>0</v>
      </c>
      <c r="B13" s="102">
        <f>consumos!D17</f>
        <v>0</v>
      </c>
      <c r="C13" s="104">
        <f>consumos!E17</f>
        <v>0</v>
      </c>
      <c r="D13" s="129">
        <f>consumos!E17*consumos!J5</f>
        <v>0</v>
      </c>
      <c r="E13" s="129">
        <f>MEDIDAS!C30</f>
        <v>0</v>
      </c>
      <c r="F13" s="105">
        <f>consumos!H17</f>
        <v>0</v>
      </c>
      <c r="G13" s="106"/>
      <c r="H13" s="103">
        <f t="shared" si="0"/>
        <v>0</v>
      </c>
      <c r="I13" s="107">
        <f t="shared" si="1"/>
        <v>0</v>
      </c>
      <c r="J13" s="108">
        <f t="shared" si="2"/>
        <v>0</v>
      </c>
      <c r="K13" s="99">
        <v>0</v>
      </c>
      <c r="L13" s="99">
        <v>0</v>
      </c>
      <c r="M13" s="99">
        <v>0</v>
      </c>
      <c r="N13" s="99">
        <v>0</v>
      </c>
      <c r="O13" s="99">
        <v>0</v>
      </c>
      <c r="P13" s="99">
        <v>0</v>
      </c>
      <c r="Q13" s="99">
        <v>0</v>
      </c>
      <c r="R13" s="99">
        <v>0</v>
      </c>
      <c r="S13" s="99">
        <v>0</v>
      </c>
      <c r="T13" s="99">
        <v>0</v>
      </c>
      <c r="U13" s="93" t="str">
        <f>consumos!A86</f>
        <v>Cartulina  (pliego)</v>
      </c>
      <c r="V13" s="67">
        <f>IF(consumos!D86&lt;0,(1),consumos!D86)</f>
        <v>6</v>
      </c>
      <c r="W13" s="62">
        <f t="shared" si="3"/>
        <v>6</v>
      </c>
      <c r="X13" s="28">
        <v>0</v>
      </c>
    </row>
    <row r="14" spans="1:24" x14ac:dyDescent="0.2">
      <c r="A14" s="101">
        <f>consumos!A44</f>
        <v>0</v>
      </c>
      <c r="B14" s="102">
        <f>consumos!D18</f>
        <v>0</v>
      </c>
      <c r="C14" s="104">
        <f>consumos!E18</f>
        <v>0</v>
      </c>
      <c r="D14" s="129">
        <f>consumos!E18*consumos!J5</f>
        <v>0</v>
      </c>
      <c r="E14" s="129">
        <f>MEDIDAS!C31</f>
        <v>0</v>
      </c>
      <c r="F14" s="105">
        <f>consumos!H18</f>
        <v>0</v>
      </c>
      <c r="G14" s="106"/>
      <c r="H14" s="103">
        <f t="shared" si="0"/>
        <v>0</v>
      </c>
      <c r="I14" s="107">
        <f t="shared" si="1"/>
        <v>0</v>
      </c>
      <c r="J14" s="108">
        <f t="shared" si="2"/>
        <v>0</v>
      </c>
      <c r="K14" s="99">
        <v>0</v>
      </c>
      <c r="L14" s="99">
        <v>0</v>
      </c>
      <c r="M14" s="99">
        <v>0</v>
      </c>
      <c r="N14" s="99">
        <v>0</v>
      </c>
      <c r="O14" s="99">
        <v>0</v>
      </c>
      <c r="P14" s="99">
        <v>0</v>
      </c>
      <c r="Q14" s="99">
        <v>0</v>
      </c>
      <c r="R14" s="99">
        <v>0</v>
      </c>
      <c r="S14" s="99">
        <v>0</v>
      </c>
      <c r="T14" s="99">
        <v>0</v>
      </c>
      <c r="U14" s="93" t="str">
        <f>consumos!A87</f>
        <v>Cinta de Enmascarar de 2"  (unidad)</v>
      </c>
      <c r="V14" s="67">
        <f>IF(consumos!D87&lt;0,(1),consumos!D87)</f>
        <v>0</v>
      </c>
      <c r="W14" s="62">
        <f t="shared" si="3"/>
        <v>0</v>
      </c>
      <c r="X14" s="28">
        <v>0</v>
      </c>
    </row>
    <row r="15" spans="1:24" x14ac:dyDescent="0.2">
      <c r="A15" s="101">
        <f>consumos!A45</f>
        <v>0</v>
      </c>
      <c r="B15" s="102">
        <f>consumos!D19</f>
        <v>0</v>
      </c>
      <c r="C15" s="104">
        <f>consumos!E19</f>
        <v>0</v>
      </c>
      <c r="D15" s="129">
        <f>consumos!E19*consumos!J5</f>
        <v>0</v>
      </c>
      <c r="E15" s="129">
        <f>MEDIDAS!C32</f>
        <v>0</v>
      </c>
      <c r="F15" s="105">
        <f>consumos!H19</f>
        <v>0</v>
      </c>
      <c r="G15" s="106"/>
      <c r="H15" s="103">
        <f t="shared" si="0"/>
        <v>0</v>
      </c>
      <c r="I15" s="107">
        <f t="shared" si="1"/>
        <v>0</v>
      </c>
      <c r="J15" s="108">
        <f t="shared" si="2"/>
        <v>0</v>
      </c>
      <c r="K15" s="99">
        <v>0</v>
      </c>
      <c r="L15" s="99">
        <v>0</v>
      </c>
      <c r="M15" s="99">
        <v>0</v>
      </c>
      <c r="N15" s="99">
        <v>0</v>
      </c>
      <c r="O15" s="99">
        <v>0</v>
      </c>
      <c r="P15" s="99">
        <v>0</v>
      </c>
      <c r="Q15" s="99">
        <v>0</v>
      </c>
      <c r="R15" s="99">
        <v>0</v>
      </c>
      <c r="S15" s="99">
        <v>0</v>
      </c>
      <c r="T15" s="99">
        <v>0</v>
      </c>
      <c r="U15" s="93" t="str">
        <f>consumos!A88</f>
        <v>Cinta de trasparente (unidad)</v>
      </c>
      <c r="V15" s="67">
        <f>IF(consumos!D88&lt;0,(1),consumos!D88)</f>
        <v>0</v>
      </c>
      <c r="W15" s="62">
        <f t="shared" si="3"/>
        <v>0</v>
      </c>
      <c r="X15" s="28">
        <v>0</v>
      </c>
    </row>
    <row r="16" spans="1:24" x14ac:dyDescent="0.2">
      <c r="A16" s="101">
        <f>consumos!A46</f>
        <v>0</v>
      </c>
      <c r="B16" s="102">
        <f>consumos!D20</f>
        <v>0</v>
      </c>
      <c r="C16" s="104">
        <f>consumos!E20</f>
        <v>0</v>
      </c>
      <c r="D16" s="129">
        <f>consumos!E20*consumos!J5</f>
        <v>0</v>
      </c>
      <c r="E16" s="129">
        <f>MEDIDAS!C33</f>
        <v>0</v>
      </c>
      <c r="F16" s="105">
        <f>consumos!H20</f>
        <v>0</v>
      </c>
      <c r="G16" s="106"/>
      <c r="H16" s="103">
        <f t="shared" si="0"/>
        <v>0</v>
      </c>
      <c r="I16" s="107">
        <f t="shared" si="1"/>
        <v>0</v>
      </c>
      <c r="J16" s="108">
        <f t="shared" si="2"/>
        <v>0</v>
      </c>
      <c r="K16" s="99">
        <v>0</v>
      </c>
      <c r="L16" s="99">
        <v>0</v>
      </c>
      <c r="M16" s="99">
        <v>0</v>
      </c>
      <c r="N16" s="99">
        <v>0</v>
      </c>
      <c r="O16" s="99">
        <v>0</v>
      </c>
      <c r="P16" s="99">
        <v>0</v>
      </c>
      <c r="Q16" s="99">
        <v>0</v>
      </c>
      <c r="R16" s="99">
        <v>0</v>
      </c>
      <c r="S16" s="99">
        <v>0</v>
      </c>
      <c r="T16" s="99">
        <v>0</v>
      </c>
      <c r="U16" s="93" t="str">
        <f>consumos!A89</f>
        <v>Ecohalogenante para suelas</v>
      </c>
      <c r="V16" s="67">
        <f>IF(consumos!D89&lt;0,(1),consumos!D89)</f>
        <v>0</v>
      </c>
      <c r="W16" s="62">
        <f t="shared" si="3"/>
        <v>0</v>
      </c>
      <c r="X16" s="28">
        <v>0</v>
      </c>
    </row>
    <row r="17" spans="1:45" x14ac:dyDescent="0.2">
      <c r="A17" s="101">
        <f>consumos!A47</f>
        <v>0</v>
      </c>
      <c r="B17" s="102">
        <f>consumos!D21</f>
        <v>0</v>
      </c>
      <c r="C17" s="104">
        <f>consumos!E21</f>
        <v>0</v>
      </c>
      <c r="D17" s="129">
        <f>consumos!E21*consumos!J5</f>
        <v>0</v>
      </c>
      <c r="E17" s="129">
        <f>MEDIDAS!C34</f>
        <v>0</v>
      </c>
      <c r="F17" s="105">
        <f>consumos!H21</f>
        <v>0</v>
      </c>
      <c r="G17" s="106"/>
      <c r="H17" s="103">
        <f t="shared" si="0"/>
        <v>0</v>
      </c>
      <c r="I17" s="107">
        <f t="shared" si="1"/>
        <v>0</v>
      </c>
      <c r="J17" s="108">
        <f t="shared" si="2"/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3" t="str">
        <f>consumos!A90</f>
        <v>Ecolimpiador para suelas</v>
      </c>
      <c r="V17" s="67">
        <f>IF(consumos!D90&lt;0,(1),consumos!D90)</f>
        <v>0</v>
      </c>
      <c r="W17" s="62">
        <f t="shared" si="3"/>
        <v>0</v>
      </c>
      <c r="X17" s="28">
        <v>0</v>
      </c>
    </row>
    <row r="18" spans="1:45" ht="12.75" customHeight="1" x14ac:dyDescent="0.2">
      <c r="A18" s="101">
        <f>consumos!A48</f>
        <v>0</v>
      </c>
      <c r="B18" s="102">
        <f>consumos!D22</f>
        <v>0</v>
      </c>
      <c r="C18" s="104">
        <f>consumos!E22</f>
        <v>0</v>
      </c>
      <c r="D18" s="129">
        <f>consumos!E22*consumos!J5</f>
        <v>0</v>
      </c>
      <c r="E18" s="129">
        <f>MEDIDAS!C35</f>
        <v>0</v>
      </c>
      <c r="F18" s="105">
        <f>consumos!H22</f>
        <v>0</v>
      </c>
      <c r="G18" s="106"/>
      <c r="H18" s="103">
        <f t="shared" si="0"/>
        <v>0</v>
      </c>
      <c r="I18" s="107">
        <f t="shared" si="1"/>
        <v>0</v>
      </c>
      <c r="J18" s="108">
        <f t="shared" si="2"/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3" t="str">
        <f>consumos!A91</f>
        <v>Halogenante LH rapido ( galòn 3600 cm 3)</v>
      </c>
      <c r="V18" s="67">
        <f>IF(consumos!D91&lt;0,(1),consumos!D91)</f>
        <v>0</v>
      </c>
      <c r="W18" s="62">
        <f t="shared" si="3"/>
        <v>0</v>
      </c>
      <c r="X18" s="28">
        <v>0</v>
      </c>
    </row>
    <row r="19" spans="1:45" x14ac:dyDescent="0.2">
      <c r="A19" s="101">
        <f>consumos!A49</f>
        <v>0</v>
      </c>
      <c r="B19" s="102">
        <f>consumos!D23</f>
        <v>0</v>
      </c>
      <c r="C19" s="104">
        <f>consumos!E23</f>
        <v>0</v>
      </c>
      <c r="D19" s="129">
        <f>consumos!E23*consumos!J5</f>
        <v>0</v>
      </c>
      <c r="E19" s="129">
        <f>MEDIDAS!C36</f>
        <v>0</v>
      </c>
      <c r="F19" s="105">
        <f>consumos!H23</f>
        <v>0</v>
      </c>
      <c r="G19" s="106"/>
      <c r="H19" s="103">
        <f t="shared" si="0"/>
        <v>0</v>
      </c>
      <c r="I19" s="107">
        <f t="shared" si="1"/>
        <v>0</v>
      </c>
      <c r="J19" s="108">
        <f t="shared" si="2"/>
        <v>0</v>
      </c>
      <c r="K19" s="99">
        <v>0</v>
      </c>
      <c r="L19" s="99">
        <v>0</v>
      </c>
      <c r="M19" s="99">
        <v>0</v>
      </c>
      <c r="N19" s="99">
        <v>0</v>
      </c>
      <c r="O19" s="99">
        <v>0</v>
      </c>
      <c r="P19" s="99">
        <v>0</v>
      </c>
      <c r="Q19" s="99">
        <v>0</v>
      </c>
      <c r="R19" s="99">
        <v>0</v>
      </c>
      <c r="S19" s="99">
        <v>0</v>
      </c>
      <c r="T19" s="99">
        <v>0</v>
      </c>
      <c r="U19" s="93" t="str">
        <f>consumos!A92</f>
        <v>Halogenante rapido 0817</v>
      </c>
      <c r="V19" s="67">
        <f>IF(consumos!D92&lt;0,(1),consumos!D92)</f>
        <v>0</v>
      </c>
      <c r="W19" s="62">
        <f t="shared" si="3"/>
        <v>0</v>
      </c>
      <c r="X19" s="28">
        <v>0</v>
      </c>
    </row>
    <row r="20" spans="1:45" ht="12.75" customHeight="1" x14ac:dyDescent="0.2">
      <c r="A20" s="101">
        <f>consumos!A50</f>
        <v>0</v>
      </c>
      <c r="B20" s="102">
        <f>consumos!D24</f>
        <v>0</v>
      </c>
      <c r="C20" s="104">
        <f>consumos!E24</f>
        <v>0</v>
      </c>
      <c r="D20" s="129">
        <f>consumos!E24*consumos!J5</f>
        <v>0</v>
      </c>
      <c r="E20" s="129">
        <f>MEDIDAS!C37</f>
        <v>0</v>
      </c>
      <c r="F20" s="105">
        <f>consumos!H24</f>
        <v>0</v>
      </c>
      <c r="G20" s="106"/>
      <c r="H20" s="103">
        <f t="shared" si="0"/>
        <v>0</v>
      </c>
      <c r="I20" s="107">
        <f t="shared" si="1"/>
        <v>0</v>
      </c>
      <c r="J20" s="108">
        <f t="shared" si="2"/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3" t="str">
        <f>consumos!A93</f>
        <v>Hilo Colores surtidos# 20 (cono 250 mt)</v>
      </c>
      <c r="V20" s="67">
        <f>IF(consumos!D93&lt;0,(1),consumos!D93)</f>
        <v>0</v>
      </c>
      <c r="W20" s="62">
        <f t="shared" si="3"/>
        <v>0</v>
      </c>
      <c r="X20" s="28">
        <v>0</v>
      </c>
    </row>
    <row r="21" spans="1:45" ht="12.75" customHeight="1" x14ac:dyDescent="0.2">
      <c r="A21" s="101">
        <f>consumos!A51</f>
        <v>0</v>
      </c>
      <c r="B21" s="102">
        <f>consumos!D25</f>
        <v>0</v>
      </c>
      <c r="C21" s="104">
        <f>consumos!E25</f>
        <v>0</v>
      </c>
      <c r="D21" s="129">
        <f>consumos!E25*consumos!J5</f>
        <v>0</v>
      </c>
      <c r="E21" s="129">
        <f>MEDIDAS!C38</f>
        <v>0</v>
      </c>
      <c r="F21" s="105">
        <f>consumos!H25</f>
        <v>0</v>
      </c>
      <c r="G21" s="106"/>
      <c r="H21" s="103">
        <f t="shared" si="0"/>
        <v>0</v>
      </c>
      <c r="I21" s="107">
        <f t="shared" si="1"/>
        <v>0</v>
      </c>
      <c r="J21" s="108">
        <f t="shared" si="2"/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3" t="str">
        <f>consumos!A94</f>
        <v>Hilo Colores surtidos# 40 (cono 1000 mt)</v>
      </c>
      <c r="V21" s="67">
        <f>IF(consumos!D94&lt;0,(1),consumos!D94)</f>
        <v>0</v>
      </c>
      <c r="W21" s="62">
        <f t="shared" si="3"/>
        <v>0</v>
      </c>
      <c r="X21" s="28">
        <v>0</v>
      </c>
    </row>
    <row r="22" spans="1:45" ht="12.75" customHeight="1" x14ac:dyDescent="0.2">
      <c r="A22" s="101">
        <f>consumos!A52</f>
        <v>0</v>
      </c>
      <c r="B22" s="102">
        <f>consumos!D26</f>
        <v>0</v>
      </c>
      <c r="C22" s="104">
        <f>consumos!E26</f>
        <v>0</v>
      </c>
      <c r="D22" s="129">
        <f>consumos!E26*consumos!J5</f>
        <v>0</v>
      </c>
      <c r="E22" s="129">
        <f>MEDIDAS!C39</f>
        <v>0</v>
      </c>
      <c r="F22" s="105">
        <f>consumos!H26</f>
        <v>0</v>
      </c>
      <c r="G22" s="106"/>
      <c r="H22" s="103">
        <f t="shared" si="0"/>
        <v>0</v>
      </c>
      <c r="I22" s="107">
        <f t="shared" si="1"/>
        <v>0</v>
      </c>
      <c r="J22" s="108">
        <f t="shared" si="2"/>
        <v>0</v>
      </c>
      <c r="K22" s="99">
        <v>0</v>
      </c>
      <c r="L22" s="99">
        <v>0</v>
      </c>
      <c r="M22" s="99">
        <v>0</v>
      </c>
      <c r="N22" s="99">
        <v>0</v>
      </c>
      <c r="O22" s="99">
        <v>0</v>
      </c>
      <c r="P22" s="99">
        <v>0</v>
      </c>
      <c r="Q22" s="99">
        <v>0</v>
      </c>
      <c r="R22" s="99">
        <v>0</v>
      </c>
      <c r="S22" s="99">
        <v>0</v>
      </c>
      <c r="T22" s="99">
        <v>0</v>
      </c>
      <c r="U22" s="93" t="str">
        <f>consumos!A95</f>
        <v>Hilo Colores surtidos# 60 (cono 1500 mt)</v>
      </c>
      <c r="V22" s="67">
        <f>IF(consumos!D95&lt;0,(1),consumos!D95)</f>
        <v>0</v>
      </c>
      <c r="W22" s="62">
        <f t="shared" si="3"/>
        <v>0</v>
      </c>
      <c r="X22" s="28">
        <v>0</v>
      </c>
    </row>
    <row r="23" spans="1:45" ht="12.75" customHeight="1" x14ac:dyDescent="0.2">
      <c r="A23" s="101">
        <f>consumos!A53</f>
        <v>0</v>
      </c>
      <c r="B23" s="102">
        <f>consumos!D27</f>
        <v>0</v>
      </c>
      <c r="C23" s="104">
        <f>consumos!E27</f>
        <v>0</v>
      </c>
      <c r="D23" s="129">
        <f>consumos!E27*consumos!J5</f>
        <v>0</v>
      </c>
      <c r="E23" s="129">
        <f>MEDIDAS!C40</f>
        <v>0</v>
      </c>
      <c r="F23" s="105">
        <f>consumos!H27</f>
        <v>0</v>
      </c>
      <c r="G23" s="106"/>
      <c r="H23" s="103">
        <f t="shared" si="0"/>
        <v>0</v>
      </c>
      <c r="I23" s="107">
        <f t="shared" si="1"/>
        <v>0</v>
      </c>
      <c r="J23" s="108">
        <f t="shared" si="2"/>
        <v>0</v>
      </c>
      <c r="K23" s="99">
        <v>0</v>
      </c>
      <c r="L23" s="99">
        <v>0</v>
      </c>
      <c r="M23" s="99">
        <v>0</v>
      </c>
      <c r="N23" s="99">
        <v>0</v>
      </c>
      <c r="O23" s="99">
        <v>0</v>
      </c>
      <c r="P23" s="99">
        <v>0</v>
      </c>
      <c r="Q23" s="99">
        <v>0</v>
      </c>
      <c r="R23" s="99">
        <v>0</v>
      </c>
      <c r="S23" s="99">
        <v>0</v>
      </c>
      <c r="T23" s="99">
        <v>0</v>
      </c>
      <c r="U23" s="93" t="str">
        <f>consumos!A96</f>
        <v>Hilo Encerado cono 100 gr  (metro)</v>
      </c>
      <c r="V23" s="67">
        <f>IF(consumos!D96&lt;0,(1),consumos!D96)</f>
        <v>3</v>
      </c>
      <c r="W23" s="62">
        <f t="shared" si="3"/>
        <v>3</v>
      </c>
      <c r="X23" s="28">
        <v>0</v>
      </c>
    </row>
    <row r="24" spans="1:45" ht="12.75" customHeight="1" x14ac:dyDescent="0.2">
      <c r="A24" s="101">
        <f>consumos!A54</f>
        <v>0</v>
      </c>
      <c r="B24" s="102">
        <f>consumos!D28</f>
        <v>0</v>
      </c>
      <c r="C24" s="104">
        <f>consumos!E28</f>
        <v>0</v>
      </c>
      <c r="D24" s="129">
        <f>consumos!E28*consumos!J5</f>
        <v>0</v>
      </c>
      <c r="E24" s="129">
        <f>MEDIDAS!C41</f>
        <v>0</v>
      </c>
      <c r="F24" s="105">
        <f>consumos!H28</f>
        <v>0</v>
      </c>
      <c r="G24" s="106"/>
      <c r="H24" s="103">
        <f t="shared" si="0"/>
        <v>0</v>
      </c>
      <c r="I24" s="107">
        <f t="shared" si="1"/>
        <v>0</v>
      </c>
      <c r="J24" s="108">
        <f t="shared" si="2"/>
        <v>0</v>
      </c>
      <c r="K24" s="99">
        <v>0</v>
      </c>
      <c r="L24" s="99">
        <v>0</v>
      </c>
      <c r="M24" s="99">
        <v>0</v>
      </c>
      <c r="N24" s="99">
        <v>0</v>
      </c>
      <c r="O24" s="99">
        <v>0</v>
      </c>
      <c r="P24" s="99">
        <v>0</v>
      </c>
      <c r="Q24" s="99">
        <v>0</v>
      </c>
      <c r="R24" s="99">
        <v>0</v>
      </c>
      <c r="S24" s="99">
        <v>0</v>
      </c>
      <c r="T24" s="99">
        <v>0</v>
      </c>
      <c r="U24" s="93" t="str">
        <f>consumos!A97</f>
        <v>Hilo Terlenka 2 cabos (cono 150mt)</v>
      </c>
      <c r="V24" s="67">
        <f>IF(consumos!D97&lt;0,(1),consumos!D97)</f>
        <v>0</v>
      </c>
      <c r="W24" s="62">
        <f t="shared" si="3"/>
        <v>0</v>
      </c>
      <c r="X24" s="28">
        <v>0</v>
      </c>
    </row>
    <row r="25" spans="1:45" ht="12.75" customHeight="1" x14ac:dyDescent="0.2">
      <c r="A25" s="101">
        <f>consumos!A55</f>
        <v>0</v>
      </c>
      <c r="B25" s="102">
        <f>consumos!D29</f>
        <v>0</v>
      </c>
      <c r="C25" s="104">
        <f>consumos!E29</f>
        <v>0</v>
      </c>
      <c r="D25" s="129">
        <f>consumos!E29*consumos!J5</f>
        <v>0</v>
      </c>
      <c r="E25" s="129">
        <f>MEDIDAS!C42</f>
        <v>0</v>
      </c>
      <c r="F25" s="105">
        <f>consumos!H29</f>
        <v>0</v>
      </c>
      <c r="G25" s="106"/>
      <c r="H25" s="103">
        <f t="shared" si="0"/>
        <v>0</v>
      </c>
      <c r="I25" s="107">
        <f t="shared" si="1"/>
        <v>0</v>
      </c>
      <c r="J25" s="108">
        <f t="shared" si="2"/>
        <v>0</v>
      </c>
      <c r="K25" s="99">
        <v>0</v>
      </c>
      <c r="L25" s="99">
        <v>0</v>
      </c>
      <c r="M25" s="99">
        <v>0</v>
      </c>
      <c r="N25" s="99">
        <v>0</v>
      </c>
      <c r="O25" s="99">
        <v>0</v>
      </c>
      <c r="P25" s="99">
        <v>0</v>
      </c>
      <c r="Q25" s="99">
        <v>0</v>
      </c>
      <c r="R25" s="99">
        <v>0</v>
      </c>
      <c r="S25" s="99">
        <v>0</v>
      </c>
      <c r="T25" s="99">
        <v>0</v>
      </c>
      <c r="U25" s="93" t="str">
        <f>consumos!A98</f>
        <v>Interlon  (cm²)</v>
      </c>
      <c r="V25" s="67">
        <f>IF(consumos!D98&lt;0,(1),consumos!D98)</f>
        <v>0</v>
      </c>
      <c r="W25" s="62">
        <f t="shared" si="3"/>
        <v>0</v>
      </c>
      <c r="X25" s="28">
        <v>0</v>
      </c>
    </row>
    <row r="26" spans="1:45" ht="12.75" customHeight="1" x14ac:dyDescent="0.2">
      <c r="A26" s="101">
        <f>consumos!A56</f>
        <v>0</v>
      </c>
      <c r="B26" s="102">
        <f>consumos!D30</f>
        <v>0</v>
      </c>
      <c r="C26" s="104">
        <f>consumos!E30</f>
        <v>0</v>
      </c>
      <c r="D26" s="129">
        <f>consumos!E30*consumos!J5</f>
        <v>0</v>
      </c>
      <c r="E26" s="129">
        <f>MEDIDAS!C43</f>
        <v>0</v>
      </c>
      <c r="F26" s="105">
        <f>consumos!H30</f>
        <v>0</v>
      </c>
      <c r="G26" s="106"/>
      <c r="H26" s="103">
        <f t="shared" si="0"/>
        <v>0</v>
      </c>
      <c r="I26" s="107">
        <f t="shared" si="1"/>
        <v>0</v>
      </c>
      <c r="J26" s="108">
        <f t="shared" si="2"/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3" t="str">
        <f>consumos!A99</f>
        <v>Lamina Zinc (unidad)</v>
      </c>
      <c r="V26" s="67">
        <f>IF(consumos!D99&lt;0,(1),consumos!D99)</f>
        <v>0</v>
      </c>
      <c r="W26" s="62">
        <f t="shared" si="3"/>
        <v>0</v>
      </c>
      <c r="X26" s="28">
        <v>0</v>
      </c>
    </row>
    <row r="27" spans="1:45" x14ac:dyDescent="0.2">
      <c r="A27" s="101">
        <f>consumos!A57</f>
        <v>0</v>
      </c>
      <c r="B27" s="102">
        <f>consumos!D31</f>
        <v>0</v>
      </c>
      <c r="C27" s="104">
        <f>consumos!E31</f>
        <v>0</v>
      </c>
      <c r="D27" s="129">
        <f>consumos!E31*consumos!J5</f>
        <v>0</v>
      </c>
      <c r="E27" s="129">
        <f>MEDIDAS!C44</f>
        <v>0</v>
      </c>
      <c r="F27" s="105">
        <f>consumos!H31</f>
        <v>0</v>
      </c>
      <c r="G27" s="106"/>
      <c r="H27" s="103">
        <f t="shared" si="0"/>
        <v>0</v>
      </c>
      <c r="I27" s="107">
        <f t="shared" si="1"/>
        <v>0</v>
      </c>
      <c r="J27" s="108">
        <f t="shared" si="2"/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3" t="str">
        <f>consumos!A100</f>
        <v>Lija de Agua#120 (unidad)</v>
      </c>
      <c r="V27" s="67">
        <f>IF(consumos!D100&lt;0,(1),consumos!D100)</f>
        <v>0</v>
      </c>
      <c r="W27" s="62">
        <f t="shared" si="3"/>
        <v>0</v>
      </c>
      <c r="X27" s="28">
        <v>0</v>
      </c>
    </row>
    <row r="28" spans="1:45" ht="13.5" thickBot="1" x14ac:dyDescent="0.25">
      <c r="A28" s="101">
        <f>consumos!A58</f>
        <v>0</v>
      </c>
      <c r="B28" s="102">
        <f>consumos!D32</f>
        <v>0</v>
      </c>
      <c r="C28" s="104">
        <f>consumos!E32</f>
        <v>0</v>
      </c>
      <c r="D28" s="129">
        <f>consumos!E32*consumos!J5</f>
        <v>0</v>
      </c>
      <c r="E28" s="129">
        <f>MEDIDAS!C45</f>
        <v>0</v>
      </c>
      <c r="F28" s="105">
        <f>consumos!H32</f>
        <v>0</v>
      </c>
      <c r="G28" s="106"/>
      <c r="H28" s="103">
        <f t="shared" si="0"/>
        <v>0</v>
      </c>
      <c r="I28" s="109">
        <f t="shared" si="1"/>
        <v>0</v>
      </c>
      <c r="J28" s="110">
        <f t="shared" si="2"/>
        <v>0</v>
      </c>
      <c r="K28" s="100">
        <v>0</v>
      </c>
      <c r="L28" s="100">
        <v>0</v>
      </c>
      <c r="M28" s="100">
        <v>0</v>
      </c>
      <c r="N28" s="100">
        <v>0</v>
      </c>
      <c r="O28" s="100">
        <v>0</v>
      </c>
      <c r="P28" s="100">
        <v>0</v>
      </c>
      <c r="Q28" s="100">
        <v>0</v>
      </c>
      <c r="R28" s="100">
        <v>0</v>
      </c>
      <c r="S28" s="100">
        <v>0</v>
      </c>
      <c r="T28" s="100">
        <v>0</v>
      </c>
      <c r="U28" s="93" t="str">
        <f>consumos!A101</f>
        <v>Lija de Agua#180 (unidad)</v>
      </c>
      <c r="V28" s="67">
        <f>IF(consumos!D101&lt;0,(1),consumos!D101)</f>
        <v>0</v>
      </c>
      <c r="W28" s="62">
        <f t="shared" si="3"/>
        <v>0</v>
      </c>
      <c r="X28" s="28">
        <v>0</v>
      </c>
    </row>
    <row r="29" spans="1:45" ht="17.25" customHeight="1" thickBot="1" x14ac:dyDescent="0.3">
      <c r="A29" s="216" t="s">
        <v>184</v>
      </c>
      <c r="B29" s="217"/>
      <c r="C29" s="217"/>
      <c r="D29" s="218"/>
      <c r="E29" s="139"/>
      <c r="F29" s="24">
        <f>SUM(F4:F28)</f>
        <v>159210</v>
      </c>
      <c r="G29" s="8"/>
      <c r="H29" s="22"/>
      <c r="I29" s="9"/>
      <c r="J29" s="23"/>
      <c r="K29" s="210" t="str">
        <f>consumos!A62</f>
        <v>OBSERVACIONES</v>
      </c>
      <c r="L29" s="211"/>
      <c r="M29" s="211"/>
      <c r="N29" s="211"/>
      <c r="O29" s="211"/>
      <c r="P29" s="211"/>
      <c r="Q29" s="211"/>
      <c r="R29" s="211"/>
      <c r="S29" s="211"/>
      <c r="T29" s="212"/>
      <c r="U29" s="93" t="str">
        <f>consumos!A102</f>
        <v>Lija de Agua#240 (unidad)</v>
      </c>
      <c r="V29" s="67">
        <f>IF(consumos!D102&lt;0,(1),consumos!D102)</f>
        <v>0</v>
      </c>
      <c r="W29" s="62">
        <f t="shared" si="3"/>
        <v>0</v>
      </c>
      <c r="X29" s="28">
        <v>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13.5" thickBot="1" x14ac:dyDescent="0.25">
      <c r="A30" s="219" t="s">
        <v>185</v>
      </c>
      <c r="B30" s="220"/>
      <c r="C30" s="220"/>
      <c r="D30" s="220"/>
      <c r="E30" s="140"/>
      <c r="F30" s="6"/>
      <c r="G30" s="6"/>
      <c r="H30" s="12"/>
      <c r="I30" s="10"/>
      <c r="J30" s="11"/>
      <c r="K30" s="213"/>
      <c r="L30" s="214"/>
      <c r="M30" s="214"/>
      <c r="N30" s="214"/>
      <c r="O30" s="214"/>
      <c r="P30" s="214"/>
      <c r="Q30" s="214"/>
      <c r="R30" s="214"/>
      <c r="S30" s="214"/>
      <c r="T30" s="215"/>
      <c r="U30" s="93" t="str">
        <f>consumos!A103</f>
        <v>Lija de Agua#400 (unidad)</v>
      </c>
      <c r="V30" s="67">
        <f>IF(consumos!D103&lt;0,(1),consumos!D103)</f>
        <v>0</v>
      </c>
      <c r="W30" s="62">
        <f t="shared" si="3"/>
        <v>0</v>
      </c>
      <c r="X30" s="28">
        <v>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 x14ac:dyDescent="0.2">
      <c r="A31" s="6"/>
      <c r="B31" s="6"/>
      <c r="C31" s="6"/>
      <c r="D31" s="6"/>
      <c r="E31" s="6"/>
      <c r="F31" s="6"/>
      <c r="G31" s="6"/>
      <c r="H31" s="12"/>
      <c r="I31" s="10"/>
      <c r="J31" s="11"/>
      <c r="K31" s="207" t="str">
        <f>consumos!A63</f>
        <v>CARTUCHERA SENCILLA 20 CM X 11 CM X 9 CM</v>
      </c>
      <c r="L31" s="208"/>
      <c r="M31" s="208"/>
      <c r="N31" s="208"/>
      <c r="O31" s="208"/>
      <c r="P31" s="208"/>
      <c r="Q31" s="208"/>
      <c r="R31" s="208"/>
      <c r="S31" s="208"/>
      <c r="T31" s="209"/>
      <c r="U31" s="93" t="str">
        <f>consumos!A104</f>
        <v>Lija de Agua#600 (unidad)</v>
      </c>
      <c r="V31" s="67">
        <f>IF(consumos!D104&lt;0,(1),consumos!D104)</f>
        <v>0</v>
      </c>
      <c r="W31" s="62">
        <f t="shared" si="3"/>
        <v>0</v>
      </c>
      <c r="X31" s="28">
        <v>0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 x14ac:dyDescent="0.2">
      <c r="A32" s="6"/>
      <c r="B32" s="6"/>
      <c r="C32" s="6"/>
      <c r="D32" s="6"/>
      <c r="E32" s="6"/>
      <c r="F32" s="6"/>
      <c r="G32" s="6"/>
      <c r="H32" s="12"/>
      <c r="I32" s="10"/>
      <c r="J32" s="11"/>
      <c r="K32" s="207" t="str">
        <f>consumos!A64</f>
        <v>HILO ENCERADO A TONO DEL CUERO</v>
      </c>
      <c r="L32" s="208"/>
      <c r="M32" s="208"/>
      <c r="N32" s="208"/>
      <c r="O32" s="208"/>
      <c r="P32" s="208"/>
      <c r="Q32" s="208"/>
      <c r="R32" s="208"/>
      <c r="S32" s="208"/>
      <c r="T32" s="209"/>
      <c r="U32" s="93" t="str">
        <f>consumos!A105</f>
        <v>Limpiador AT 20  ( galón 3600 cm 3)</v>
      </c>
      <c r="V32" s="67">
        <f>IF(consumos!D105&lt;0,(1),consumos!D105)</f>
        <v>0</v>
      </c>
      <c r="W32" s="62">
        <f t="shared" si="3"/>
        <v>0</v>
      </c>
      <c r="X32" s="28">
        <v>0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 x14ac:dyDescent="0.2">
      <c r="A33" s="6"/>
      <c r="B33" s="6"/>
      <c r="C33" s="6"/>
      <c r="D33" s="6"/>
      <c r="E33" s="6"/>
      <c r="F33" s="6"/>
      <c r="G33" s="6"/>
      <c r="H33" s="12"/>
      <c r="I33" s="10"/>
      <c r="J33" s="11"/>
      <c r="K33" s="207">
        <f>consumos!A65</f>
        <v>0</v>
      </c>
      <c r="L33" s="208"/>
      <c r="M33" s="208"/>
      <c r="N33" s="208"/>
      <c r="O33" s="208"/>
      <c r="P33" s="208"/>
      <c r="Q33" s="208"/>
      <c r="R33" s="208"/>
      <c r="S33" s="208"/>
      <c r="T33" s="209"/>
      <c r="U33" s="93" t="str">
        <f>consumos!A106</f>
        <v>Limpiador para acabados</v>
      </c>
      <c r="V33" s="67">
        <f>IF(consumos!D106&lt;0,(1),consumos!D106)</f>
        <v>0</v>
      </c>
      <c r="W33" s="62">
        <f t="shared" si="3"/>
        <v>0</v>
      </c>
      <c r="X33" s="28">
        <v>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 x14ac:dyDescent="0.2">
      <c r="A34" s="6"/>
      <c r="B34" s="6"/>
      <c r="C34" s="6"/>
      <c r="D34" s="6"/>
      <c r="E34" s="6"/>
      <c r="F34" s="6"/>
      <c r="G34" s="6"/>
      <c r="H34" s="12"/>
      <c r="I34" s="10"/>
      <c r="J34" s="11"/>
      <c r="K34" s="207">
        <f>consumos!A66</f>
        <v>0</v>
      </c>
      <c r="L34" s="208"/>
      <c r="M34" s="208"/>
      <c r="N34" s="208"/>
      <c r="O34" s="208"/>
      <c r="P34" s="208"/>
      <c r="Q34" s="208"/>
      <c r="R34" s="208"/>
      <c r="S34" s="208"/>
      <c r="T34" s="209"/>
      <c r="U34" s="93" t="str">
        <f>consumos!A107</f>
        <v>Limpiador VZ 40 ( galón 3600 cm 3)</v>
      </c>
      <c r="V34" s="67">
        <f>IF(consumos!D107&lt;0,(1),consumos!D107)</f>
        <v>0</v>
      </c>
      <c r="W34" s="62">
        <f t="shared" si="3"/>
        <v>0</v>
      </c>
      <c r="X34" s="28">
        <v>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 x14ac:dyDescent="0.2">
      <c r="A35" s="6"/>
      <c r="B35" s="6"/>
      <c r="C35" s="6"/>
      <c r="D35" s="6"/>
      <c r="E35" s="6"/>
      <c r="F35" s="6"/>
      <c r="G35" s="6"/>
      <c r="H35" s="12"/>
      <c r="I35" s="10"/>
      <c r="J35" s="11"/>
      <c r="K35" s="207">
        <f>consumos!A67</f>
        <v>0</v>
      </c>
      <c r="L35" s="208"/>
      <c r="M35" s="208"/>
      <c r="N35" s="208"/>
      <c r="O35" s="208"/>
      <c r="P35" s="208"/>
      <c r="Q35" s="208"/>
      <c r="R35" s="208"/>
      <c r="S35" s="208"/>
      <c r="T35" s="209"/>
      <c r="U35" s="93" t="str">
        <f>consumos!A108</f>
        <v>Papel periodico  (pliego)</v>
      </c>
      <c r="V35" s="67">
        <f>IF(consumos!D108&lt;0,(1),consumos!D108)</f>
        <v>0</v>
      </c>
      <c r="W35" s="62">
        <f t="shared" si="3"/>
        <v>0</v>
      </c>
      <c r="X35" s="28">
        <v>0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207">
        <f>consumos!A68</f>
        <v>0</v>
      </c>
      <c r="L36" s="208"/>
      <c r="M36" s="208"/>
      <c r="N36" s="208"/>
      <c r="O36" s="208"/>
      <c r="P36" s="208"/>
      <c r="Q36" s="208"/>
      <c r="R36" s="208"/>
      <c r="S36" s="208"/>
      <c r="T36" s="209"/>
      <c r="U36" s="93" t="str">
        <f>consumos!A109</f>
        <v>Pegante advance o pega amarilla</v>
      </c>
      <c r="V36" s="67">
        <f>IF(consumos!D109&lt;0,(1),consumos!D109)</f>
        <v>0</v>
      </c>
      <c r="W36" s="62">
        <f t="shared" si="3"/>
        <v>0</v>
      </c>
      <c r="X36" s="28">
        <v>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207">
        <f>consumos!A69</f>
        <v>0</v>
      </c>
      <c r="L37" s="208"/>
      <c r="M37" s="208"/>
      <c r="N37" s="208"/>
      <c r="O37" s="208"/>
      <c r="P37" s="208"/>
      <c r="Q37" s="208"/>
      <c r="R37" s="208"/>
      <c r="S37" s="208"/>
      <c r="T37" s="209"/>
      <c r="U37" s="93" t="str">
        <f>consumos!A110</f>
        <v>Pu  419 pegante poliuretano</v>
      </c>
      <c r="V37" s="67">
        <f>IF(consumos!D110&lt;0,(1),consumos!D110)</f>
        <v>0</v>
      </c>
      <c r="W37" s="62">
        <f t="shared" si="3"/>
        <v>0</v>
      </c>
      <c r="X37" s="28">
        <v>0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207">
        <f>consumos!A70</f>
        <v>0</v>
      </c>
      <c r="L38" s="208"/>
      <c r="M38" s="208"/>
      <c r="N38" s="208"/>
      <c r="O38" s="208"/>
      <c r="P38" s="208"/>
      <c r="Q38" s="208"/>
      <c r="R38" s="208"/>
      <c r="S38" s="208"/>
      <c r="T38" s="209"/>
      <c r="U38" s="93" t="str">
        <f>consumos!A111</f>
        <v>Pintura Acrilica X150 gr (unidad)</v>
      </c>
      <c r="V38" s="67">
        <f>IF(consumos!D111&lt;0,(1),consumos!D111)</f>
        <v>0</v>
      </c>
      <c r="W38" s="62">
        <f t="shared" si="3"/>
        <v>0</v>
      </c>
      <c r="X38" s="28">
        <v>0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207">
        <f>consumos!A71</f>
        <v>0</v>
      </c>
      <c r="L39" s="208"/>
      <c r="M39" s="208"/>
      <c r="N39" s="208"/>
      <c r="O39" s="208"/>
      <c r="P39" s="208"/>
      <c r="Q39" s="208"/>
      <c r="R39" s="208"/>
      <c r="S39" s="208"/>
      <c r="T39" s="209"/>
      <c r="U39" s="93" t="str">
        <f>consumos!A112</f>
        <v>Primer eva plus</v>
      </c>
      <c r="V39" s="67">
        <f>IF(consumos!D112&lt;0,(1),consumos!D112)</f>
        <v>0</v>
      </c>
      <c r="W39" s="62">
        <f t="shared" si="3"/>
        <v>0</v>
      </c>
      <c r="X39" s="28">
        <v>0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207">
        <f>consumos!A72</f>
        <v>0</v>
      </c>
      <c r="L40" s="208"/>
      <c r="M40" s="208"/>
      <c r="N40" s="208"/>
      <c r="O40" s="208"/>
      <c r="P40" s="208"/>
      <c r="Q40" s="208"/>
      <c r="R40" s="208"/>
      <c r="S40" s="208"/>
      <c r="T40" s="209"/>
      <c r="U40" s="93" t="str">
        <f>consumos!A113</f>
        <v>Primer PU 419</v>
      </c>
      <c r="V40" s="67">
        <f>IF(consumos!D113&lt;0,(1),consumos!D113)</f>
        <v>0</v>
      </c>
      <c r="W40" s="62">
        <f t="shared" si="3"/>
        <v>0</v>
      </c>
      <c r="X40" s="28">
        <v>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207">
        <f>consumos!A73</f>
        <v>0</v>
      </c>
      <c r="L41" s="208"/>
      <c r="M41" s="208"/>
      <c r="N41" s="208"/>
      <c r="O41" s="208"/>
      <c r="P41" s="208"/>
      <c r="Q41" s="208"/>
      <c r="R41" s="208"/>
      <c r="S41" s="208"/>
      <c r="T41" s="209"/>
      <c r="U41" s="93" t="str">
        <f>consumos!A114</f>
        <v>Primer pu 85</v>
      </c>
      <c r="V41" s="67">
        <f>IF(consumos!D114&lt;0,(1),consumos!D114)</f>
        <v>0</v>
      </c>
      <c r="W41" s="62">
        <f t="shared" si="3"/>
        <v>0</v>
      </c>
      <c r="X41" s="28">
        <v>0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207">
        <f>consumos!A74</f>
        <v>0</v>
      </c>
      <c r="L42" s="208"/>
      <c r="M42" s="208"/>
      <c r="N42" s="208"/>
      <c r="O42" s="208"/>
      <c r="P42" s="208"/>
      <c r="Q42" s="208"/>
      <c r="R42" s="208"/>
      <c r="S42" s="208"/>
      <c r="T42" s="209"/>
      <c r="U42" s="93" t="str">
        <f>consumos!A115</f>
        <v>PU 689 adhesivo</v>
      </c>
      <c r="V42" s="67">
        <f>IF(consumos!D115&lt;0,(1),consumos!D115)</f>
        <v>0</v>
      </c>
      <c r="W42" s="62">
        <f t="shared" si="3"/>
        <v>0</v>
      </c>
      <c r="X42" s="28">
        <v>0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207">
        <f>consumos!A75</f>
        <v>0</v>
      </c>
      <c r="L43" s="208"/>
      <c r="M43" s="208"/>
      <c r="N43" s="208"/>
      <c r="O43" s="208"/>
      <c r="P43" s="208"/>
      <c r="Q43" s="208"/>
      <c r="R43" s="208"/>
      <c r="S43" s="208"/>
      <c r="T43" s="209"/>
      <c r="U43" s="93" t="str">
        <f>consumos!A116</f>
        <v>Sacol Solucion de caucho natural 2440</v>
      </c>
      <c r="V43" s="67">
        <f>IF(consumos!D116&lt;0,(1),consumos!D116)</f>
        <v>0</v>
      </c>
      <c r="W43" s="62">
        <f t="shared" si="3"/>
        <v>0</v>
      </c>
      <c r="X43" s="28">
        <v>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93" t="str">
        <f>consumos!A117</f>
        <v>Thiner Halogenante LH Rapido</v>
      </c>
      <c r="V44" s="67">
        <f>IF(consumos!D117&lt;0,(1),consumos!D117)</f>
        <v>0</v>
      </c>
      <c r="W44" s="62">
        <f t="shared" si="3"/>
        <v>0</v>
      </c>
      <c r="X44" s="28">
        <v>0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93" t="str">
        <f>consumos!A118</f>
        <v>Thiner limpiador 0329</v>
      </c>
      <c r="V45" s="67">
        <f>IF(consumos!D118&lt;0,(1),consumos!D118)</f>
        <v>0</v>
      </c>
      <c r="W45" s="62">
        <f t="shared" si="3"/>
        <v>0</v>
      </c>
      <c r="X45" s="28">
        <v>0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93" t="str">
        <f>consumos!A119</f>
        <v>Thiner limpiador AT - 20</v>
      </c>
      <c r="V46" s="67">
        <f>IF(consumos!D119&lt;0,(1),consumos!D119)</f>
        <v>0</v>
      </c>
      <c r="W46" s="62">
        <f t="shared" si="3"/>
        <v>0</v>
      </c>
      <c r="X46" s="28">
        <v>0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93" t="str">
        <f>consumos!A120</f>
        <v>Thiner  limpiador VZ - 40</v>
      </c>
      <c r="V47" s="67">
        <f>IF(consumos!D120&lt;0,(1),consumos!D120)</f>
        <v>0</v>
      </c>
      <c r="W47" s="62">
        <f t="shared" si="3"/>
        <v>0</v>
      </c>
      <c r="X47" s="28">
        <v>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93" t="str">
        <f>consumos!A121</f>
        <v>Tinta Colores para Cuero 120cc (unidad)</v>
      </c>
      <c r="V48" s="67">
        <f>IF(consumos!D121&lt;0,(1),consumos!D121)</f>
        <v>0</v>
      </c>
      <c r="W48" s="62">
        <f t="shared" si="3"/>
        <v>0</v>
      </c>
      <c r="X48" s="28">
        <v>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93" t="str">
        <f>consumos!A122</f>
        <v>Vulcanizante PU</v>
      </c>
      <c r="V49" s="67">
        <f>IF(consumos!D122&lt;0,(1),consumos!D122)</f>
        <v>0</v>
      </c>
      <c r="W49" s="62">
        <f t="shared" si="3"/>
        <v>0</v>
      </c>
      <c r="X49" s="28">
        <v>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93" t="str">
        <f>consumos!A123</f>
        <v>Vulcanizante PU AQUOSO 212</v>
      </c>
      <c r="V50" s="67">
        <f>IF(consumos!D123&lt;0,(1),consumos!D123)</f>
        <v>0</v>
      </c>
      <c r="W50" s="62">
        <f t="shared" si="3"/>
        <v>0</v>
      </c>
      <c r="X50" s="28">
        <v>0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93" t="str">
        <f>consumos!A124</f>
        <v>Vulcanizante PU SOLVENTE</v>
      </c>
      <c r="V51" s="67">
        <f>IF(consumos!D124&lt;0,(1),consumos!D124)</f>
        <v>0</v>
      </c>
      <c r="W51" s="62">
        <f t="shared" si="3"/>
        <v>0</v>
      </c>
      <c r="X51" s="28">
        <v>0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</sheetData>
  <sheetProtection password="B4B1" sheet="1"/>
  <protectedRanges>
    <protectedRange sqref="X4:X51 K4:T28" name="desbloquados"/>
    <protectedRange password="B4B1" sqref="H1:X3 K29:T43 U4:W51 F4:J30 A1:E30" name="bloqueadas"/>
  </protectedRanges>
  <customSheetViews>
    <customSheetView guid="{0F6C7FCE-20BD-4B57-B04C-CA521EC9CEDE}" scale="86" hiddenColumns="1">
      <selection activeCell="F2" sqref="F2:H2"/>
      <pageMargins left="0.70866141732283472" right="0.70866141732283472" top="0.74803149606299213" bottom="0.74803149606299213" header="0.31496062992125984" footer="0.31496062992125984"/>
      <printOptions horizontalCentered="1"/>
      <pageSetup orientation="landscape" r:id="rId1"/>
    </customSheetView>
  </customSheetViews>
  <mergeCells count="17">
    <mergeCell ref="A29:D29"/>
    <mergeCell ref="A30:D30"/>
    <mergeCell ref="K41:T41"/>
    <mergeCell ref="K42:T42"/>
    <mergeCell ref="K43:T43"/>
    <mergeCell ref="K35:T35"/>
    <mergeCell ref="K36:T36"/>
    <mergeCell ref="K37:T37"/>
    <mergeCell ref="K38:T38"/>
    <mergeCell ref="K39:T39"/>
    <mergeCell ref="H1:X2"/>
    <mergeCell ref="K40:T40"/>
    <mergeCell ref="K29:T30"/>
    <mergeCell ref="K34:T34"/>
    <mergeCell ref="K33:T33"/>
    <mergeCell ref="K32:T32"/>
    <mergeCell ref="K31:T31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2"/>
  <ignoredErrors>
    <ignoredError sqref="B1" formula="1"/>
    <ignoredError sqref="F2" emptyCellReference="1"/>
  </ignoredErrors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>
      <selection activeCell="F13" sqref="F13"/>
    </sheetView>
  </sheetViews>
  <sheetFormatPr baseColWidth="10" defaultRowHeight="12.75" x14ac:dyDescent="0.2"/>
  <sheetData>
    <row r="1" spans="1:9" ht="48" x14ac:dyDescent="0.2">
      <c r="A1" s="111" t="s">
        <v>285</v>
      </c>
      <c r="B1" s="112" t="s">
        <v>282</v>
      </c>
      <c r="C1" s="113" t="s">
        <v>273</v>
      </c>
      <c r="D1" s="113" t="s">
        <v>274</v>
      </c>
      <c r="E1" s="113" t="s">
        <v>275</v>
      </c>
      <c r="F1" s="114" t="s">
        <v>276</v>
      </c>
      <c r="G1" s="115" t="s">
        <v>277</v>
      </c>
      <c r="H1" s="221" t="s">
        <v>279</v>
      </c>
      <c r="I1" s="222"/>
    </row>
    <row r="2" spans="1:9" ht="15" x14ac:dyDescent="0.2">
      <c r="A2" s="116">
        <v>140</v>
      </c>
      <c r="B2" s="117">
        <v>0</v>
      </c>
      <c r="C2" s="118">
        <f>B2/A2</f>
        <v>0</v>
      </c>
      <c r="D2" s="118">
        <f>C2/10</f>
        <v>0</v>
      </c>
      <c r="E2" s="118">
        <f>C2/100</f>
        <v>0</v>
      </c>
      <c r="F2" s="117">
        <v>0</v>
      </c>
      <c r="G2" s="119">
        <f>F2*E2</f>
        <v>0</v>
      </c>
      <c r="H2" s="223"/>
      <c r="I2" s="222"/>
    </row>
    <row r="3" spans="1:9" ht="15" x14ac:dyDescent="0.2">
      <c r="A3" s="116">
        <v>150</v>
      </c>
      <c r="B3" s="117">
        <v>0</v>
      </c>
      <c r="C3" s="118">
        <f>B3/A3</f>
        <v>0</v>
      </c>
      <c r="D3" s="118">
        <f>C3/100</f>
        <v>0</v>
      </c>
      <c r="E3" s="118">
        <f>C3/100</f>
        <v>0</v>
      </c>
      <c r="F3" s="117">
        <v>0</v>
      </c>
      <c r="G3" s="119">
        <f>F3*E3</f>
        <v>0</v>
      </c>
      <c r="H3" s="223"/>
      <c r="I3" s="222"/>
    </row>
    <row r="4" spans="1:9" ht="15" x14ac:dyDescent="0.2">
      <c r="A4" s="116">
        <v>100</v>
      </c>
      <c r="B4" s="117">
        <v>0</v>
      </c>
      <c r="C4" s="118">
        <f>B4/A4</f>
        <v>0</v>
      </c>
      <c r="D4" s="118">
        <f>C4/100</f>
        <v>0</v>
      </c>
      <c r="E4" s="118">
        <f>C4/100</f>
        <v>0</v>
      </c>
      <c r="F4" s="117">
        <v>0</v>
      </c>
      <c r="G4" s="119">
        <f>F4*E4</f>
        <v>0</v>
      </c>
      <c r="H4" s="223"/>
      <c r="I4" s="222"/>
    </row>
    <row r="5" spans="1:9" ht="15" x14ac:dyDescent="0.2">
      <c r="A5" s="116">
        <v>50</v>
      </c>
      <c r="B5" s="117">
        <v>0</v>
      </c>
      <c r="C5" s="118">
        <f>B5/A5</f>
        <v>0</v>
      </c>
      <c r="D5" s="118">
        <f>C5/100</f>
        <v>0</v>
      </c>
      <c r="E5" s="118">
        <f>C5/100</f>
        <v>0</v>
      </c>
      <c r="F5" s="117">
        <v>0</v>
      </c>
      <c r="G5" s="119">
        <f>F5*E5</f>
        <v>0</v>
      </c>
      <c r="H5" s="223"/>
      <c r="I5" s="222"/>
    </row>
    <row r="6" spans="1:9" x14ac:dyDescent="0.2">
      <c r="A6" s="120"/>
      <c r="B6" s="121"/>
      <c r="C6" s="121"/>
      <c r="D6" s="121"/>
      <c r="E6" s="121"/>
      <c r="F6" s="120"/>
      <c r="G6" s="121"/>
    </row>
    <row r="7" spans="1:9" ht="48" x14ac:dyDescent="0.2">
      <c r="A7" s="111" t="s">
        <v>286</v>
      </c>
      <c r="B7" s="112" t="s">
        <v>283</v>
      </c>
      <c r="C7" s="113" t="s">
        <v>274</v>
      </c>
      <c r="D7" s="113" t="s">
        <v>273</v>
      </c>
      <c r="E7" s="113" t="s">
        <v>275</v>
      </c>
      <c r="F7" s="122" t="s">
        <v>276</v>
      </c>
      <c r="G7" s="115" t="s">
        <v>277</v>
      </c>
    </row>
    <row r="8" spans="1:9" ht="15" x14ac:dyDescent="0.2">
      <c r="A8" s="116">
        <v>14</v>
      </c>
      <c r="B8" s="117">
        <v>0</v>
      </c>
      <c r="C8" s="118">
        <f>B8/A8</f>
        <v>0</v>
      </c>
      <c r="D8" s="118">
        <f>C8*10</f>
        <v>0</v>
      </c>
      <c r="E8" s="118">
        <f>C8/10</f>
        <v>0</v>
      </c>
      <c r="F8" s="117">
        <v>0</v>
      </c>
      <c r="G8" s="119">
        <f>F8*E8</f>
        <v>0</v>
      </c>
    </row>
    <row r="9" spans="1:9" ht="15" x14ac:dyDescent="0.2">
      <c r="A9" s="116">
        <v>15</v>
      </c>
      <c r="B9" s="117">
        <v>0</v>
      </c>
      <c r="C9" s="118">
        <f>B9/A9</f>
        <v>0</v>
      </c>
      <c r="D9" s="118">
        <f>C9*10</f>
        <v>0</v>
      </c>
      <c r="E9" s="118">
        <f>C9/10</f>
        <v>0</v>
      </c>
      <c r="F9" s="117">
        <v>0</v>
      </c>
      <c r="G9" s="119">
        <f>F9*E9</f>
        <v>0</v>
      </c>
    </row>
    <row r="10" spans="1:9" ht="15" x14ac:dyDescent="0.2">
      <c r="A10" s="116">
        <v>10</v>
      </c>
      <c r="B10" s="117">
        <v>0</v>
      </c>
      <c r="C10" s="118">
        <f>B10/A10</f>
        <v>0</v>
      </c>
      <c r="D10" s="118">
        <f>C10*10</f>
        <v>0</v>
      </c>
      <c r="E10" s="118">
        <f>C10/10</f>
        <v>0</v>
      </c>
      <c r="F10" s="117">
        <v>0</v>
      </c>
      <c r="G10" s="119">
        <f>F10*E10</f>
        <v>0</v>
      </c>
    </row>
    <row r="11" spans="1:9" ht="15" x14ac:dyDescent="0.2">
      <c r="A11" s="116">
        <v>5</v>
      </c>
      <c r="B11" s="117">
        <v>0</v>
      </c>
      <c r="C11" s="118">
        <f>B11/A11</f>
        <v>0</v>
      </c>
      <c r="D11" s="118">
        <f>C11*10</f>
        <v>0</v>
      </c>
      <c r="E11" s="118">
        <f>C11/10</f>
        <v>0</v>
      </c>
      <c r="F11" s="117">
        <v>0</v>
      </c>
      <c r="G11" s="119">
        <f>F11*E11</f>
        <v>0</v>
      </c>
    </row>
    <row r="12" spans="1:9" x14ac:dyDescent="0.2">
      <c r="A12" s="120"/>
      <c r="B12" s="121"/>
      <c r="C12" s="121"/>
      <c r="D12" s="121"/>
      <c r="E12" s="121"/>
      <c r="F12" s="120"/>
      <c r="G12" s="121"/>
    </row>
    <row r="13" spans="1:9" ht="48" x14ac:dyDescent="0.2">
      <c r="A13" s="111" t="s">
        <v>287</v>
      </c>
      <c r="B13" s="112" t="s">
        <v>284</v>
      </c>
      <c r="C13" s="113" t="s">
        <v>275</v>
      </c>
      <c r="D13" s="113" t="s">
        <v>273</v>
      </c>
      <c r="E13" s="113" t="s">
        <v>274</v>
      </c>
      <c r="F13" s="122" t="s">
        <v>276</v>
      </c>
      <c r="G13" s="115" t="s">
        <v>277</v>
      </c>
    </row>
    <row r="14" spans="1:9" ht="15" x14ac:dyDescent="0.2">
      <c r="A14" s="116">
        <v>1.4</v>
      </c>
      <c r="B14" s="117">
        <v>0</v>
      </c>
      <c r="C14" s="118">
        <f>B14/A14</f>
        <v>0</v>
      </c>
      <c r="D14" s="118">
        <f>C14*100</f>
        <v>0</v>
      </c>
      <c r="E14" s="118">
        <f>C14*10</f>
        <v>0</v>
      </c>
      <c r="F14" s="117">
        <v>0</v>
      </c>
      <c r="G14" s="123">
        <f>F14*E14</f>
        <v>0</v>
      </c>
    </row>
    <row r="15" spans="1:9" ht="15" x14ac:dyDescent="0.2">
      <c r="A15" s="116">
        <v>1.5</v>
      </c>
      <c r="B15" s="117">
        <v>0</v>
      </c>
      <c r="C15" s="118">
        <f>B15/A15</f>
        <v>0</v>
      </c>
      <c r="D15" s="118">
        <f>C15*100</f>
        <v>0</v>
      </c>
      <c r="E15" s="118">
        <f>C15*10</f>
        <v>0</v>
      </c>
      <c r="F15" s="117">
        <v>0</v>
      </c>
      <c r="G15" s="123">
        <f>F15*E15</f>
        <v>0</v>
      </c>
    </row>
    <row r="16" spans="1:9" ht="15" x14ac:dyDescent="0.2">
      <c r="A16" s="116">
        <v>1</v>
      </c>
      <c r="B16" s="117">
        <v>0</v>
      </c>
      <c r="C16" s="118">
        <f>B16/A16</f>
        <v>0</v>
      </c>
      <c r="D16" s="118">
        <f>C16*100</f>
        <v>0</v>
      </c>
      <c r="E16" s="118">
        <f>C16*10</f>
        <v>0</v>
      </c>
      <c r="F16" s="117">
        <v>0</v>
      </c>
      <c r="G16" s="123">
        <f>F16*E16</f>
        <v>0</v>
      </c>
    </row>
    <row r="17" spans="1:7" ht="15" x14ac:dyDescent="0.2">
      <c r="A17" s="116">
        <v>0.5</v>
      </c>
      <c r="B17" s="117">
        <v>0</v>
      </c>
      <c r="C17" s="118">
        <f>B17/A17</f>
        <v>0</v>
      </c>
      <c r="D17" s="118">
        <f>C17*100</f>
        <v>0</v>
      </c>
      <c r="E17" s="118">
        <f>C17*10</f>
        <v>0</v>
      </c>
      <c r="F17" s="117">
        <v>0</v>
      </c>
      <c r="G17" s="123">
        <f>F17*E17</f>
        <v>0</v>
      </c>
    </row>
    <row r="20" spans="1:7" ht="48" hidden="1" x14ac:dyDescent="0.2">
      <c r="A20" s="111" t="s">
        <v>285</v>
      </c>
      <c r="B20" s="112" t="s">
        <v>282</v>
      </c>
      <c r="C20" s="113" t="s">
        <v>273</v>
      </c>
      <c r="D20" s="113" t="s">
        <v>274</v>
      </c>
      <c r="E20" s="113" t="s">
        <v>275</v>
      </c>
      <c r="F20" s="114" t="s">
        <v>276</v>
      </c>
      <c r="G20" s="115" t="s">
        <v>277</v>
      </c>
    </row>
    <row r="21" spans="1:7" ht="15" hidden="1" x14ac:dyDescent="0.2">
      <c r="A21" s="116">
        <v>145</v>
      </c>
      <c r="B21" s="117">
        <f>PEDIDO!C4</f>
        <v>9</v>
      </c>
      <c r="C21" s="118">
        <f>B21/A21</f>
        <v>6.2068965517241378E-2</v>
      </c>
      <c r="D21" s="118">
        <f>C21/10</f>
        <v>6.2068965517241377E-3</v>
      </c>
      <c r="E21" s="118">
        <f>C21/100</f>
        <v>6.2068965517241383E-4</v>
      </c>
      <c r="F21" s="117">
        <v>0</v>
      </c>
      <c r="G21" s="119">
        <f>F21*E21</f>
        <v>0</v>
      </c>
    </row>
    <row r="22" spans="1:7" ht="15" hidden="1" x14ac:dyDescent="0.2">
      <c r="A22" s="116">
        <v>145</v>
      </c>
      <c r="B22" s="117">
        <f>PEDIDO!C5</f>
        <v>1400</v>
      </c>
      <c r="C22" s="118">
        <f t="shared" ref="C22:C44" si="0">B22/A22</f>
        <v>9.6551724137931032</v>
      </c>
      <c r="D22" s="118">
        <f t="shared" ref="D22:D45" si="1">C22/10</f>
        <v>0.96551724137931028</v>
      </c>
      <c r="E22" s="118">
        <f t="shared" ref="E22:E44" si="2">C22/100</f>
        <v>9.6551724137931033E-2</v>
      </c>
      <c r="F22" s="117">
        <v>0</v>
      </c>
      <c r="G22" s="119">
        <f t="shared" ref="G22:G44" si="3">F22*E22</f>
        <v>0</v>
      </c>
    </row>
    <row r="23" spans="1:7" ht="15" hidden="1" x14ac:dyDescent="0.2">
      <c r="A23" s="116">
        <v>145</v>
      </c>
      <c r="B23" s="117">
        <f>PEDIDO!C6</f>
        <v>25</v>
      </c>
      <c r="C23" s="118">
        <f t="shared" si="0"/>
        <v>0.17241379310344829</v>
      </c>
      <c r="D23" s="118">
        <f t="shared" si="1"/>
        <v>1.7241379310344827E-2</v>
      </c>
      <c r="E23" s="118">
        <f t="shared" si="2"/>
        <v>1.724137931034483E-3</v>
      </c>
      <c r="F23" s="117">
        <v>0</v>
      </c>
      <c r="G23" s="119">
        <f t="shared" si="3"/>
        <v>0</v>
      </c>
    </row>
    <row r="24" spans="1:7" ht="15" hidden="1" x14ac:dyDescent="0.2">
      <c r="A24" s="116">
        <v>145</v>
      </c>
      <c r="B24" s="117">
        <f>PEDIDO!C7</f>
        <v>1</v>
      </c>
      <c r="C24" s="118">
        <f t="shared" si="0"/>
        <v>6.8965517241379309E-3</v>
      </c>
      <c r="D24" s="118">
        <f t="shared" si="1"/>
        <v>6.8965517241379305E-4</v>
      </c>
      <c r="E24" s="118">
        <f t="shared" si="2"/>
        <v>6.8965517241379313E-5</v>
      </c>
      <c r="F24" s="117">
        <v>0</v>
      </c>
      <c r="G24" s="119">
        <f t="shared" si="3"/>
        <v>0</v>
      </c>
    </row>
    <row r="25" spans="1:7" ht="15" hidden="1" x14ac:dyDescent="0.2">
      <c r="A25" s="116">
        <v>145</v>
      </c>
      <c r="B25" s="117">
        <f>PEDIDO!C8</f>
        <v>20</v>
      </c>
      <c r="C25" s="118">
        <f t="shared" si="0"/>
        <v>0.13793103448275862</v>
      </c>
      <c r="D25" s="118">
        <f t="shared" si="1"/>
        <v>1.3793103448275862E-2</v>
      </c>
      <c r="E25" s="118">
        <f t="shared" si="2"/>
        <v>1.3793103448275861E-3</v>
      </c>
      <c r="F25" s="117">
        <v>0</v>
      </c>
      <c r="G25" s="119">
        <f t="shared" si="3"/>
        <v>0</v>
      </c>
    </row>
    <row r="26" spans="1:7" ht="15" hidden="1" x14ac:dyDescent="0.2">
      <c r="A26" s="116">
        <v>145</v>
      </c>
      <c r="B26" s="117">
        <f>PEDIDO!C9</f>
        <v>0</v>
      </c>
      <c r="C26" s="118">
        <f t="shared" si="0"/>
        <v>0</v>
      </c>
      <c r="D26" s="118">
        <f t="shared" si="1"/>
        <v>0</v>
      </c>
      <c r="E26" s="118">
        <f t="shared" si="2"/>
        <v>0</v>
      </c>
      <c r="F26" s="117">
        <v>0</v>
      </c>
      <c r="G26" s="119">
        <f t="shared" si="3"/>
        <v>0</v>
      </c>
    </row>
    <row r="27" spans="1:7" ht="15" hidden="1" x14ac:dyDescent="0.2">
      <c r="A27" s="116">
        <v>145</v>
      </c>
      <c r="B27" s="117">
        <f>PEDIDO!C10</f>
        <v>0</v>
      </c>
      <c r="C27" s="118">
        <f t="shared" si="0"/>
        <v>0</v>
      </c>
      <c r="D27" s="118">
        <f t="shared" si="1"/>
        <v>0</v>
      </c>
      <c r="E27" s="118">
        <f t="shared" si="2"/>
        <v>0</v>
      </c>
      <c r="F27" s="117">
        <v>0</v>
      </c>
      <c r="G27" s="119">
        <f t="shared" si="3"/>
        <v>0</v>
      </c>
    </row>
    <row r="28" spans="1:7" ht="15" hidden="1" x14ac:dyDescent="0.2">
      <c r="A28" s="116">
        <v>145</v>
      </c>
      <c r="B28" s="117">
        <f>PEDIDO!C11</f>
        <v>0</v>
      </c>
      <c r="C28" s="118">
        <f t="shared" si="0"/>
        <v>0</v>
      </c>
      <c r="D28" s="118">
        <f t="shared" si="1"/>
        <v>0</v>
      </c>
      <c r="E28" s="118">
        <f t="shared" si="2"/>
        <v>0</v>
      </c>
      <c r="F28" s="117">
        <v>0</v>
      </c>
      <c r="G28" s="119">
        <f t="shared" si="3"/>
        <v>0</v>
      </c>
    </row>
    <row r="29" spans="1:7" ht="15" hidden="1" x14ac:dyDescent="0.2">
      <c r="A29" s="116">
        <v>145</v>
      </c>
      <c r="B29" s="117">
        <f>PEDIDO!C12</f>
        <v>0</v>
      </c>
      <c r="C29" s="118">
        <f t="shared" si="0"/>
        <v>0</v>
      </c>
      <c r="D29" s="118">
        <f t="shared" si="1"/>
        <v>0</v>
      </c>
      <c r="E29" s="118">
        <f t="shared" si="2"/>
        <v>0</v>
      </c>
      <c r="F29" s="117">
        <v>0</v>
      </c>
      <c r="G29" s="119">
        <f t="shared" si="3"/>
        <v>0</v>
      </c>
    </row>
    <row r="30" spans="1:7" ht="15" hidden="1" x14ac:dyDescent="0.2">
      <c r="A30" s="116">
        <v>145</v>
      </c>
      <c r="B30" s="117">
        <f>PEDIDO!C13</f>
        <v>0</v>
      </c>
      <c r="C30" s="118">
        <f t="shared" si="0"/>
        <v>0</v>
      </c>
      <c r="D30" s="118">
        <f t="shared" si="1"/>
        <v>0</v>
      </c>
      <c r="E30" s="118">
        <f t="shared" si="2"/>
        <v>0</v>
      </c>
      <c r="F30" s="117">
        <v>0</v>
      </c>
      <c r="G30" s="119">
        <f t="shared" si="3"/>
        <v>0</v>
      </c>
    </row>
    <row r="31" spans="1:7" ht="15" hidden="1" x14ac:dyDescent="0.2">
      <c r="A31" s="116">
        <v>145</v>
      </c>
      <c r="B31" s="117">
        <f>PEDIDO!C14</f>
        <v>0</v>
      </c>
      <c r="C31" s="118">
        <f t="shared" si="0"/>
        <v>0</v>
      </c>
      <c r="D31" s="118">
        <f t="shared" si="1"/>
        <v>0</v>
      </c>
      <c r="E31" s="118">
        <f t="shared" si="2"/>
        <v>0</v>
      </c>
      <c r="F31" s="117">
        <v>0</v>
      </c>
      <c r="G31" s="119">
        <f t="shared" si="3"/>
        <v>0</v>
      </c>
    </row>
    <row r="32" spans="1:7" ht="15" hidden="1" x14ac:dyDescent="0.2">
      <c r="A32" s="116">
        <v>145</v>
      </c>
      <c r="B32" s="117">
        <f>PEDIDO!C15</f>
        <v>0</v>
      </c>
      <c r="C32" s="118">
        <f t="shared" si="0"/>
        <v>0</v>
      </c>
      <c r="D32" s="118">
        <f t="shared" si="1"/>
        <v>0</v>
      </c>
      <c r="E32" s="118">
        <f t="shared" si="2"/>
        <v>0</v>
      </c>
      <c r="F32" s="117">
        <v>0</v>
      </c>
      <c r="G32" s="119">
        <f t="shared" si="3"/>
        <v>0</v>
      </c>
    </row>
    <row r="33" spans="1:7" ht="15" hidden="1" x14ac:dyDescent="0.2">
      <c r="A33" s="116">
        <v>145</v>
      </c>
      <c r="B33" s="117">
        <f>PEDIDO!C16</f>
        <v>0</v>
      </c>
      <c r="C33" s="118">
        <f t="shared" si="0"/>
        <v>0</v>
      </c>
      <c r="D33" s="118">
        <f t="shared" si="1"/>
        <v>0</v>
      </c>
      <c r="E33" s="118">
        <f t="shared" si="2"/>
        <v>0</v>
      </c>
      <c r="F33" s="117">
        <v>0</v>
      </c>
      <c r="G33" s="119">
        <f t="shared" si="3"/>
        <v>0</v>
      </c>
    </row>
    <row r="34" spans="1:7" ht="15" hidden="1" x14ac:dyDescent="0.2">
      <c r="A34" s="116">
        <v>145</v>
      </c>
      <c r="B34" s="117">
        <f>PEDIDO!C17</f>
        <v>0</v>
      </c>
      <c r="C34" s="118">
        <f t="shared" si="0"/>
        <v>0</v>
      </c>
      <c r="D34" s="118">
        <f t="shared" si="1"/>
        <v>0</v>
      </c>
      <c r="E34" s="118">
        <f t="shared" si="2"/>
        <v>0</v>
      </c>
      <c r="F34" s="117">
        <v>0</v>
      </c>
      <c r="G34" s="119">
        <f t="shared" si="3"/>
        <v>0</v>
      </c>
    </row>
    <row r="35" spans="1:7" ht="15" hidden="1" x14ac:dyDescent="0.2">
      <c r="A35" s="116">
        <v>145</v>
      </c>
      <c r="B35" s="117">
        <f>PEDIDO!C18</f>
        <v>0</v>
      </c>
      <c r="C35" s="118">
        <f t="shared" si="0"/>
        <v>0</v>
      </c>
      <c r="D35" s="118">
        <f t="shared" si="1"/>
        <v>0</v>
      </c>
      <c r="E35" s="118">
        <f t="shared" si="2"/>
        <v>0</v>
      </c>
      <c r="F35" s="117">
        <v>0</v>
      </c>
      <c r="G35" s="119">
        <f t="shared" si="3"/>
        <v>0</v>
      </c>
    </row>
    <row r="36" spans="1:7" ht="15" hidden="1" x14ac:dyDescent="0.2">
      <c r="A36" s="116">
        <v>145</v>
      </c>
      <c r="B36" s="117">
        <f>PEDIDO!C19</f>
        <v>0</v>
      </c>
      <c r="C36" s="118">
        <f t="shared" si="0"/>
        <v>0</v>
      </c>
      <c r="D36" s="118">
        <f t="shared" si="1"/>
        <v>0</v>
      </c>
      <c r="E36" s="118">
        <f t="shared" si="2"/>
        <v>0</v>
      </c>
      <c r="F36" s="117">
        <v>0</v>
      </c>
      <c r="G36" s="119">
        <f t="shared" si="3"/>
        <v>0</v>
      </c>
    </row>
    <row r="37" spans="1:7" ht="15" hidden="1" x14ac:dyDescent="0.2">
      <c r="A37" s="116">
        <v>145</v>
      </c>
      <c r="B37" s="117">
        <f>PEDIDO!C20</f>
        <v>0</v>
      </c>
      <c r="C37" s="118">
        <f t="shared" si="0"/>
        <v>0</v>
      </c>
      <c r="D37" s="118">
        <f t="shared" si="1"/>
        <v>0</v>
      </c>
      <c r="E37" s="118">
        <f t="shared" si="2"/>
        <v>0</v>
      </c>
      <c r="F37" s="117">
        <v>0</v>
      </c>
      <c r="G37" s="119">
        <f t="shared" si="3"/>
        <v>0</v>
      </c>
    </row>
    <row r="38" spans="1:7" ht="15" hidden="1" x14ac:dyDescent="0.2">
      <c r="A38" s="116">
        <v>145</v>
      </c>
      <c r="B38" s="117">
        <f>PEDIDO!C21</f>
        <v>0</v>
      </c>
      <c r="C38" s="118">
        <f t="shared" si="0"/>
        <v>0</v>
      </c>
      <c r="D38" s="118">
        <f t="shared" si="1"/>
        <v>0</v>
      </c>
      <c r="E38" s="118">
        <f t="shared" si="2"/>
        <v>0</v>
      </c>
      <c r="F38" s="117">
        <v>0</v>
      </c>
      <c r="G38" s="119">
        <f t="shared" si="3"/>
        <v>0</v>
      </c>
    </row>
    <row r="39" spans="1:7" ht="15" hidden="1" x14ac:dyDescent="0.2">
      <c r="A39" s="116">
        <v>145</v>
      </c>
      <c r="B39" s="117">
        <f>PEDIDO!C22</f>
        <v>0</v>
      </c>
      <c r="C39" s="118">
        <f t="shared" si="0"/>
        <v>0</v>
      </c>
      <c r="D39" s="118">
        <f t="shared" si="1"/>
        <v>0</v>
      </c>
      <c r="E39" s="118">
        <f t="shared" si="2"/>
        <v>0</v>
      </c>
      <c r="F39" s="117">
        <v>0</v>
      </c>
      <c r="G39" s="119">
        <f t="shared" si="3"/>
        <v>0</v>
      </c>
    </row>
    <row r="40" spans="1:7" ht="15" hidden="1" x14ac:dyDescent="0.2">
      <c r="A40" s="116">
        <v>145</v>
      </c>
      <c r="B40" s="117">
        <f>PEDIDO!C23</f>
        <v>0</v>
      </c>
      <c r="C40" s="118">
        <f t="shared" si="0"/>
        <v>0</v>
      </c>
      <c r="D40" s="118">
        <f t="shared" si="1"/>
        <v>0</v>
      </c>
      <c r="E40" s="118">
        <f t="shared" si="2"/>
        <v>0</v>
      </c>
      <c r="F40" s="117">
        <v>0</v>
      </c>
      <c r="G40" s="119">
        <f t="shared" si="3"/>
        <v>0</v>
      </c>
    </row>
    <row r="41" spans="1:7" ht="15" hidden="1" x14ac:dyDescent="0.2">
      <c r="A41" s="116">
        <v>145</v>
      </c>
      <c r="B41" s="117">
        <f>PEDIDO!C24</f>
        <v>0</v>
      </c>
      <c r="C41" s="118">
        <f t="shared" si="0"/>
        <v>0</v>
      </c>
      <c r="D41" s="118">
        <f t="shared" si="1"/>
        <v>0</v>
      </c>
      <c r="E41" s="118">
        <f t="shared" si="2"/>
        <v>0</v>
      </c>
      <c r="F41" s="117">
        <v>0</v>
      </c>
      <c r="G41" s="119">
        <f t="shared" si="3"/>
        <v>0</v>
      </c>
    </row>
    <row r="42" spans="1:7" ht="15" hidden="1" x14ac:dyDescent="0.2">
      <c r="A42" s="116">
        <v>145</v>
      </c>
      <c r="B42" s="117">
        <f>PEDIDO!C25</f>
        <v>0</v>
      </c>
      <c r="C42" s="118">
        <f t="shared" si="0"/>
        <v>0</v>
      </c>
      <c r="D42" s="118">
        <f t="shared" si="1"/>
        <v>0</v>
      </c>
      <c r="E42" s="118">
        <f t="shared" si="2"/>
        <v>0</v>
      </c>
      <c r="F42" s="117">
        <v>0</v>
      </c>
      <c r="G42" s="119">
        <f t="shared" si="3"/>
        <v>0</v>
      </c>
    </row>
    <row r="43" spans="1:7" ht="15" hidden="1" x14ac:dyDescent="0.2">
      <c r="A43" s="116">
        <v>145</v>
      </c>
      <c r="B43" s="117">
        <f>PEDIDO!C26</f>
        <v>0</v>
      </c>
      <c r="C43" s="118">
        <f t="shared" si="0"/>
        <v>0</v>
      </c>
      <c r="D43" s="118">
        <f t="shared" si="1"/>
        <v>0</v>
      </c>
      <c r="E43" s="118">
        <f t="shared" si="2"/>
        <v>0</v>
      </c>
      <c r="F43" s="117">
        <v>0</v>
      </c>
      <c r="G43" s="119">
        <f t="shared" si="3"/>
        <v>0</v>
      </c>
    </row>
    <row r="44" spans="1:7" ht="15" hidden="1" x14ac:dyDescent="0.2">
      <c r="A44" s="116">
        <v>145</v>
      </c>
      <c r="B44" s="117">
        <f>PEDIDO!C27</f>
        <v>0</v>
      </c>
      <c r="C44" s="118">
        <f t="shared" si="0"/>
        <v>0</v>
      </c>
      <c r="D44" s="118">
        <f t="shared" si="1"/>
        <v>0</v>
      </c>
      <c r="E44" s="118">
        <f t="shared" si="2"/>
        <v>0</v>
      </c>
      <c r="F44" s="117">
        <v>0</v>
      </c>
      <c r="G44" s="119">
        <f t="shared" si="3"/>
        <v>0</v>
      </c>
    </row>
    <row r="45" spans="1:7" ht="15" hidden="1" x14ac:dyDescent="0.2">
      <c r="A45" s="116">
        <v>145</v>
      </c>
      <c r="B45" s="117">
        <f>PEDIDO!C28</f>
        <v>0</v>
      </c>
      <c r="C45" s="118">
        <f>B45/A45</f>
        <v>0</v>
      </c>
      <c r="D45" s="118">
        <f t="shared" si="1"/>
        <v>0</v>
      </c>
      <c r="E45" s="118">
        <f>C45/100</f>
        <v>0</v>
      </c>
      <c r="F45" s="117">
        <v>0</v>
      </c>
      <c r="G45" s="119">
        <f>F45*E45</f>
        <v>0</v>
      </c>
    </row>
  </sheetData>
  <sheetProtection password="B4B1" sheet="1" objects="1" scenarios="1"/>
  <protectedRanges>
    <protectedRange password="B4B1" sqref="A1:F1 A7:F7 A13:G13 A2:A5 A8:A11 A14:A17 C2:E5 G14:G17 G7:G11 G1:G5 C8:E11 C14:E17 A20:F20 C21:E45 G20:G45 A21:A45" name="BLOQUEADAS"/>
    <protectedRange sqref="F2:F5 F8:F11 F14:F17 B8:B11 B14:B17 F21:F45 B2:B5 B21:B45" name="DESBLOQUEADAS"/>
  </protectedRanges>
  <mergeCells count="1">
    <mergeCell ref="H1:I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D147"/>
  <sheetViews>
    <sheetView showFormulas="1" topLeftCell="A51" zoomScale="85" zoomScaleNormal="85" workbookViewId="0">
      <selection activeCell="B110" sqref="B110"/>
    </sheetView>
  </sheetViews>
  <sheetFormatPr baseColWidth="10" defaultRowHeight="12.75" x14ac:dyDescent="0.2"/>
  <cols>
    <col min="1" max="1" width="26.28515625" style="87" customWidth="1"/>
    <col min="2" max="2" width="10.42578125" style="88" customWidth="1"/>
    <col min="3" max="3" width="7.7109375" style="86" customWidth="1"/>
    <col min="4" max="4" width="17.7109375" customWidth="1"/>
    <col min="7" max="7" width="0" hidden="1" customWidth="1"/>
    <col min="9" max="9" width="0" hidden="1" customWidth="1"/>
  </cols>
  <sheetData>
    <row r="1" spans="1:4" x14ac:dyDescent="0.2">
      <c r="A1" s="83" t="s">
        <v>0</v>
      </c>
      <c r="B1" s="82" t="s">
        <v>179</v>
      </c>
      <c r="C1" s="124" t="s">
        <v>180</v>
      </c>
      <c r="D1" s="127" t="s">
        <v>278</v>
      </c>
    </row>
    <row r="2" spans="1:4" x14ac:dyDescent="0.2">
      <c r="A2" s="84" t="s">
        <v>150</v>
      </c>
      <c r="B2" s="25">
        <v>133.4</v>
      </c>
      <c r="C2" s="125">
        <v>1</v>
      </c>
      <c r="D2" s="128"/>
    </row>
    <row r="3" spans="1:4" x14ac:dyDescent="0.2">
      <c r="A3" s="84">
        <v>0</v>
      </c>
      <c r="B3" s="25">
        <v>0</v>
      </c>
      <c r="C3" s="125">
        <v>0</v>
      </c>
      <c r="D3" s="128"/>
    </row>
    <row r="4" spans="1:4" x14ac:dyDescent="0.2">
      <c r="A4" s="84" t="s">
        <v>272</v>
      </c>
      <c r="B4" s="25">
        <v>50</v>
      </c>
      <c r="C4" s="125">
        <v>1</v>
      </c>
      <c r="D4" s="128"/>
    </row>
    <row r="5" spans="1:4" x14ac:dyDescent="0.2">
      <c r="A5" s="84" t="s">
        <v>230</v>
      </c>
      <c r="B5" s="81">
        <v>1392</v>
      </c>
      <c r="C5" s="125">
        <v>1</v>
      </c>
      <c r="D5" s="128"/>
    </row>
    <row r="6" spans="1:4" x14ac:dyDescent="0.2">
      <c r="A6" s="84" t="s">
        <v>231</v>
      </c>
      <c r="B6" s="81">
        <v>2204</v>
      </c>
      <c r="C6" s="125">
        <v>1</v>
      </c>
      <c r="D6" s="128"/>
    </row>
    <row r="7" spans="1:4" x14ac:dyDescent="0.2">
      <c r="A7" s="84" t="s">
        <v>232</v>
      </c>
      <c r="B7" s="25">
        <v>800</v>
      </c>
      <c r="C7" s="125">
        <v>1</v>
      </c>
      <c r="D7" s="128"/>
    </row>
    <row r="8" spans="1:4" x14ac:dyDescent="0.2">
      <c r="A8" s="84" t="s">
        <v>233</v>
      </c>
      <c r="B8" s="25">
        <v>800</v>
      </c>
      <c r="C8" s="125">
        <v>1</v>
      </c>
      <c r="D8" s="128"/>
    </row>
    <row r="9" spans="1:4" x14ac:dyDescent="0.2">
      <c r="A9" s="84" t="s">
        <v>234</v>
      </c>
      <c r="B9" s="25">
        <v>800</v>
      </c>
      <c r="C9" s="125">
        <v>1</v>
      </c>
      <c r="D9" s="128"/>
    </row>
    <row r="10" spans="1:4" x14ac:dyDescent="0.2">
      <c r="A10" s="84" t="s">
        <v>235</v>
      </c>
      <c r="B10" s="25">
        <v>800</v>
      </c>
      <c r="C10" s="125">
        <v>1</v>
      </c>
      <c r="D10" s="128"/>
    </row>
    <row r="11" spans="1:4" x14ac:dyDescent="0.2">
      <c r="A11" s="84" t="s">
        <v>236</v>
      </c>
      <c r="B11" s="25">
        <v>800</v>
      </c>
      <c r="C11" s="125">
        <v>1</v>
      </c>
      <c r="D11" s="128"/>
    </row>
    <row r="12" spans="1:4" ht="12" customHeight="1" x14ac:dyDescent="0.2">
      <c r="A12" s="84" t="s">
        <v>93</v>
      </c>
      <c r="B12" s="25">
        <v>58</v>
      </c>
      <c r="C12" s="125">
        <v>1</v>
      </c>
      <c r="D12" s="128"/>
    </row>
    <row r="13" spans="1:4" x14ac:dyDescent="0.2">
      <c r="A13" s="84" t="s">
        <v>148</v>
      </c>
      <c r="B13" s="25">
        <v>63.8</v>
      </c>
      <c r="C13" s="125">
        <v>1</v>
      </c>
      <c r="D13" s="128"/>
    </row>
    <row r="14" spans="1:4" x14ac:dyDescent="0.2">
      <c r="A14" s="84" t="s">
        <v>149</v>
      </c>
      <c r="B14" s="25">
        <v>63.8</v>
      </c>
      <c r="C14" s="125">
        <v>1</v>
      </c>
      <c r="D14" s="128"/>
    </row>
    <row r="15" spans="1:4" x14ac:dyDescent="0.2">
      <c r="A15" s="84" t="s">
        <v>92</v>
      </c>
      <c r="B15" s="25">
        <v>130</v>
      </c>
      <c r="C15" s="125">
        <v>1</v>
      </c>
      <c r="D15" s="128"/>
    </row>
    <row r="16" spans="1:4" x14ac:dyDescent="0.2">
      <c r="A16" s="84" t="s">
        <v>89</v>
      </c>
      <c r="B16" s="25">
        <v>130</v>
      </c>
      <c r="C16" s="125">
        <v>1</v>
      </c>
      <c r="D16" s="128"/>
    </row>
    <row r="17" spans="1:4" x14ac:dyDescent="0.2">
      <c r="A17" s="84" t="s">
        <v>90</v>
      </c>
      <c r="B17" s="25">
        <v>250</v>
      </c>
      <c r="C17" s="125">
        <v>1</v>
      </c>
      <c r="D17" s="128"/>
    </row>
    <row r="18" spans="1:4" x14ac:dyDescent="0.2">
      <c r="A18" s="84" t="s">
        <v>91</v>
      </c>
      <c r="B18" s="25">
        <v>350</v>
      </c>
      <c r="C18" s="125">
        <v>1</v>
      </c>
      <c r="D18" s="128"/>
    </row>
    <row r="19" spans="1:4" x14ac:dyDescent="0.2">
      <c r="A19" s="84" t="s">
        <v>112</v>
      </c>
      <c r="B19" s="25">
        <v>800</v>
      </c>
      <c r="C19" s="125">
        <v>1</v>
      </c>
      <c r="D19" s="128"/>
    </row>
    <row r="20" spans="1:4" x14ac:dyDescent="0.2">
      <c r="A20" s="84" t="s">
        <v>103</v>
      </c>
      <c r="B20" s="25">
        <v>110</v>
      </c>
      <c r="C20" s="125">
        <v>1</v>
      </c>
      <c r="D20" s="128"/>
    </row>
    <row r="21" spans="1:4" x14ac:dyDescent="0.2">
      <c r="A21" s="84" t="s">
        <v>81</v>
      </c>
      <c r="B21" s="25">
        <v>1000</v>
      </c>
      <c r="C21" s="125">
        <v>1</v>
      </c>
      <c r="D21" s="128"/>
    </row>
    <row r="22" spans="1:4" x14ac:dyDescent="0.2">
      <c r="A22" s="84" t="s">
        <v>205</v>
      </c>
      <c r="B22" s="25">
        <v>0.5</v>
      </c>
      <c r="C22" s="125">
        <v>1</v>
      </c>
      <c r="D22" s="128"/>
    </row>
    <row r="23" spans="1:4" x14ac:dyDescent="0.2">
      <c r="A23" s="84" t="s">
        <v>146</v>
      </c>
      <c r="B23" s="25">
        <v>754</v>
      </c>
      <c r="C23" s="125">
        <v>1</v>
      </c>
      <c r="D23" s="128"/>
    </row>
    <row r="24" spans="1:4" x14ac:dyDescent="0.2">
      <c r="A24" s="84" t="s">
        <v>147</v>
      </c>
      <c r="B24" s="25">
        <v>754</v>
      </c>
      <c r="C24" s="125">
        <v>1</v>
      </c>
      <c r="D24" s="128"/>
    </row>
    <row r="25" spans="1:4" x14ac:dyDescent="0.2">
      <c r="A25" s="84" t="s">
        <v>95</v>
      </c>
      <c r="B25" s="25">
        <v>0.2</v>
      </c>
      <c r="C25" s="125">
        <v>1</v>
      </c>
      <c r="D25" s="128"/>
    </row>
    <row r="26" spans="1:4" x14ac:dyDescent="0.2">
      <c r="A26" s="84" t="s">
        <v>94</v>
      </c>
      <c r="B26" s="25">
        <v>0.3</v>
      </c>
      <c r="C26" s="125">
        <v>1</v>
      </c>
      <c r="D26" s="128"/>
    </row>
    <row r="27" spans="1:4" x14ac:dyDescent="0.2">
      <c r="A27" s="84" t="s">
        <v>113</v>
      </c>
      <c r="B27" s="25">
        <v>0.26</v>
      </c>
      <c r="C27" s="125">
        <v>1</v>
      </c>
      <c r="D27" s="128"/>
    </row>
    <row r="28" spans="1:4" x14ac:dyDescent="0.2">
      <c r="A28" s="84" t="s">
        <v>198</v>
      </c>
      <c r="B28" s="25">
        <v>0.4</v>
      </c>
      <c r="C28" s="125">
        <v>1</v>
      </c>
      <c r="D28" s="128"/>
    </row>
    <row r="29" spans="1:4" x14ac:dyDescent="0.2">
      <c r="A29" s="84" t="s">
        <v>114</v>
      </c>
      <c r="B29" s="25">
        <v>0.4</v>
      </c>
      <c r="C29" s="125">
        <v>1</v>
      </c>
      <c r="D29" s="128"/>
    </row>
    <row r="30" spans="1:4" x14ac:dyDescent="0.2">
      <c r="A30" s="84" t="s">
        <v>199</v>
      </c>
      <c r="B30" s="25">
        <v>0.4</v>
      </c>
      <c r="C30" s="125">
        <v>1</v>
      </c>
      <c r="D30" s="128"/>
    </row>
    <row r="31" spans="1:4" x14ac:dyDescent="0.2">
      <c r="A31" s="84" t="s">
        <v>115</v>
      </c>
      <c r="B31" s="25">
        <v>500</v>
      </c>
      <c r="C31" s="125">
        <v>1</v>
      </c>
      <c r="D31" s="128"/>
    </row>
    <row r="32" spans="1:4" x14ac:dyDescent="0.2">
      <c r="A32" s="84" t="s">
        <v>200</v>
      </c>
      <c r="B32" s="25">
        <v>450</v>
      </c>
      <c r="C32" s="125">
        <v>1</v>
      </c>
      <c r="D32" s="128"/>
    </row>
    <row r="33" spans="1:4" ht="12.75" customHeight="1" x14ac:dyDescent="0.2">
      <c r="A33" s="84" t="s">
        <v>116</v>
      </c>
      <c r="B33" s="25">
        <v>400</v>
      </c>
      <c r="C33" s="125">
        <v>1</v>
      </c>
      <c r="D33" s="128"/>
    </row>
    <row r="34" spans="1:4" ht="12.75" customHeight="1" x14ac:dyDescent="0.2">
      <c r="A34" s="84" t="s">
        <v>117</v>
      </c>
      <c r="B34" s="25">
        <v>3.4</v>
      </c>
      <c r="C34" s="125">
        <v>1</v>
      </c>
      <c r="D34" s="128"/>
    </row>
    <row r="35" spans="1:4" ht="12.75" customHeight="1" x14ac:dyDescent="0.2">
      <c r="A35" s="84" t="s">
        <v>118</v>
      </c>
      <c r="B35" s="25">
        <v>4.4000000000000004</v>
      </c>
      <c r="C35" s="125">
        <v>1</v>
      </c>
      <c r="D35" s="128"/>
    </row>
    <row r="36" spans="1:4" ht="12.75" customHeight="1" x14ac:dyDescent="0.2">
      <c r="A36" s="84" t="s">
        <v>119</v>
      </c>
      <c r="B36" s="25">
        <v>6</v>
      </c>
      <c r="C36" s="125">
        <v>1</v>
      </c>
      <c r="D36" s="128"/>
    </row>
    <row r="37" spans="1:4" ht="12.75" customHeight="1" x14ac:dyDescent="0.2">
      <c r="A37" s="84" t="s">
        <v>197</v>
      </c>
      <c r="B37" s="25">
        <v>0.38</v>
      </c>
      <c r="C37" s="125">
        <v>1</v>
      </c>
      <c r="D37" s="128"/>
    </row>
    <row r="38" spans="1:4" ht="15" customHeight="1" x14ac:dyDescent="0.25">
      <c r="A38" s="84" t="s">
        <v>254</v>
      </c>
      <c r="B38" s="26">
        <v>50</v>
      </c>
      <c r="C38" s="125">
        <v>1</v>
      </c>
      <c r="D38" s="128"/>
    </row>
    <row r="39" spans="1:4" ht="15" customHeight="1" x14ac:dyDescent="0.25">
      <c r="A39" s="84" t="s">
        <v>255</v>
      </c>
      <c r="B39" s="27">
        <v>50</v>
      </c>
      <c r="C39" s="125">
        <v>1</v>
      </c>
      <c r="D39" s="128"/>
    </row>
    <row r="40" spans="1:4" ht="12.75" customHeight="1" x14ac:dyDescent="0.2">
      <c r="A40" s="84" t="s">
        <v>219</v>
      </c>
      <c r="B40" s="27">
        <v>80</v>
      </c>
      <c r="C40" s="125">
        <v>1</v>
      </c>
      <c r="D40" s="128"/>
    </row>
    <row r="41" spans="1:4" ht="12.75" customHeight="1" x14ac:dyDescent="0.2">
      <c r="A41" s="84" t="s">
        <v>220</v>
      </c>
      <c r="B41" s="27">
        <v>90</v>
      </c>
      <c r="C41" s="125">
        <v>1</v>
      </c>
      <c r="D41" s="128"/>
    </row>
    <row r="42" spans="1:4" ht="12.75" customHeight="1" x14ac:dyDescent="0.2">
      <c r="A42" s="84" t="s">
        <v>221</v>
      </c>
      <c r="B42" s="27">
        <v>100</v>
      </c>
      <c r="C42" s="125">
        <v>1</v>
      </c>
      <c r="D42" s="128"/>
    </row>
    <row r="43" spans="1:4" ht="15" customHeight="1" x14ac:dyDescent="0.25">
      <c r="A43" s="84" t="s">
        <v>256</v>
      </c>
      <c r="B43" s="26">
        <v>50</v>
      </c>
      <c r="C43" s="125">
        <v>1</v>
      </c>
      <c r="D43" s="128"/>
    </row>
    <row r="44" spans="1:4" ht="15" customHeight="1" x14ac:dyDescent="0.25">
      <c r="A44" s="84" t="s">
        <v>257</v>
      </c>
      <c r="B44" s="27">
        <v>50</v>
      </c>
      <c r="C44" s="125">
        <v>1</v>
      </c>
      <c r="D44" s="128"/>
    </row>
    <row r="45" spans="1:4" ht="12.75" customHeight="1" x14ac:dyDescent="0.2">
      <c r="A45" s="84" t="s">
        <v>222</v>
      </c>
      <c r="B45" s="27">
        <v>80</v>
      </c>
      <c r="C45" s="125">
        <v>1</v>
      </c>
      <c r="D45" s="128"/>
    </row>
    <row r="46" spans="1:4" ht="12.75" customHeight="1" x14ac:dyDescent="0.2">
      <c r="A46" s="84" t="s">
        <v>223</v>
      </c>
      <c r="B46" s="27">
        <v>90</v>
      </c>
      <c r="C46" s="125">
        <v>1</v>
      </c>
      <c r="D46" s="128"/>
    </row>
    <row r="47" spans="1:4" ht="12.75" customHeight="1" x14ac:dyDescent="0.2">
      <c r="A47" s="84" t="s">
        <v>224</v>
      </c>
      <c r="B47" s="27">
        <v>100</v>
      </c>
      <c r="C47" s="125">
        <v>1</v>
      </c>
      <c r="D47" s="128"/>
    </row>
    <row r="48" spans="1:4" ht="12.75" customHeight="1" x14ac:dyDescent="0.2">
      <c r="A48" s="84" t="s">
        <v>237</v>
      </c>
      <c r="B48" s="81">
        <v>250</v>
      </c>
      <c r="C48" s="85">
        <v>1</v>
      </c>
      <c r="D48" s="128"/>
    </row>
    <row r="49" spans="1:4" ht="12.75" customHeight="1" x14ac:dyDescent="0.2">
      <c r="A49" s="84" t="s">
        <v>86</v>
      </c>
      <c r="B49" s="25">
        <v>349</v>
      </c>
      <c r="C49" s="125">
        <v>1</v>
      </c>
      <c r="D49" s="128"/>
    </row>
    <row r="50" spans="1:4" ht="12.75" customHeight="1" x14ac:dyDescent="0.2">
      <c r="A50" s="84" t="s">
        <v>84</v>
      </c>
      <c r="B50" s="25">
        <v>246</v>
      </c>
      <c r="C50" s="125">
        <v>1</v>
      </c>
      <c r="D50" s="128"/>
    </row>
    <row r="51" spans="1:4" ht="12.75" customHeight="1" x14ac:dyDescent="0.2">
      <c r="A51" s="84" t="s">
        <v>83</v>
      </c>
      <c r="B51" s="25">
        <v>436</v>
      </c>
      <c r="C51" s="125">
        <v>1</v>
      </c>
      <c r="D51" s="128"/>
    </row>
    <row r="52" spans="1:4" ht="12.75" customHeight="1" x14ac:dyDescent="0.2">
      <c r="A52" s="84" t="s">
        <v>121</v>
      </c>
      <c r="B52" s="25">
        <v>491</v>
      </c>
      <c r="C52" s="125">
        <v>1</v>
      </c>
      <c r="D52" s="128"/>
    </row>
    <row r="53" spans="1:4" ht="12.75" customHeight="1" x14ac:dyDescent="0.2">
      <c r="A53" s="84" t="s">
        <v>120</v>
      </c>
      <c r="B53" s="25">
        <v>488</v>
      </c>
      <c r="C53" s="125">
        <v>1</v>
      </c>
      <c r="D53" s="128"/>
    </row>
    <row r="54" spans="1:4" ht="12.75" customHeight="1" x14ac:dyDescent="0.2">
      <c r="A54" s="84" t="s">
        <v>111</v>
      </c>
      <c r="B54" s="25">
        <v>589</v>
      </c>
      <c r="C54" s="125">
        <v>1</v>
      </c>
      <c r="D54" s="128"/>
    </row>
    <row r="55" spans="1:4" ht="12.75" customHeight="1" x14ac:dyDescent="0.2">
      <c r="A55" s="84" t="s">
        <v>88</v>
      </c>
      <c r="B55" s="25">
        <v>685</v>
      </c>
      <c r="C55" s="125">
        <v>1</v>
      </c>
      <c r="D55" s="128"/>
    </row>
    <row r="56" spans="1:4" ht="12.75" customHeight="1" x14ac:dyDescent="0.2">
      <c r="A56" s="84" t="s">
        <v>85</v>
      </c>
      <c r="B56" s="25">
        <v>430</v>
      </c>
      <c r="C56" s="125">
        <v>1</v>
      </c>
      <c r="D56" s="128"/>
    </row>
    <row r="57" spans="1:4" ht="12.75" customHeight="1" x14ac:dyDescent="0.2">
      <c r="A57" s="84" t="s">
        <v>201</v>
      </c>
      <c r="B57" s="25">
        <v>476</v>
      </c>
      <c r="C57" s="125">
        <v>1</v>
      </c>
      <c r="D57" s="128"/>
    </row>
    <row r="58" spans="1:4" ht="12.75" customHeight="1" x14ac:dyDescent="0.2">
      <c r="A58" s="84" t="s">
        <v>87</v>
      </c>
      <c r="B58" s="25">
        <v>306</v>
      </c>
      <c r="C58" s="125">
        <v>1</v>
      </c>
      <c r="D58" s="128"/>
    </row>
    <row r="59" spans="1:4" ht="12.75" customHeight="1" x14ac:dyDescent="0.2">
      <c r="A59" s="84" t="s">
        <v>202</v>
      </c>
      <c r="B59" s="25">
        <v>200</v>
      </c>
      <c r="C59" s="125">
        <v>1</v>
      </c>
      <c r="D59" s="128"/>
    </row>
    <row r="60" spans="1:4" ht="12.75" customHeight="1" x14ac:dyDescent="0.2">
      <c r="A60" s="84" t="s">
        <v>82</v>
      </c>
      <c r="B60" s="25">
        <v>17</v>
      </c>
      <c r="C60" s="125">
        <v>1</v>
      </c>
      <c r="D60" s="128"/>
    </row>
    <row r="61" spans="1:4" ht="12.75" customHeight="1" x14ac:dyDescent="0.2">
      <c r="A61" s="84" t="s">
        <v>122</v>
      </c>
      <c r="B61" s="25">
        <v>80</v>
      </c>
      <c r="C61" s="125">
        <v>1</v>
      </c>
      <c r="D61" s="128"/>
    </row>
    <row r="62" spans="1:4" x14ac:dyDescent="0.2">
      <c r="A62" s="84" t="s">
        <v>123</v>
      </c>
      <c r="B62" s="25">
        <v>4000</v>
      </c>
      <c r="C62" s="125">
        <v>1</v>
      </c>
      <c r="D62" s="128"/>
    </row>
    <row r="63" spans="1:4" x14ac:dyDescent="0.2">
      <c r="A63" s="84" t="s">
        <v>158</v>
      </c>
      <c r="B63" s="25">
        <v>0.13</v>
      </c>
      <c r="C63" s="125">
        <v>1</v>
      </c>
      <c r="D63" s="128"/>
    </row>
    <row r="64" spans="1:4" x14ac:dyDescent="0.2">
      <c r="A64" s="84" t="s">
        <v>159</v>
      </c>
      <c r="B64" s="25">
        <v>0.15</v>
      </c>
      <c r="C64" s="125">
        <v>1</v>
      </c>
      <c r="D64" s="128"/>
    </row>
    <row r="65" spans="1:4" x14ac:dyDescent="0.2">
      <c r="A65" s="84" t="s">
        <v>238</v>
      </c>
      <c r="B65" s="25">
        <v>0.17</v>
      </c>
      <c r="C65" s="125">
        <v>1</v>
      </c>
      <c r="D65" s="128"/>
    </row>
    <row r="66" spans="1:4" x14ac:dyDescent="0.2">
      <c r="A66" s="84" t="s">
        <v>307</v>
      </c>
      <c r="B66" s="25">
        <v>0.25</v>
      </c>
      <c r="C66" s="125">
        <v>1</v>
      </c>
      <c r="D66" s="128">
        <v>100</v>
      </c>
    </row>
    <row r="67" spans="1:4" x14ac:dyDescent="0.2">
      <c r="A67" s="84" t="s">
        <v>160</v>
      </c>
      <c r="B67" s="25">
        <v>0.56999999999999995</v>
      </c>
      <c r="C67" s="125">
        <v>1</v>
      </c>
      <c r="D67" s="128">
        <v>140</v>
      </c>
    </row>
    <row r="68" spans="1:4" x14ac:dyDescent="0.2">
      <c r="A68" s="84" t="s">
        <v>203</v>
      </c>
      <c r="B68" s="25">
        <v>284</v>
      </c>
      <c r="C68" s="125">
        <v>1</v>
      </c>
      <c r="D68" s="128"/>
    </row>
    <row r="69" spans="1:4" x14ac:dyDescent="0.2">
      <c r="A69" s="84" t="s">
        <v>204</v>
      </c>
      <c r="B69" s="25">
        <v>491</v>
      </c>
      <c r="C69" s="125">
        <v>1</v>
      </c>
      <c r="D69" s="128"/>
    </row>
    <row r="70" spans="1:4" x14ac:dyDescent="0.2">
      <c r="A70" s="84" t="s">
        <v>161</v>
      </c>
      <c r="B70" s="25">
        <v>0.1</v>
      </c>
      <c r="C70" s="125">
        <v>1</v>
      </c>
      <c r="D70" s="128">
        <v>140</v>
      </c>
    </row>
    <row r="71" spans="1:4" x14ac:dyDescent="0.2">
      <c r="A71" s="84" t="s">
        <v>162</v>
      </c>
      <c r="B71" s="25">
        <v>0.36</v>
      </c>
      <c r="C71" s="125">
        <v>1</v>
      </c>
      <c r="D71" s="128">
        <v>140</v>
      </c>
    </row>
    <row r="72" spans="1:4" x14ac:dyDescent="0.2">
      <c r="A72" s="84" t="s">
        <v>239</v>
      </c>
      <c r="B72" s="25">
        <v>928</v>
      </c>
      <c r="C72" s="125">
        <v>1</v>
      </c>
      <c r="D72" s="128"/>
    </row>
    <row r="73" spans="1:4" x14ac:dyDescent="0.2">
      <c r="A73" s="84" t="s">
        <v>240</v>
      </c>
      <c r="B73" s="25">
        <v>1500</v>
      </c>
      <c r="C73" s="125">
        <v>1</v>
      </c>
      <c r="D73" s="128"/>
    </row>
    <row r="74" spans="1:4" x14ac:dyDescent="0.2">
      <c r="A74" s="84" t="s">
        <v>241</v>
      </c>
      <c r="B74" s="25">
        <v>1000</v>
      </c>
      <c r="C74" s="125">
        <v>1</v>
      </c>
      <c r="D74" s="128"/>
    </row>
    <row r="75" spans="1:4" x14ac:dyDescent="0.2">
      <c r="A75" s="84" t="s">
        <v>242</v>
      </c>
      <c r="B75" s="25">
        <v>1100</v>
      </c>
      <c r="C75" s="125">
        <v>1</v>
      </c>
      <c r="D75" s="128"/>
    </row>
    <row r="76" spans="1:4" x14ac:dyDescent="0.2">
      <c r="A76" s="84" t="s">
        <v>243</v>
      </c>
      <c r="B76" s="25">
        <v>930</v>
      </c>
      <c r="C76" s="125">
        <v>1</v>
      </c>
      <c r="D76" s="128"/>
    </row>
    <row r="77" spans="1:4" x14ac:dyDescent="0.2">
      <c r="A77" s="84" t="s">
        <v>244</v>
      </c>
      <c r="B77" s="25">
        <v>950</v>
      </c>
      <c r="C77" s="125">
        <v>1</v>
      </c>
      <c r="D77" s="128"/>
    </row>
    <row r="78" spans="1:4" x14ac:dyDescent="0.2">
      <c r="A78" s="84" t="s">
        <v>245</v>
      </c>
      <c r="B78" s="25">
        <v>2000</v>
      </c>
      <c r="C78" s="125">
        <v>1</v>
      </c>
      <c r="D78" s="128"/>
    </row>
    <row r="79" spans="1:4" x14ac:dyDescent="0.2">
      <c r="A79" s="84" t="s">
        <v>246</v>
      </c>
      <c r="B79" s="25">
        <v>500</v>
      </c>
      <c r="C79" s="125">
        <v>1</v>
      </c>
      <c r="D79" s="128"/>
    </row>
    <row r="80" spans="1:4" ht="15" x14ac:dyDescent="0.25">
      <c r="A80" s="84" t="s">
        <v>247</v>
      </c>
      <c r="B80" s="25">
        <v>400</v>
      </c>
      <c r="C80" s="125">
        <v>1</v>
      </c>
      <c r="D80" s="128"/>
    </row>
    <row r="81" spans="1:4" x14ac:dyDescent="0.2">
      <c r="A81" s="84" t="s">
        <v>145</v>
      </c>
      <c r="B81" s="25">
        <v>0.5</v>
      </c>
      <c r="C81" s="125">
        <v>1</v>
      </c>
      <c r="D81" s="128"/>
    </row>
    <row r="82" spans="1:4" x14ac:dyDescent="0.2">
      <c r="A82" s="84" t="s">
        <v>164</v>
      </c>
      <c r="B82" s="25">
        <v>0.25</v>
      </c>
      <c r="C82" s="125">
        <v>1</v>
      </c>
      <c r="D82" s="128">
        <v>150</v>
      </c>
    </row>
    <row r="83" spans="1:4" x14ac:dyDescent="0.2">
      <c r="A83" s="84" t="s">
        <v>165</v>
      </c>
      <c r="B83" s="25">
        <v>0.51</v>
      </c>
      <c r="C83" s="125">
        <v>1</v>
      </c>
      <c r="D83" s="128">
        <v>150</v>
      </c>
    </row>
    <row r="84" spans="1:4" x14ac:dyDescent="0.2">
      <c r="A84" s="84" t="s">
        <v>213</v>
      </c>
      <c r="B84" s="25">
        <v>300</v>
      </c>
      <c r="C84" s="125">
        <v>1</v>
      </c>
      <c r="D84" s="128"/>
    </row>
    <row r="85" spans="1:4" x14ac:dyDescent="0.2">
      <c r="A85" s="84" t="s">
        <v>214</v>
      </c>
      <c r="B85" s="25">
        <v>105</v>
      </c>
      <c r="C85" s="125">
        <v>1</v>
      </c>
      <c r="D85" s="128"/>
    </row>
    <row r="86" spans="1:4" x14ac:dyDescent="0.2">
      <c r="A86" s="84" t="s">
        <v>215</v>
      </c>
      <c r="B86" s="25">
        <v>105</v>
      </c>
      <c r="C86" s="125">
        <v>1</v>
      </c>
      <c r="D86" s="128"/>
    </row>
    <row r="87" spans="1:4" x14ac:dyDescent="0.2">
      <c r="A87" s="84" t="s">
        <v>216</v>
      </c>
      <c r="B87" s="25">
        <v>100</v>
      </c>
      <c r="C87" s="125">
        <v>1</v>
      </c>
      <c r="D87" s="128"/>
    </row>
    <row r="88" spans="1:4" x14ac:dyDescent="0.2">
      <c r="A88" s="84" t="s">
        <v>217</v>
      </c>
      <c r="B88" s="25">
        <v>200</v>
      </c>
      <c r="C88" s="125">
        <v>1</v>
      </c>
      <c r="D88" s="128"/>
    </row>
    <row r="89" spans="1:4" x14ac:dyDescent="0.2">
      <c r="A89" s="84" t="s">
        <v>218</v>
      </c>
      <c r="B89" s="25">
        <v>100</v>
      </c>
      <c r="C89" s="125">
        <v>1</v>
      </c>
      <c r="D89" s="128"/>
    </row>
    <row r="90" spans="1:4" x14ac:dyDescent="0.2">
      <c r="A90" s="84" t="s">
        <v>166</v>
      </c>
      <c r="B90" s="25">
        <v>0.66</v>
      </c>
      <c r="C90" s="125">
        <v>1</v>
      </c>
      <c r="D90" s="128">
        <v>140</v>
      </c>
    </row>
    <row r="91" spans="1:4" x14ac:dyDescent="0.2">
      <c r="A91" s="84" t="s">
        <v>167</v>
      </c>
      <c r="B91" s="25">
        <v>1.46</v>
      </c>
      <c r="C91" s="125">
        <v>1</v>
      </c>
      <c r="D91" s="128">
        <v>140</v>
      </c>
    </row>
    <row r="92" spans="1:4" x14ac:dyDescent="0.2">
      <c r="A92" s="84" t="s">
        <v>248</v>
      </c>
      <c r="B92" s="25">
        <v>115</v>
      </c>
      <c r="C92" s="125">
        <v>1</v>
      </c>
      <c r="D92" s="128"/>
    </row>
    <row r="93" spans="1:4" x14ac:dyDescent="0.2">
      <c r="A93" s="84" t="s">
        <v>249</v>
      </c>
      <c r="B93" s="25">
        <v>108</v>
      </c>
      <c r="C93" s="125">
        <v>1</v>
      </c>
      <c r="D93" s="128"/>
    </row>
    <row r="94" spans="1:4" x14ac:dyDescent="0.2">
      <c r="A94" s="84" t="s">
        <v>250</v>
      </c>
      <c r="B94" s="25">
        <v>290</v>
      </c>
      <c r="C94" s="125">
        <v>1</v>
      </c>
      <c r="D94" s="128"/>
    </row>
    <row r="95" spans="1:4" x14ac:dyDescent="0.2">
      <c r="A95" s="84" t="s">
        <v>251</v>
      </c>
      <c r="B95" s="25">
        <v>115</v>
      </c>
      <c r="C95" s="125">
        <v>1</v>
      </c>
      <c r="D95" s="128"/>
    </row>
    <row r="96" spans="1:4" x14ac:dyDescent="0.2">
      <c r="A96" s="84" t="s">
        <v>252</v>
      </c>
      <c r="B96" s="25">
        <v>290</v>
      </c>
      <c r="C96" s="125">
        <v>1</v>
      </c>
      <c r="D96" s="128"/>
    </row>
    <row r="97" spans="1:4" x14ac:dyDescent="0.2">
      <c r="A97" s="84" t="s">
        <v>125</v>
      </c>
      <c r="B97" s="25">
        <v>65</v>
      </c>
      <c r="C97" s="125">
        <v>1</v>
      </c>
      <c r="D97" s="128"/>
    </row>
    <row r="98" spans="1:4" x14ac:dyDescent="0.2">
      <c r="A98" s="84" t="s">
        <v>126</v>
      </c>
      <c r="B98" s="25">
        <v>7</v>
      </c>
      <c r="C98" s="125">
        <v>1</v>
      </c>
      <c r="D98" s="128"/>
    </row>
    <row r="99" spans="1:4" x14ac:dyDescent="0.2">
      <c r="A99" s="84" t="s">
        <v>127</v>
      </c>
      <c r="B99" s="25">
        <v>8</v>
      </c>
      <c r="C99" s="125">
        <v>1</v>
      </c>
      <c r="D99" s="128"/>
    </row>
    <row r="100" spans="1:4" x14ac:dyDescent="0.2">
      <c r="A100" s="84" t="s">
        <v>168</v>
      </c>
      <c r="B100" s="25">
        <v>3.6</v>
      </c>
      <c r="C100" s="125">
        <v>1</v>
      </c>
      <c r="D100" s="128">
        <v>81</v>
      </c>
    </row>
    <row r="101" spans="1:4" x14ac:dyDescent="0.2">
      <c r="A101" s="84" t="s">
        <v>169</v>
      </c>
      <c r="B101" s="25">
        <v>1.07</v>
      </c>
      <c r="C101" s="125">
        <v>1</v>
      </c>
      <c r="D101" s="128">
        <v>100</v>
      </c>
    </row>
    <row r="102" spans="1:4" x14ac:dyDescent="0.2">
      <c r="A102" s="84" t="s">
        <v>170</v>
      </c>
      <c r="B102" s="25">
        <v>1.1399999999999999</v>
      </c>
      <c r="C102" s="125">
        <v>1</v>
      </c>
      <c r="D102" s="128">
        <v>100</v>
      </c>
    </row>
    <row r="103" spans="1:4" x14ac:dyDescent="0.2">
      <c r="A103" s="84" t="s">
        <v>171</v>
      </c>
      <c r="B103" s="25">
        <v>0.64</v>
      </c>
      <c r="C103" s="125">
        <v>1</v>
      </c>
      <c r="D103" s="128">
        <v>100</v>
      </c>
    </row>
    <row r="104" spans="1:4" x14ac:dyDescent="0.2">
      <c r="A104" s="84" t="s">
        <v>140</v>
      </c>
      <c r="B104" s="81">
        <v>7</v>
      </c>
      <c r="C104" s="125">
        <v>1</v>
      </c>
      <c r="D104" s="128"/>
    </row>
    <row r="105" spans="1:4" x14ac:dyDescent="0.2">
      <c r="A105" s="84" t="s">
        <v>141</v>
      </c>
      <c r="B105" s="81">
        <v>8</v>
      </c>
      <c r="C105" s="125">
        <v>1</v>
      </c>
      <c r="D105" s="128"/>
    </row>
    <row r="106" spans="1:4" x14ac:dyDescent="0.2">
      <c r="A106" s="84" t="s">
        <v>128</v>
      </c>
      <c r="B106" s="81">
        <v>3.5</v>
      </c>
      <c r="C106" s="125">
        <v>1</v>
      </c>
      <c r="D106" s="128"/>
    </row>
    <row r="107" spans="1:4" x14ac:dyDescent="0.2">
      <c r="A107" s="84" t="s">
        <v>129</v>
      </c>
      <c r="B107" s="81">
        <v>3.6</v>
      </c>
      <c r="C107" s="125">
        <v>1</v>
      </c>
      <c r="D107" s="128"/>
    </row>
    <row r="108" spans="1:4" x14ac:dyDescent="0.2">
      <c r="A108" s="84" t="s">
        <v>142</v>
      </c>
      <c r="B108" s="25">
        <v>300</v>
      </c>
      <c r="C108" s="125">
        <v>1</v>
      </c>
      <c r="D108" s="128"/>
    </row>
    <row r="109" spans="1:4" x14ac:dyDescent="0.2">
      <c r="A109" s="84" t="s">
        <v>206</v>
      </c>
      <c r="B109" s="25">
        <v>0.42</v>
      </c>
      <c r="C109" s="125">
        <v>1</v>
      </c>
      <c r="D109" s="128">
        <v>140</v>
      </c>
    </row>
    <row r="110" spans="1:4" x14ac:dyDescent="0.2">
      <c r="A110" s="84" t="s">
        <v>130</v>
      </c>
      <c r="B110" s="25">
        <v>3900</v>
      </c>
      <c r="C110" s="125">
        <v>1</v>
      </c>
      <c r="D110" s="128"/>
    </row>
    <row r="111" spans="1:4" x14ac:dyDescent="0.2">
      <c r="A111" s="84" t="s">
        <v>133</v>
      </c>
      <c r="B111" s="25">
        <v>70</v>
      </c>
      <c r="C111" s="125">
        <v>1</v>
      </c>
      <c r="D111" s="128"/>
    </row>
    <row r="112" spans="1:4" x14ac:dyDescent="0.2">
      <c r="A112" s="84" t="s">
        <v>132</v>
      </c>
      <c r="B112" s="25">
        <v>40</v>
      </c>
      <c r="C112" s="125">
        <v>1</v>
      </c>
      <c r="D112" s="128"/>
    </row>
    <row r="113" spans="1:4" x14ac:dyDescent="0.2">
      <c r="A113" s="84" t="s">
        <v>131</v>
      </c>
      <c r="B113" s="25">
        <v>30</v>
      </c>
      <c r="C113" s="125">
        <v>1</v>
      </c>
      <c r="D113" s="128"/>
    </row>
    <row r="114" spans="1:4" x14ac:dyDescent="0.2">
      <c r="A114" s="84" t="s">
        <v>258</v>
      </c>
      <c r="B114" s="25">
        <v>12</v>
      </c>
      <c r="C114" s="125">
        <v>1</v>
      </c>
      <c r="D114" s="128"/>
    </row>
    <row r="115" spans="1:4" x14ac:dyDescent="0.2">
      <c r="A115" s="84" t="s">
        <v>259</v>
      </c>
      <c r="B115" s="25">
        <v>10</v>
      </c>
      <c r="C115" s="125">
        <v>1</v>
      </c>
      <c r="D115" s="128"/>
    </row>
    <row r="116" spans="1:4" x14ac:dyDescent="0.2">
      <c r="A116" s="84" t="s">
        <v>260</v>
      </c>
      <c r="B116" s="25">
        <v>8</v>
      </c>
      <c r="C116" s="125">
        <v>1</v>
      </c>
      <c r="D116" s="128"/>
    </row>
    <row r="117" spans="1:4" x14ac:dyDescent="0.2">
      <c r="A117" s="84" t="s">
        <v>261</v>
      </c>
      <c r="B117" s="25">
        <v>25</v>
      </c>
      <c r="C117" s="125">
        <v>1</v>
      </c>
      <c r="D117" s="128"/>
    </row>
    <row r="118" spans="1:4" x14ac:dyDescent="0.2">
      <c r="A118" s="84" t="s">
        <v>262</v>
      </c>
      <c r="B118" s="25">
        <v>12</v>
      </c>
      <c r="C118" s="125">
        <v>1</v>
      </c>
      <c r="D118" s="128"/>
    </row>
    <row r="119" spans="1:4" x14ac:dyDescent="0.2">
      <c r="A119" s="84" t="s">
        <v>263</v>
      </c>
      <c r="B119" s="25">
        <v>10</v>
      </c>
      <c r="C119" s="125">
        <v>1</v>
      </c>
      <c r="D119" s="128"/>
    </row>
    <row r="120" spans="1:4" x14ac:dyDescent="0.2">
      <c r="A120" s="84" t="s">
        <v>264</v>
      </c>
      <c r="B120" s="25">
        <v>8</v>
      </c>
      <c r="C120" s="125">
        <v>1</v>
      </c>
      <c r="D120" s="128"/>
    </row>
    <row r="121" spans="1:4" x14ac:dyDescent="0.2">
      <c r="A121" s="84" t="s">
        <v>265</v>
      </c>
      <c r="B121" s="25">
        <v>7</v>
      </c>
      <c r="C121" s="125">
        <v>1</v>
      </c>
      <c r="D121" s="128"/>
    </row>
    <row r="122" spans="1:4" x14ac:dyDescent="0.2">
      <c r="A122" s="84" t="s">
        <v>172</v>
      </c>
      <c r="B122" s="25">
        <v>0.15</v>
      </c>
      <c r="C122" s="125">
        <v>1</v>
      </c>
      <c r="D122" s="128">
        <v>100</v>
      </c>
    </row>
    <row r="123" spans="1:4" x14ac:dyDescent="0.2">
      <c r="A123" s="84" t="s">
        <v>173</v>
      </c>
      <c r="B123" s="25">
        <v>0.5</v>
      </c>
      <c r="C123" s="125">
        <v>1</v>
      </c>
      <c r="D123" s="128">
        <v>140</v>
      </c>
    </row>
    <row r="124" spans="1:4" x14ac:dyDescent="0.2">
      <c r="A124" s="84" t="s">
        <v>174</v>
      </c>
      <c r="B124" s="25">
        <v>0.12</v>
      </c>
      <c r="C124" s="125">
        <v>1</v>
      </c>
      <c r="D124" s="128">
        <v>140</v>
      </c>
    </row>
    <row r="125" spans="1:4" x14ac:dyDescent="0.2">
      <c r="A125" s="84" t="s">
        <v>175</v>
      </c>
      <c r="B125" s="25">
        <v>0.17</v>
      </c>
      <c r="C125" s="125">
        <v>1</v>
      </c>
      <c r="D125" s="128">
        <v>140</v>
      </c>
    </row>
    <row r="126" spans="1:4" x14ac:dyDescent="0.2">
      <c r="A126" s="84" t="s">
        <v>176</v>
      </c>
      <c r="B126" s="25">
        <v>0.64</v>
      </c>
      <c r="C126" s="125">
        <v>1</v>
      </c>
      <c r="D126" s="128">
        <v>140</v>
      </c>
    </row>
    <row r="127" spans="1:4" x14ac:dyDescent="0.2">
      <c r="A127" s="84" t="s">
        <v>177</v>
      </c>
      <c r="B127" s="25">
        <v>0.1</v>
      </c>
      <c r="C127" s="125">
        <v>1</v>
      </c>
      <c r="D127" s="128">
        <v>100</v>
      </c>
    </row>
    <row r="128" spans="1:4" x14ac:dyDescent="0.2">
      <c r="A128" s="84" t="s">
        <v>178</v>
      </c>
      <c r="B128" s="25">
        <v>0.1</v>
      </c>
      <c r="C128" s="125">
        <v>1</v>
      </c>
      <c r="D128" s="128">
        <v>100</v>
      </c>
    </row>
    <row r="129" spans="1:4" x14ac:dyDescent="0.2">
      <c r="A129" s="84" t="s">
        <v>134</v>
      </c>
      <c r="B129" s="25">
        <v>3500</v>
      </c>
      <c r="C129" s="125">
        <v>1</v>
      </c>
      <c r="D129" s="128"/>
    </row>
    <row r="130" spans="1:4" x14ac:dyDescent="0.2">
      <c r="A130" s="84" t="s">
        <v>136</v>
      </c>
      <c r="B130" s="25">
        <v>4000</v>
      </c>
      <c r="C130" s="125">
        <v>1</v>
      </c>
      <c r="D130" s="128"/>
    </row>
    <row r="131" spans="1:4" x14ac:dyDescent="0.2">
      <c r="A131" s="84" t="s">
        <v>137</v>
      </c>
      <c r="B131" s="25">
        <v>6500</v>
      </c>
      <c r="C131" s="125">
        <v>1</v>
      </c>
      <c r="D131" s="128"/>
    </row>
    <row r="132" spans="1:4" x14ac:dyDescent="0.2">
      <c r="A132" s="84" t="s">
        <v>135</v>
      </c>
      <c r="B132" s="25">
        <v>4000</v>
      </c>
      <c r="C132" s="125">
        <v>1</v>
      </c>
      <c r="D132" s="128"/>
    </row>
    <row r="133" spans="1:4" x14ac:dyDescent="0.2">
      <c r="A133" s="84" t="s">
        <v>80</v>
      </c>
      <c r="B133" s="25">
        <v>6000</v>
      </c>
      <c r="C133" s="125">
        <v>1</v>
      </c>
      <c r="D133" s="128"/>
    </row>
    <row r="134" spans="1:4" x14ac:dyDescent="0.2">
      <c r="A134" s="84" t="s">
        <v>144</v>
      </c>
      <c r="B134" s="25">
        <v>1000</v>
      </c>
      <c r="C134" s="125">
        <v>1</v>
      </c>
      <c r="D134" s="128"/>
    </row>
    <row r="135" spans="1:4" x14ac:dyDescent="0.2">
      <c r="A135" s="84" t="s">
        <v>253</v>
      </c>
      <c r="B135" s="25">
        <v>6500</v>
      </c>
      <c r="C135" s="125">
        <v>1</v>
      </c>
      <c r="D135" s="128"/>
    </row>
    <row r="136" spans="1:4" x14ac:dyDescent="0.2">
      <c r="A136" s="84" t="s">
        <v>143</v>
      </c>
      <c r="B136" s="25">
        <v>2000</v>
      </c>
      <c r="C136" s="125">
        <v>1</v>
      </c>
      <c r="D136" s="128"/>
    </row>
    <row r="137" spans="1:4" x14ac:dyDescent="0.2">
      <c r="A137" s="84" t="s">
        <v>139</v>
      </c>
      <c r="B137" s="25">
        <v>310</v>
      </c>
      <c r="C137" s="125">
        <v>1</v>
      </c>
      <c r="D137" s="128"/>
    </row>
    <row r="138" spans="1:4" x14ac:dyDescent="0.2">
      <c r="A138" s="84" t="s">
        <v>225</v>
      </c>
      <c r="B138" s="25">
        <v>80</v>
      </c>
      <c r="C138" s="125">
        <v>1</v>
      </c>
      <c r="D138" s="128"/>
    </row>
    <row r="139" spans="1:4" x14ac:dyDescent="0.2">
      <c r="A139" s="84" t="s">
        <v>226</v>
      </c>
      <c r="B139" s="25">
        <v>100</v>
      </c>
      <c r="C139" s="125">
        <v>1</v>
      </c>
      <c r="D139" s="128"/>
    </row>
    <row r="140" spans="1:4" x14ac:dyDescent="0.2">
      <c r="A140" s="84" t="s">
        <v>227</v>
      </c>
      <c r="B140" s="25">
        <v>52</v>
      </c>
      <c r="C140" s="125">
        <v>1</v>
      </c>
      <c r="D140" s="128"/>
    </row>
    <row r="141" spans="1:4" x14ac:dyDescent="0.2">
      <c r="A141" s="84" t="s">
        <v>228</v>
      </c>
      <c r="B141" s="25">
        <v>100</v>
      </c>
      <c r="C141" s="125">
        <v>1</v>
      </c>
      <c r="D141" s="128"/>
    </row>
    <row r="142" spans="1:4" x14ac:dyDescent="0.2">
      <c r="A142" s="84" t="s">
        <v>280</v>
      </c>
      <c r="B142" s="25">
        <v>0.5</v>
      </c>
      <c r="C142" s="125">
        <v>1</v>
      </c>
      <c r="D142" s="128"/>
    </row>
    <row r="143" spans="1:4" x14ac:dyDescent="0.2">
      <c r="A143" s="84" t="s">
        <v>271</v>
      </c>
      <c r="B143" s="26">
        <v>0.25</v>
      </c>
      <c r="C143" s="125">
        <v>1</v>
      </c>
      <c r="D143" s="128">
        <v>100</v>
      </c>
    </row>
    <row r="144" spans="1:4" x14ac:dyDescent="0.2">
      <c r="A144" s="84" t="s">
        <v>268</v>
      </c>
      <c r="B144" s="26">
        <v>0.3</v>
      </c>
      <c r="C144" s="125">
        <v>1</v>
      </c>
      <c r="D144" s="128">
        <v>100</v>
      </c>
    </row>
    <row r="145" spans="1:4" x14ac:dyDescent="0.2">
      <c r="A145" s="84" t="s">
        <v>229</v>
      </c>
      <c r="B145" s="25">
        <v>52</v>
      </c>
      <c r="C145" s="125">
        <v>1</v>
      </c>
      <c r="D145" s="128"/>
    </row>
    <row r="146" spans="1:4" x14ac:dyDescent="0.2">
      <c r="A146" s="84">
        <v>0</v>
      </c>
      <c r="B146" s="26">
        <v>0</v>
      </c>
      <c r="C146" s="125">
        <v>0</v>
      </c>
      <c r="D146" s="128"/>
    </row>
    <row r="147" spans="1:4" x14ac:dyDescent="0.2">
      <c r="A147" s="84">
        <v>0</v>
      </c>
      <c r="B147" s="84">
        <v>0</v>
      </c>
      <c r="C147" s="126">
        <v>0</v>
      </c>
      <c r="D147" s="128"/>
    </row>
  </sheetData>
  <sheetProtection password="8B71" sheet="1" objects="1" scenarios="1"/>
  <customSheetViews>
    <customSheetView guid="{0F6C7FCE-20BD-4B57-B04C-CA521EC9CEDE}" scale="70" showFormulas="1" filter="1" showAutoFilter="1">
      <selection activeCell="B175" sqref="B175"/>
      <pageMargins left="0.7" right="0.7" top="0.75" bottom="0.75" header="0.3" footer="0.3"/>
      <pageSetup paperSize="9" orientation="portrait" horizontalDpi="200" verticalDpi="200" r:id="rId1"/>
      <autoFilter ref="B1:D1" xr:uid="{DFA047E4-10EA-47FB-BA4D-5F0C71266F1C}">
        <filterColumn colId="0">
          <filters>
            <filter val="a inventario"/>
          </filters>
        </filterColumn>
      </autoFilter>
    </customSheetView>
  </customSheetViews>
  <pageMargins left="0.7" right="0.7" top="0.75" bottom="0.75" header="0.3" footer="0.3"/>
  <pageSetup paperSize="9" orientation="portrait" horizontalDpi="200" verticalDpi="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E36"/>
  <sheetViews>
    <sheetView topLeftCell="A7" workbookViewId="0">
      <selection activeCell="A34" sqref="A34:E36"/>
    </sheetView>
  </sheetViews>
  <sheetFormatPr baseColWidth="10" defaultColWidth="11.42578125" defaultRowHeight="12.75" x14ac:dyDescent="0.2"/>
  <cols>
    <col min="1" max="1" width="39.28515625" style="6" customWidth="1"/>
    <col min="2" max="4" width="11.42578125" style="6"/>
    <col min="5" max="5" width="24.140625" style="6" bestFit="1" customWidth="1"/>
    <col min="6" max="16384" width="11.42578125" style="6"/>
  </cols>
  <sheetData>
    <row r="1" spans="1:5" x14ac:dyDescent="0.2">
      <c r="A1" s="224" t="s">
        <v>56</v>
      </c>
      <c r="B1" s="224"/>
      <c r="C1" s="224"/>
      <c r="D1" s="224"/>
      <c r="E1" s="224"/>
    </row>
    <row r="2" spans="1:5" ht="33.75" customHeight="1" x14ac:dyDescent="0.2">
      <c r="A2" s="8"/>
      <c r="B2" s="14" t="s">
        <v>57</v>
      </c>
      <c r="C2" s="20" t="s">
        <v>23</v>
      </c>
      <c r="D2" s="14" t="s">
        <v>58</v>
      </c>
      <c r="E2" s="8" t="s">
        <v>59</v>
      </c>
    </row>
    <row r="3" spans="1:5" x14ac:dyDescent="0.2">
      <c r="A3" s="13" t="s">
        <v>41</v>
      </c>
      <c r="B3" s="15" t="s">
        <v>4</v>
      </c>
      <c r="C3" s="8">
        <v>1900</v>
      </c>
      <c r="D3" s="8">
        <v>450</v>
      </c>
      <c r="E3" s="8">
        <f>C3*D3</f>
        <v>855000</v>
      </c>
    </row>
    <row r="4" spans="1:5" x14ac:dyDescent="0.2">
      <c r="A4" s="13" t="s">
        <v>40</v>
      </c>
      <c r="B4" s="15" t="s">
        <v>4</v>
      </c>
      <c r="C4" s="8">
        <v>1380</v>
      </c>
      <c r="D4" s="8">
        <v>100</v>
      </c>
      <c r="E4" s="8">
        <f t="shared" ref="E4:E30" si="0">C4*D4</f>
        <v>138000</v>
      </c>
    </row>
    <row r="5" spans="1:5" x14ac:dyDescent="0.2">
      <c r="A5" s="13" t="s">
        <v>52</v>
      </c>
      <c r="B5" s="16" t="s">
        <v>65</v>
      </c>
      <c r="C5" s="8">
        <v>9860</v>
      </c>
      <c r="D5" s="8">
        <v>20</v>
      </c>
      <c r="E5" s="8">
        <f t="shared" si="0"/>
        <v>197200</v>
      </c>
    </row>
    <row r="6" spans="1:5" x14ac:dyDescent="0.2">
      <c r="A6" s="13" t="s">
        <v>53</v>
      </c>
      <c r="B6" s="16" t="s">
        <v>65</v>
      </c>
      <c r="C6" s="8">
        <v>10500</v>
      </c>
      <c r="D6" s="8">
        <v>20</v>
      </c>
      <c r="E6" s="8">
        <f t="shared" si="0"/>
        <v>210000</v>
      </c>
    </row>
    <row r="7" spans="1:5" x14ac:dyDescent="0.2">
      <c r="A7" s="13" t="s">
        <v>60</v>
      </c>
      <c r="B7" s="16" t="s">
        <v>65</v>
      </c>
      <c r="C7" s="8">
        <v>5800</v>
      </c>
      <c r="D7" s="8">
        <v>20</v>
      </c>
      <c r="E7" s="8">
        <f t="shared" si="0"/>
        <v>116000</v>
      </c>
    </row>
    <row r="8" spans="1:5" x14ac:dyDescent="0.2">
      <c r="A8" s="13" t="s">
        <v>55</v>
      </c>
      <c r="B8" s="16" t="s">
        <v>65</v>
      </c>
      <c r="C8" s="8">
        <v>27840</v>
      </c>
      <c r="D8" s="8">
        <v>10</v>
      </c>
      <c r="E8" s="8">
        <f t="shared" si="0"/>
        <v>278400</v>
      </c>
    </row>
    <row r="9" spans="1:5" x14ac:dyDescent="0.2">
      <c r="A9" s="13" t="s">
        <v>50</v>
      </c>
      <c r="B9" s="16" t="s">
        <v>66</v>
      </c>
      <c r="C9" s="8">
        <v>406</v>
      </c>
      <c r="D9" s="8">
        <v>500</v>
      </c>
      <c r="E9" s="8">
        <f t="shared" si="0"/>
        <v>203000</v>
      </c>
    </row>
    <row r="10" spans="1:5" x14ac:dyDescent="0.2">
      <c r="A10" s="13" t="s">
        <v>39</v>
      </c>
      <c r="B10" s="17" t="s">
        <v>69</v>
      </c>
      <c r="C10" s="8">
        <v>34.799999999999997</v>
      </c>
      <c r="D10" s="8">
        <v>500</v>
      </c>
      <c r="E10" s="8">
        <f t="shared" si="0"/>
        <v>17400</v>
      </c>
    </row>
    <row r="11" spans="1:5" x14ac:dyDescent="0.2">
      <c r="A11" s="13" t="s">
        <v>54</v>
      </c>
      <c r="B11" s="16" t="s">
        <v>67</v>
      </c>
      <c r="C11" s="8">
        <v>1774.8</v>
      </c>
      <c r="D11" s="8">
        <v>150</v>
      </c>
      <c r="E11" s="8">
        <f t="shared" si="0"/>
        <v>266220</v>
      </c>
    </row>
    <row r="12" spans="1:5" x14ac:dyDescent="0.2">
      <c r="A12" s="13" t="s">
        <v>45</v>
      </c>
      <c r="B12" s="16" t="s">
        <v>68</v>
      </c>
      <c r="C12" s="8">
        <v>17840.669999999998</v>
      </c>
      <c r="D12" s="8">
        <v>12</v>
      </c>
      <c r="E12" s="8">
        <f t="shared" si="0"/>
        <v>214088.03999999998</v>
      </c>
    </row>
    <row r="13" spans="1:5" x14ac:dyDescent="0.2">
      <c r="A13" s="13" t="s">
        <v>46</v>
      </c>
      <c r="B13" s="16" t="s">
        <v>68</v>
      </c>
      <c r="C13" s="8">
        <v>22573.599999999999</v>
      </c>
      <c r="D13" s="8">
        <v>24</v>
      </c>
      <c r="E13" s="8">
        <f t="shared" si="0"/>
        <v>541766.39999999991</v>
      </c>
    </row>
    <row r="14" spans="1:5" x14ac:dyDescent="0.2">
      <c r="A14" s="13" t="s">
        <v>47</v>
      </c>
      <c r="B14" s="16" t="s">
        <v>68</v>
      </c>
      <c r="C14" s="8">
        <v>11321.6</v>
      </c>
      <c r="D14" s="8">
        <v>24</v>
      </c>
      <c r="E14" s="8">
        <f t="shared" si="0"/>
        <v>271718.40000000002</v>
      </c>
    </row>
    <row r="15" spans="1:5" x14ac:dyDescent="0.2">
      <c r="A15" s="13" t="s">
        <v>42</v>
      </c>
      <c r="B15" s="15" t="s">
        <v>4</v>
      </c>
      <c r="C15" s="8">
        <v>4988</v>
      </c>
      <c r="D15" s="8">
        <v>200</v>
      </c>
      <c r="E15" s="8">
        <f t="shared" si="0"/>
        <v>997600</v>
      </c>
    </row>
    <row r="16" spans="1:5" x14ac:dyDescent="0.2">
      <c r="A16" s="13" t="s">
        <v>48</v>
      </c>
      <c r="B16" s="18" t="s">
        <v>25</v>
      </c>
      <c r="C16" s="8">
        <v>2900</v>
      </c>
      <c r="D16" s="8">
        <v>200</v>
      </c>
      <c r="E16" s="8">
        <f t="shared" si="0"/>
        <v>580000</v>
      </c>
    </row>
    <row r="17" spans="1:5" x14ac:dyDescent="0.2">
      <c r="A17" s="13" t="s">
        <v>44</v>
      </c>
      <c r="B17" s="15" t="s">
        <v>4</v>
      </c>
      <c r="C17" s="8">
        <v>812</v>
      </c>
      <c r="D17" s="8">
        <v>600</v>
      </c>
      <c r="E17" s="8">
        <f t="shared" si="0"/>
        <v>487200</v>
      </c>
    </row>
    <row r="18" spans="1:5" x14ac:dyDescent="0.2">
      <c r="A18" s="13" t="s">
        <v>43</v>
      </c>
      <c r="B18" s="15" t="s">
        <v>4</v>
      </c>
      <c r="C18" s="8">
        <v>9000</v>
      </c>
      <c r="D18" s="8">
        <v>200</v>
      </c>
      <c r="E18" s="8">
        <f t="shared" si="0"/>
        <v>1800000</v>
      </c>
    </row>
    <row r="19" spans="1:5" x14ac:dyDescent="0.2">
      <c r="A19" s="13" t="s">
        <v>71</v>
      </c>
      <c r="B19" s="19" t="s">
        <v>70</v>
      </c>
      <c r="C19" s="8">
        <v>7000</v>
      </c>
      <c r="D19" s="8">
        <v>1</v>
      </c>
      <c r="E19" s="8">
        <f t="shared" si="0"/>
        <v>7000</v>
      </c>
    </row>
    <row r="20" spans="1:5" x14ac:dyDescent="0.2">
      <c r="A20" s="13" t="s">
        <v>72</v>
      </c>
      <c r="B20" s="19" t="s">
        <v>70</v>
      </c>
      <c r="C20" s="8">
        <v>6700</v>
      </c>
      <c r="D20" s="8">
        <v>1</v>
      </c>
      <c r="E20" s="8">
        <f t="shared" si="0"/>
        <v>6700</v>
      </c>
    </row>
    <row r="21" spans="1:5" x14ac:dyDescent="0.2">
      <c r="A21" s="13" t="s">
        <v>73</v>
      </c>
      <c r="B21" s="19" t="s">
        <v>70</v>
      </c>
      <c r="C21" s="8">
        <v>6400</v>
      </c>
      <c r="D21" s="8">
        <v>1</v>
      </c>
      <c r="E21" s="8">
        <f t="shared" si="0"/>
        <v>6400</v>
      </c>
    </row>
    <row r="22" spans="1:5" x14ac:dyDescent="0.2">
      <c r="A22" s="13" t="s">
        <v>74</v>
      </c>
      <c r="B22" s="19" t="s">
        <v>70</v>
      </c>
      <c r="C22" s="8">
        <v>7000</v>
      </c>
      <c r="D22" s="8">
        <v>1</v>
      </c>
      <c r="E22" s="8">
        <f t="shared" si="0"/>
        <v>7000</v>
      </c>
    </row>
    <row r="23" spans="1:5" x14ac:dyDescent="0.2">
      <c r="A23" s="13" t="s">
        <v>75</v>
      </c>
      <c r="B23" s="19" t="s">
        <v>70</v>
      </c>
      <c r="C23" s="8">
        <v>6700</v>
      </c>
      <c r="D23" s="8">
        <v>1</v>
      </c>
      <c r="E23" s="8">
        <f t="shared" si="0"/>
        <v>6700</v>
      </c>
    </row>
    <row r="24" spans="1:5" x14ac:dyDescent="0.2">
      <c r="A24" s="13" t="s">
        <v>76</v>
      </c>
      <c r="B24" s="19" t="s">
        <v>70</v>
      </c>
      <c r="C24" s="8">
        <v>6400</v>
      </c>
      <c r="D24" s="8">
        <v>1</v>
      </c>
      <c r="E24" s="8">
        <f t="shared" si="0"/>
        <v>6400</v>
      </c>
    </row>
    <row r="25" spans="1:5" x14ac:dyDescent="0.2">
      <c r="A25" s="13" t="s">
        <v>77</v>
      </c>
      <c r="B25" s="19" t="s">
        <v>70</v>
      </c>
      <c r="C25" s="8">
        <v>22000</v>
      </c>
      <c r="D25" s="8">
        <v>1</v>
      </c>
      <c r="E25" s="8">
        <f t="shared" si="0"/>
        <v>22000</v>
      </c>
    </row>
    <row r="26" spans="1:5" x14ac:dyDescent="0.2">
      <c r="A26" s="13" t="s">
        <v>64</v>
      </c>
      <c r="B26" s="19" t="s">
        <v>70</v>
      </c>
      <c r="C26" s="8">
        <v>18000</v>
      </c>
      <c r="D26" s="8">
        <v>1</v>
      </c>
      <c r="E26" s="8">
        <f t="shared" si="0"/>
        <v>18000</v>
      </c>
    </row>
    <row r="27" spans="1:5" x14ac:dyDescent="0.2">
      <c r="A27" s="13" t="s">
        <v>61</v>
      </c>
      <c r="B27" s="19" t="s">
        <v>70</v>
      </c>
      <c r="C27" s="8">
        <v>20000</v>
      </c>
      <c r="D27" s="8">
        <v>1</v>
      </c>
      <c r="E27" s="8">
        <f t="shared" si="0"/>
        <v>20000</v>
      </c>
    </row>
    <row r="28" spans="1:5" x14ac:dyDescent="0.2">
      <c r="A28" s="13" t="s">
        <v>62</v>
      </c>
      <c r="B28" s="19" t="s">
        <v>70</v>
      </c>
      <c r="C28" s="8">
        <v>22000</v>
      </c>
      <c r="D28" s="8">
        <v>1</v>
      </c>
      <c r="E28" s="8">
        <f t="shared" si="0"/>
        <v>22000</v>
      </c>
    </row>
    <row r="29" spans="1:5" x14ac:dyDescent="0.2">
      <c r="A29" s="13" t="s">
        <v>63</v>
      </c>
      <c r="B29" s="19" t="s">
        <v>70</v>
      </c>
      <c r="C29" s="8">
        <v>20000</v>
      </c>
      <c r="D29" s="8">
        <v>1</v>
      </c>
      <c r="E29" s="8">
        <f t="shared" si="0"/>
        <v>20000</v>
      </c>
    </row>
    <row r="30" spans="1:5" x14ac:dyDescent="0.2">
      <c r="A30" s="13" t="s">
        <v>64</v>
      </c>
      <c r="B30" s="19" t="s">
        <v>70</v>
      </c>
      <c r="C30" s="8">
        <v>18000</v>
      </c>
      <c r="D30" s="8">
        <v>1</v>
      </c>
      <c r="E30" s="8">
        <f t="shared" si="0"/>
        <v>18000</v>
      </c>
    </row>
    <row r="31" spans="1:5" ht="32.25" customHeight="1" x14ac:dyDescent="0.3">
      <c r="B31" s="225" t="s">
        <v>59</v>
      </c>
      <c r="C31" s="226"/>
      <c r="D31" s="227"/>
      <c r="E31" s="21">
        <f>SUM(E3:E30)</f>
        <v>7333792.8399999999</v>
      </c>
    </row>
    <row r="34" spans="1:5" x14ac:dyDescent="0.2">
      <c r="A34" s="228" t="s">
        <v>78</v>
      </c>
      <c r="B34" s="229"/>
      <c r="C34" s="229"/>
      <c r="D34" s="229"/>
      <c r="E34" s="229"/>
    </row>
    <row r="35" spans="1:5" x14ac:dyDescent="0.2">
      <c r="A35" s="229"/>
      <c r="B35" s="229"/>
      <c r="C35" s="229"/>
      <c r="D35" s="229"/>
      <c r="E35" s="229"/>
    </row>
    <row r="36" spans="1:5" x14ac:dyDescent="0.2">
      <c r="A36" s="229"/>
      <c r="B36" s="229"/>
      <c r="C36" s="229"/>
      <c r="D36" s="229"/>
      <c r="E36" s="229"/>
    </row>
  </sheetData>
  <sheetProtection formatCells="0" formatColumns="0" formatRows="0" insertColumns="0" insertRows="0" insertHyperlinks="0" deleteColumns="0" deleteRows="0" sort="0" autoFilter="0" pivotTables="0"/>
  <customSheetViews>
    <customSheetView guid="{0F6C7FCE-20BD-4B57-B04C-CA521EC9CEDE}" state="hidden" topLeftCell="A7">
      <selection activeCell="A34" sqref="A34:E36"/>
      <pageMargins left="0.7" right="0.7" top="0.75" bottom="0.75" header="0.3" footer="0.3"/>
      <pageSetup paperSize="9" orientation="portrait" horizontalDpi="200" verticalDpi="200" r:id="rId1"/>
    </customSheetView>
  </customSheetViews>
  <mergeCells count="3">
    <mergeCell ref="A1:E1"/>
    <mergeCell ref="B31:D31"/>
    <mergeCell ref="A34:E36"/>
  </mergeCells>
  <dataValidations count="2">
    <dataValidation type="list" showInputMessage="1" showErrorMessage="1" sqref="A3:A6 A8:A18" xr:uid="{00000000-0002-0000-0500-000000000000}">
      <formula1>listo</formula1>
    </dataValidation>
    <dataValidation showInputMessage="1" showErrorMessage="1" sqref="A7" xr:uid="{00000000-0002-0000-0500-000001000000}"/>
  </dataValidations>
  <pageMargins left="0.7" right="0.7" top="0.75" bottom="0.75" header="0.3" footer="0.3"/>
  <pageSetup paperSize="9"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10</vt:i4>
      </vt:variant>
    </vt:vector>
  </HeadingPairs>
  <TitlesOfParts>
    <vt:vector size="16" baseType="lpstr">
      <vt:lpstr>consumos</vt:lpstr>
      <vt:lpstr>lista</vt:lpstr>
      <vt:lpstr>PEDIDO</vt:lpstr>
      <vt:lpstr>MEDIDAS</vt:lpstr>
      <vt:lpstr>INVENTARIO</vt:lpstr>
      <vt:lpstr>Hoja3</vt:lpstr>
      <vt:lpstr>broche</vt:lpstr>
      <vt:lpstr>COMPRA</vt:lpstr>
      <vt:lpstr>INVENTARIO</vt:lpstr>
      <vt:lpstr>listo</vt:lpstr>
      <vt:lpstr>consumos!materiales</vt:lpstr>
      <vt:lpstr>materiales</vt:lpstr>
      <vt:lpstr>consumos!matriales</vt:lpstr>
      <vt:lpstr>medidas</vt:lpstr>
      <vt:lpstr>metro</vt:lpstr>
      <vt:lpstr>proveedores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calzadocad</dc:creator>
  <cp:lastModifiedBy>Juan Rutelio Pérez Cardona</cp:lastModifiedBy>
  <cp:lastPrinted>2017-04-03T17:23:47Z</cp:lastPrinted>
  <dcterms:created xsi:type="dcterms:W3CDTF">2008-09-30T23:12:13Z</dcterms:created>
  <dcterms:modified xsi:type="dcterms:W3CDTF">2023-03-27T14:56:25Z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2023-03-27T14:53:59Z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89ff5ac4-2e64-495f-a559-c05ea62cb5cb</vt:lpwstr>
  </property>
  <property fmtid="{D5CDD505-2E9C-101B-9397-08002B2CF9AE}" pid="8" name="MSIP_Label_1299739c-ad3d-4908-806e-4d91151a6e13_ContentBits">
    <vt:lpwstr>0</vt:lpwstr>
  </property>
</Properties>
</file>