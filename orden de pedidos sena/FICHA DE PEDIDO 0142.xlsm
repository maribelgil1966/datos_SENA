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BOLOMBOLO\COMPLEMENTARIO #2\"/>
    </mc:Choice>
  </mc:AlternateContent>
  <xr:revisionPtr revIDLastSave="14" documentId="8_{3B013C7D-1B79-4BBC-8B92-225510DB154D}" xr6:coauthVersionLast="47" xr6:coauthVersionMax="47" xr10:uidLastSave="{327826C8-4CFB-477A-BAC2-2BA7F6D3CD06}"/>
  <bookViews>
    <workbookView xWindow="0" yWindow="0" windowWidth="20490" windowHeight="754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/>
  <c r="O25" i="43"/>
  <c r="G27" i="59" s="1"/>
  <c r="O26" i="43"/>
  <c r="G28" i="59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6" i="43" l="1"/>
  <c r="D5" i="43" s="1"/>
  <c r="B8" i="59" s="1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<sst xmlns="http://schemas.openxmlformats.org/spreadsheetml/2006/main" count="5062" uniqueCount="1395">
  <si>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</si>
  <si>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</si>
  <si>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</si>
  <si>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</si>
  <si>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</si>
  <si>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</si>
  <si>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</si>
  <si>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</si>
  <si>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</si>
  <si>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</si>
  <si>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</si>
  <si>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</si>
  <si>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</si>
  <si>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</si>
  <si>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</si>
  <si>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</si>
  <si>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</si>
  <si>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</si>
  <si>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</si>
  <si>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</si>
  <si>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</si>
  <si>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</si>
  <si>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</si>
  <si>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</si>
  <si>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</si>
  <si>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</si>
  <si>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 xml:space="preserve">TORNILLO CHICAGO PARA CINTURÓN PLANO NÍQUEL </t>
  </si>
  <si>
    <t xml:space="preserve">HEBILLA CAIMÁN CON MARCA  PARA RIATA NÍQUEL   1 1/2" </t>
  </si>
  <si>
    <t>HEBILLA DOBLE PASO CUADRADA 1" NÍQUEL</t>
  </si>
  <si>
    <t>SECUNDARIO_MEDULAR</t>
  </si>
  <si>
    <t>CORDON ENCERADO REDODNDO CAFE</t>
  </si>
  <si>
    <t>Café</t>
  </si>
  <si>
    <t>REATA DE ALGODON DE 1 1/2</t>
  </si>
  <si>
    <t>REATA SINTETICA 1 1/4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</si>
  <si>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</si>
  <si>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</si>
  <si>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</si>
  <si>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</si>
  <si>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</si>
  <si>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</si>
  <si>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</si>
  <si>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</si>
  <si>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</si>
  <si>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</si>
  <si>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</si>
  <si>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</si>
  <si>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</si>
  <si>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</si>
  <si>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</si>
  <si>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</si>
  <si>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</si>
  <si>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</si>
  <si>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</si>
  <si>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</si>
  <si>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</si>
  <si>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</si>
  <si>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</si>
  <si>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</si>
  <si>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</si>
  <si>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</si>
  <si>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</si>
  <si>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</si>
  <si>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</si>
  <si>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</si>
  <si>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</si>
  <si>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</si>
  <si>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</si>
  <si>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</si>
  <si>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</si>
  <si>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</si>
  <si>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</si>
  <si>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</si>
  <si>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</si>
  <si>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</si>
  <si>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</si>
  <si>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</si>
  <si>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</si>
  <si>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</si>
  <si>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</si>
  <si>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</si>
  <si>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</si>
  <si>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</si>
  <si>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</si>
  <si>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</si>
  <si>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</si>
  <si>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</si>
  <si>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</si>
  <si>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</si>
  <si>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</si>
  <si>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</si>
  <si>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LLEVA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</si>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</sst>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63467</xdr:colOff>
      <xdr:row>1</xdr:row>
      <xdr:rowOff>33131</xdr:rowOff>
    </xdr:from>
    <xdr:to>
      <xdr:col>21</xdr:col>
      <xdr:colOff>312261</xdr:colOff>
      <xdr:row>6</xdr:row>
      <xdr:rowOff>8282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40CD313-D6A2-492F-9E09-B432B2C6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6510" y="414131"/>
          <a:ext cx="1507751" cy="1366629"/>
        </a:xfrm>
        <a:prstGeom prst="rect">
          <a:avLst/>
        </a:prstGeom>
      </xdr:spPr>
    </xdr:pic>
    <xdr:clientData/>
  </xdr:twoCellAnchor>
  <xdr:twoCellAnchor editAs="oneCell">
    <xdr:from>
      <xdr:col>22</xdr:col>
      <xdr:colOff>10561</xdr:colOff>
      <xdr:row>0</xdr:row>
      <xdr:rowOff>298174</xdr:rowOff>
    </xdr:from>
    <xdr:to>
      <xdr:col>24</xdr:col>
      <xdr:colOff>240197</xdr:colOff>
      <xdr:row>6</xdr:row>
      <xdr:rowOff>182218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5E60D4D-1E46-4A8F-BF8F-E9F4641E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626" y="298174"/>
          <a:ext cx="883962" cy="1656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AP2605-1</v>
      </c>
      <c r="G1" s="363"/>
      <c r="H1" s="364"/>
      <c r="I1" s="365" t="s">
        <v>1</v>
      </c>
      <c r="J1" s="366"/>
      <c r="K1" s="245"/>
      <c r="L1" s="344" t="s">
        <v>2</v>
      </c>
      <c r="M1" s="367"/>
      <c r="N1" s="367"/>
      <c r="O1" s="368">
        <v>45438</v>
      </c>
      <c r="P1" s="368"/>
      <c r="Q1" s="368"/>
      <c r="R1" s="369"/>
      <c r="S1" s="351" t="s">
        <v>3</v>
      </c>
      <c r="T1" s="352"/>
      <c r="U1" s="352"/>
      <c r="V1" s="352"/>
      <c r="W1" s="352"/>
      <c r="X1" s="352"/>
      <c r="Y1" s="353"/>
      <c r="Z1" s="252" t="s">
        <v>4</v>
      </c>
    </row>
    <row r="2" spans="1:28" ht="23.25" customHeight="1">
      <c r="A2" s="379"/>
      <c r="B2" s="380"/>
      <c r="C2" s="383" t="s">
        <v>5</v>
      </c>
      <c r="D2" s="384"/>
      <c r="E2" s="385" t="s">
        <v>6</v>
      </c>
      <c r="F2" s="386"/>
      <c r="G2" s="386"/>
      <c r="H2" s="386"/>
      <c r="I2" s="386"/>
      <c r="J2" s="386"/>
      <c r="K2" s="387"/>
      <c r="L2" s="342" t="s">
        <v>7</v>
      </c>
      <c r="M2" s="343"/>
      <c r="N2" s="344"/>
      <c r="O2" s="345">
        <f>IF(E2="","",INDEX(Tabla3[],MATCH('Soli_citud '!E2,Intructores,0),2))</f>
        <v>43687423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8</v>
      </c>
      <c r="D3" s="392"/>
      <c r="E3" s="393" t="s">
        <v>9</v>
      </c>
      <c r="F3" s="394"/>
      <c r="G3" s="394"/>
      <c r="H3" s="394"/>
      <c r="I3" s="394"/>
      <c r="J3" s="394"/>
      <c r="K3" s="395"/>
      <c r="L3" s="342" t="s">
        <v>10</v>
      </c>
      <c r="M3" s="343"/>
      <c r="N3" s="344"/>
      <c r="O3" s="318">
        <v>2992053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11</v>
      </c>
      <c r="B4" s="376"/>
      <c r="C4" s="376"/>
      <c r="D4" s="370" t="s">
        <v>12</v>
      </c>
      <c r="E4" s="371"/>
      <c r="F4" s="371"/>
      <c r="G4" s="371"/>
      <c r="H4" s="371"/>
      <c r="I4" s="371"/>
      <c r="J4" s="371"/>
      <c r="K4" s="371"/>
      <c r="L4" s="372" t="s">
        <v>13</v>
      </c>
      <c r="M4" s="372"/>
      <c r="N4" s="372"/>
      <c r="O4" s="373"/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14</v>
      </c>
      <c r="B5" s="396"/>
      <c r="C5" s="396"/>
      <c r="D5" s="397">
        <f ca="1">IF(K5="","",(SUM(W10:Y28)-(SUMIF(U10:V28,"Restar_Pedido",W10:Y28)))/$K$5)</f>
        <v>9132.15</v>
      </c>
      <c r="E5" s="398"/>
      <c r="F5" s="399"/>
      <c r="G5" s="383" t="s">
        <v>15</v>
      </c>
      <c r="H5" s="400"/>
      <c r="I5" s="400"/>
      <c r="J5" s="384"/>
      <c r="K5" s="358">
        <v>17</v>
      </c>
      <c r="L5" s="358"/>
      <c r="M5" s="359" t="s">
        <v>16</v>
      </c>
      <c r="N5" s="359"/>
      <c r="O5" s="348">
        <f ca="1">IFERROR(IF(K5=0,"",D5*K5),"")</f>
        <v>155246.54999999999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17</v>
      </c>
      <c r="B7" s="388"/>
      <c r="C7" s="388"/>
      <c r="D7" s="389" t="s">
        <v>18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19</v>
      </c>
      <c r="P7" s="337"/>
      <c r="Q7" s="390" t="s">
        <v>20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21</v>
      </c>
      <c r="T8" s="339"/>
      <c r="U8" s="339"/>
      <c r="V8" s="340">
        <f>IF(K5="","",1/K5)</f>
        <v>5.8823529411764705E-2</v>
      </c>
      <c r="W8" s="341"/>
      <c r="X8" s="107">
        <v>400</v>
      </c>
      <c r="Y8" s="108">
        <f>IFERROR((V8*X8)," ")</f>
        <v>23.52941176470588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22</v>
      </c>
      <c r="T9" s="338"/>
      <c r="U9" s="337" t="s">
        <v>23</v>
      </c>
      <c r="V9" s="337"/>
      <c r="W9" s="337" t="s">
        <v>24</v>
      </c>
      <c r="X9" s="337"/>
      <c r="Y9" s="337"/>
    </row>
    <row r="10" spans="1:28" ht="17.25" customHeight="1">
      <c r="A10" s="311" t="s">
        <v>25</v>
      </c>
      <c r="B10" s="311"/>
      <c r="C10" s="312"/>
      <c r="D10" s="401" t="s">
        <v>26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U</v>
      </c>
      <c r="P10" s="317"/>
      <c r="Q10" s="318">
        <v>1</v>
      </c>
      <c r="R10" s="319"/>
      <c r="S10" s="320">
        <f>IFERROR(IF(Q10="Unidad","1",(Q10*$K$5)),"")</f>
        <v>17</v>
      </c>
      <c r="T10" s="321"/>
      <c r="U10" s="308"/>
      <c r="V10" s="404"/>
      <c r="W10" s="309">
        <f ca="1">IFERROR(IF(D10="","",INDEX(Tabla_Completa,MATCH('Soli_citud '!D10,Materiales,0),7)*S10),"")</f>
        <v>26350</v>
      </c>
      <c r="X10" s="309"/>
      <c r="Y10" s="309"/>
      <c r="Z10" s="34"/>
    </row>
    <row r="11" spans="1:28" ht="17.25" customHeight="1">
      <c r="A11" s="310" t="s">
        <v>25</v>
      </c>
      <c r="B11" s="311"/>
      <c r="C11" s="312"/>
      <c r="D11" s="401" t="s">
        <v>27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U</v>
      </c>
      <c r="P11" s="317"/>
      <c r="Q11" s="318">
        <v>1</v>
      </c>
      <c r="R11" s="319"/>
      <c r="S11" s="320">
        <f t="shared" ref="S11:S31" si="1">IFERROR(IF(Q11="Unidad","1",(Q11*$K$5)),"")</f>
        <v>17</v>
      </c>
      <c r="T11" s="321"/>
      <c r="U11" s="308"/>
      <c r="V11" s="308"/>
      <c r="W11" s="309">
        <f ca="1">IFERROR(IF(D11="","",INDEX(Tabla_Completa,MATCH('Soli_citud '!D11,Materiales,0),7)*S11),"")</f>
        <v>17000</v>
      </c>
      <c r="X11" s="309"/>
      <c r="Y11" s="309"/>
    </row>
    <row r="12" spans="1:28" ht="15.75" customHeight="1">
      <c r="A12" s="310" t="s">
        <v>25</v>
      </c>
      <c r="B12" s="311"/>
      <c r="C12" s="312"/>
      <c r="D12" s="405" t="s">
        <v>28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U</v>
      </c>
      <c r="P12" s="317"/>
      <c r="Q12" s="318">
        <v>1</v>
      </c>
      <c r="R12" s="319"/>
      <c r="S12" s="320">
        <f t="shared" si="1"/>
        <v>17</v>
      </c>
      <c r="T12" s="321"/>
      <c r="U12" s="308"/>
      <c r="V12" s="308"/>
      <c r="W12" s="309">
        <f ca="1">IFERROR(IF(D12="","",INDEX(Tabla_Completa,MATCH('Soli_citud '!D12,Materiales,0),7)*S12),"")</f>
        <v>11742.75</v>
      </c>
      <c r="X12" s="309"/>
      <c r="Y12" s="309"/>
    </row>
    <row r="13" spans="1:28" ht="15.75" customHeight="1">
      <c r="A13" s="310" t="s">
        <v>29</v>
      </c>
      <c r="B13" s="311"/>
      <c r="C13" s="312"/>
      <c r="D13" s="401" t="s">
        <v>30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>Par</v>
      </c>
      <c r="P13" s="317"/>
      <c r="Q13" s="318">
        <v>4</v>
      </c>
      <c r="R13" s="319"/>
      <c r="S13" s="320">
        <f t="shared" si="1"/>
        <v>68</v>
      </c>
      <c r="T13" s="321"/>
      <c r="U13" s="308" t="s">
        <v>31</v>
      </c>
      <c r="V13" s="308"/>
      <c r="W13" s="309">
        <f ca="1">IFERROR(IF(D13="","",INDEX(Tabla_Completa,MATCH('Soli_citud '!D13,Materiales,0),7)*S13),"")</f>
        <v>43452</v>
      </c>
      <c r="X13" s="309"/>
      <c r="Y13" s="309"/>
    </row>
    <row r="14" spans="1:28" ht="17.25" customHeight="1">
      <c r="A14" s="310" t="s">
        <v>29</v>
      </c>
      <c r="B14" s="311"/>
      <c r="C14" s="312"/>
      <c r="D14" s="401" t="s">
        <v>32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>cm</v>
      </c>
      <c r="P14" s="317"/>
      <c r="Q14" s="318">
        <v>90</v>
      </c>
      <c r="R14" s="319"/>
      <c r="S14" s="320">
        <f t="shared" si="1"/>
        <v>1530</v>
      </c>
      <c r="T14" s="321"/>
      <c r="U14" s="308"/>
      <c r="V14" s="308"/>
      <c r="W14" s="309">
        <f ca="1">IFERROR(IF(D14="","",INDEX(Tabla_Completa,MATCH('Soli_citud '!D14,Materiales,0),7)*S14),"")</f>
        <v>28350.9</v>
      </c>
      <c r="X14" s="309"/>
      <c r="Y14" s="309"/>
    </row>
    <row r="15" spans="1:28" ht="15.75" customHeight="1">
      <c r="A15" s="310" t="s">
        <v>29</v>
      </c>
      <c r="B15" s="311"/>
      <c r="C15" s="312"/>
      <c r="D15" s="401" t="s">
        <v>33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>cm</v>
      </c>
      <c r="P15" s="317"/>
      <c r="Q15" s="318">
        <v>90</v>
      </c>
      <c r="R15" s="319"/>
      <c r="S15" s="320">
        <f t="shared" si="1"/>
        <v>1530</v>
      </c>
      <c r="T15" s="321"/>
      <c r="U15" s="308"/>
      <c r="V15" s="308"/>
      <c r="W15" s="309">
        <f ca="1">IFERROR(IF(D15="","",INDEX(Tabla_Completa,MATCH('Soli_citud '!D15,Materiales,0),7)*S15),"")</f>
        <v>28350.9</v>
      </c>
      <c r="X15" s="309"/>
      <c r="Y15" s="309"/>
    </row>
    <row r="16" spans="1:28" ht="15.75" customHeight="1">
      <c r="A16" s="310"/>
      <c r="B16" s="311"/>
      <c r="C16" s="312"/>
      <c r="D16" s="401"/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/>
      </c>
      <c r="P16" s="317"/>
      <c r="Q16" s="318"/>
      <c r="R16" s="319"/>
      <c r="S16" s="320">
        <f t="shared" si="1"/>
        <v>0</v>
      </c>
      <c r="T16" s="321"/>
      <c r="U16" s="308"/>
      <c r="V16" s="308"/>
      <c r="W16" s="309" t="str">
        <f ca="1">IFERROR(IF(D16="","",INDEX(Tabla_Completa,MATCH('Soli_citud '!D16,Materiales,0),7)*S16),"")</f>
        <v/>
      </c>
      <c r="X16" s="309"/>
      <c r="Y16" s="309"/>
    </row>
    <row r="17" spans="1:25" ht="15.75" customHeight="1">
      <c r="A17" s="310"/>
      <c r="B17" s="311"/>
      <c r="C17" s="312"/>
      <c r="D17" s="401"/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/>
      </c>
      <c r="P17" s="317"/>
      <c r="Q17" s="318"/>
      <c r="R17" s="319"/>
      <c r="S17" s="320">
        <f t="shared" si="1"/>
        <v>0</v>
      </c>
      <c r="T17" s="321"/>
      <c r="U17" s="308"/>
      <c r="V17" s="308"/>
      <c r="W17" s="309" t="str">
        <f ca="1">IFERROR(IF(D17="","",INDEX(Tabla_Completa,MATCH('Soli_citud '!D17,Materiales,0),7)*S17),"")</f>
        <v/>
      </c>
      <c r="X17" s="309"/>
      <c r="Y17" s="309"/>
    </row>
    <row r="18" spans="1:25" ht="15.75" customHeight="1">
      <c r="A18" s="310"/>
      <c r="B18" s="311"/>
      <c r="C18" s="312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/>
      </c>
      <c r="P18" s="317"/>
      <c r="Q18" s="318"/>
      <c r="R18" s="319"/>
      <c r="S18" s="320">
        <f t="shared" si="1"/>
        <v>0</v>
      </c>
      <c r="T18" s="321"/>
      <c r="U18" s="308"/>
      <c r="V18" s="308"/>
      <c r="W18" s="309" t="str">
        <f ca="1">IFERROR(IF(D18="","",INDEX(Tabla_Completa,MATCH('Soli_citud '!D18,Materiales,0),7)*S18),"")</f>
        <v/>
      </c>
      <c r="X18" s="309"/>
      <c r="Y18" s="309"/>
    </row>
    <row r="19" spans="1:25" ht="15.75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75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75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18"/>
      <c r="R21" s="319"/>
      <c r="S21" s="320">
        <f t="shared" si="1"/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75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>
        <f t="shared" si="1"/>
        <v>0</v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75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75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75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75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75">
      <c r="A27" s="310"/>
      <c r="B27" s="311"/>
      <c r="C27" s="312"/>
      <c r="D27" s="313"/>
      <c r="E27" s="314"/>
      <c r="F27" s="314"/>
      <c r="G27" s="314"/>
      <c r="H27" s="314"/>
      <c r="I27" s="314"/>
      <c r="J27" s="314"/>
      <c r="K27" s="314"/>
      <c r="L27" s="314"/>
      <c r="M27" s="314"/>
      <c r="N27" s="315"/>
      <c r="O27" s="316" t="str">
        <f t="shared" ca="1" si="0"/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IFERROR(IF(D27="","",INDEX(Tabla_Completa,MATCH('Soli_citud '!D27,Materiales,0),7)*S27),"")</f>
        <v/>
      </c>
      <c r="X27" s="309"/>
      <c r="Y27" s="309"/>
    </row>
    <row r="28" spans="1:25" ht="15.75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75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t="shared" ca="1" si="0"/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IFERROR(IF(D29="","",INDEX(Tabla_Completa,MATCH('Soli_citud '!D29,Materiales,0),7)*S29),"")</f>
        <v/>
      </c>
      <c r="X29" s="309"/>
      <c r="Y29" s="309"/>
    </row>
    <row r="30" spans="1:25" ht="15.75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75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75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75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/>
    <row r="35" spans="1:25"/>
    <row r="36" spans="1:25"/>
    <row r="37" spans="1:25"/>
    <row r="38" spans="1:25" ht="15" customHeight="1"/>
    <row r="39" spans="1:25" ht="33.75" customHeight="1">
      <c r="A39" s="322" t="s">
        <v>34</v>
      </c>
      <c r="B39" s="322"/>
      <c r="C39" s="322"/>
      <c r="D39" s="323" t="s">
        <v>35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>
      <c r="A40" s="237" t="s">
        <v>36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37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9.5">
      <c r="A44" s="333" t="s">
        <v>38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39</v>
      </c>
      <c r="O44" s="335"/>
      <c r="P44" s="335"/>
      <c r="Q44" s="335"/>
      <c r="R44" s="330" t="s">
        <v>40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41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42</v>
      </c>
      <c r="O45" s="335"/>
      <c r="P45" s="335"/>
      <c r="Q45" s="335"/>
      <c r="R45" s="331" t="s">
        <v>43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44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45</v>
      </c>
      <c r="O46" s="335"/>
      <c r="P46" s="335"/>
      <c r="Q46" s="335"/>
      <c r="R46" s="332" t="s">
        <v>46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47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25</v>
      </c>
      <c r="O47" s="335"/>
      <c r="P47" s="335"/>
      <c r="Q47" s="335"/>
      <c r="R47" s="332" t="s">
        <v>48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49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50</v>
      </c>
      <c r="O48" s="335"/>
      <c r="P48" s="335"/>
      <c r="Q48" s="335"/>
      <c r="R48" s="332" t="s">
        <v>51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52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53</v>
      </c>
      <c r="O49" s="336"/>
      <c r="P49" s="336"/>
      <c r="Q49" s="336"/>
      <c r="R49" s="331" t="s">
        <v>54</v>
      </c>
      <c r="S49" s="331"/>
      <c r="T49" s="331"/>
      <c r="U49" s="331"/>
      <c r="V49" s="331"/>
      <c r="W49" s="331"/>
      <c r="X49" s="331"/>
    </row>
    <row r="50" spans="1:24" ht="15.75">
      <c r="A50" s="329"/>
      <c r="B50" s="329"/>
      <c r="C50" s="329"/>
      <c r="D50" s="329"/>
      <c r="N50" s="335" t="s">
        <v>55</v>
      </c>
      <c r="O50" s="335"/>
      <c r="P50" s="335"/>
      <c r="Q50" s="335"/>
      <c r="R50" s="332" t="s">
        <v>56</v>
      </c>
      <c r="S50" s="332"/>
      <c r="T50" s="332"/>
      <c r="U50" s="332"/>
      <c r="V50" s="332"/>
      <c r="W50" s="332"/>
      <c r="X50" s="332"/>
    </row>
    <row r="51" spans="1:24" ht="15.75">
      <c r="N51" s="335" t="s">
        <v>57</v>
      </c>
      <c r="O51" s="335"/>
      <c r="P51" s="335"/>
      <c r="Q51" s="335"/>
      <c r="R51" s="332" t="s">
        <v>58</v>
      </c>
      <c r="S51" s="332"/>
      <c r="T51" s="332"/>
      <c r="U51" s="332"/>
      <c r="V51" s="332"/>
      <c r="W51" s="332"/>
      <c r="X51" s="332"/>
    </row>
    <row r="52" spans="1:24" ht="15.75">
      <c r="N52" s="335" t="s">
        <v>59</v>
      </c>
      <c r="O52" s="335"/>
      <c r="P52" s="335"/>
      <c r="Q52" s="335"/>
      <c r="R52" s="332" t="s">
        <v>48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G20" sqref="G20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7" t="s">
        <v>60</v>
      </c>
      <c r="E1" s="418"/>
      <c r="F1" s="418"/>
      <c r="G1" s="418"/>
      <c r="H1" s="418"/>
      <c r="I1" s="418"/>
      <c r="J1" s="424" t="s">
        <v>61</v>
      </c>
      <c r="K1" s="425"/>
      <c r="L1" s="425"/>
      <c r="M1" s="426"/>
      <c r="N1" s="419">
        <f>IF('Soli_citud '!O1="","",'Soli_citud '!O1)</f>
        <v>45438</v>
      </c>
      <c r="O1" s="420"/>
      <c r="P1" s="470" t="s">
        <v>62</v>
      </c>
      <c r="Q1" s="471"/>
      <c r="R1" s="466" t="str">
        <f>IF('Soli_citud '!D4="","",'Soli_citud '!D4)</f>
        <v>CAMPESENA</v>
      </c>
      <c r="S1" s="467"/>
      <c r="Z1" t="s">
        <v>63</v>
      </c>
      <c r="AA1" s="251" t="s">
        <v>63</v>
      </c>
    </row>
    <row r="2" spans="1:27" ht="15.75" customHeight="1" thickBot="1">
      <c r="A2" s="256"/>
      <c r="B2" s="259"/>
      <c r="C2" s="260"/>
      <c r="D2" s="417"/>
      <c r="E2" s="418"/>
      <c r="F2" s="418"/>
      <c r="G2" s="418"/>
      <c r="H2" s="418"/>
      <c r="I2" s="418"/>
      <c r="J2" s="427" t="s">
        <v>64</v>
      </c>
      <c r="K2" s="428"/>
      <c r="L2" s="428"/>
      <c r="M2" s="429"/>
      <c r="N2" s="421" t="str">
        <f>'Soli_citud '!F1</f>
        <v>AP2605-1</v>
      </c>
      <c r="O2" s="422"/>
      <c r="P2" s="472"/>
      <c r="Q2" s="473"/>
      <c r="R2" s="468"/>
      <c r="S2" s="469"/>
    </row>
    <row r="3" spans="1:27" ht="15.75" customHeight="1">
      <c r="A3" s="256"/>
      <c r="B3" s="259"/>
      <c r="C3" s="260"/>
      <c r="D3" s="417"/>
      <c r="E3" s="418"/>
      <c r="F3" s="418"/>
      <c r="G3" s="418"/>
      <c r="H3" s="418"/>
      <c r="I3" s="418"/>
      <c r="J3" s="423" t="s">
        <v>65</v>
      </c>
      <c r="K3" s="423"/>
      <c r="L3" s="423"/>
      <c r="M3" s="423"/>
      <c r="N3" s="409">
        <f>IF('Soli_citud '!O3="","",'Soli_citud '!O3)</f>
        <v>2992053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6"/>
      <c r="B4" s="261"/>
      <c r="C4" s="262"/>
      <c r="D4" s="417"/>
      <c r="E4" s="418"/>
      <c r="F4" s="418"/>
      <c r="G4" s="418"/>
      <c r="H4" s="418"/>
      <c r="I4" s="418"/>
      <c r="J4" s="414" t="s">
        <v>66</v>
      </c>
      <c r="K4" s="414"/>
      <c r="L4" s="414"/>
      <c r="M4" s="415" t="str">
        <f>IF('Soli_citud '!O4="","",'Soli_citud '!O4)</f>
        <v/>
      </c>
      <c r="N4" s="415"/>
      <c r="O4" s="416"/>
      <c r="P4" s="472"/>
      <c r="Q4" s="473"/>
      <c r="R4" s="317"/>
      <c r="S4" s="478"/>
    </row>
    <row r="5" spans="1:27" ht="2.25" customHeight="1">
      <c r="A5" s="256"/>
      <c r="P5" s="472"/>
      <c r="Q5" s="473"/>
    </row>
    <row r="6" spans="1:27" ht="27" customHeight="1">
      <c r="A6" s="256"/>
      <c r="B6" s="455" t="s">
        <v>67</v>
      </c>
      <c r="C6" s="456"/>
      <c r="D6" s="457"/>
      <c r="E6" s="411" t="s">
        <v>68</v>
      </c>
      <c r="F6" s="411"/>
      <c r="G6" s="411"/>
      <c r="H6" s="411"/>
      <c r="I6" s="412"/>
      <c r="J6" s="446" t="s">
        <v>69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6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6"/>
      <c r="B8" s="433">
        <f ca="1">IF('Soli_citud '!D5&lt;= 0,"",'Soli_citud '!D5)</f>
        <v>9132.15</v>
      </c>
      <c r="C8" s="434"/>
      <c r="D8" s="435"/>
      <c r="E8" s="452" t="s">
        <v>70</v>
      </c>
      <c r="F8" s="453"/>
      <c r="G8" s="453"/>
      <c r="H8" s="453"/>
      <c r="I8" s="454"/>
      <c r="J8" s="448" t="str">
        <f>IF('Soli_citud '!E2="","",'Soli_citud '!E2)</f>
        <v>Alina Posada Villada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6"/>
      <c r="B9" s="436" t="s">
        <v>71</v>
      </c>
      <c r="C9" s="437"/>
      <c r="D9" s="462"/>
      <c r="E9" s="461" t="s">
        <v>72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6"/>
      <c r="B10" s="438"/>
      <c r="C10" s="439"/>
      <c r="D10" s="462"/>
      <c r="E10" s="461"/>
      <c r="F10" s="461"/>
      <c r="G10" s="443"/>
      <c r="H10" s="444"/>
      <c r="I10" s="445"/>
      <c r="J10" s="431" t="s">
        <v>73</v>
      </c>
      <c r="K10" s="431"/>
      <c r="L10" s="432"/>
      <c r="M10" s="241">
        <f>'Soli_citud '!K5</f>
        <v>17</v>
      </c>
      <c r="N10" s="450" t="s">
        <v>74</v>
      </c>
      <c r="O10" s="451"/>
      <c r="P10" s="474"/>
      <c r="Q10" s="475"/>
      <c r="R10" s="242" t="s">
        <v>75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76</v>
      </c>
      <c r="B11" s="263" t="s">
        <v>77</v>
      </c>
      <c r="C11" s="463" t="s">
        <v>78</v>
      </c>
      <c r="D11" s="464"/>
      <c r="E11" s="464"/>
      <c r="F11" s="465"/>
      <c r="G11" s="112" t="s">
        <v>79</v>
      </c>
      <c r="H11" s="112" t="s">
        <v>80</v>
      </c>
      <c r="I11" s="236" t="s">
        <v>81</v>
      </c>
      <c r="J11" s="110" t="s">
        <v>82</v>
      </c>
      <c r="K11" s="222" t="s">
        <v>83</v>
      </c>
      <c r="L11" s="422" t="s">
        <v>23</v>
      </c>
      <c r="M11" s="430"/>
      <c r="N11" s="239" t="s">
        <v>84</v>
      </c>
      <c r="O11" s="239" t="s">
        <v>85</v>
      </c>
      <c r="P11" s="243" t="s">
        <v>86</v>
      </c>
      <c r="Q11" s="244" t="s">
        <v>87</v>
      </c>
      <c r="R11" s="235" t="s">
        <v>88</v>
      </c>
      <c r="S11" s="223" t="s">
        <v>89</v>
      </c>
    </row>
    <row r="12" spans="1:27" ht="19.5" customHeight="1">
      <c r="A12" s="78">
        <v>1</v>
      </c>
      <c r="B12" s="264" t="str">
        <f>IF(H12="","",$N$2)</f>
        <v>AP2605-1</v>
      </c>
      <c r="C12" s="406" t="str">
        <f>IFERROR(IF('Soli_citud '!D10="","",'Soli_citud '!D10),"")</f>
        <v xml:space="preserve">TORNILLO CHICAGO PARA CINTURÓN PLANO NÍQUEL </v>
      </c>
      <c r="D12" s="406"/>
      <c r="E12" s="406"/>
      <c r="F12" s="406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17</v>
      </c>
      <c r="I12" s="226">
        <v>45440</v>
      </c>
      <c r="J12" s="227">
        <v>17</v>
      </c>
      <c r="K12" s="207" t="str" cm="1">
        <f t="array" ref="K12">IFERROR(_xlfn.IFS(H12="","",J12=H12,"Cumplido",J12&lt;H12,H12-J12,J12&gt;H12,"Revisar"),"")</f>
        <v>Cumplido</v>
      </c>
      <c r="L12" s="407"/>
      <c r="M12" s="408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AP2605-1</v>
      </c>
      <c r="C13" s="406" t="str">
        <f>IFERROR(IF('Soli_citud '!D11="","",'Soli_citud '!D11),"")</f>
        <v xml:space="preserve">HEBILLA CAIMÁN CON MARCA  PARA RIATA NÍQUEL   1 1/2" </v>
      </c>
      <c r="D13" s="406"/>
      <c r="E13" s="406"/>
      <c r="F13" s="406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17</v>
      </c>
      <c r="I13" s="226">
        <v>45440</v>
      </c>
      <c r="J13" s="228">
        <v>17</v>
      </c>
      <c r="K13" s="207" t="str" cm="1">
        <f t="array" ref="K13">IFERROR(_xlfn.IFS(H13="","",J13=H13,"Cumplido",J13&lt;H13,H13-J13,J13&gt;H13,"Revisar"),"")</f>
        <v>Cumplido</v>
      </c>
      <c r="L13" s="407"/>
      <c r="M13" s="408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AP2605-1</v>
      </c>
      <c r="C14" s="406" t="str">
        <f>IFERROR(IF('Soli_citud '!D12="","",'Soli_citud '!D12),"")</f>
        <v>HEBILLA DOBLE PASO CUADRADA 1" NÍQUEL</v>
      </c>
      <c r="D14" s="406"/>
      <c r="E14" s="406"/>
      <c r="F14" s="406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17</v>
      </c>
      <c r="I14" s="226">
        <v>45440</v>
      </c>
      <c r="J14" s="228">
        <v>17</v>
      </c>
      <c r="K14" s="207" t="str" cm="1">
        <f t="array" ref="K14">IFERROR(_xlfn.IFS(H14="","",J14=H14,"Cumplido",J14&lt;H14,H14-J14,J14&gt;H14,"Revisar"),"")</f>
        <v>Cumplido</v>
      </c>
      <c r="L14" s="407"/>
      <c r="M14" s="408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AP2605-1</v>
      </c>
      <c r="C15" s="406" t="str">
        <f>IFERROR(IF('Soli_citud '!D13="","",'Soli_citud '!D13),"")</f>
        <v>CORDON ENCERADO REDODNDO CAFE</v>
      </c>
      <c r="D15" s="406"/>
      <c r="E15" s="406"/>
      <c r="F15" s="406"/>
      <c r="G15" s="225" t="str">
        <f ca="1">IF('Soli_citud '!O13="","",'Soli_citud '!O13)</f>
        <v>Par</v>
      </c>
      <c r="H15" s="225" cm="1">
        <f t="array" ref="H15">_xlfn.IFS('Soli_citud '!S13="","",'Soli_citud '!S13&lt;=0,"",'Soli_citud '!S13&gt;0,'Soli_citud '!S13)</f>
        <v>68</v>
      </c>
      <c r="I15" s="226">
        <v>45440</v>
      </c>
      <c r="J15" s="307"/>
      <c r="K15" s="207" cm="1">
        <f t="array" ref="K15">IFERROR(_xlfn.IFS(H15="","",J15=H15,"Cumplido",J15&lt;H15,H15-J15,J15&gt;H15,"Revisar"),"")</f>
        <v>68</v>
      </c>
      <c r="L15" s="407" t="s">
        <v>90</v>
      </c>
      <c r="M15" s="408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AP2605-1</v>
      </c>
      <c r="C16" s="406" t="str">
        <f>IFERROR(IF('Soli_citud '!D14="","",'Soli_citud '!D14),"")</f>
        <v>REATA DE ALGODON DE 1 1/2</v>
      </c>
      <c r="D16" s="406"/>
      <c r="E16" s="406"/>
      <c r="F16" s="406"/>
      <c r="G16" s="225" t="str">
        <f ca="1">IF('Soli_citud '!O14="","",'Soli_citud '!O14)</f>
        <v>cm</v>
      </c>
      <c r="H16" s="225" cm="1">
        <f t="array" ref="H16">_xlfn.IFS('Soli_citud '!S14="","",'Soli_citud '!S14&lt;=0,"",'Soli_citud '!S14&gt;0,'Soli_citud '!S14)</f>
        <v>1530</v>
      </c>
      <c r="I16" s="226">
        <v>45440</v>
      </c>
      <c r="J16" s="228">
        <v>1530</v>
      </c>
      <c r="K16" s="207" t="str" cm="1">
        <f t="array" ref="K16">IFERROR(_xlfn.IFS(H16="","",J16=H16,"Cumplido",J16&lt;H16,H16-J16,J16&gt;H16,"Revisar"),"")</f>
        <v>Cumplido</v>
      </c>
      <c r="L16" s="407"/>
      <c r="M16" s="408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AP2605-1</v>
      </c>
      <c r="C17" s="406" t="str">
        <f>IFERROR(IF('Soli_citud '!D15="","",'Soli_citud '!D15),"")</f>
        <v>REATA SINTETICA 1 1/4</v>
      </c>
      <c r="D17" s="406"/>
      <c r="E17" s="406"/>
      <c r="F17" s="406"/>
      <c r="G17" s="225" t="str">
        <f ca="1">IF('Soli_citud '!O15="","",'Soli_citud '!O15)</f>
        <v>cm</v>
      </c>
      <c r="H17" s="225" cm="1">
        <f t="array" ref="H17">_xlfn.IFS('Soli_citud '!S15="","",'Soli_citud '!S15&lt;=0,"",'Soli_citud '!S15&gt;0,'Soli_citud '!S15)</f>
        <v>1530</v>
      </c>
      <c r="I17" s="226">
        <v>45440</v>
      </c>
      <c r="J17" s="228">
        <v>1530</v>
      </c>
      <c r="K17" s="207" t="str" cm="1">
        <f t="array" ref="K17">IFERROR(_xlfn.IFS(H17="","",J17=H17,"Cumplido",J17&lt;H17,H17-J17,J17&gt;H17,"Revisar"),"")</f>
        <v>Cumplido</v>
      </c>
      <c r="L17" s="407"/>
      <c r="M17" s="408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6" t="str">
        <f>IFERROR(IF('Soli_citud '!D16="","",'Soli_citud '!D16),"")</f>
        <v/>
      </c>
      <c r="D18" s="406"/>
      <c r="E18" s="406"/>
      <c r="F18" s="406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7"/>
      <c r="M18" s="408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6" t="str">
        <f>IFERROR(IF('Soli_citud '!D17="","",'Soli_citud '!D17),"")</f>
        <v/>
      </c>
      <c r="D19" s="406"/>
      <c r="E19" s="406"/>
      <c r="F19" s="406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7"/>
      <c r="M19" s="408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6" t="str">
        <f>IFERROR(IF('Soli_citud '!D18="","",'Soli_citud '!D18),"")</f>
        <v/>
      </c>
      <c r="D20" s="406"/>
      <c r="E20" s="406"/>
      <c r="F20" s="406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7"/>
      <c r="M20" s="408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7"/>
      <c r="M21" s="408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7"/>
      <c r="M22" s="408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7"/>
      <c r="M23" s="408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7"/>
      <c r="M24" s="408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7"/>
      <c r="M25" s="408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7"/>
      <c r="M26" s="408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7"/>
      <c r="M27" s="408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7"/>
      <c r="M28" s="408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6" t="str">
        <f>IFERROR(IF('Soli_citud '!D27="","",'Soli_citud '!D27),"")</f>
        <v/>
      </c>
      <c r="D29" s="406"/>
      <c r="E29" s="406"/>
      <c r="F29" s="406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7"/>
      <c r="M29" s="408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7"/>
      <c r="M30" s="408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6" t="str">
        <f>IFERROR(IF('Soli_citud '!D29="","",'Soli_citud '!D29),"")</f>
        <v/>
      </c>
      <c r="D31" s="406"/>
      <c r="E31" s="406"/>
      <c r="F31" s="406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7"/>
      <c r="M31" s="408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7"/>
      <c r="M32" s="408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91</v>
      </c>
      <c r="F1" s="493"/>
      <c r="Z1" s="251" t="s">
        <v>63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863</v>
      </c>
      <c r="F3" s="494"/>
    </row>
    <row r="5" spans="1:26" ht="40.5" customHeight="1">
      <c r="B5"/>
      <c r="C5"/>
      <c r="D5"/>
    </row>
    <row r="6" spans="1:26" ht="34.5" customHeight="1">
      <c r="A6" s="115" t="s">
        <v>92</v>
      </c>
      <c r="B6" s="303">
        <f>SUBTOTAL(3,(BD!$B$8:$B$20))</f>
        <v>13</v>
      </c>
      <c r="C6" s="491"/>
      <c r="D6" s="492"/>
      <c r="H6" s="489" t="s">
        <v>93</v>
      </c>
      <c r="I6" s="489"/>
    </row>
    <row r="7" spans="1:26" ht="47.25">
      <c r="A7" s="73" t="s">
        <v>76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39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39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39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39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39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39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39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39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39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39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39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39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4" t="s">
        <v>39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8" t="s">
        <v>121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8" t="s">
        <v>121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8" t="s">
        <v>121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8" t="s">
        <v>121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8" t="s">
        <v>121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8" t="s">
        <v>121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8" t="s">
        <v>121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8" t="s">
        <v>121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8" t="s">
        <v>121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8" t="s">
        <v>121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8" t="s">
        <v>121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8" t="s">
        <v>121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8" t="s">
        <v>121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8" t="s">
        <v>121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8" t="s">
        <v>121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8" t="s">
        <v>121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8" t="s">
        <v>121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8" t="s">
        <v>121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8" t="s">
        <v>121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8" t="s">
        <v>121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8" t="s">
        <v>121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8" t="s">
        <v>121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8" t="s">
        <v>121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8" t="s">
        <v>121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8" t="s">
        <v>121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8" t="s">
        <v>121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8" t="s">
        <v>121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8" t="s">
        <v>121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8" t="s">
        <v>121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8" t="s">
        <v>121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8" t="s">
        <v>121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8" t="s">
        <v>121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8" t="s">
        <v>121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8" t="s">
        <v>121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8" t="s">
        <v>121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8" t="s">
        <v>121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8" t="s">
        <v>121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8" t="s">
        <v>121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8" t="s">
        <v>121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8" t="s">
        <v>121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8" t="s">
        <v>121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8" t="s">
        <v>121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8" t="s">
        <v>121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8" t="s">
        <v>121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8" t="s">
        <v>121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8" t="s">
        <v>121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8" t="s">
        <v>121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8" t="s">
        <v>121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8" t="s">
        <v>121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8" t="s">
        <v>121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8" t="s">
        <v>121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8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8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8" t="s">
        <v>121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8" t="s">
        <v>121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8" t="s">
        <v>121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8" t="s">
        <v>121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8" t="s">
        <v>121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8" t="s">
        <v>121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8" t="s">
        <v>121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8" t="s">
        <v>121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8" t="s">
        <v>121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8" t="s">
        <v>121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8" t="s">
        <v>121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8" t="s">
        <v>121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8" t="s">
        <v>121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8" t="s">
        <v>121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8" t="s">
        <v>121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8" t="s">
        <v>121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8" t="s">
        <v>121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8" t="s">
        <v>121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8" t="s">
        <v>121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8" t="s">
        <v>121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8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8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8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8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8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8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8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8" t="s">
        <v>121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8" t="s">
        <v>121</v>
      </c>
      <c r="D115" s="48" t="s">
        <v>205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8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8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8" t="s">
        <v>121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8" t="s">
        <v>121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8" t="s">
        <v>121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8" t="s">
        <v>121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8" t="s">
        <v>121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8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8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8" t="s">
        <v>121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8" t="s">
        <v>121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8" t="s">
        <v>121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8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8" t="s">
        <v>121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8" t="s">
        <v>121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8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8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8" t="s">
        <v>121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8" t="s">
        <v>121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8" t="s">
        <v>121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8" t="s">
        <v>121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8" t="s">
        <v>121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8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8" t="s">
        <v>121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8" t="s">
        <v>121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8" t="s">
        <v>121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235</v>
      </c>
      <c r="C162" s="218" t="s">
        <v>29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236</v>
      </c>
      <c r="C163" s="218" t="s">
        <v>29</v>
      </c>
      <c r="D163" s="48" t="s">
        <v>237</v>
      </c>
      <c r="E163" s="43">
        <v>45667</v>
      </c>
      <c r="F163" s="188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238</v>
      </c>
      <c r="C164" s="218" t="s">
        <v>29</v>
      </c>
      <c r="D164" s="48" t="s">
        <v>239</v>
      </c>
      <c r="E164" s="43">
        <v>41000</v>
      </c>
      <c r="F164" s="188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241</v>
      </c>
      <c r="C165" s="218" t="s">
        <v>29</v>
      </c>
      <c r="D165" s="48" t="s">
        <v>239</v>
      </c>
      <c r="E165" s="43">
        <v>58500</v>
      </c>
      <c r="F165" s="188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8" t="s">
        <v>29</v>
      </c>
      <c r="D166" s="48" t="s">
        <v>237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8" t="s">
        <v>29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8" t="s">
        <v>29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8" t="s">
        <v>29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8" t="s">
        <v>29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8" t="s">
        <v>29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8" t="s">
        <v>29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8" t="s">
        <v>29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8" t="s">
        <v>29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8" t="s">
        <v>29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8" t="s">
        <v>29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8" t="s">
        <v>29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8" t="s">
        <v>29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8" t="s">
        <v>29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257</v>
      </c>
      <c r="C180" s="218" t="s">
        <v>29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258</v>
      </c>
      <c r="C181" s="218" t="s">
        <v>29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259</v>
      </c>
      <c r="C182" s="218" t="s">
        <v>29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260</v>
      </c>
      <c r="C183" s="218" t="s">
        <v>29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261</v>
      </c>
      <c r="C184" s="218" t="s">
        <v>29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262</v>
      </c>
      <c r="C185" s="218" t="s">
        <v>29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263</v>
      </c>
      <c r="C186" s="218" t="s">
        <v>29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264</v>
      </c>
      <c r="C187" s="218" t="s">
        <v>29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265</v>
      </c>
      <c r="C188" s="218" t="s">
        <v>29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266</v>
      </c>
      <c r="C189" s="218" t="s">
        <v>29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267</v>
      </c>
      <c r="C190" s="218" t="s">
        <v>29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268</v>
      </c>
      <c r="C191" s="218" t="s">
        <v>29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269</v>
      </c>
      <c r="C192" s="218" t="s">
        <v>29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270</v>
      </c>
      <c r="C193" s="218" t="s">
        <v>29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271</v>
      </c>
      <c r="C194" s="218" t="s">
        <v>29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272</v>
      </c>
      <c r="C195" s="218" t="s">
        <v>29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273</v>
      </c>
      <c r="C196" s="218" t="s">
        <v>29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274</v>
      </c>
      <c r="C197" s="218" t="s">
        <v>29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275</v>
      </c>
      <c r="C198" s="218" t="s">
        <v>29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276</v>
      </c>
      <c r="C199" s="218" t="s">
        <v>29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277</v>
      </c>
      <c r="C200" s="218" t="s">
        <v>29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278</v>
      </c>
      <c r="C201" s="218" t="s">
        <v>29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279</v>
      </c>
      <c r="C202" s="218" t="s">
        <v>29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280</v>
      </c>
      <c r="C203" s="218" t="s">
        <v>29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281</v>
      </c>
      <c r="C204" s="218" t="s">
        <v>29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282</v>
      </c>
      <c r="C205" s="218" t="s">
        <v>29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283</v>
      </c>
      <c r="C206" s="218" t="s">
        <v>29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30</v>
      </c>
      <c r="C207" s="218" t="s">
        <v>29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284</v>
      </c>
      <c r="C208" s="218" t="s">
        <v>29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285</v>
      </c>
      <c r="C209" s="218" t="s">
        <v>29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286</v>
      </c>
      <c r="C210" s="218" t="s">
        <v>29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287</v>
      </c>
      <c r="C211" s="218" t="s">
        <v>29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288</v>
      </c>
      <c r="C212" s="218" t="s">
        <v>29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289</v>
      </c>
      <c r="C213" s="218" t="s">
        <v>29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290</v>
      </c>
      <c r="C214" s="218" t="s">
        <v>29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291</v>
      </c>
      <c r="C215" s="218" t="s">
        <v>29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292</v>
      </c>
      <c r="C216" s="218" t="s">
        <v>29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293</v>
      </c>
      <c r="C217" s="218" t="s">
        <v>29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294</v>
      </c>
      <c r="C218" s="218" t="s">
        <v>29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295</v>
      </c>
      <c r="C219" s="218" t="s">
        <v>29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296</v>
      </c>
      <c r="C220" s="218" t="s">
        <v>29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297</v>
      </c>
      <c r="C221" s="218" t="s">
        <v>29</v>
      </c>
      <c r="D221" s="48" t="s">
        <v>173</v>
      </c>
      <c r="E221" s="43">
        <v>475.34</v>
      </c>
      <c r="F221" s="299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298</v>
      </c>
      <c r="C222" s="218" t="s">
        <v>29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299</v>
      </c>
      <c r="C223" s="218" t="s">
        <v>29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300</v>
      </c>
      <c r="C224" s="218" t="s">
        <v>29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301</v>
      </c>
      <c r="C225" s="218" t="s">
        <v>29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302</v>
      </c>
      <c r="C226" s="218" t="s">
        <v>29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303</v>
      </c>
      <c r="C227" s="218" t="s">
        <v>29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304</v>
      </c>
      <c r="C228" s="218" t="s">
        <v>29</v>
      </c>
      <c r="D228" s="48" t="s">
        <v>240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306</v>
      </c>
      <c r="C229" s="218" t="s">
        <v>29</v>
      </c>
      <c r="D229" s="48" t="s">
        <v>240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307</v>
      </c>
      <c r="C230" s="218" t="s">
        <v>29</v>
      </c>
      <c r="D230" s="48" t="s">
        <v>240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308</v>
      </c>
      <c r="C231" s="218" t="s">
        <v>29</v>
      </c>
      <c r="D231" s="48" t="s">
        <v>240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8" t="s">
        <v>29</v>
      </c>
      <c r="D232" s="49" t="s">
        <v>237</v>
      </c>
      <c r="E232" s="166">
        <v>16471.25</v>
      </c>
      <c r="F232" s="300" t="s">
        <v>237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8" t="s">
        <v>29</v>
      </c>
      <c r="D233" s="49" t="s">
        <v>237</v>
      </c>
      <c r="E233" s="166">
        <v>32931.5</v>
      </c>
      <c r="F233" s="300" t="s">
        <v>237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8" t="s">
        <v>29</v>
      </c>
      <c r="D234" s="49" t="s">
        <v>237</v>
      </c>
      <c r="E234" s="166">
        <v>16209.5</v>
      </c>
      <c r="F234" s="300" t="s">
        <v>237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8" t="s">
        <v>29</v>
      </c>
      <c r="D235" s="49" t="s">
        <v>237</v>
      </c>
      <c r="E235" s="166">
        <v>32417</v>
      </c>
      <c r="F235" s="300" t="s">
        <v>237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8" t="s">
        <v>29</v>
      </c>
      <c r="D236" s="49" t="s">
        <v>237</v>
      </c>
      <c r="E236" s="166">
        <v>50250</v>
      </c>
      <c r="F236" s="300" t="s">
        <v>237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8" t="s">
        <v>29</v>
      </c>
      <c r="D237" s="49" t="s">
        <v>237</v>
      </c>
      <c r="E237" s="166">
        <v>25131.5</v>
      </c>
      <c r="F237" s="300" t="s">
        <v>237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8" t="s">
        <v>29</v>
      </c>
      <c r="D238" s="48" t="s">
        <v>239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8" t="s">
        <v>29</v>
      </c>
      <c r="D239" s="48" t="s">
        <v>240</v>
      </c>
      <c r="E239" s="43">
        <v>92</v>
      </c>
      <c r="F239" s="193" t="s">
        <v>240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8" t="s">
        <v>29</v>
      </c>
      <c r="D240" s="48" t="s">
        <v>240</v>
      </c>
      <c r="E240" s="43">
        <v>92</v>
      </c>
      <c r="F240" s="193" t="s">
        <v>240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8" t="s">
        <v>29</v>
      </c>
      <c r="D241" s="48" t="s">
        <v>240</v>
      </c>
      <c r="E241" s="43">
        <v>92</v>
      </c>
      <c r="F241" s="193" t="s">
        <v>240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8" t="s">
        <v>29</v>
      </c>
      <c r="D242" s="48" t="s">
        <v>243</v>
      </c>
      <c r="E242" s="43">
        <v>8591.7999999999993</v>
      </c>
      <c r="F242" s="193" t="s">
        <v>240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8" t="s">
        <v>29</v>
      </c>
      <c r="D243" s="48" t="s">
        <v>240</v>
      </c>
      <c r="E243" s="43">
        <v>10740.701999999999</v>
      </c>
      <c r="F243" s="193" t="s">
        <v>240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8" t="s">
        <v>29</v>
      </c>
      <c r="D244" s="48" t="s">
        <v>240</v>
      </c>
      <c r="E244" s="43">
        <v>26000</v>
      </c>
      <c r="F244" s="193" t="s">
        <v>243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8" t="s">
        <v>29</v>
      </c>
      <c r="D245" s="48" t="s">
        <v>240</v>
      </c>
      <c r="E245" s="43">
        <v>13000</v>
      </c>
      <c r="F245" s="193" t="s">
        <v>243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5" t="s">
        <v>29</v>
      </c>
      <c r="D246" s="48" t="s">
        <v>240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5" t="s">
        <v>29</v>
      </c>
      <c r="D247" s="48" t="s">
        <v>239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5" t="s">
        <v>29</v>
      </c>
      <c r="D248" s="48" t="s">
        <v>110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5" t="s">
        <v>29</v>
      </c>
      <c r="D249" s="48" t="s">
        <v>110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5" t="s">
        <v>29</v>
      </c>
      <c r="D250" s="276" t="s">
        <v>110</v>
      </c>
      <c r="E250" s="141">
        <v>7266.665</v>
      </c>
      <c r="F250" s="277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5" t="s">
        <v>29</v>
      </c>
      <c r="D251" s="276" t="s">
        <v>239</v>
      </c>
      <c r="E251" s="141">
        <v>5000</v>
      </c>
      <c r="F251" s="277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5" t="s">
        <v>29</v>
      </c>
      <c r="D252" s="276" t="s">
        <v>240</v>
      </c>
      <c r="E252" s="302">
        <v>7183</v>
      </c>
      <c r="F252" s="277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5" t="s">
        <v>29</v>
      </c>
      <c r="D253" s="276" t="s">
        <v>240</v>
      </c>
      <c r="E253" s="302">
        <v>10597</v>
      </c>
      <c r="F253" s="277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5" t="s">
        <v>29</v>
      </c>
      <c r="D254" s="276" t="s">
        <v>110</v>
      </c>
      <c r="E254" s="141">
        <v>2866.6666666666665</v>
      </c>
      <c r="F254" s="277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5" t="s">
        <v>29</v>
      </c>
      <c r="D255" s="276" t="s">
        <v>110</v>
      </c>
      <c r="E255" s="141">
        <v>2866.6666666666665</v>
      </c>
      <c r="F255" s="277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5" t="s">
        <v>29</v>
      </c>
      <c r="D256" s="276" t="s">
        <v>243</v>
      </c>
      <c r="E256" s="141"/>
      <c r="F256" s="277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5" t="s">
        <v>29</v>
      </c>
      <c r="D257" s="276" t="s">
        <v>237</v>
      </c>
      <c r="E257" s="141">
        <v>8000</v>
      </c>
      <c r="F257" s="277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5" t="s">
        <v>29</v>
      </c>
      <c r="D258" s="276" t="s">
        <v>237</v>
      </c>
      <c r="E258" s="141">
        <v>10000</v>
      </c>
      <c r="F258" s="277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5" t="s">
        <v>29</v>
      </c>
      <c r="D259" s="276" t="s">
        <v>237</v>
      </c>
      <c r="E259" s="141">
        <v>10000</v>
      </c>
      <c r="F259" s="277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5" t="s">
        <v>29</v>
      </c>
      <c r="D260" s="276" t="s">
        <v>243</v>
      </c>
      <c r="E260" s="141"/>
      <c r="F260" s="277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5" t="s">
        <v>29</v>
      </c>
      <c r="D261" s="276" t="s">
        <v>205</v>
      </c>
      <c r="E261" s="141">
        <v>636792</v>
      </c>
      <c r="F261" s="277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5" t="s">
        <v>29</v>
      </c>
      <c r="D262" s="276" t="s">
        <v>305</v>
      </c>
      <c r="E262" s="141">
        <v>28.18</v>
      </c>
      <c r="F262" s="277" t="s">
        <v>305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5" t="s">
        <v>29</v>
      </c>
      <c r="D263" s="276" t="s">
        <v>305</v>
      </c>
      <c r="E263" s="141">
        <v>2700</v>
      </c>
      <c r="F263" s="277" t="s">
        <v>305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32</v>
      </c>
      <c r="C264" s="275" t="s">
        <v>29</v>
      </c>
      <c r="D264" s="276" t="s">
        <v>305</v>
      </c>
      <c r="E264" s="141">
        <v>18.53</v>
      </c>
      <c r="F264" s="277" t="s">
        <v>305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5" t="s">
        <v>29</v>
      </c>
      <c r="D265" s="276" t="s">
        <v>240</v>
      </c>
      <c r="E265" s="141">
        <v>1800</v>
      </c>
      <c r="F265" s="277" t="s">
        <v>305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5" t="s">
        <v>29</v>
      </c>
      <c r="D266" s="276" t="s">
        <v>240</v>
      </c>
      <c r="E266" s="141">
        <v>1057</v>
      </c>
      <c r="F266" s="277" t="s">
        <v>240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</v>
      </c>
      <c r="C267" s="275" t="s">
        <v>29</v>
      </c>
      <c r="D267" s="276" t="s">
        <v>305</v>
      </c>
      <c r="E267" s="141">
        <v>18.53</v>
      </c>
      <c r="F267" s="277" t="s">
        <v>305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5" t="s">
        <v>29</v>
      </c>
      <c r="D268" s="276" t="s">
        <v>305</v>
      </c>
      <c r="E268" s="141">
        <v>22.8</v>
      </c>
      <c r="F268" s="277" t="s">
        <v>305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5" t="s">
        <v>29</v>
      </c>
      <c r="D269" s="276" t="s">
        <v>305</v>
      </c>
      <c r="E269" s="141">
        <v>22.8</v>
      </c>
      <c r="F269" s="277" t="s">
        <v>305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5" t="s">
        <v>29</v>
      </c>
      <c r="D270" s="276" t="s">
        <v>305</v>
      </c>
      <c r="E270" s="141">
        <v>14.73</v>
      </c>
      <c r="F270" s="277" t="s">
        <v>305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5" t="s">
        <v>29</v>
      </c>
      <c r="D271" s="276" t="s">
        <v>305</v>
      </c>
      <c r="E271" s="141">
        <v>14.73</v>
      </c>
      <c r="F271" s="277" t="s">
        <v>305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5" t="s">
        <v>29</v>
      </c>
      <c r="D272" s="276" t="s">
        <v>240</v>
      </c>
      <c r="E272" s="141">
        <v>819.99999999999989</v>
      </c>
      <c r="F272" s="277" t="s">
        <v>240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5" t="s">
        <v>29</v>
      </c>
      <c r="D273" s="276" t="s">
        <v>240</v>
      </c>
      <c r="E273" s="141">
        <v>1170</v>
      </c>
      <c r="F273" s="277" t="s">
        <v>240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5" t="s">
        <v>29</v>
      </c>
      <c r="D274" s="276" t="s">
        <v>240</v>
      </c>
      <c r="E274" s="141">
        <v>8000</v>
      </c>
      <c r="F274" s="277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5" t="s">
        <v>29</v>
      </c>
      <c r="D275" s="276" t="s">
        <v>240</v>
      </c>
      <c r="E275" s="141">
        <v>11000</v>
      </c>
      <c r="F275" s="277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5" t="s">
        <v>29</v>
      </c>
      <c r="D276" s="276" t="s">
        <v>240</v>
      </c>
      <c r="E276" s="141">
        <v>10858</v>
      </c>
      <c r="F276" s="277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5" t="s">
        <v>29</v>
      </c>
      <c r="D277" s="276" t="s">
        <v>240</v>
      </c>
      <c r="E277" s="141">
        <v>13999.16</v>
      </c>
      <c r="F277" s="277" t="s">
        <v>240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5" t="s">
        <v>29</v>
      </c>
      <c r="D278" s="276" t="s">
        <v>237</v>
      </c>
      <c r="E278" s="141"/>
      <c r="F278" s="277" t="s">
        <v>305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5" t="s">
        <v>29</v>
      </c>
      <c r="D279" s="276" t="s">
        <v>243</v>
      </c>
      <c r="E279" s="141"/>
      <c r="F279" s="277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5" t="s">
        <v>29</v>
      </c>
      <c r="D280" s="276" t="s">
        <v>243</v>
      </c>
      <c r="E280" s="141"/>
      <c r="F280" s="277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5" t="s">
        <v>29</v>
      </c>
      <c r="D281" s="276" t="s">
        <v>358</v>
      </c>
      <c r="E281" s="141"/>
      <c r="F281" s="276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5" t="s">
        <v>29</v>
      </c>
      <c r="D282" s="276" t="s">
        <v>215</v>
      </c>
      <c r="E282" s="141">
        <v>4776.666666666667</v>
      </c>
      <c r="F282" s="277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5" t="s">
        <v>29</v>
      </c>
      <c r="D283" s="276" t="s">
        <v>240</v>
      </c>
      <c r="E283" s="141">
        <v>1035.3</v>
      </c>
      <c r="F283" s="277" t="s">
        <v>240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5" t="s">
        <v>29</v>
      </c>
      <c r="D284" s="276" t="s">
        <v>239</v>
      </c>
      <c r="E284" s="141">
        <v>700</v>
      </c>
      <c r="F284" s="277" t="s">
        <v>305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5" t="s">
        <v>29</v>
      </c>
      <c r="D285" s="276" t="s">
        <v>239</v>
      </c>
      <c r="E285" s="141">
        <v>1100</v>
      </c>
      <c r="F285" s="277" t="s">
        <v>305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5" t="s">
        <v>29</v>
      </c>
      <c r="D286" s="276" t="s">
        <v>305</v>
      </c>
      <c r="E286" s="141">
        <v>1000</v>
      </c>
      <c r="F286" s="277" t="s">
        <v>305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5" t="s">
        <v>29</v>
      </c>
      <c r="D287" s="276" t="s">
        <v>240</v>
      </c>
      <c r="E287" s="141">
        <v>700</v>
      </c>
      <c r="F287" s="277" t="s">
        <v>305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5" t="s">
        <v>29</v>
      </c>
      <c r="D288" s="48" t="s">
        <v>240</v>
      </c>
      <c r="E288" s="166">
        <v>84</v>
      </c>
      <c r="F288" s="277" t="s">
        <v>305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5" t="s">
        <v>29</v>
      </c>
      <c r="D289" s="276" t="s">
        <v>240</v>
      </c>
      <c r="E289" s="166">
        <v>10780</v>
      </c>
      <c r="F289" s="277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76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367</v>
      </c>
      <c r="C516" s="218" t="s">
        <v>45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8" t="s">
        <v>45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8" t="s">
        <v>45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8" t="s">
        <v>45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8" t="s">
        <v>45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8" t="s">
        <v>45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8" t="s">
        <v>45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8" t="s">
        <v>45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8" t="s">
        <v>45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8" t="s">
        <v>45</v>
      </c>
      <c r="D525" s="214" t="s">
        <v>368</v>
      </c>
      <c r="E525" s="216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8" t="s">
        <v>45</v>
      </c>
      <c r="D526" s="48" t="s">
        <v>368</v>
      </c>
      <c r="E526" s="215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8" t="s">
        <v>45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8" t="s">
        <v>45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8" t="s">
        <v>45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8" t="s">
        <v>45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8" t="s">
        <v>45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8" t="s">
        <v>45</v>
      </c>
      <c r="D532" s="213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8" t="s">
        <v>45</v>
      </c>
      <c r="D533" s="213" t="s">
        <v>368</v>
      </c>
      <c r="E533" s="217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8" t="s">
        <v>45</v>
      </c>
      <c r="D534" s="213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8" t="s">
        <v>45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8" t="s">
        <v>45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8" t="s">
        <v>45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8" t="s">
        <v>45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92</v>
      </c>
      <c r="B560" s="305">
        <f>SUBTOTAL(3,(B562:B983))</f>
        <v>422</v>
      </c>
      <c r="C560" s="486"/>
      <c r="D560" s="487"/>
      <c r="E560"/>
      <c r="F560" s="189"/>
      <c r="H560"/>
      <c r="I560"/>
    </row>
    <row r="561" spans="1:10" ht="15" customHeight="1">
      <c r="A561" s="73" t="s">
        <v>76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1" t="s">
        <v>391</v>
      </c>
      <c r="C562" s="218" t="s">
        <v>25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392</v>
      </c>
      <c r="C563" s="218" t="s">
        <v>25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393</v>
      </c>
      <c r="C564" s="218" t="s">
        <v>25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394</v>
      </c>
      <c r="C565" s="218" t="s">
        <v>25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395</v>
      </c>
      <c r="C566" s="218" t="s">
        <v>25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396</v>
      </c>
      <c r="C567" s="218" t="s">
        <v>25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397</v>
      </c>
      <c r="C568" s="218" t="s">
        <v>25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398</v>
      </c>
      <c r="C569" s="218" t="s">
        <v>25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8" t="s">
        <v>25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8" t="s">
        <v>25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8" t="s">
        <v>25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8" t="s">
        <v>25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8" t="s">
        <v>25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8" t="s">
        <v>25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8" t="s">
        <v>25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8" t="s">
        <v>25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8" t="s">
        <v>25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8" t="s">
        <v>25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8" t="s">
        <v>25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8" t="s">
        <v>25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8" t="s">
        <v>25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8" t="s">
        <v>25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8" t="s">
        <v>25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8" t="s">
        <v>25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8" t="s">
        <v>25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8" t="s">
        <v>25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8" t="s">
        <v>25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8" t="s">
        <v>25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8" t="s">
        <v>25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8" t="s">
        <v>25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8" t="s">
        <v>25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8" t="s">
        <v>25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8" t="s">
        <v>25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8" t="s">
        <v>25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8" t="s">
        <v>25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8" t="s">
        <v>25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8" t="s">
        <v>25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8" t="s">
        <v>25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8" t="s">
        <v>25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8" t="s">
        <v>25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8" t="s">
        <v>25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8" t="s">
        <v>25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8" t="s">
        <v>25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8" t="s">
        <v>25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8" t="s">
        <v>25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8" t="s">
        <v>25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8" t="s">
        <v>25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8" t="s">
        <v>25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8" t="s">
        <v>25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8" t="s">
        <v>25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8" t="s">
        <v>25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8" t="s">
        <v>25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8" t="s">
        <v>25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8" t="s">
        <v>25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8" t="s">
        <v>25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8" t="s">
        <v>25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8" t="s">
        <v>25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8" t="s">
        <v>25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8" t="s">
        <v>25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8" t="s">
        <v>25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8" t="s">
        <v>25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8" t="s">
        <v>25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8" t="s">
        <v>25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8" t="s">
        <v>25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8" t="s">
        <v>25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8" t="s">
        <v>25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8" t="s">
        <v>25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8" t="s">
        <v>25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8" t="s">
        <v>25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8" t="s">
        <v>25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8" t="s">
        <v>25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462</v>
      </c>
      <c r="C633" s="218" t="s">
        <v>25</v>
      </c>
      <c r="D633" s="48" t="s">
        <v>110</v>
      </c>
      <c r="E633" s="55">
        <v>32000</v>
      </c>
      <c r="F633" s="194" t="s">
        <v>110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8" t="s">
        <v>25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8" t="s">
        <v>25</v>
      </c>
      <c r="D635" s="48" t="s">
        <v>110</v>
      </c>
      <c r="E635" s="55">
        <v>1000</v>
      </c>
      <c r="F635" s="194" t="s">
        <v>110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8" t="s">
        <v>25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8" t="s">
        <v>25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8" t="s">
        <v>25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8" t="s">
        <v>25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8" t="s">
        <v>25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8" t="s">
        <v>25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8" t="s">
        <v>25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8" t="s">
        <v>25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8" t="s">
        <v>25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8" t="s">
        <v>25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8" t="s">
        <v>25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476</v>
      </c>
      <c r="C647" s="218" t="s">
        <v>25</v>
      </c>
      <c r="D647" s="48" t="s">
        <v>110</v>
      </c>
      <c r="E647" s="55">
        <v>6957.9299999999994</v>
      </c>
      <c r="F647" s="194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8" t="s">
        <v>25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478</v>
      </c>
      <c r="C649" s="218" t="s">
        <v>25</v>
      </c>
      <c r="D649" s="48" t="s">
        <v>110</v>
      </c>
      <c r="E649" s="43">
        <v>3700</v>
      </c>
      <c r="F649" s="188" t="s">
        <v>110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8" t="s">
        <v>25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8" t="s">
        <v>25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8" t="s">
        <v>25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8" t="s">
        <v>25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8" t="s">
        <v>25</v>
      </c>
      <c r="D654" s="48" t="s">
        <v>110</v>
      </c>
      <c r="E654" s="55">
        <v>1200</v>
      </c>
      <c r="F654" s="194" t="s">
        <v>110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8" t="s">
        <v>25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8" t="s">
        <v>25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8" t="s">
        <v>25</v>
      </c>
      <c r="D657" s="48" t="s">
        <v>110</v>
      </c>
      <c r="E657" s="55">
        <v>873.94</v>
      </c>
      <c r="F657" s="194" t="s">
        <v>110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8" t="s">
        <v>25</v>
      </c>
      <c r="D658" s="48" t="s">
        <v>110</v>
      </c>
      <c r="E658" s="55">
        <v>1173.3399999999999</v>
      </c>
      <c r="F658" s="194" t="s">
        <v>110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8" t="s">
        <v>25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8" t="s">
        <v>25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8" t="s">
        <v>25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8" t="s">
        <v>25</v>
      </c>
      <c r="D662" s="48" t="s">
        <v>110</v>
      </c>
      <c r="E662" s="55">
        <v>998.41</v>
      </c>
      <c r="F662" s="194" t="s">
        <v>110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8" t="s">
        <v>25</v>
      </c>
      <c r="D663" s="48" t="s">
        <v>110</v>
      </c>
      <c r="E663" s="55">
        <v>1173.3399999999999</v>
      </c>
      <c r="F663" s="194" t="s">
        <v>110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8" t="s">
        <v>25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8" t="s">
        <v>25</v>
      </c>
      <c r="D665" s="48" t="s">
        <v>110</v>
      </c>
      <c r="E665" s="55">
        <v>998.41</v>
      </c>
      <c r="F665" s="194" t="s">
        <v>110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8" t="s">
        <v>25</v>
      </c>
      <c r="D666" s="48" t="s">
        <v>110</v>
      </c>
      <c r="E666" s="55">
        <v>1173.3399999999999</v>
      </c>
      <c r="F666" s="194" t="s">
        <v>110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8" t="s">
        <v>25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8" t="s">
        <v>25</v>
      </c>
      <c r="D668" s="48" t="s">
        <v>110</v>
      </c>
      <c r="E668" s="55">
        <v>998.41</v>
      </c>
      <c r="F668" s="194" t="s">
        <v>110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8" t="s">
        <v>25</v>
      </c>
      <c r="D669" s="48" t="s">
        <v>110</v>
      </c>
      <c r="E669" s="55">
        <v>1018.64</v>
      </c>
      <c r="F669" s="194" t="s">
        <v>110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8" t="s">
        <v>25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8" t="s">
        <v>25</v>
      </c>
      <c r="D671" s="48" t="s">
        <v>110</v>
      </c>
      <c r="E671" s="55">
        <v>1173.3399999999999</v>
      </c>
      <c r="F671" s="194" t="s">
        <v>110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8" t="s">
        <v>25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8" t="s">
        <v>25</v>
      </c>
      <c r="D673" s="48" t="s">
        <v>110</v>
      </c>
      <c r="E673" s="55">
        <v>1018.64</v>
      </c>
      <c r="F673" s="194" t="s">
        <v>110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8" t="s">
        <v>25</v>
      </c>
      <c r="D674" s="48" t="s">
        <v>110</v>
      </c>
      <c r="E674" s="55">
        <v>2746.52</v>
      </c>
      <c r="F674" s="194" t="s">
        <v>110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8" t="s">
        <v>25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8" t="s">
        <v>25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8" t="s">
        <v>25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8" t="s">
        <v>25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8" t="s">
        <v>25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8" t="s">
        <v>25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8" t="s">
        <v>25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8" t="s">
        <v>25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512</v>
      </c>
      <c r="C683" s="218" t="s">
        <v>25</v>
      </c>
      <c r="D683" s="48" t="s">
        <v>110</v>
      </c>
      <c r="E683" s="55">
        <v>1173.3399999999999</v>
      </c>
      <c r="F683" s="194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8" t="s">
        <v>25</v>
      </c>
      <c r="D684" s="48" t="s">
        <v>110</v>
      </c>
      <c r="E684" s="55">
        <v>2563</v>
      </c>
      <c r="F684" s="188" t="s">
        <v>110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8" t="s">
        <v>25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8" t="s">
        <v>25</v>
      </c>
      <c r="D686" s="48" t="s">
        <v>110</v>
      </c>
      <c r="E686" s="43">
        <v>2364.5299999999997</v>
      </c>
      <c r="F686" s="188" t="s">
        <v>110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8" t="s">
        <v>25</v>
      </c>
      <c r="D687" s="48" t="s">
        <v>110</v>
      </c>
      <c r="E687" s="43">
        <v>2563</v>
      </c>
      <c r="F687" s="188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8" t="s">
        <v>25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8" t="s">
        <v>25</v>
      </c>
      <c r="D689" s="48" t="s">
        <v>110</v>
      </c>
      <c r="E689" s="55">
        <v>2563</v>
      </c>
      <c r="F689" s="194" t="s">
        <v>110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8" t="s">
        <v>25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520</v>
      </c>
      <c r="C691" s="218" t="s">
        <v>25</v>
      </c>
      <c r="D691" s="48" t="s">
        <v>110</v>
      </c>
      <c r="E691" s="43">
        <v>2440.69</v>
      </c>
      <c r="F691" s="188" t="s">
        <v>110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8" t="s">
        <v>25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8" t="s">
        <v>25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8" t="s">
        <v>25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8" t="s">
        <v>25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8" t="s">
        <v>25</v>
      </c>
      <c r="D696" s="48" t="s">
        <v>110</v>
      </c>
      <c r="E696" s="55">
        <v>873.94</v>
      </c>
      <c r="F696" s="194" t="s">
        <v>110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8" t="s">
        <v>25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8" t="s">
        <v>25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8" t="s">
        <v>25</v>
      </c>
      <c r="D699" s="48" t="s">
        <v>110</v>
      </c>
      <c r="E699" s="55">
        <v>1547</v>
      </c>
      <c r="F699" s="194" t="s">
        <v>110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8" t="s">
        <v>25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8" t="s">
        <v>25</v>
      </c>
      <c r="D701" s="48" t="s">
        <v>110</v>
      </c>
      <c r="E701" s="55">
        <v>1850</v>
      </c>
      <c r="F701" s="194" t="s">
        <v>110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8" t="s">
        <v>25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8" t="s">
        <v>25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8" t="s">
        <v>25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8" t="s">
        <v>25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8" t="s">
        <v>25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8" t="s">
        <v>25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8" t="s">
        <v>25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8" t="s">
        <v>25</v>
      </c>
      <c r="D709" s="48" t="s">
        <v>110</v>
      </c>
      <c r="E709" s="55">
        <v>4799.2700000000004</v>
      </c>
      <c r="F709" s="194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27</v>
      </c>
      <c r="C710" s="218" t="s">
        <v>25</v>
      </c>
      <c r="D710" s="48" t="s">
        <v>110</v>
      </c>
      <c r="E710" s="55">
        <v>1000</v>
      </c>
      <c r="F710" s="194" t="s">
        <v>110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8" t="s">
        <v>25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8" t="s">
        <v>25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8" t="s">
        <v>25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8" t="s">
        <v>25</v>
      </c>
      <c r="D714" s="48" t="s">
        <v>110</v>
      </c>
      <c r="E714" s="55">
        <v>8973.7900000000009</v>
      </c>
      <c r="F714" s="194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8" t="s">
        <v>25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8" t="s">
        <v>25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8" t="s">
        <v>25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8" t="s">
        <v>25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8" t="s">
        <v>25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8" t="s">
        <v>25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8" t="s">
        <v>25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8" t="s">
        <v>25</v>
      </c>
      <c r="D722" s="48" t="s">
        <v>110</v>
      </c>
      <c r="E722" s="55">
        <v>3844.89</v>
      </c>
      <c r="F722" s="194" t="s">
        <v>110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8" t="s">
        <v>25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8" t="s">
        <v>25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8" t="s">
        <v>25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8" t="s">
        <v>25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8" t="s">
        <v>25</v>
      </c>
      <c r="D727" s="48" t="s">
        <v>110</v>
      </c>
      <c r="E727" s="55">
        <v>1661.24</v>
      </c>
      <c r="F727" s="194" t="s">
        <v>110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8" t="s">
        <v>25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8" t="s">
        <v>25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28</v>
      </c>
      <c r="C730" s="218" t="s">
        <v>25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18" t="s">
        <v>25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18" t="s">
        <v>25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18" t="s">
        <v>25</v>
      </c>
      <c r="D733" s="48" t="s">
        <v>110</v>
      </c>
      <c r="E733" s="55">
        <v>690.75</v>
      </c>
      <c r="F733" s="194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18" t="s">
        <v>25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18" t="s">
        <v>25</v>
      </c>
      <c r="D735" s="48" t="s">
        <v>110</v>
      </c>
      <c r="E735" s="43">
        <v>690.75</v>
      </c>
      <c r="F735" s="188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18" t="s">
        <v>25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18" t="s">
        <v>25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18" t="s">
        <v>25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18" t="s">
        <v>25</v>
      </c>
      <c r="D739" s="48" t="s">
        <v>110</v>
      </c>
      <c r="E739" s="55">
        <v>690.75</v>
      </c>
      <c r="F739" s="194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8" t="s">
        <v>25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8" t="s">
        <v>25</v>
      </c>
      <c r="D741" s="48" t="s">
        <v>110</v>
      </c>
      <c r="E741" s="43">
        <v>690.75</v>
      </c>
      <c r="F741" s="188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8" t="s">
        <v>25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8" t="s">
        <v>25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8" t="s">
        <v>25</v>
      </c>
      <c r="D744" s="48" t="s">
        <v>110</v>
      </c>
      <c r="E744" s="55">
        <v>690.75</v>
      </c>
      <c r="F744" s="194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8" t="s">
        <v>25</v>
      </c>
      <c r="D745" s="48" t="s">
        <v>110</v>
      </c>
      <c r="E745" s="43">
        <v>690.75</v>
      </c>
      <c r="F745" s="188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8" t="s">
        <v>25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8" t="s">
        <v>25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8" t="s">
        <v>25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8" t="s">
        <v>25</v>
      </c>
      <c r="D749" s="48" t="s">
        <v>110</v>
      </c>
      <c r="E749" s="55">
        <v>690.75</v>
      </c>
      <c r="F749" s="194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8" t="s">
        <v>25</v>
      </c>
      <c r="D750" s="48" t="s">
        <v>110</v>
      </c>
      <c r="E750" s="43">
        <v>690.75</v>
      </c>
      <c r="F750" s="188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8" t="s">
        <v>25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8" t="s">
        <v>25</v>
      </c>
      <c r="D752" s="48" t="s">
        <v>110</v>
      </c>
      <c r="E752" s="55">
        <v>690.75</v>
      </c>
      <c r="F752" s="194" t="s">
        <v>110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8" t="s">
        <v>25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8" t="s">
        <v>25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8" t="s">
        <v>25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8" t="s">
        <v>25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8" t="s">
        <v>25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8" t="s">
        <v>25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8" t="s">
        <v>25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8" t="s">
        <v>25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8" t="s">
        <v>25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8" t="s">
        <v>25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8" t="s">
        <v>25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8" t="s">
        <v>25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592</v>
      </c>
      <c r="C765" s="218" t="s">
        <v>25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8" t="s">
        <v>25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8" t="s">
        <v>25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8" t="s">
        <v>25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8" t="s">
        <v>25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8" t="s">
        <v>25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8" t="s">
        <v>25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8" t="s">
        <v>25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8" t="s">
        <v>25</v>
      </c>
      <c r="D773" s="48" t="s">
        <v>110</v>
      </c>
      <c r="E773" s="55">
        <v>3850</v>
      </c>
      <c r="F773" s="194" t="s">
        <v>110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8" t="s">
        <v>25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8" t="s">
        <v>25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8" t="s">
        <v>25</v>
      </c>
      <c r="D776" s="48" t="s">
        <v>110</v>
      </c>
      <c r="E776" s="55">
        <v>8973.7900000000009</v>
      </c>
      <c r="F776" s="194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8" t="s">
        <v>25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8" t="s">
        <v>25</v>
      </c>
      <c r="D778" s="48" t="s">
        <v>110</v>
      </c>
      <c r="E778" s="55">
        <v>1661.24</v>
      </c>
      <c r="F778" s="194" t="s">
        <v>110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606</v>
      </c>
      <c r="C779" s="218" t="s">
        <v>25</v>
      </c>
      <c r="D779" s="48" t="s">
        <v>110</v>
      </c>
      <c r="E779" s="55">
        <v>690.75</v>
      </c>
      <c r="F779" s="194" t="s">
        <v>110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8" t="s">
        <v>25</v>
      </c>
      <c r="D780" s="48" t="s">
        <v>110</v>
      </c>
      <c r="E780" s="56">
        <v>1505.04</v>
      </c>
      <c r="F780" s="188" t="s">
        <v>110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8" t="s">
        <v>25</v>
      </c>
      <c r="D781" s="48" t="s">
        <v>110</v>
      </c>
      <c r="E781" s="56">
        <v>3628.57</v>
      </c>
      <c r="F781" s="188" t="s">
        <v>110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609</v>
      </c>
      <c r="C782" s="218" t="s">
        <v>25</v>
      </c>
      <c r="D782" s="48" t="s">
        <v>110</v>
      </c>
      <c r="E782" s="56">
        <v>1505.04</v>
      </c>
      <c r="F782" s="188" t="s">
        <v>110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8" t="s">
        <v>25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8" t="s">
        <v>25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8" t="s">
        <v>25</v>
      </c>
      <c r="D785" s="48" t="s">
        <v>110</v>
      </c>
      <c r="E785" s="55">
        <v>2898.84</v>
      </c>
      <c r="F785" s="194" t="s">
        <v>110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8" t="s">
        <v>25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8" t="s">
        <v>25</v>
      </c>
      <c r="D787" s="48" t="s">
        <v>110</v>
      </c>
      <c r="E787" s="55">
        <v>833</v>
      </c>
      <c r="F787" s="194" t="s">
        <v>110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615</v>
      </c>
      <c r="C788" s="218" t="s">
        <v>25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18" t="s">
        <v>25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18" t="s">
        <v>25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18" t="s">
        <v>25</v>
      </c>
      <c r="D791" s="48" t="s">
        <v>110</v>
      </c>
      <c r="E791" s="55">
        <v>1266.6666666666667</v>
      </c>
      <c r="F791" s="194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18" t="s">
        <v>25</v>
      </c>
      <c r="D792" s="48" t="s">
        <v>110</v>
      </c>
      <c r="E792" s="43">
        <v>1266.6666666666667</v>
      </c>
      <c r="F792" s="188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18" t="s">
        <v>25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621</v>
      </c>
      <c r="C794" s="218" t="s">
        <v>25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622</v>
      </c>
      <c r="C795" s="218" t="s">
        <v>25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623</v>
      </c>
      <c r="C796" s="218" t="s">
        <v>25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624</v>
      </c>
      <c r="C797" s="218" t="s">
        <v>25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625</v>
      </c>
      <c r="C798" s="218" t="s">
        <v>25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626</v>
      </c>
      <c r="C799" s="218" t="s">
        <v>25</v>
      </c>
      <c r="D799" s="48" t="s">
        <v>110</v>
      </c>
      <c r="E799" s="55">
        <v>1266.6666666666667</v>
      </c>
      <c r="F799" s="194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627</v>
      </c>
      <c r="C800" s="218" t="s">
        <v>25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628</v>
      </c>
      <c r="C801" s="218" t="s">
        <v>25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629</v>
      </c>
      <c r="C802" s="218" t="s">
        <v>25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630</v>
      </c>
      <c r="C803" s="218" t="s">
        <v>25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631</v>
      </c>
      <c r="C804" s="218" t="s">
        <v>25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632</v>
      </c>
      <c r="C805" s="218" t="s">
        <v>25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633</v>
      </c>
      <c r="C806" s="218" t="s">
        <v>25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634</v>
      </c>
      <c r="C807" s="218" t="s">
        <v>25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635</v>
      </c>
      <c r="C808" s="218" t="s">
        <v>25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636</v>
      </c>
      <c r="C809" s="218" t="s">
        <v>25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637</v>
      </c>
      <c r="C810" s="218" t="s">
        <v>25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638</v>
      </c>
      <c r="C811" s="218" t="s">
        <v>25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639</v>
      </c>
      <c r="C812" s="218" t="s">
        <v>25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640</v>
      </c>
      <c r="C813" s="218" t="s">
        <v>25</v>
      </c>
      <c r="D813" s="48" t="s">
        <v>110</v>
      </c>
      <c r="E813" s="55">
        <v>455.66624999999999</v>
      </c>
      <c r="F813" s="194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641</v>
      </c>
      <c r="C814" s="218" t="s">
        <v>25</v>
      </c>
      <c r="D814" s="48" t="s">
        <v>110</v>
      </c>
      <c r="E814" s="43">
        <v>3356</v>
      </c>
      <c r="F814" s="188" t="s">
        <v>110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642</v>
      </c>
      <c r="C815" s="218" t="s">
        <v>25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643</v>
      </c>
      <c r="C816" s="218" t="s">
        <v>25</v>
      </c>
      <c r="D816" s="48" t="s">
        <v>110</v>
      </c>
      <c r="E816" s="55">
        <v>1900</v>
      </c>
      <c r="F816" s="194" t="s">
        <v>110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644</v>
      </c>
      <c r="C817" s="218" t="s">
        <v>25</v>
      </c>
      <c r="D817" s="48" t="s">
        <v>110</v>
      </c>
      <c r="E817" s="55">
        <v>23075</v>
      </c>
      <c r="F817" s="194" t="s">
        <v>110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645</v>
      </c>
      <c r="C818" s="218" t="s">
        <v>25</v>
      </c>
      <c r="D818" s="48" t="s">
        <v>110</v>
      </c>
      <c r="E818" s="55">
        <v>23075.289999999997</v>
      </c>
      <c r="F818" s="188" t="s">
        <v>110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646</v>
      </c>
      <c r="C819" s="218" t="s">
        <v>25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647</v>
      </c>
      <c r="C820" s="218" t="s">
        <v>25</v>
      </c>
      <c r="D820" s="48" t="s">
        <v>110</v>
      </c>
      <c r="E820" s="55">
        <v>1018.64</v>
      </c>
      <c r="F820" s="194" t="s">
        <v>110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648</v>
      </c>
      <c r="C821" s="218" t="s">
        <v>25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649</v>
      </c>
      <c r="C822" s="218" t="s">
        <v>25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8" t="s">
        <v>25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651</v>
      </c>
      <c r="C824" s="218" t="s">
        <v>25</v>
      </c>
      <c r="D824" s="48" t="s">
        <v>110</v>
      </c>
      <c r="E824" s="43">
        <v>3356</v>
      </c>
      <c r="F824" s="188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652</v>
      </c>
      <c r="C825" s="218" t="s">
        <v>25</v>
      </c>
      <c r="D825" s="48" t="s">
        <v>110</v>
      </c>
      <c r="E825" s="55">
        <v>3356</v>
      </c>
      <c r="F825" s="194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653</v>
      </c>
      <c r="C826" s="218" t="s">
        <v>25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654</v>
      </c>
      <c r="C827" s="218" t="s">
        <v>25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655</v>
      </c>
      <c r="C828" s="218" t="s">
        <v>25</v>
      </c>
      <c r="D828" s="48" t="s">
        <v>110</v>
      </c>
      <c r="E828" s="43">
        <v>3356</v>
      </c>
      <c r="F828" s="188" t="s">
        <v>110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656</v>
      </c>
      <c r="C829" s="218" t="s">
        <v>25</v>
      </c>
      <c r="D829" s="48" t="s">
        <v>110</v>
      </c>
      <c r="E829" s="55">
        <v>198</v>
      </c>
      <c r="F829" s="194" t="s">
        <v>110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657</v>
      </c>
      <c r="C830" s="218" t="s">
        <v>25</v>
      </c>
      <c r="D830" s="48" t="s">
        <v>110</v>
      </c>
      <c r="E830" s="55">
        <v>3356</v>
      </c>
      <c r="F830" s="194" t="s">
        <v>110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658</v>
      </c>
      <c r="C831" s="218" t="s">
        <v>25</v>
      </c>
      <c r="D831" s="48" t="s">
        <v>110</v>
      </c>
      <c r="E831" s="55">
        <v>198</v>
      </c>
      <c r="F831" s="194" t="s">
        <v>110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659</v>
      </c>
      <c r="C832" s="218" t="s">
        <v>25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660</v>
      </c>
      <c r="C833" s="218" t="s">
        <v>25</v>
      </c>
      <c r="D833" s="48" t="s">
        <v>110</v>
      </c>
      <c r="E833" s="55">
        <v>3356</v>
      </c>
      <c r="F833" s="194" t="s">
        <v>110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661</v>
      </c>
      <c r="C834" s="218" t="s">
        <v>25</v>
      </c>
      <c r="D834" s="48" t="s">
        <v>110</v>
      </c>
      <c r="E834" s="43">
        <v>198</v>
      </c>
      <c r="F834" s="188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662</v>
      </c>
      <c r="C835" s="218" t="s">
        <v>25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663</v>
      </c>
      <c r="C836" s="218" t="s">
        <v>25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664</v>
      </c>
      <c r="C837" s="218" t="s">
        <v>25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665</v>
      </c>
      <c r="C838" s="218" t="s">
        <v>25</v>
      </c>
      <c r="D838" s="48" t="s">
        <v>110</v>
      </c>
      <c r="E838" s="55">
        <v>198</v>
      </c>
      <c r="F838" s="194" t="s">
        <v>110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666</v>
      </c>
      <c r="C839" s="218" t="s">
        <v>25</v>
      </c>
      <c r="D839" s="48" t="s">
        <v>110</v>
      </c>
      <c r="E839" s="55">
        <v>3356</v>
      </c>
      <c r="F839" s="194" t="s">
        <v>110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667</v>
      </c>
      <c r="C840" s="218" t="s">
        <v>25</v>
      </c>
      <c r="D840" s="48" t="s">
        <v>110</v>
      </c>
      <c r="E840" s="55">
        <v>1100</v>
      </c>
      <c r="F840" s="194" t="s">
        <v>110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668</v>
      </c>
      <c r="C841" s="218" t="s">
        <v>25</v>
      </c>
      <c r="D841" s="48" t="s">
        <v>110</v>
      </c>
      <c r="E841" s="55">
        <v>1350</v>
      </c>
      <c r="F841" s="194" t="s">
        <v>110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669</v>
      </c>
      <c r="C842" s="218" t="s">
        <v>25</v>
      </c>
      <c r="D842" s="48" t="s">
        <v>110</v>
      </c>
      <c r="E842" s="55">
        <v>925</v>
      </c>
      <c r="F842" s="194" t="s">
        <v>110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670</v>
      </c>
      <c r="C843" s="218" t="s">
        <v>25</v>
      </c>
      <c r="D843" s="48" t="s">
        <v>110</v>
      </c>
      <c r="E843" s="43">
        <v>3373</v>
      </c>
      <c r="F843" s="188" t="s">
        <v>110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671</v>
      </c>
      <c r="C844" s="218" t="s">
        <v>25</v>
      </c>
      <c r="D844" s="48" t="s">
        <v>110</v>
      </c>
      <c r="E844" s="56">
        <v>1275.68</v>
      </c>
      <c r="F844" s="188" t="s">
        <v>110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672</v>
      </c>
      <c r="C845" s="218" t="s">
        <v>25</v>
      </c>
      <c r="D845" s="48" t="s">
        <v>110</v>
      </c>
      <c r="E845" s="55">
        <v>3373</v>
      </c>
      <c r="F845" s="194" t="s">
        <v>110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673</v>
      </c>
      <c r="C846" s="218" t="s">
        <v>25</v>
      </c>
      <c r="D846" s="48" t="s">
        <v>110</v>
      </c>
      <c r="E846" s="56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674</v>
      </c>
      <c r="C847" s="218" t="s">
        <v>25</v>
      </c>
      <c r="D847" s="48" t="s">
        <v>110</v>
      </c>
      <c r="E847" s="43">
        <v>1275.68</v>
      </c>
      <c r="F847" s="188" t="s">
        <v>110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675</v>
      </c>
      <c r="C848" s="218" t="s">
        <v>25</v>
      </c>
      <c r="D848" s="48" t="s">
        <v>110</v>
      </c>
      <c r="E848" s="55">
        <v>2746.52</v>
      </c>
      <c r="F848" s="194" t="s">
        <v>110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8" t="s">
        <v>25</v>
      </c>
      <c r="D849" s="48" t="s">
        <v>110</v>
      </c>
      <c r="E849" s="43">
        <v>1275.68</v>
      </c>
      <c r="F849" s="188" t="s">
        <v>110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8" t="s">
        <v>25</v>
      </c>
      <c r="D850" s="48" t="s">
        <v>110</v>
      </c>
      <c r="E850" s="43">
        <v>1225.7</v>
      </c>
      <c r="F850" s="188" t="s">
        <v>110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8" t="s">
        <v>25</v>
      </c>
      <c r="D851" s="48" t="s">
        <v>110</v>
      </c>
      <c r="E851" s="43">
        <v>3881.78</v>
      </c>
      <c r="F851" s="188" t="s">
        <v>110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8" t="s">
        <v>25</v>
      </c>
      <c r="D852" s="48" t="s">
        <v>110</v>
      </c>
      <c r="E852" s="43">
        <v>1275.68</v>
      </c>
      <c r="F852" s="188" t="s">
        <v>110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8" t="s">
        <v>25</v>
      </c>
      <c r="D853" s="48" t="s">
        <v>110</v>
      </c>
      <c r="E853" s="43">
        <v>3881.78</v>
      </c>
      <c r="F853" s="188" t="s">
        <v>110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681</v>
      </c>
      <c r="C854" s="218" t="s">
        <v>25</v>
      </c>
      <c r="D854" s="48" t="s">
        <v>110</v>
      </c>
      <c r="E854" s="55">
        <v>1225.7</v>
      </c>
      <c r="F854" s="194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8" t="s">
        <v>25</v>
      </c>
      <c r="D855" s="48" t="s">
        <v>110</v>
      </c>
      <c r="E855" s="43">
        <v>1225.7</v>
      </c>
      <c r="F855" s="188" t="s">
        <v>110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8" t="s">
        <v>25</v>
      </c>
      <c r="D856" s="48" t="s">
        <v>110</v>
      </c>
      <c r="E856" s="43">
        <v>2400</v>
      </c>
      <c r="F856" s="188" t="s">
        <v>110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8" t="s">
        <v>25</v>
      </c>
      <c r="D857" s="48" t="s">
        <v>110</v>
      </c>
      <c r="E857" s="43">
        <v>1275.68</v>
      </c>
      <c r="F857" s="188" t="s">
        <v>110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8" t="s">
        <v>25</v>
      </c>
      <c r="D858" s="48" t="s">
        <v>110</v>
      </c>
      <c r="E858" s="43">
        <v>1225.7</v>
      </c>
      <c r="F858" s="188" t="s">
        <v>110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8" t="s">
        <v>25</v>
      </c>
      <c r="D859" s="48" t="s">
        <v>110</v>
      </c>
      <c r="E859" s="43">
        <v>1275.68</v>
      </c>
      <c r="F859" s="188" t="s">
        <v>110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687</v>
      </c>
      <c r="C860" s="218" t="s">
        <v>25</v>
      </c>
      <c r="D860" s="48" t="s">
        <v>110</v>
      </c>
      <c r="E860" s="43">
        <v>2400</v>
      </c>
      <c r="F860" s="188" t="s">
        <v>110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688</v>
      </c>
      <c r="C861" s="218" t="s">
        <v>25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689</v>
      </c>
      <c r="C862" s="218" t="s">
        <v>25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690</v>
      </c>
      <c r="C863" s="218" t="s">
        <v>25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691</v>
      </c>
      <c r="C864" s="218" t="s">
        <v>25</v>
      </c>
      <c r="D864" s="48" t="s">
        <v>110</v>
      </c>
      <c r="E864" s="55">
        <v>873.94</v>
      </c>
      <c r="F864" s="194" t="s">
        <v>110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692</v>
      </c>
      <c r="C865" s="218" t="s">
        <v>25</v>
      </c>
      <c r="D865" s="48" t="s">
        <v>110</v>
      </c>
      <c r="E865" s="43">
        <v>131.97</v>
      </c>
      <c r="F865" s="188" t="s">
        <v>110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693</v>
      </c>
      <c r="C866" s="218" t="s">
        <v>25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694</v>
      </c>
      <c r="C867" s="218" t="s">
        <v>25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695</v>
      </c>
      <c r="C868" s="218" t="s">
        <v>25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696</v>
      </c>
      <c r="C869" s="218" t="s">
        <v>25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697</v>
      </c>
      <c r="C870" s="218" t="s">
        <v>25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698</v>
      </c>
      <c r="C871" s="218" t="s">
        <v>25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699</v>
      </c>
      <c r="C872" s="218" t="s">
        <v>25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700</v>
      </c>
      <c r="C873" s="218" t="s">
        <v>25</v>
      </c>
      <c r="D873" s="48" t="s">
        <v>110</v>
      </c>
      <c r="E873" s="55">
        <v>5450</v>
      </c>
      <c r="F873" s="194" t="s">
        <v>110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8" t="s">
        <v>25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702</v>
      </c>
      <c r="C875" s="218" t="s">
        <v>25</v>
      </c>
      <c r="D875" s="48" t="s">
        <v>110</v>
      </c>
      <c r="E875" s="43">
        <v>131.97</v>
      </c>
      <c r="F875" s="188" t="s">
        <v>110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703</v>
      </c>
      <c r="C876" s="218" t="s">
        <v>25</v>
      </c>
      <c r="D876" s="48" t="s">
        <v>110</v>
      </c>
      <c r="E876" s="43">
        <v>249.9</v>
      </c>
      <c r="F876" s="188" t="s">
        <v>110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8" t="s">
        <v>25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8" t="s">
        <v>25</v>
      </c>
      <c r="D878" s="48" t="s">
        <v>110</v>
      </c>
      <c r="E878" s="43">
        <v>131.97</v>
      </c>
      <c r="F878" s="188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706</v>
      </c>
      <c r="C879" s="218" t="s">
        <v>25</v>
      </c>
      <c r="D879" s="48" t="s">
        <v>110</v>
      </c>
      <c r="E879" s="55">
        <v>131.97</v>
      </c>
      <c r="F879" s="194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8" t="s">
        <v>25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8" t="s">
        <v>25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8" t="s">
        <v>25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8" t="s">
        <v>25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8" t="s">
        <v>25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8" t="s">
        <v>25</v>
      </c>
      <c r="D885" s="48" t="s">
        <v>110</v>
      </c>
      <c r="E885" s="43">
        <v>131.97</v>
      </c>
      <c r="F885" s="188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713</v>
      </c>
      <c r="C886" s="218" t="s">
        <v>25</v>
      </c>
      <c r="D886" s="48" t="s">
        <v>110</v>
      </c>
      <c r="E886" s="43">
        <v>131.97</v>
      </c>
      <c r="F886" s="194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714</v>
      </c>
      <c r="C887" s="218" t="s">
        <v>25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715</v>
      </c>
      <c r="C888" s="218" t="s">
        <v>25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716</v>
      </c>
      <c r="C889" s="218" t="s">
        <v>25</v>
      </c>
      <c r="D889" s="48" t="s">
        <v>110</v>
      </c>
      <c r="E889" s="43">
        <v>131.97</v>
      </c>
      <c r="F889" s="188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717</v>
      </c>
      <c r="C890" s="218" t="s">
        <v>25</v>
      </c>
      <c r="D890" s="48" t="s">
        <v>110</v>
      </c>
      <c r="E890" s="55">
        <v>131.97</v>
      </c>
      <c r="F890" s="194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718</v>
      </c>
      <c r="C891" s="218" t="s">
        <v>25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719</v>
      </c>
      <c r="C892" s="218" t="s">
        <v>25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720</v>
      </c>
      <c r="C893" s="218" t="s">
        <v>25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721</v>
      </c>
      <c r="C894" s="218" t="s">
        <v>25</v>
      </c>
      <c r="D894" s="48" t="s">
        <v>110</v>
      </c>
      <c r="E894" s="43">
        <v>131.97</v>
      </c>
      <c r="F894" s="188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722</v>
      </c>
      <c r="C895" s="218" t="s">
        <v>25</v>
      </c>
      <c r="D895" s="48" t="s">
        <v>110</v>
      </c>
      <c r="E895" s="55">
        <v>131.97</v>
      </c>
      <c r="F895" s="194" t="s">
        <v>110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723</v>
      </c>
      <c r="C896" s="218" t="s">
        <v>25</v>
      </c>
      <c r="D896" s="48" t="s">
        <v>110</v>
      </c>
      <c r="E896" s="55">
        <v>6957.9299999999994</v>
      </c>
      <c r="F896" s="194" t="s">
        <v>110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724</v>
      </c>
      <c r="C897" s="218" t="s">
        <v>25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725</v>
      </c>
      <c r="C898" s="218" t="s">
        <v>25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726</v>
      </c>
      <c r="C899" s="218" t="s">
        <v>25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727</v>
      </c>
      <c r="C900" s="218" t="s">
        <v>25</v>
      </c>
      <c r="D900" s="48" t="s">
        <v>110</v>
      </c>
      <c r="E900" s="55">
        <v>2563</v>
      </c>
      <c r="F900" s="194" t="s">
        <v>110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728</v>
      </c>
      <c r="C901" s="218" t="s">
        <v>25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729</v>
      </c>
      <c r="C902" s="218" t="s">
        <v>25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730</v>
      </c>
      <c r="C903" s="218" t="s">
        <v>25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731</v>
      </c>
      <c r="C904" s="218" t="s">
        <v>25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732</v>
      </c>
      <c r="C905" s="218" t="s">
        <v>25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733</v>
      </c>
      <c r="C906" s="218" t="s">
        <v>25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734</v>
      </c>
      <c r="C907" s="218" t="s">
        <v>25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735</v>
      </c>
      <c r="C908" s="218" t="s">
        <v>25</v>
      </c>
      <c r="D908" s="48" t="s">
        <v>110</v>
      </c>
      <c r="E908" s="55">
        <v>2885.5</v>
      </c>
      <c r="F908" s="194" t="s">
        <v>110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736</v>
      </c>
      <c r="C909" s="218" t="s">
        <v>25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737</v>
      </c>
      <c r="C910" s="218" t="s">
        <v>25</v>
      </c>
      <c r="D910" s="48" t="s">
        <v>110</v>
      </c>
      <c r="E910" s="55">
        <v>2785.5</v>
      </c>
      <c r="F910" s="194" t="s">
        <v>110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738</v>
      </c>
      <c r="C911" s="218" t="s">
        <v>25</v>
      </c>
      <c r="D911" s="48" t="s">
        <v>110</v>
      </c>
      <c r="E911" s="55">
        <v>1</v>
      </c>
      <c r="F911" s="194" t="s">
        <v>110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739</v>
      </c>
      <c r="C912" s="218" t="s">
        <v>25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740</v>
      </c>
      <c r="C913" s="218" t="s">
        <v>25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741</v>
      </c>
      <c r="C914" s="218" t="s">
        <v>25</v>
      </c>
      <c r="D914" s="48" t="s">
        <v>110</v>
      </c>
      <c r="E914" s="55">
        <v>1200</v>
      </c>
      <c r="F914" s="194" t="s">
        <v>110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742</v>
      </c>
      <c r="C915" s="218" t="s">
        <v>25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743</v>
      </c>
      <c r="C916" s="218" t="s">
        <v>25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744</v>
      </c>
      <c r="C917" s="218" t="s">
        <v>25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745</v>
      </c>
      <c r="C918" s="218" t="s">
        <v>25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746</v>
      </c>
      <c r="C919" s="218" t="s">
        <v>25</v>
      </c>
      <c r="D919" s="48" t="s">
        <v>110</v>
      </c>
      <c r="E919" s="55">
        <v>500</v>
      </c>
      <c r="F919" s="194" t="s">
        <v>110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747</v>
      </c>
      <c r="C920" s="218" t="s">
        <v>25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748</v>
      </c>
      <c r="C921" s="218" t="s">
        <v>25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749</v>
      </c>
      <c r="C922" s="218" t="s">
        <v>25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750</v>
      </c>
      <c r="C923" s="218" t="s">
        <v>25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751</v>
      </c>
      <c r="C924" s="218" t="s">
        <v>25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752</v>
      </c>
      <c r="C925" s="218" t="s">
        <v>25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753</v>
      </c>
      <c r="C926" s="218" t="s">
        <v>25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754</v>
      </c>
      <c r="C927" s="218" t="s">
        <v>25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755</v>
      </c>
      <c r="C928" s="218" t="s">
        <v>25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756</v>
      </c>
      <c r="C929" s="218" t="s">
        <v>25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757</v>
      </c>
      <c r="C930" s="218" t="s">
        <v>25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758</v>
      </c>
      <c r="C931" s="218" t="s">
        <v>25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759</v>
      </c>
      <c r="C932" s="218" t="s">
        <v>25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760</v>
      </c>
      <c r="C933" s="218" t="s">
        <v>25</v>
      </c>
      <c r="D933" s="48" t="s">
        <v>110</v>
      </c>
      <c r="E933" s="55">
        <v>114.24</v>
      </c>
      <c r="F933" s="194" t="s">
        <v>110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761</v>
      </c>
      <c r="C934" s="218" t="s">
        <v>25</v>
      </c>
      <c r="D934" s="48" t="s">
        <v>110</v>
      </c>
      <c r="E934" s="55">
        <v>1800</v>
      </c>
      <c r="F934" s="194" t="s">
        <v>110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762</v>
      </c>
      <c r="C935" s="218" t="s">
        <v>25</v>
      </c>
      <c r="D935" s="48" t="s">
        <v>110</v>
      </c>
      <c r="E935" s="55">
        <v>546</v>
      </c>
      <c r="F935" s="194" t="s">
        <v>110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763</v>
      </c>
      <c r="C936" s="218" t="s">
        <v>25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764</v>
      </c>
      <c r="C937" s="218" t="s">
        <v>25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765</v>
      </c>
      <c r="C938" s="218" t="s">
        <v>25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766</v>
      </c>
      <c r="C939" s="218" t="s">
        <v>25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767</v>
      </c>
      <c r="C940" s="218" t="s">
        <v>25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768</v>
      </c>
      <c r="C941" s="218" t="s">
        <v>25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769</v>
      </c>
      <c r="C942" s="218" t="s">
        <v>25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770</v>
      </c>
      <c r="C943" s="218" t="s">
        <v>25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771</v>
      </c>
      <c r="C944" s="218" t="s">
        <v>25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772</v>
      </c>
      <c r="C945" s="218" t="s">
        <v>25</v>
      </c>
      <c r="D945" s="48" t="s">
        <v>110</v>
      </c>
      <c r="E945" s="55">
        <v>114.24</v>
      </c>
      <c r="F945" s="194" t="s">
        <v>110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773</v>
      </c>
      <c r="C946" s="218" t="s">
        <v>25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774</v>
      </c>
      <c r="C947" s="218" t="s">
        <v>25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775</v>
      </c>
      <c r="C948" s="218" t="s">
        <v>25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776</v>
      </c>
      <c r="C949" s="218" t="s">
        <v>25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777</v>
      </c>
      <c r="C950" s="218" t="s">
        <v>25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778</v>
      </c>
      <c r="C951" s="218" t="s">
        <v>25</v>
      </c>
      <c r="D951" s="48" t="s">
        <v>110</v>
      </c>
      <c r="E951" s="55">
        <v>1550</v>
      </c>
      <c r="F951" s="194" t="s">
        <v>110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779</v>
      </c>
      <c r="C952" s="218" t="s">
        <v>25</v>
      </c>
      <c r="D952" s="48" t="s">
        <v>110</v>
      </c>
      <c r="E952" s="55">
        <v>952</v>
      </c>
      <c r="F952" s="194" t="s">
        <v>110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780</v>
      </c>
      <c r="C953" s="218" t="s">
        <v>25</v>
      </c>
      <c r="D953" s="48" t="s">
        <v>110</v>
      </c>
      <c r="E953" s="55">
        <v>925</v>
      </c>
      <c r="F953" s="194" t="s">
        <v>110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781</v>
      </c>
      <c r="C954" s="218" t="s">
        <v>25</v>
      </c>
      <c r="D954" s="48" t="s">
        <v>110</v>
      </c>
      <c r="E954" s="55">
        <v>1100</v>
      </c>
      <c r="F954" s="194" t="s">
        <v>110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782</v>
      </c>
      <c r="C955" s="218" t="s">
        <v>25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783</v>
      </c>
      <c r="C956" s="218" t="s">
        <v>25</v>
      </c>
      <c r="D956" s="48" t="s">
        <v>110</v>
      </c>
      <c r="E956" s="55">
        <v>1350</v>
      </c>
      <c r="F956" s="194" t="s">
        <v>110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784</v>
      </c>
      <c r="C957" s="218" t="s">
        <v>25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785</v>
      </c>
      <c r="C958" s="218" t="s">
        <v>25</v>
      </c>
      <c r="D958" s="48" t="s">
        <v>110</v>
      </c>
      <c r="E958" s="43">
        <v>2727.48</v>
      </c>
      <c r="F958" s="188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786</v>
      </c>
      <c r="C959" s="218" t="s">
        <v>25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787</v>
      </c>
      <c r="C960" s="218" t="s">
        <v>25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788</v>
      </c>
      <c r="C961" s="218" t="s">
        <v>25</v>
      </c>
      <c r="D961" s="48" t="s">
        <v>110</v>
      </c>
      <c r="E961" s="55">
        <v>2727.48</v>
      </c>
      <c r="F961" s="194" t="s">
        <v>110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789</v>
      </c>
      <c r="C962" s="218" t="s">
        <v>25</v>
      </c>
      <c r="D962" s="48" t="s">
        <v>110</v>
      </c>
      <c r="E962" s="55">
        <v>3111.85</v>
      </c>
      <c r="F962" s="194" t="s">
        <v>110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790</v>
      </c>
      <c r="C963" s="218" t="s">
        <v>25</v>
      </c>
      <c r="D963" s="48" t="s">
        <v>110</v>
      </c>
      <c r="E963" s="43">
        <v>1550</v>
      </c>
      <c r="F963" s="188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791</v>
      </c>
      <c r="C964" s="218" t="s">
        <v>25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792</v>
      </c>
      <c r="C965" s="218" t="s">
        <v>25</v>
      </c>
      <c r="D965" s="48" t="s">
        <v>110</v>
      </c>
      <c r="E965" s="55">
        <v>1550</v>
      </c>
      <c r="F965" s="194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26</v>
      </c>
      <c r="C966" s="218" t="s">
        <v>25</v>
      </c>
      <c r="D966" s="48" t="s">
        <v>110</v>
      </c>
      <c r="E966" s="43">
        <v>1550</v>
      </c>
      <c r="F966" s="188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793</v>
      </c>
      <c r="C967" s="218" t="s">
        <v>25</v>
      </c>
      <c r="D967" s="48" t="s">
        <v>110</v>
      </c>
      <c r="E967" s="55">
        <v>1550</v>
      </c>
      <c r="F967" s="194" t="s">
        <v>110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794</v>
      </c>
      <c r="C968" s="218" t="s">
        <v>25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795</v>
      </c>
      <c r="C969" s="218" t="s">
        <v>25</v>
      </c>
      <c r="D969" s="48" t="s">
        <v>110</v>
      </c>
      <c r="E969" s="55">
        <v>3844</v>
      </c>
      <c r="F969" s="194" t="s">
        <v>110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796</v>
      </c>
      <c r="C970" s="218" t="s">
        <v>25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797</v>
      </c>
      <c r="C971" s="218" t="s">
        <v>25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798</v>
      </c>
      <c r="C972" s="218" t="s">
        <v>25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799</v>
      </c>
      <c r="C973" s="218" t="s">
        <v>25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800</v>
      </c>
      <c r="C974" s="218" t="s">
        <v>25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801</v>
      </c>
      <c r="C975" s="218" t="s">
        <v>25</v>
      </c>
      <c r="D975" s="48" t="s">
        <v>110</v>
      </c>
      <c r="E975" s="55">
        <v>998.41</v>
      </c>
      <c r="F975" s="194" t="s">
        <v>110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802</v>
      </c>
      <c r="C976" s="218" t="s">
        <v>25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803</v>
      </c>
      <c r="C977" s="218" t="s">
        <v>25</v>
      </c>
      <c r="D977" s="48" t="s">
        <v>110</v>
      </c>
      <c r="E977" s="55">
        <v>3844</v>
      </c>
      <c r="F977" s="194" t="s">
        <v>110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804</v>
      </c>
      <c r="C978" s="218" t="s">
        <v>25</v>
      </c>
      <c r="D978" s="48" t="s">
        <v>110</v>
      </c>
      <c r="E978" s="55">
        <v>998.41</v>
      </c>
      <c r="F978" s="194" t="s">
        <v>110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805</v>
      </c>
      <c r="C979" s="218" t="s">
        <v>25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806</v>
      </c>
      <c r="C980" s="218" t="s">
        <v>25</v>
      </c>
      <c r="D980" s="48" t="s">
        <v>110</v>
      </c>
      <c r="E980" s="55">
        <v>3844</v>
      </c>
      <c r="F980" s="194" t="s">
        <v>110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807</v>
      </c>
      <c r="C981" s="218" t="s">
        <v>25</v>
      </c>
      <c r="D981" s="48" t="s">
        <v>110</v>
      </c>
      <c r="E981" s="55">
        <v>1173.3399999999999</v>
      </c>
      <c r="F981" s="194" t="s">
        <v>110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808</v>
      </c>
      <c r="C982" s="218" t="s">
        <v>25</v>
      </c>
      <c r="D982" s="48" t="s">
        <v>110</v>
      </c>
      <c r="E982" s="55">
        <v>3844</v>
      </c>
      <c r="F982" s="194" t="s">
        <v>110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809</v>
      </c>
      <c r="C983" s="218" t="s">
        <v>25</v>
      </c>
      <c r="D983" s="48" t="s">
        <v>110</v>
      </c>
      <c r="E983" s="55">
        <v>1200</v>
      </c>
      <c r="F983" s="194" t="s">
        <v>110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49">
        <f>SUBTOTAL(3,(B1011:B1043))</f>
        <v>33</v>
      </c>
      <c r="C1009" s="485"/>
      <c r="D1009" s="485"/>
      <c r="E1009"/>
      <c r="F1009" s="189"/>
      <c r="H1009"/>
      <c r="I1009"/>
    </row>
    <row r="1010" spans="1:10" ht="47.25">
      <c r="A1010" s="118" t="s">
        <v>76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810</v>
      </c>
      <c r="C1011" s="160" t="s">
        <v>57</v>
      </c>
      <c r="D1011" s="48" t="s">
        <v>240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57</v>
      </c>
      <c r="D1012" s="48" t="s">
        <v>240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57</v>
      </c>
      <c r="D1013" s="48" t="s">
        <v>240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57</v>
      </c>
      <c r="D1014" s="48" t="s">
        <v>240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57</v>
      </c>
      <c r="D1015" s="48" t="s">
        <v>239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815</v>
      </c>
      <c r="C1016" s="160" t="s">
        <v>57</v>
      </c>
      <c r="D1016" s="48" t="s">
        <v>239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57</v>
      </c>
      <c r="D1017" s="48" t="s">
        <v>240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57</v>
      </c>
      <c r="D1018" s="48" t="s">
        <v>240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57</v>
      </c>
      <c r="D1019" s="48" t="s">
        <v>239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57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57</v>
      </c>
      <c r="D1021" s="151" t="s">
        <v>240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57</v>
      </c>
      <c r="D1022" s="151" t="s">
        <v>240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57</v>
      </c>
      <c r="D1023" s="151" t="s">
        <v>240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57</v>
      </c>
      <c r="D1024" s="151" t="s">
        <v>240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57</v>
      </c>
      <c r="D1025" s="151" t="s">
        <v>240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57</v>
      </c>
      <c r="D1026" s="151" t="s">
        <v>240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57</v>
      </c>
      <c r="D1027" s="151" t="s">
        <v>240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57</v>
      </c>
      <c r="D1028" s="151" t="s">
        <v>240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57</v>
      </c>
      <c r="D1029" s="151" t="s">
        <v>240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57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830</v>
      </c>
      <c r="C1031" s="160" t="s">
        <v>57</v>
      </c>
      <c r="D1031" s="151" t="s">
        <v>240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831</v>
      </c>
      <c r="C1032" s="160" t="s">
        <v>57</v>
      </c>
      <c r="D1032" s="151" t="s">
        <v>240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832</v>
      </c>
      <c r="C1033" s="160" t="s">
        <v>57</v>
      </c>
      <c r="D1033" s="151" t="s">
        <v>240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57</v>
      </c>
      <c r="D1034" s="151" t="s">
        <v>240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57</v>
      </c>
      <c r="D1035" s="151" t="s">
        <v>240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57</v>
      </c>
      <c r="D1036" s="151" t="s">
        <v>239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57</v>
      </c>
      <c r="D1037" s="151" t="s">
        <v>239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57</v>
      </c>
      <c r="D1038" s="48" t="s">
        <v>239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57</v>
      </c>
      <c r="D1039" s="48" t="s">
        <v>240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57</v>
      </c>
      <c r="D1040" s="151" t="s">
        <v>239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57</v>
      </c>
      <c r="D1041" s="48" t="s">
        <v>239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57</v>
      </c>
      <c r="D1042" s="48" t="s">
        <v>239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57</v>
      </c>
      <c r="D1043" s="48" t="s">
        <v>240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8"/>
      <c r="D1064" s="487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843</v>
      </c>
      <c r="C1067" s="218" t="s">
        <v>59</v>
      </c>
      <c r="D1067" s="48" t="s">
        <v>237</v>
      </c>
      <c r="E1067" s="43">
        <v>49000</v>
      </c>
      <c r="F1067" s="188" t="s">
        <v>237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8" t="s">
        <v>59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59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8" t="s">
        <v>59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8" t="s">
        <v>59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8" t="s">
        <v>59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849</v>
      </c>
      <c r="C1073" s="218" t="s">
        <v>59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7.25">
      <c r="A1106" s="81" t="s">
        <v>76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1017</v>
      </c>
      <c r="C1273" s="275" t="s">
        <v>851</v>
      </c>
      <c r="D1273" s="276" t="s">
        <v>110</v>
      </c>
      <c r="E1273" s="141">
        <v>44533.333333333336</v>
      </c>
      <c r="F1273" s="277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110</v>
      </c>
      <c r="E1274" s="141">
        <v>30900</v>
      </c>
      <c r="F1274" s="277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110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110</v>
      </c>
      <c r="E1276" s="141">
        <v>22370</v>
      </c>
      <c r="F1276" s="277" t="s">
        <v>110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110</v>
      </c>
      <c r="E1277" s="141">
        <v>184100</v>
      </c>
      <c r="F1277" s="277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1023</v>
      </c>
      <c r="C1278" s="275" t="s">
        <v>851</v>
      </c>
      <c r="D1278" s="276" t="s">
        <v>110</v>
      </c>
      <c r="E1278" s="141">
        <v>6333.3374999999996</v>
      </c>
      <c r="F1278" s="277" t="s">
        <v>110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1024</v>
      </c>
      <c r="C1279" s="275" t="s">
        <v>851</v>
      </c>
      <c r="D1279" s="276" t="s">
        <v>110</v>
      </c>
      <c r="E1279" s="141">
        <v>17266.599999999999</v>
      </c>
      <c r="F1279" s="277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1025</v>
      </c>
      <c r="C1280" s="275" t="s">
        <v>851</v>
      </c>
      <c r="D1280" s="276" t="s">
        <v>110</v>
      </c>
      <c r="E1280" s="141">
        <v>6796.7</v>
      </c>
      <c r="F1280" s="277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110</v>
      </c>
      <c r="E1281" s="141">
        <v>182666.66666666666</v>
      </c>
      <c r="F1281" s="277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110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1028</v>
      </c>
      <c r="C1283" s="275" t="s">
        <v>851</v>
      </c>
      <c r="D1283" s="276" t="s">
        <v>110</v>
      </c>
      <c r="E1283" s="141">
        <v>46996.6</v>
      </c>
      <c r="F1283" s="277" t="s">
        <v>110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1028</v>
      </c>
      <c r="C1284" s="275" t="s">
        <v>851</v>
      </c>
      <c r="D1284" s="276" t="s">
        <v>110</v>
      </c>
      <c r="E1284" s="141">
        <v>48330</v>
      </c>
      <c r="F1284" s="277" t="s">
        <v>110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110</v>
      </c>
      <c r="E1286" s="141">
        <v>104388.75</v>
      </c>
      <c r="F1286" s="277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110</v>
      </c>
      <c r="E1287" s="141">
        <v>79760</v>
      </c>
      <c r="F1287" s="277" t="s">
        <v>110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1033</v>
      </c>
      <c r="C1288" s="275" t="s">
        <v>851</v>
      </c>
      <c r="D1288" s="276" t="s">
        <v>205</v>
      </c>
      <c r="E1288" s="141">
        <v>62000</v>
      </c>
      <c r="F1288" s="277" t="s">
        <v>205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1034</v>
      </c>
      <c r="C1289" s="275" t="s">
        <v>851</v>
      </c>
      <c r="D1289" s="276" t="s">
        <v>110</v>
      </c>
      <c r="E1289" s="141">
        <v>152500</v>
      </c>
      <c r="F1289" s="277" t="s">
        <v>110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1035</v>
      </c>
      <c r="C1290" s="275" t="s">
        <v>851</v>
      </c>
      <c r="D1290" s="276" t="s">
        <v>110</v>
      </c>
      <c r="E1290" s="141">
        <v>432050</v>
      </c>
      <c r="F1290" s="277" t="s">
        <v>110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7.25">
      <c r="A1327" s="73" t="s">
        <v>76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239</v>
      </c>
      <c r="E1355" s="43">
        <v>4180</v>
      </c>
      <c r="F1355" s="188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240</v>
      </c>
      <c r="E1359" s="43">
        <v>0</v>
      </c>
      <c r="F1359" s="188" t="s">
        <v>240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237</v>
      </c>
      <c r="E1372" s="62">
        <v>867804</v>
      </c>
      <c r="F1372" s="191" t="s">
        <v>237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6" t="s">
        <v>237</v>
      </c>
      <c r="E1373" s="62">
        <v>1097662</v>
      </c>
      <c r="F1373" s="191" t="s">
        <v>237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110</v>
      </c>
      <c r="E1374" s="62"/>
      <c r="F1374" s="191" t="s">
        <v>110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110</v>
      </c>
      <c r="E1375" s="62"/>
      <c r="F1375" s="191" t="s">
        <v>110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110</v>
      </c>
      <c r="E1376" s="62"/>
      <c r="F1376" s="191" t="s">
        <v>110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110</v>
      </c>
      <c r="E1377" s="62"/>
      <c r="F1377" s="191" t="s">
        <v>110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110</v>
      </c>
      <c r="E1378" s="62"/>
      <c r="F1378" s="191" t="s">
        <v>110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110</v>
      </c>
      <c r="E1379" s="43"/>
      <c r="F1379" s="188" t="s">
        <v>110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110</v>
      </c>
      <c r="E1380" s="166"/>
      <c r="F1380" s="192" t="s">
        <v>110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110</v>
      </c>
      <c r="E1381" s="166"/>
      <c r="F1381" s="192" t="s">
        <v>110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110</v>
      </c>
      <c r="E1382" s="221"/>
      <c r="F1382" s="193" t="s">
        <v>110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110</v>
      </c>
      <c r="E1383" s="221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110</v>
      </c>
      <c r="E1399" s="166">
        <v>19073</v>
      </c>
      <c r="F1399" s="193" t="s">
        <v>110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1116</v>
      </c>
      <c r="C1400" s="218" t="s">
        <v>1037</v>
      </c>
      <c r="D1400" s="247" t="s">
        <v>110</v>
      </c>
      <c r="E1400" s="166">
        <v>866.66499999999996</v>
      </c>
      <c r="F1400" s="193" t="s">
        <v>110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110</v>
      </c>
      <c r="E1402" s="166">
        <v>19000</v>
      </c>
      <c r="F1402" s="193" t="s">
        <v>110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110</v>
      </c>
      <c r="E1403" s="166">
        <v>3800</v>
      </c>
      <c r="F1403" s="193" t="s">
        <v>110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1120</v>
      </c>
      <c r="C1404" s="218" t="s">
        <v>1037</v>
      </c>
      <c r="D1404" s="247" t="s">
        <v>173</v>
      </c>
      <c r="E1404" s="166">
        <v>3200</v>
      </c>
      <c r="F1404" s="193" t="s">
        <v>173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215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358</v>
      </c>
      <c r="E1406" s="221"/>
      <c r="F1406" s="292" t="s">
        <v>358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358</v>
      </c>
      <c r="E1407" s="166"/>
      <c r="F1407" s="10" t="s">
        <v>358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358</v>
      </c>
      <c r="E1408" s="166"/>
      <c r="F1408" s="10" t="s">
        <v>358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358</v>
      </c>
      <c r="E1409" s="166"/>
      <c r="F1409" s="10" t="s">
        <v>358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110</v>
      </c>
      <c r="E1410" s="166">
        <v>6013.33</v>
      </c>
      <c r="F1410" s="272" t="s">
        <v>110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110</v>
      </c>
      <c r="E1411" s="166">
        <v>1101.5</v>
      </c>
      <c r="F1411" s="272" t="s">
        <v>110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110</v>
      </c>
      <c r="E1412" s="166">
        <v>11100</v>
      </c>
      <c r="F1412" s="272" t="s">
        <v>110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358</v>
      </c>
      <c r="E1413" s="166"/>
      <c r="F1413" s="10" t="s">
        <v>358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358</v>
      </c>
      <c r="E1414" s="166"/>
      <c r="F1414" s="10" t="s">
        <v>358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358</v>
      </c>
      <c r="E1415" s="221"/>
      <c r="F1415" s="10" t="s">
        <v>358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7.25">
      <c r="A1427" s="134" t="s">
        <v>76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1132</v>
      </c>
      <c r="C1428" s="218" t="s">
        <v>55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55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55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55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55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55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55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55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55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55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55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55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55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55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55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55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55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8" t="s">
        <v>55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8" t="s">
        <v>55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55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55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55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55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55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55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55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55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55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55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55</v>
      </c>
      <c r="D1457" s="48" t="s">
        <v>1068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55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55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55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55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55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55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55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55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55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55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55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55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55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55</v>
      </c>
      <c r="D1471" s="48" t="s">
        <v>237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55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55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55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55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55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55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55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55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55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8" t="s">
        <v>55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8" t="s">
        <v>55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55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55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55</v>
      </c>
      <c r="D1485" s="48" t="s">
        <v>239</v>
      </c>
      <c r="E1485" s="43">
        <v>107770</v>
      </c>
      <c r="F1485" s="188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55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55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55</v>
      </c>
      <c r="D1488" s="48" t="s">
        <v>1068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55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55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55</v>
      </c>
      <c r="D1491" s="48" t="s">
        <v>239</v>
      </c>
      <c r="E1491" s="43">
        <v>38155</v>
      </c>
      <c r="F1491" s="188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55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55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55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55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55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55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55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55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55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55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55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55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55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55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55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55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55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55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7.25">
      <c r="A1521" s="92" t="s">
        <v>76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23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39</v>
      </c>
    </row>
    <row r="3" spans="1:13" outlineLevel="1">
      <c r="A3" s="3" t="s">
        <v>1319</v>
      </c>
      <c r="B3" s="5" t="s">
        <v>215</v>
      </c>
      <c r="D3" s="265" t="s">
        <v>1320</v>
      </c>
      <c r="F3" s="2" t="s">
        <v>9</v>
      </c>
      <c r="H3" s="18" t="s">
        <v>6</v>
      </c>
      <c r="I3" s="19">
        <v>43687423</v>
      </c>
      <c r="K3" t="s">
        <v>1321</v>
      </c>
      <c r="M3" s="79" t="s">
        <v>45</v>
      </c>
    </row>
    <row r="4" spans="1:13" ht="30" outlineLevel="1">
      <c r="A4" s="2" t="s">
        <v>1322</v>
      </c>
      <c r="B4" s="5" t="s">
        <v>305</v>
      </c>
      <c r="D4" s="266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25</v>
      </c>
    </row>
    <row r="5" spans="1:13" ht="30" outlineLevel="1">
      <c r="A5" s="3" t="s">
        <v>1327</v>
      </c>
      <c r="B5" s="5" t="s">
        <v>1328</v>
      </c>
      <c r="D5" s="268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851</v>
      </c>
    </row>
    <row r="6" spans="1:13" outlineLevel="1">
      <c r="A6" s="2" t="s">
        <v>324</v>
      </c>
      <c r="B6" s="5" t="s">
        <v>324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31</v>
      </c>
      <c r="M6" s="113" t="s">
        <v>1037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57</v>
      </c>
    </row>
    <row r="9" spans="1:13" outlineLevel="1">
      <c r="A9" s="2" t="s">
        <v>1346</v>
      </c>
      <c r="B9" s="5" t="s">
        <v>1201</v>
      </c>
      <c r="F9" s="2" t="s">
        <v>1347</v>
      </c>
      <c r="H9" t="s">
        <v>1348</v>
      </c>
      <c r="I9">
        <v>70323724</v>
      </c>
      <c r="K9" t="s">
        <v>1349</v>
      </c>
      <c r="M9" s="79" t="s">
        <v>59</v>
      </c>
    </row>
    <row r="10" spans="1:13" outlineLevel="1">
      <c r="A10" s="2" t="s">
        <v>1350</v>
      </c>
      <c r="B10" s="5" t="s">
        <v>104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121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55</v>
      </c>
    </row>
    <row r="12" spans="1:13" ht="30" outlineLevel="1">
      <c r="A12" s="3" t="s">
        <v>1359</v>
      </c>
      <c r="B12" s="5" t="s">
        <v>1030</v>
      </c>
      <c r="F12" s="301" t="s">
        <v>1360</v>
      </c>
      <c r="H12" s="27" t="s">
        <v>1361</v>
      </c>
      <c r="I12" s="28">
        <v>32184975</v>
      </c>
      <c r="M12" s="232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237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358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240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105</v>
      </c>
      <c r="H21" s="21" t="s">
        <v>1380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207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173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110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