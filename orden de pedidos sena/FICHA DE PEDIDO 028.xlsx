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Bolso 018 bandolera para dama\"/>
    </mc:Choice>
  </mc:AlternateContent>
  <xr:revisionPtr revIDLastSave="0" documentId="13_ncr:1_{4FC6BC81-B7BF-4FC2-A4AC-138B20B18EB9}" xr6:coauthVersionLast="47" xr6:coauthVersionMax="47" xr10:uidLastSave="{00000000-0000-0000-0000-000000000000}"/>
  <bookViews>
    <workbookView xWindow="-108" yWindow="-108" windowWidth="23256" windowHeight="12576" firstSheet="1" activeTab="1" xr2:uid="{17517EC8-3DE0-4696-961A-37EE2759AFFE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J17" i="2"/>
  <c r="J18" i="2"/>
  <c r="J19" i="2"/>
  <c r="J20" i="2"/>
  <c r="J15" i="2"/>
  <c r="I44" i="1"/>
  <c r="I45" i="1"/>
  <c r="I43" i="1"/>
  <c r="I33" i="1"/>
  <c r="I34" i="1"/>
  <c r="I35" i="1"/>
  <c r="I36" i="1"/>
  <c r="I37" i="1"/>
  <c r="I38" i="1"/>
  <c r="I39" i="1"/>
  <c r="I32" i="1"/>
  <c r="J10" i="1"/>
  <c r="J11" i="1"/>
  <c r="J12" i="1"/>
  <c r="J13" i="1"/>
  <c r="J14" i="1"/>
  <c r="J15" i="1"/>
  <c r="J16" i="1"/>
  <c r="J17" i="1"/>
  <c r="J18" i="1"/>
  <c r="J19" i="1"/>
  <c r="J20" i="1"/>
  <c r="J9" i="1"/>
  <c r="J26" i="1"/>
  <c r="J27" i="1"/>
  <c r="J28" i="1"/>
  <c r="J25" i="1"/>
  <c r="G28" i="1"/>
  <c r="H28" i="1" s="1"/>
  <c r="E21" i="2" l="1"/>
  <c r="D22" i="2"/>
  <c r="E22" i="2" s="1"/>
  <c r="H22" i="2"/>
  <c r="H26" i="2"/>
  <c r="D21" i="2"/>
  <c r="D20" i="2"/>
  <c r="E20" i="2" s="1"/>
  <c r="D19" i="2"/>
  <c r="E19" i="2" s="1"/>
  <c r="D18" i="2"/>
  <c r="D17" i="2"/>
  <c r="D16" i="2"/>
  <c r="D15" i="2"/>
  <c r="D14" i="2"/>
  <c r="D13" i="2"/>
  <c r="D12" i="2"/>
  <c r="D11" i="2"/>
  <c r="D10" i="2"/>
  <c r="D9" i="2"/>
  <c r="H21" i="2"/>
  <c r="H19" i="2"/>
  <c r="G49" i="1"/>
  <c r="I49" i="1" s="1"/>
  <c r="A14" i="2"/>
  <c r="H14" i="2" s="1"/>
  <c r="A13" i="2"/>
  <c r="H13" i="2" s="1"/>
  <c r="G57" i="1"/>
  <c r="I57" i="1" s="1"/>
  <c r="G56" i="1"/>
  <c r="I56" i="1" s="1"/>
  <c r="G55" i="1"/>
  <c r="I55" i="1" s="1"/>
  <c r="G51" i="1"/>
  <c r="I51" i="1" s="1"/>
  <c r="G50" i="1"/>
  <c r="I50" i="1" s="1"/>
  <c r="J10" i="2"/>
  <c r="G44" i="1"/>
  <c r="G45" i="1"/>
  <c r="G26" i="1"/>
  <c r="H26" i="1" s="1"/>
  <c r="G27" i="1"/>
  <c r="H27" i="1" s="1"/>
  <c r="A12" i="2"/>
  <c r="D25" i="2"/>
  <c r="D26" i="2"/>
  <c r="E26" i="2" s="1"/>
  <c r="F2" i="2"/>
  <c r="F3" i="2"/>
  <c r="F4" i="2"/>
  <c r="F5" i="2"/>
  <c r="F1" i="2"/>
  <c r="G43" i="1"/>
  <c r="E22" i="1"/>
  <c r="G19" i="1"/>
  <c r="H19" i="1" s="1"/>
  <c r="I58" i="1" l="1"/>
  <c r="C14" i="2" s="1"/>
  <c r="E14" i="2" s="1"/>
  <c r="I52" i="1"/>
  <c r="C13" i="2" s="1"/>
  <c r="E13" i="2" s="1"/>
  <c r="I46" i="1"/>
  <c r="C12" i="2" s="1"/>
  <c r="E25" i="2"/>
  <c r="D24" i="2"/>
  <c r="E24" i="2" s="1"/>
  <c r="D23" i="2"/>
  <c r="E18" i="2"/>
  <c r="E17" i="2"/>
  <c r="E16" i="2"/>
  <c r="E15" i="2"/>
  <c r="J9" i="2"/>
  <c r="H12" i="2"/>
  <c r="H15" i="2"/>
  <c r="H16" i="2"/>
  <c r="H17" i="2"/>
  <c r="H18" i="2"/>
  <c r="H20" i="2"/>
  <c r="H23" i="2"/>
  <c r="H24" i="2"/>
  <c r="H25" i="2"/>
  <c r="F22" i="1"/>
  <c r="G22" i="1" s="1"/>
  <c r="H22" i="1" s="1"/>
  <c r="C23" i="2" s="1"/>
  <c r="A11" i="2"/>
  <c r="H11" i="2" s="1"/>
  <c r="A10" i="2"/>
  <c r="H10" i="2" s="1"/>
  <c r="A9" i="2"/>
  <c r="H9" i="2" s="1"/>
  <c r="G25" i="1"/>
  <c r="H25" i="1" s="1"/>
  <c r="G16" i="1"/>
  <c r="H16" i="1" s="1"/>
  <c r="G17" i="1"/>
  <c r="H17" i="1" s="1"/>
  <c r="G18" i="1"/>
  <c r="H18" i="1" s="1"/>
  <c r="G20" i="1"/>
  <c r="H20" i="1" s="1"/>
  <c r="G12" i="1"/>
  <c r="H12" i="1" s="1"/>
  <c r="G11" i="1"/>
  <c r="H11" i="1" s="1"/>
  <c r="G10" i="1"/>
  <c r="H10" i="1" s="1"/>
  <c r="G13" i="1"/>
  <c r="H13" i="1" s="1"/>
  <c r="G14" i="1"/>
  <c r="H14" i="1" s="1"/>
  <c r="G15" i="1"/>
  <c r="H15" i="1" s="1"/>
  <c r="G9" i="1"/>
  <c r="H9" i="1" s="1"/>
  <c r="E12" i="2" l="1"/>
  <c r="E23" i="2"/>
  <c r="G38" i="1"/>
  <c r="G32" i="1"/>
  <c r="G36" i="1"/>
  <c r="G33" i="1"/>
  <c r="G37" i="1"/>
  <c r="G34" i="1"/>
  <c r="G35" i="1"/>
  <c r="J29" i="1"/>
  <c r="J21" i="1"/>
  <c r="C9" i="2" l="1"/>
  <c r="E9" i="2" s="1"/>
  <c r="C10" i="2"/>
  <c r="E10" i="2" s="1"/>
  <c r="I40" i="1"/>
  <c r="C11" i="2" l="1"/>
  <c r="E11" i="2" s="1"/>
  <c r="E27" i="2" s="1"/>
  <c r="E28" i="2" s="1"/>
  <c r="E30" i="2" l="1"/>
  <c r="E29" i="2"/>
  <c r="E31" i="2" l="1"/>
</calcChain>
</file>

<file path=xl/sharedStrings.xml><?xml version="1.0" encoding="utf-8"?>
<sst xmlns="http://schemas.openxmlformats.org/spreadsheetml/2006/main" count="167" uniqueCount="91">
  <si>
    <t>Referencia:</t>
  </si>
  <si>
    <t>Maribel Gil
modelista</t>
  </si>
  <si>
    <t>0 a 1.5</t>
  </si>
  <si>
    <t>Tipo:</t>
  </si>
  <si>
    <t>BANDOLERA PARA DAMA</t>
  </si>
  <si>
    <t>1.51 a 3</t>
  </si>
  <si>
    <t>Fecha:</t>
  </si>
  <si>
    <t>3.01 a 5</t>
  </si>
  <si>
    <t>cliente</t>
  </si>
  <si>
    <t>SENA</t>
  </si>
  <si>
    <t>mas de 5</t>
  </si>
  <si>
    <t>numero de ficha</t>
  </si>
  <si>
    <t>celda de Producción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</si>
  <si>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</si>
  <si>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</si>
  <si>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</si>
  <si>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</si>
  <si>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</si>
  <si>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</si>
  <si>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</si>
  <si>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</si>
  <si>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dm^2</t>
  </si>
  <si>
    <t>% desperdicio</t>
  </si>
  <si>
    <t>Total</t>
  </si>
  <si>
    <t>PENDIENTE FOTO</t>
  </si>
  <si>
    <t>cuero</t>
  </si>
  <si>
    <t>frente y espaldar</t>
  </si>
  <si>
    <t>correas</t>
  </si>
  <si>
    <t>bolsillo delantero</t>
  </si>
  <si>
    <t>tapa</t>
  </si>
  <si>
    <t>hebilleros</t>
  </si>
  <si>
    <t>puntera</t>
  </si>
  <si>
    <t>chapetas</t>
  </si>
  <si>
    <t>total cuero en dm_2</t>
  </si>
  <si>
    <t>perimetros para consumo de hilo en cm</t>
  </si>
  <si>
    <t>atlo x ancho=cm_2</t>
  </si>
  <si>
    <t>forro cerdo</t>
  </si>
  <si>
    <t>FORRO</t>
  </si>
  <si>
    <t>frente y espalda</t>
  </si>
  <si>
    <t>total FORRO en cm_2</t>
  </si>
  <si>
    <t>salpa #3</t>
  </si>
  <si>
    <t>cambre</t>
  </si>
  <si>
    <t>empaque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</si>
  <si>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</si>
  <si>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</si>
  <si>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</si>
  <si>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</si>
  <si>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</si>
  <si>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</si>
  <si>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</si>
  <si>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cm</t>
  </si>
  <si>
    <t>metro</t>
  </si>
  <si>
    <t>cuadrante 1''</t>
  </si>
  <si>
    <t>unid</t>
  </si>
  <si>
    <t>trabilla 1''</t>
  </si>
  <si>
    <t>hebilla coscoja 3/4''</t>
  </si>
  <si>
    <t>remache tubular sencillo #6</t>
  </si>
  <si>
    <t>remache tubular #6 doble cabeza</t>
  </si>
  <si>
    <t>broche iman mediano</t>
  </si>
  <si>
    <t>cordon</t>
  </si>
  <si>
    <t>hilo x 3000</t>
  </si>
  <si>
    <t>metros</t>
  </si>
  <si>
    <t>cono</t>
  </si>
  <si>
    <t>pegante x 3000</t>
  </si>
  <si>
    <t>gramos</t>
  </si>
  <si>
    <t>galon</t>
  </si>
  <si>
    <t>mano de obra</t>
  </si>
  <si>
    <t>hora/persona</t>
  </si>
  <si>
    <t>empaque (cambre)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</si>
  <si>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</si>
  <si>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</si>
  <si>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</si>
  <si>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</si>
  <si>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</si>
  <si>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</si>
  <si>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</si>
  <si>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</si>
  <si>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plana</t>
  </si>
  <si>
    <t>fecha inicio</t>
  </si>
  <si>
    <t xml:space="preserve">tipo de aguja </t>
  </si>
  <si>
    <t>cortante</t>
  </si>
  <si>
    <t>fecha entrega</t>
  </si>
  <si>
    <t>numero de aguja</t>
  </si>
  <si>
    <t>cantidad solicitada</t>
  </si>
  <si>
    <t>calibre hilo</t>
  </si>
  <si>
    <t>color hilo</t>
  </si>
  <si>
    <t>a tono</t>
  </si>
  <si>
    <t>corte</t>
  </si>
  <si>
    <t>prearme</t>
  </si>
  <si>
    <t xml:space="preserve">armado </t>
  </si>
  <si>
    <t>costura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</si>
</sst>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5" borderId="5" xfId="0" applyFill="1" applyBorder="1"/>
    <xf numFmtId="0" fontId="0" fillId="2" borderId="0" xfId="0" applyFill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wrapText="1"/>
    </xf>
    <xf numFmtId="0" fontId="0" fillId="0" borderId="27" xfId="0" applyBorder="1"/>
    <xf numFmtId="2" fontId="1" fillId="4" borderId="28" xfId="0" applyNumberFormat="1" applyFont="1" applyFill="1" applyBorder="1"/>
    <xf numFmtId="2" fontId="0" fillId="0" borderId="0" xfId="0" applyNumberForma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5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1" fillId="9" borderId="24" xfId="0" applyFont="1" applyFill="1" applyBorder="1" applyAlignment="1">
      <alignment horizontal="left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164" fontId="0" fillId="9" borderId="5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6" borderId="14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1" fillId="3" borderId="14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2" fillId="9" borderId="27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29" xfId="0" applyFont="1" applyFill="1" applyBorder="1" applyAlignment="1">
      <alignment horizontal="center" vertical="center" wrapText="1"/>
    </xf>
    <xf numFmtId="0" fontId="2" fillId="9" borderId="30" xfId="0" applyFont="1" applyFill="1" applyBorder="1" applyAlignment="1">
      <alignment horizontal="center" vertical="center" wrapText="1"/>
    </xf>
    <xf numFmtId="0" fontId="2" fillId="9" borderId="31" xfId="0" applyFont="1" applyFill="1" applyBorder="1" applyAlignment="1">
      <alignment horizontal="center" vertical="center" wrapText="1"/>
    </xf>
    <xf numFmtId="0" fontId="2" fillId="9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139148</xdr:colOff>
      <xdr:row>0</xdr:row>
      <xdr:rowOff>0</xdr:rowOff>
    </xdr:from>
    <xdr:to>
      <xdr:col>1</xdr:col>
      <xdr:colOff>563218</xdr:colOff>
      <xdr:row>5</xdr:row>
      <xdr:rowOff>7144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CFCE5D-2815-D837-D7E7-AE1B2E23C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48" y="0"/>
          <a:ext cx="960783" cy="941422"/>
        </a:xfrm>
        <a:prstGeom prst="rect">
          <a:avLst/>
        </a:prstGeom>
      </xdr:spPr>
    </xdr:pic>
    <xdr:clientData/>
  </xdr:twoCellAnchor>
  <xdr:twoCellAnchor editAs="oneCell">
    <xdr:from>
      <xdr:col>11</xdr:col>
      <xdr:colOff>204106</xdr:colOff>
      <xdr:row>7</xdr:row>
      <xdr:rowOff>95250</xdr:rowOff>
    </xdr:from>
    <xdr:to>
      <xdr:col>14</xdr:col>
      <xdr:colOff>517071</xdr:colOff>
      <xdr:row>16</xdr:row>
      <xdr:rowOff>76534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A99F12-D4EE-5A0D-4232-9DBD02077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5" y="1224643"/>
          <a:ext cx="2680607" cy="1940712"/>
        </a:xfrm>
        <a:prstGeom prst="rect">
          <a:avLst/>
        </a:prstGeom>
      </xdr:spPr>
    </xdr:pic>
    <xdr:clientData/>
  </xdr:twoCellAnchor>
  <xdr:twoCellAnchor editAs="oneCell">
    <xdr:from>
      <xdr:col>11</xdr:col>
      <xdr:colOff>176892</xdr:colOff>
      <xdr:row>33</xdr:row>
      <xdr:rowOff>81970</xdr:rowOff>
    </xdr:from>
    <xdr:to>
      <xdr:col>14</xdr:col>
      <xdr:colOff>394607</xdr:colOff>
      <xdr:row>50</xdr:row>
      <xdr:rowOff>5449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9D71298-B254-BE10-A42E-DC1DC8CD51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188" r="27472" b="7926"/>
        <a:stretch/>
      </xdr:blipFill>
      <xdr:spPr>
        <a:xfrm rot="5400000">
          <a:off x="6617314" y="7534441"/>
          <a:ext cx="3719872" cy="2585357"/>
        </a:xfrm>
        <a:prstGeom prst="rect">
          <a:avLst/>
        </a:prstGeom>
      </xdr:spPr>
    </xdr:pic>
    <xdr:clientData/>
  </xdr:twoCellAnchor>
  <xdr:twoCellAnchor editAs="oneCell">
    <xdr:from>
      <xdr:col>11</xdr:col>
      <xdr:colOff>136716</xdr:colOff>
      <xdr:row>17</xdr:row>
      <xdr:rowOff>27219</xdr:rowOff>
    </xdr:from>
    <xdr:to>
      <xdr:col>14</xdr:col>
      <xdr:colOff>544285</xdr:colOff>
      <xdr:row>32</xdr:row>
      <xdr:rowOff>155306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C87903B-EE27-245E-9619-894482A90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746654" y="3690674"/>
          <a:ext cx="3570694" cy="2775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403413</xdr:colOff>
      <xdr:row>0</xdr:row>
      <xdr:rowOff>0</xdr:rowOff>
    </xdr:from>
    <xdr:to>
      <xdr:col>1</xdr:col>
      <xdr:colOff>304801</xdr:colOff>
      <xdr:row>4</xdr:row>
      <xdr:rowOff>178798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235484C-5AB6-10A9-F54C-8211A72A8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3" y="0"/>
          <a:ext cx="914400" cy="895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T58"/>
  <sheetViews>
    <sheetView zoomScale="73" zoomScaleNormal="73" workbookViewId="0">
      <selection activeCell="R7" sqref="R7"/>
    </sheetView>
  </sheetViews>
  <sheetFormatPr defaultColWidth="11.42578125" defaultRowHeight="14.45"/>
  <cols>
    <col min="1" max="1" width="7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</cols>
  <sheetData>
    <row r="1" spans="1:20">
      <c r="A1" s="37"/>
      <c r="B1" s="38"/>
      <c r="C1" s="65" t="s">
        <v>0</v>
      </c>
      <c r="D1" s="66"/>
      <c r="E1" s="67"/>
      <c r="F1" s="33">
        <v>18</v>
      </c>
      <c r="G1" s="33"/>
      <c r="H1" s="33"/>
      <c r="I1" s="55" t="s">
        <v>1</v>
      </c>
      <c r="J1" s="56"/>
      <c r="L1" s="3" t="s">
        <v>2</v>
      </c>
      <c r="M1" s="4">
        <v>5</v>
      </c>
      <c r="N1" s="5">
        <v>1.05</v>
      </c>
    </row>
    <row r="2" spans="1:20">
      <c r="A2" s="39"/>
      <c r="B2" s="40"/>
      <c r="C2" s="49" t="s">
        <v>3</v>
      </c>
      <c r="D2" s="50"/>
      <c r="E2" s="51"/>
      <c r="F2" s="48" t="s">
        <v>4</v>
      </c>
      <c r="G2" s="48"/>
      <c r="H2" s="48"/>
      <c r="I2" s="57"/>
      <c r="J2" s="58"/>
      <c r="L2" s="6" t="s">
        <v>5</v>
      </c>
      <c r="M2" s="1">
        <v>10</v>
      </c>
      <c r="N2" s="7">
        <v>1.1000000000000001</v>
      </c>
    </row>
    <row r="3" spans="1:20">
      <c r="A3" s="39"/>
      <c r="B3" s="40"/>
      <c r="C3" s="49" t="s">
        <v>6</v>
      </c>
      <c r="D3" s="50"/>
      <c r="E3" s="51"/>
      <c r="F3" s="47">
        <v>44985</v>
      </c>
      <c r="G3" s="48"/>
      <c r="H3" s="48"/>
      <c r="I3" s="57"/>
      <c r="J3" s="58"/>
      <c r="L3" s="6" t="s">
        <v>7</v>
      </c>
      <c r="M3" s="1">
        <v>15</v>
      </c>
      <c r="N3" s="7">
        <v>1.1499999999999999</v>
      </c>
    </row>
    <row r="4" spans="1:20">
      <c r="A4" s="39"/>
      <c r="B4" s="40"/>
      <c r="C4" s="49" t="s">
        <v>8</v>
      </c>
      <c r="D4" s="50"/>
      <c r="E4" s="51"/>
      <c r="F4" s="34" t="s">
        <v>9</v>
      </c>
      <c r="G4" s="35"/>
      <c r="H4" s="36"/>
      <c r="I4" s="57"/>
      <c r="J4" s="58"/>
      <c r="L4" s="6" t="s">
        <v>10</v>
      </c>
      <c r="M4" s="1">
        <v>20</v>
      </c>
      <c r="N4" s="7">
        <v>1.2</v>
      </c>
    </row>
    <row r="5" spans="1:20" ht="15" thickBot="1">
      <c r="A5" s="41"/>
      <c r="B5" s="42"/>
      <c r="C5" s="52" t="s">
        <v>11</v>
      </c>
      <c r="D5" s="53"/>
      <c r="E5" s="54"/>
      <c r="F5" s="62" t="s">
        <v>12</v>
      </c>
      <c r="G5" s="63"/>
      <c r="H5" s="64"/>
      <c r="I5" s="59"/>
      <c r="J5" s="60"/>
      <c r="L5" s="8" t="s">
        <v>13</v>
      </c>
      <c r="M5" s="9">
        <v>40</v>
      </c>
      <c r="N5" s="10">
        <v>1.4</v>
      </c>
    </row>
    <row r="6" spans="1:20" ht="4.1500000000000004" customHeight="1">
      <c r="A6" s="24"/>
      <c r="B6" s="24"/>
      <c r="C6" s="24"/>
      <c r="D6" s="24"/>
      <c r="E6" s="24"/>
      <c r="F6" s="24"/>
      <c r="G6" s="24"/>
      <c r="H6" s="24"/>
      <c r="I6" s="24"/>
      <c r="J6" s="24"/>
    </row>
    <row r="8" spans="1:20" ht="43.15">
      <c r="A8" s="12" t="s">
        <v>14</v>
      </c>
      <c r="B8" s="12" t="s">
        <v>15</v>
      </c>
      <c r="C8" s="12" t="s">
        <v>16</v>
      </c>
      <c r="D8" s="12" t="s">
        <v>17</v>
      </c>
      <c r="E8" s="12" t="s">
        <v>18</v>
      </c>
      <c r="F8" s="12" t="s">
        <v>19</v>
      </c>
      <c r="G8" s="12" t="s">
        <v>20</v>
      </c>
      <c r="H8" s="12" t="s">
        <v>21</v>
      </c>
      <c r="I8" s="12" t="s">
        <v>22</v>
      </c>
      <c r="J8" s="12" t="s">
        <v>23</v>
      </c>
      <c r="K8" s="11"/>
      <c r="L8" s="46" t="s">
        <v>24</v>
      </c>
      <c r="M8" s="46"/>
      <c r="N8" s="46"/>
      <c r="O8" s="46"/>
    </row>
    <row r="9" spans="1:20">
      <c r="A9" s="1" t="s">
        <v>25</v>
      </c>
      <c r="B9" s="1">
        <v>2</v>
      </c>
      <c r="C9" s="1" t="s">
        <v>26</v>
      </c>
      <c r="D9" s="1">
        <v>2</v>
      </c>
      <c r="E9" s="1">
        <v>20</v>
      </c>
      <c r="F9" s="1">
        <v>15</v>
      </c>
      <c r="G9" s="1">
        <f>E9*F9</f>
        <v>300</v>
      </c>
      <c r="H9" s="2">
        <f>G9/100</f>
        <v>3</v>
      </c>
      <c r="I9" s="1">
        <v>1.1000000000000001</v>
      </c>
      <c r="J9" s="2">
        <f>D9*H9*I9</f>
        <v>6.6000000000000005</v>
      </c>
      <c r="L9" s="46"/>
      <c r="M9" s="46"/>
      <c r="N9" s="46"/>
      <c r="O9" s="46"/>
      <c r="T9" s="30"/>
    </row>
    <row r="10" spans="1:20">
      <c r="A10" s="1"/>
      <c r="B10" s="1"/>
      <c r="C10" s="1" t="s">
        <v>27</v>
      </c>
      <c r="D10" s="1">
        <v>4</v>
      </c>
      <c r="E10" s="1">
        <v>80</v>
      </c>
      <c r="F10" s="1">
        <v>3.5</v>
      </c>
      <c r="G10" s="1">
        <f>E10*F10</f>
        <v>280</v>
      </c>
      <c r="H10" s="2">
        <f t="shared" ref="H10:H20" si="0">G10/100</f>
        <v>2.8</v>
      </c>
      <c r="I10" s="1">
        <v>1.4</v>
      </c>
      <c r="J10" s="2">
        <f t="shared" ref="J10:J20" si="1">D10*H10*I10</f>
        <v>15.679999999999998</v>
      </c>
      <c r="L10" s="46"/>
      <c r="M10" s="46"/>
      <c r="N10" s="46"/>
      <c r="O10" s="46"/>
      <c r="T10" s="30"/>
    </row>
    <row r="11" spans="1:20">
      <c r="A11" s="1"/>
      <c r="B11" s="1">
        <v>3</v>
      </c>
      <c r="C11" s="1" t="s">
        <v>28</v>
      </c>
      <c r="D11" s="1">
        <v>1</v>
      </c>
      <c r="E11" s="1">
        <v>16</v>
      </c>
      <c r="F11" s="1">
        <v>10.7</v>
      </c>
      <c r="G11" s="1">
        <f>E11*F11</f>
        <v>171.2</v>
      </c>
      <c r="H11" s="2">
        <f t="shared" si="0"/>
        <v>1.712</v>
      </c>
      <c r="I11" s="1">
        <v>1.1000000000000001</v>
      </c>
      <c r="J11" s="2">
        <f t="shared" si="1"/>
        <v>1.8832000000000002</v>
      </c>
      <c r="L11" s="46"/>
      <c r="M11" s="46"/>
      <c r="N11" s="46"/>
      <c r="O11" s="46"/>
      <c r="T11" s="30"/>
    </row>
    <row r="12" spans="1:20">
      <c r="A12" s="1"/>
      <c r="B12" s="1">
        <v>6</v>
      </c>
      <c r="C12" s="1" t="s">
        <v>29</v>
      </c>
      <c r="D12" s="1">
        <v>1</v>
      </c>
      <c r="E12" s="1">
        <v>20.8</v>
      </c>
      <c r="F12" s="1">
        <v>16.5</v>
      </c>
      <c r="G12" s="1">
        <f>E12*F12</f>
        <v>343.2</v>
      </c>
      <c r="H12" s="2">
        <f t="shared" si="0"/>
        <v>3.4319999999999999</v>
      </c>
      <c r="I12" s="1">
        <v>1.1499999999999999</v>
      </c>
      <c r="J12" s="2">
        <f t="shared" si="1"/>
        <v>3.9467999999999996</v>
      </c>
      <c r="L12" s="46"/>
      <c r="M12" s="46"/>
      <c r="N12" s="46"/>
      <c r="O12" s="46"/>
      <c r="T12" s="30"/>
    </row>
    <row r="13" spans="1:20">
      <c r="A13" s="1"/>
      <c r="B13" s="1">
        <v>7</v>
      </c>
      <c r="C13" s="1" t="s">
        <v>30</v>
      </c>
      <c r="D13" s="1">
        <v>2</v>
      </c>
      <c r="E13" s="1">
        <v>12</v>
      </c>
      <c r="F13" s="1">
        <v>4</v>
      </c>
      <c r="G13" s="1">
        <f t="shared" ref="G13:G20" si="2">E13*F13</f>
        <v>48</v>
      </c>
      <c r="H13" s="2">
        <f t="shared" si="0"/>
        <v>0.48</v>
      </c>
      <c r="I13" s="1">
        <v>1.05</v>
      </c>
      <c r="J13" s="2">
        <f t="shared" si="1"/>
        <v>1.008</v>
      </c>
      <c r="L13" s="46"/>
      <c r="M13" s="46"/>
      <c r="N13" s="46"/>
      <c r="O13" s="46"/>
      <c r="T13" s="30"/>
    </row>
    <row r="14" spans="1:20">
      <c r="A14" s="1"/>
      <c r="B14" s="1">
        <v>9</v>
      </c>
      <c r="C14" s="1" t="s">
        <v>31</v>
      </c>
      <c r="D14" s="1">
        <v>2</v>
      </c>
      <c r="E14" s="1">
        <v>11.8</v>
      </c>
      <c r="F14" s="1">
        <v>4</v>
      </c>
      <c r="G14" s="1">
        <f t="shared" si="2"/>
        <v>47.2</v>
      </c>
      <c r="H14" s="2">
        <f t="shared" si="0"/>
        <v>0.47200000000000003</v>
      </c>
      <c r="I14" s="1">
        <v>1.05</v>
      </c>
      <c r="J14" s="2">
        <f t="shared" si="1"/>
        <v>0.99120000000000008</v>
      </c>
      <c r="L14" s="46"/>
      <c r="M14" s="46"/>
      <c r="N14" s="46"/>
      <c r="O14" s="46"/>
      <c r="T14" s="30"/>
    </row>
    <row r="15" spans="1:20">
      <c r="A15" s="1"/>
      <c r="B15" s="1">
        <v>11</v>
      </c>
      <c r="C15" s="1" t="b">
        <v>0</v>
      </c>
      <c r="D15" s="1">
        <v>1</v>
      </c>
      <c r="E15" s="1">
        <v>47.2</v>
      </c>
      <c r="F15" s="1">
        <v>6.5</v>
      </c>
      <c r="G15" s="1">
        <f t="shared" si="2"/>
        <v>306.8</v>
      </c>
      <c r="H15" s="2">
        <f t="shared" si="0"/>
        <v>3.0680000000000001</v>
      </c>
      <c r="I15" s="1">
        <v>1.1499999999999999</v>
      </c>
      <c r="J15" s="2">
        <f t="shared" si="1"/>
        <v>3.5282</v>
      </c>
      <c r="L15" s="46"/>
      <c r="M15" s="46"/>
      <c r="N15" s="46"/>
      <c r="O15" s="46"/>
    </row>
    <row r="16" spans="1:20">
      <c r="A16" s="1"/>
      <c r="B16" s="1">
        <v>14</v>
      </c>
      <c r="C16" s="1" t="s">
        <v>32</v>
      </c>
      <c r="D16" s="1">
        <v>2</v>
      </c>
      <c r="E16" s="1">
        <v>12</v>
      </c>
      <c r="F16" s="1">
        <v>4.5</v>
      </c>
      <c r="G16" s="1">
        <f t="shared" si="2"/>
        <v>54</v>
      </c>
      <c r="H16" s="2">
        <f t="shared" si="0"/>
        <v>0.54</v>
      </c>
      <c r="I16" s="1"/>
      <c r="J16" s="2">
        <f t="shared" si="1"/>
        <v>0</v>
      </c>
      <c r="L16" s="46"/>
      <c r="M16" s="46"/>
      <c r="N16" s="46"/>
      <c r="O16" s="46"/>
    </row>
    <row r="17" spans="1:15">
      <c r="A17" s="1"/>
      <c r="B17" s="1"/>
      <c r="C17" s="1"/>
      <c r="D17" s="1"/>
      <c r="E17" s="1"/>
      <c r="F17" s="1"/>
      <c r="G17" s="1">
        <f t="shared" si="2"/>
        <v>0</v>
      </c>
      <c r="H17" s="2">
        <f t="shared" si="0"/>
        <v>0</v>
      </c>
      <c r="I17" s="1"/>
      <c r="J17" s="2">
        <f t="shared" si="1"/>
        <v>0</v>
      </c>
      <c r="L17" s="46"/>
      <c r="M17" s="46"/>
      <c r="N17" s="46"/>
      <c r="O17" s="46"/>
    </row>
    <row r="18" spans="1:15">
      <c r="A18" s="1"/>
      <c r="B18" s="1"/>
      <c r="C18" s="1"/>
      <c r="D18" s="1"/>
      <c r="E18" s="1"/>
      <c r="F18" s="1"/>
      <c r="G18" s="1">
        <f t="shared" si="2"/>
        <v>0</v>
      </c>
      <c r="H18" s="2">
        <f t="shared" si="0"/>
        <v>0</v>
      </c>
      <c r="I18" s="1"/>
      <c r="J18" s="2">
        <f t="shared" si="1"/>
        <v>0</v>
      </c>
      <c r="L18" s="46"/>
      <c r="M18" s="46"/>
      <c r="N18" s="46"/>
      <c r="O18" s="46"/>
    </row>
    <row r="19" spans="1:15">
      <c r="A19" s="1"/>
      <c r="B19" s="1"/>
      <c r="C19" s="1"/>
      <c r="D19" s="1"/>
      <c r="E19" s="1"/>
      <c r="F19" s="1"/>
      <c r="G19" s="1">
        <f t="shared" si="2"/>
        <v>0</v>
      </c>
      <c r="H19" s="2">
        <f t="shared" si="0"/>
        <v>0</v>
      </c>
      <c r="I19" s="1"/>
      <c r="J19" s="2">
        <f t="shared" si="1"/>
        <v>0</v>
      </c>
      <c r="L19" s="46"/>
      <c r="M19" s="46"/>
      <c r="N19" s="46"/>
      <c r="O19" s="46"/>
    </row>
    <row r="20" spans="1:15" ht="15" thickBot="1">
      <c r="A20" s="1"/>
      <c r="B20" s="1"/>
      <c r="C20" s="1"/>
      <c r="D20" s="1"/>
      <c r="E20" s="1"/>
      <c r="F20" s="1"/>
      <c r="G20" s="1">
        <f t="shared" si="2"/>
        <v>0</v>
      </c>
      <c r="H20" s="2">
        <f t="shared" si="0"/>
        <v>0</v>
      </c>
      <c r="I20" s="1"/>
      <c r="J20" s="2">
        <f t="shared" si="1"/>
        <v>0</v>
      </c>
      <c r="L20" s="46"/>
      <c r="M20" s="46"/>
      <c r="N20" s="46"/>
      <c r="O20" s="46"/>
    </row>
    <row r="21" spans="1:15" ht="15" thickBot="1">
      <c r="B21" s="31" t="s">
        <v>33</v>
      </c>
      <c r="C21" s="32"/>
      <c r="D21" s="32"/>
      <c r="E21" s="32"/>
      <c r="F21" s="32"/>
      <c r="G21" s="32"/>
      <c r="H21" s="32"/>
      <c r="I21" s="61"/>
      <c r="J21" s="13">
        <f>SUM(J9:J20)</f>
        <v>33.637399999999992</v>
      </c>
      <c r="L21" s="46"/>
      <c r="M21" s="46"/>
      <c r="N21" s="46"/>
      <c r="O21" s="46"/>
    </row>
    <row r="22" spans="1:15">
      <c r="A22" s="43" t="s">
        <v>34</v>
      </c>
      <c r="B22" s="43"/>
      <c r="C22" s="43"/>
      <c r="D22" s="44"/>
      <c r="E22" s="14">
        <f>SUM(E9:E20)</f>
        <v>219.8</v>
      </c>
      <c r="F22" s="14">
        <f>SUM(F9:F20)</f>
        <v>64.7</v>
      </c>
      <c r="G22" s="14">
        <f>E22+F22</f>
        <v>284.5</v>
      </c>
      <c r="H22" s="14">
        <f>G22*2</f>
        <v>569</v>
      </c>
      <c r="J22" s="16"/>
      <c r="L22" s="15"/>
      <c r="M22" s="15"/>
      <c r="N22" s="15"/>
      <c r="O22" s="15"/>
    </row>
    <row r="24" spans="1:15" ht="43.15">
      <c r="A24" s="12" t="s">
        <v>14</v>
      </c>
      <c r="B24" s="12" t="s">
        <v>15</v>
      </c>
      <c r="C24" s="12" t="s">
        <v>16</v>
      </c>
      <c r="D24" s="12" t="s">
        <v>17</v>
      </c>
      <c r="E24" s="12" t="s">
        <v>18</v>
      </c>
      <c r="F24" s="12" t="s">
        <v>19</v>
      </c>
      <c r="G24" s="12" t="s">
        <v>35</v>
      </c>
      <c r="H24" s="12" t="s">
        <v>21</v>
      </c>
      <c r="I24" s="12" t="s">
        <v>22</v>
      </c>
      <c r="J24" s="12" t="s">
        <v>23</v>
      </c>
    </row>
    <row r="25" spans="1:15">
      <c r="A25" s="1" t="s">
        <v>36</v>
      </c>
      <c r="B25" s="1">
        <v>6</v>
      </c>
      <c r="C25" s="1" t="s">
        <v>29</v>
      </c>
      <c r="D25" s="1">
        <v>1</v>
      </c>
      <c r="E25" s="1">
        <v>20.8</v>
      </c>
      <c r="F25" s="1">
        <v>16.5</v>
      </c>
      <c r="G25" s="1">
        <f>E25*F25</f>
        <v>343.2</v>
      </c>
      <c r="H25" s="1">
        <f>G25/100</f>
        <v>3.4319999999999999</v>
      </c>
      <c r="I25" s="1">
        <v>1.1499999999999999</v>
      </c>
      <c r="J25" s="2">
        <f>D25*I25*H25</f>
        <v>3.9467999999999996</v>
      </c>
    </row>
    <row r="26" spans="1:15">
      <c r="A26" s="1"/>
      <c r="B26" s="1">
        <v>7</v>
      </c>
      <c r="C26" s="1" t="s">
        <v>30</v>
      </c>
      <c r="D26" s="1">
        <v>2</v>
      </c>
      <c r="E26" s="1">
        <v>12</v>
      </c>
      <c r="F26" s="1">
        <v>4</v>
      </c>
      <c r="G26" s="1">
        <f t="shared" ref="G26:G27" si="3">E26*F26</f>
        <v>48</v>
      </c>
      <c r="H26" s="1">
        <f t="shared" ref="H26:H27" si="4">G26/100</f>
        <v>0.48</v>
      </c>
      <c r="I26" s="1">
        <v>1.05</v>
      </c>
      <c r="J26" s="2">
        <f t="shared" ref="J26:J28" si="5">D26*I26*H26</f>
        <v>1.008</v>
      </c>
    </row>
    <row r="27" spans="1:15">
      <c r="A27" s="1"/>
      <c r="B27" s="1">
        <v>9</v>
      </c>
      <c r="C27" s="1" t="s">
        <v>31</v>
      </c>
      <c r="D27" s="1">
        <v>2</v>
      </c>
      <c r="E27" s="1">
        <v>11.8</v>
      </c>
      <c r="F27" s="1">
        <v>4</v>
      </c>
      <c r="G27" s="1">
        <f t="shared" si="3"/>
        <v>47.2</v>
      </c>
      <c r="H27" s="1">
        <f t="shared" si="4"/>
        <v>0.47200000000000003</v>
      </c>
      <c r="I27" s="1">
        <v>1.05</v>
      </c>
      <c r="J27" s="2">
        <f t="shared" si="5"/>
        <v>0.99120000000000008</v>
      </c>
    </row>
    <row r="28" spans="1:15" ht="15" thickBot="1">
      <c r="A28" s="1"/>
      <c r="B28" s="1">
        <v>14</v>
      </c>
      <c r="C28" s="1" t="s">
        <v>32</v>
      </c>
      <c r="D28" s="1">
        <v>2</v>
      </c>
      <c r="E28" s="1">
        <v>12</v>
      </c>
      <c r="F28" s="1">
        <v>4.5</v>
      </c>
      <c r="G28" s="1">
        <f t="shared" ref="G28" si="6">E28*F28</f>
        <v>54</v>
      </c>
      <c r="H28" s="1">
        <f t="shared" ref="H28" si="7">G28/100</f>
        <v>0.54</v>
      </c>
      <c r="I28" s="1">
        <v>2.0499999999999998</v>
      </c>
      <c r="J28" s="2">
        <f t="shared" si="5"/>
        <v>2.214</v>
      </c>
    </row>
    <row r="29" spans="1:15" ht="15" thickBot="1">
      <c r="A29" s="45"/>
      <c r="B29" s="45"/>
      <c r="C29" s="45"/>
      <c r="D29" s="45"/>
      <c r="E29" s="45"/>
      <c r="F29" s="45"/>
      <c r="G29" s="45"/>
      <c r="H29" s="45"/>
      <c r="I29" s="45"/>
      <c r="J29" s="29">
        <f>SUM(J25:J27)</f>
        <v>5.9459999999999997</v>
      </c>
    </row>
    <row r="31" spans="1:15" ht="43.15">
      <c r="A31" s="12" t="s">
        <v>14</v>
      </c>
      <c r="B31" s="12" t="s">
        <v>15</v>
      </c>
      <c r="C31" s="12" t="s">
        <v>16</v>
      </c>
      <c r="D31" s="12" t="s">
        <v>17</v>
      </c>
      <c r="E31" s="12" t="s">
        <v>18</v>
      </c>
      <c r="F31" s="12" t="s">
        <v>19</v>
      </c>
      <c r="G31" s="12" t="s">
        <v>35</v>
      </c>
      <c r="H31" s="12" t="s">
        <v>22</v>
      </c>
      <c r="I31" s="12" t="s">
        <v>23</v>
      </c>
    </row>
    <row r="32" spans="1:15">
      <c r="A32" s="1" t="s">
        <v>37</v>
      </c>
      <c r="B32" s="1">
        <v>4</v>
      </c>
      <c r="C32" s="1" t="s">
        <v>28</v>
      </c>
      <c r="D32" s="1">
        <v>1</v>
      </c>
      <c r="E32" s="1">
        <v>16.100000000000001</v>
      </c>
      <c r="F32" s="1">
        <v>11.6</v>
      </c>
      <c r="G32" s="1">
        <f>E32*F32</f>
        <v>186.76000000000002</v>
      </c>
      <c r="H32" s="1">
        <v>1.1000000000000001</v>
      </c>
      <c r="I32" s="2">
        <f>D32*G32*H32</f>
        <v>205.43600000000004</v>
      </c>
      <c r="J32" s="28"/>
    </row>
    <row r="33" spans="1:10">
      <c r="A33" s="1"/>
      <c r="B33" s="1">
        <v>12</v>
      </c>
      <c r="C33" s="1" t="b">
        <v>0</v>
      </c>
      <c r="D33" s="1">
        <v>1</v>
      </c>
      <c r="E33" s="1">
        <v>49.3</v>
      </c>
      <c r="F33" s="1">
        <v>6.5</v>
      </c>
      <c r="G33" s="1">
        <f t="shared" ref="G33:G38" si="8">E33*F33</f>
        <v>320.45</v>
      </c>
      <c r="H33" s="1">
        <v>1.1000000000000001</v>
      </c>
      <c r="I33" s="2">
        <f t="shared" ref="I33:I39" si="9">D33*G33*H33</f>
        <v>352.495</v>
      </c>
      <c r="J33" s="28"/>
    </row>
    <row r="34" spans="1:10">
      <c r="A34" s="1"/>
      <c r="B34" s="1">
        <v>13</v>
      </c>
      <c r="C34" s="1" t="s">
        <v>38</v>
      </c>
      <c r="D34" s="1">
        <v>2</v>
      </c>
      <c r="E34" s="1">
        <v>20</v>
      </c>
      <c r="F34" s="1">
        <v>16</v>
      </c>
      <c r="G34" s="1">
        <f t="shared" si="8"/>
        <v>320</v>
      </c>
      <c r="H34" s="1">
        <v>1.1000000000000001</v>
      </c>
      <c r="I34" s="2">
        <f t="shared" si="9"/>
        <v>704</v>
      </c>
      <c r="J34" s="28"/>
    </row>
    <row r="35" spans="1:10">
      <c r="A35" s="1"/>
      <c r="B35" s="1"/>
      <c r="C35" s="1"/>
      <c r="D35" s="1"/>
      <c r="E35" s="1"/>
      <c r="F35" s="1"/>
      <c r="G35" s="1">
        <f t="shared" si="8"/>
        <v>0</v>
      </c>
      <c r="H35" s="1">
        <v>1.1000000000000001</v>
      </c>
      <c r="I35" s="2">
        <f t="shared" si="9"/>
        <v>0</v>
      </c>
      <c r="J35" s="28"/>
    </row>
    <row r="36" spans="1:10">
      <c r="A36" s="1"/>
      <c r="B36" s="1"/>
      <c r="C36" s="1"/>
      <c r="D36" s="1"/>
      <c r="E36" s="1"/>
      <c r="F36" s="1"/>
      <c r="G36" s="1">
        <f t="shared" si="8"/>
        <v>0</v>
      </c>
      <c r="H36" s="1">
        <v>1.1000000000000001</v>
      </c>
      <c r="I36" s="2">
        <f t="shared" si="9"/>
        <v>0</v>
      </c>
      <c r="J36" s="28"/>
    </row>
    <row r="37" spans="1:10">
      <c r="A37" s="1"/>
      <c r="B37" s="1"/>
      <c r="C37" s="1"/>
      <c r="D37" s="1"/>
      <c r="E37" s="1"/>
      <c r="F37" s="1"/>
      <c r="G37" s="1">
        <f t="shared" si="8"/>
        <v>0</v>
      </c>
      <c r="H37" s="1">
        <v>1.1000000000000001</v>
      </c>
      <c r="I37" s="2">
        <f t="shared" si="9"/>
        <v>0</v>
      </c>
      <c r="J37" s="28"/>
    </row>
    <row r="38" spans="1:10">
      <c r="A38" s="1"/>
      <c r="B38" s="1"/>
      <c r="C38" s="1"/>
      <c r="D38" s="1"/>
      <c r="E38" s="1"/>
      <c r="F38" s="1"/>
      <c r="G38" s="1">
        <f t="shared" si="8"/>
        <v>0</v>
      </c>
      <c r="H38" s="1">
        <v>1.1000000000000001</v>
      </c>
      <c r="I38" s="2">
        <f t="shared" si="9"/>
        <v>0</v>
      </c>
      <c r="J38" s="28"/>
    </row>
    <row r="39" spans="1:10" ht="15" thickBot="1">
      <c r="A39" s="1"/>
      <c r="B39" s="1"/>
      <c r="C39" s="1"/>
      <c r="D39" s="1"/>
      <c r="E39" s="1"/>
      <c r="F39" s="1"/>
      <c r="G39" s="1"/>
      <c r="H39" s="1"/>
      <c r="I39" s="2">
        <f t="shared" si="9"/>
        <v>0</v>
      </c>
      <c r="J39" s="28"/>
    </row>
    <row r="40" spans="1:10" ht="15" thickBot="1">
      <c r="A40" s="1"/>
      <c r="B40" s="31" t="s">
        <v>39</v>
      </c>
      <c r="C40" s="32"/>
      <c r="D40" s="32"/>
      <c r="E40" s="32"/>
      <c r="F40" s="32"/>
      <c r="G40" s="32"/>
      <c r="H40" s="32"/>
      <c r="I40" s="13">
        <f>SUM(I32:I39)</f>
        <v>1261.931</v>
      </c>
      <c r="J40" s="28"/>
    </row>
    <row r="42" spans="1:10" ht="43.15">
      <c r="A42" s="12" t="s">
        <v>14</v>
      </c>
      <c r="B42" s="12" t="s">
        <v>15</v>
      </c>
      <c r="C42" s="12" t="s">
        <v>16</v>
      </c>
      <c r="D42" s="12" t="s">
        <v>17</v>
      </c>
      <c r="E42" s="12" t="s">
        <v>18</v>
      </c>
      <c r="F42" s="12" t="s">
        <v>19</v>
      </c>
      <c r="G42" s="12" t="s">
        <v>35</v>
      </c>
      <c r="H42" s="12" t="s">
        <v>22</v>
      </c>
      <c r="I42" s="12" t="s">
        <v>23</v>
      </c>
    </row>
    <row r="43" spans="1:10">
      <c r="A43" s="1" t="s">
        <v>40</v>
      </c>
      <c r="B43" s="1">
        <v>2</v>
      </c>
      <c r="C43" s="1" t="s">
        <v>26</v>
      </c>
      <c r="D43" s="1">
        <v>2</v>
      </c>
      <c r="E43" s="1">
        <v>20</v>
      </c>
      <c r="F43" s="1">
        <v>15</v>
      </c>
      <c r="G43" s="1">
        <f>E43*F43</f>
        <v>300</v>
      </c>
      <c r="H43" s="1">
        <v>1.1000000000000001</v>
      </c>
      <c r="I43" s="2">
        <f>D43*G43*H43</f>
        <v>660</v>
      </c>
    </row>
    <row r="44" spans="1:10">
      <c r="A44" s="1"/>
      <c r="B44" s="1">
        <v>6</v>
      </c>
      <c r="C44" s="1" t="s">
        <v>29</v>
      </c>
      <c r="D44" s="1">
        <v>1</v>
      </c>
      <c r="E44" s="1">
        <v>20.8</v>
      </c>
      <c r="F44" s="1">
        <v>16.5</v>
      </c>
      <c r="G44" s="1">
        <f t="shared" ref="G44:G45" si="10">E44*F44</f>
        <v>343.2</v>
      </c>
      <c r="H44" s="1">
        <v>1.1000000000000001</v>
      </c>
      <c r="I44" s="2">
        <f t="shared" ref="I44:I45" si="11">D44*G44*H44</f>
        <v>377.52000000000004</v>
      </c>
    </row>
    <row r="45" spans="1:10" ht="15" thickBot="1">
      <c r="A45" s="1"/>
      <c r="B45" s="1">
        <v>11</v>
      </c>
      <c r="C45" s="1" t="b">
        <v>0</v>
      </c>
      <c r="D45" s="1">
        <v>1</v>
      </c>
      <c r="E45" s="1">
        <v>47.2</v>
      </c>
      <c r="F45" s="1">
        <v>6.5</v>
      </c>
      <c r="G45" s="1">
        <f t="shared" si="10"/>
        <v>306.8</v>
      </c>
      <c r="H45" s="1">
        <v>1.1000000000000001</v>
      </c>
      <c r="I45" s="2">
        <f t="shared" si="11"/>
        <v>337.48</v>
      </c>
    </row>
    <row r="46" spans="1:10" ht="15" thickBot="1">
      <c r="A46" s="1"/>
      <c r="B46" s="31"/>
      <c r="C46" s="32"/>
      <c r="D46" s="32"/>
      <c r="E46" s="32"/>
      <c r="F46" s="32"/>
      <c r="G46" s="32"/>
      <c r="H46" s="32"/>
      <c r="I46" s="13">
        <f>SUM(I43:I45)</f>
        <v>1375</v>
      </c>
    </row>
    <row r="48" spans="1:10" ht="43.15">
      <c r="A48" s="12" t="s">
        <v>14</v>
      </c>
      <c r="B48" s="12" t="s">
        <v>15</v>
      </c>
      <c r="C48" s="12" t="s">
        <v>16</v>
      </c>
      <c r="D48" s="12" t="s">
        <v>17</v>
      </c>
      <c r="E48" s="12" t="s">
        <v>18</v>
      </c>
      <c r="F48" s="12" t="s">
        <v>19</v>
      </c>
      <c r="G48" s="12" t="s">
        <v>35</v>
      </c>
      <c r="H48" s="12" t="s">
        <v>22</v>
      </c>
      <c r="I48" s="12" t="s">
        <v>23</v>
      </c>
    </row>
    <row r="49" spans="1:9">
      <c r="A49" s="1" t="s">
        <v>41</v>
      </c>
      <c r="B49" s="1"/>
      <c r="C49" s="1" t="s">
        <v>42</v>
      </c>
      <c r="D49" s="1">
        <v>1</v>
      </c>
      <c r="E49" s="1">
        <v>38</v>
      </c>
      <c r="F49" s="1">
        <v>60</v>
      </c>
      <c r="G49" s="1">
        <f>E49*F49</f>
        <v>2280</v>
      </c>
      <c r="H49" s="1">
        <v>1.1000000000000001</v>
      </c>
      <c r="I49" s="2">
        <f>D49*G49*H49</f>
        <v>2508</v>
      </c>
    </row>
    <row r="50" spans="1:9">
      <c r="A50" s="1"/>
      <c r="B50" s="1"/>
      <c r="C50" s="1"/>
      <c r="D50" s="1"/>
      <c r="E50" s="1"/>
      <c r="F50" s="1"/>
      <c r="G50" s="1">
        <f t="shared" ref="G50:G51" si="12">E50*F50</f>
        <v>0</v>
      </c>
      <c r="H50" s="1">
        <v>1.1000000000000001</v>
      </c>
      <c r="I50" s="2">
        <f t="shared" ref="I50:I51" si="13">D50*G50*H50</f>
        <v>0</v>
      </c>
    </row>
    <row r="51" spans="1:9" ht="15" thickBot="1">
      <c r="A51" s="1"/>
      <c r="B51" s="1"/>
      <c r="C51" s="1"/>
      <c r="D51" s="1"/>
      <c r="E51" s="1"/>
      <c r="F51" s="1"/>
      <c r="G51" s="1">
        <f t="shared" si="12"/>
        <v>0</v>
      </c>
      <c r="H51" s="1">
        <v>1.1000000000000001</v>
      </c>
      <c r="I51" s="2">
        <f t="shared" si="13"/>
        <v>0</v>
      </c>
    </row>
    <row r="52" spans="1:9" ht="15" thickBot="1">
      <c r="A52" s="1"/>
      <c r="B52" s="31"/>
      <c r="C52" s="32"/>
      <c r="D52" s="32"/>
      <c r="E52" s="32"/>
      <c r="F52" s="32"/>
      <c r="G52" s="32"/>
      <c r="H52" s="32"/>
      <c r="I52" s="13">
        <f>SUM(I49:I51)</f>
        <v>2508</v>
      </c>
    </row>
    <row r="54" spans="1:9" ht="43.15">
      <c r="A54" s="12" t="s">
        <v>14</v>
      </c>
      <c r="B54" s="12" t="s">
        <v>15</v>
      </c>
      <c r="C54" s="12" t="s">
        <v>16</v>
      </c>
      <c r="D54" s="12" t="s">
        <v>17</v>
      </c>
      <c r="E54" s="12" t="s">
        <v>18</v>
      </c>
      <c r="F54" s="12" t="s">
        <v>19</v>
      </c>
      <c r="G54" s="12" t="s">
        <v>35</v>
      </c>
      <c r="H54" s="12" t="s">
        <v>22</v>
      </c>
      <c r="I54" s="12" t="s">
        <v>23</v>
      </c>
    </row>
    <row r="55" spans="1:9">
      <c r="A55" s="1"/>
      <c r="B55" s="1"/>
      <c r="C55" s="1"/>
      <c r="D55" s="1"/>
      <c r="E55" s="1"/>
      <c r="F55" s="1"/>
      <c r="G55" s="1">
        <f>E55*F55</f>
        <v>0</v>
      </c>
      <c r="H55" s="1">
        <v>1.1000000000000001</v>
      </c>
      <c r="I55" s="2">
        <f>D55*G55*H55</f>
        <v>0</v>
      </c>
    </row>
    <row r="56" spans="1:9">
      <c r="A56" s="1"/>
      <c r="B56" s="1"/>
      <c r="C56" s="1"/>
      <c r="D56" s="1"/>
      <c r="E56" s="1"/>
      <c r="F56" s="1"/>
      <c r="G56" s="1">
        <f t="shared" ref="G56:G57" si="14">E56*F56</f>
        <v>0</v>
      </c>
      <c r="H56" s="1">
        <v>1.1000000000000001</v>
      </c>
      <c r="I56" s="2">
        <f t="shared" ref="I56:I57" si="15">D56*G56*H56</f>
        <v>0</v>
      </c>
    </row>
    <row r="57" spans="1:9" ht="15" thickBot="1">
      <c r="A57" s="1"/>
      <c r="B57" s="1"/>
      <c r="C57" s="1"/>
      <c r="D57" s="1"/>
      <c r="E57" s="1"/>
      <c r="F57" s="1"/>
      <c r="G57" s="1">
        <f t="shared" si="14"/>
        <v>0</v>
      </c>
      <c r="H57" s="1">
        <v>1.1000000000000001</v>
      </c>
      <c r="I57" s="2">
        <f t="shared" si="15"/>
        <v>0</v>
      </c>
    </row>
    <row r="58" spans="1:9" ht="15" thickBot="1">
      <c r="A58" s="1"/>
      <c r="B58" s="31"/>
      <c r="C58" s="32"/>
      <c r="D58" s="32"/>
      <c r="E58" s="32"/>
      <c r="F58" s="32"/>
      <c r="G58" s="32"/>
      <c r="H58" s="32"/>
      <c r="I58" s="13">
        <f>SUM(I55:I57)</f>
        <v>0</v>
      </c>
    </row>
  </sheetData>
  <mergeCells count="20">
    <mergeCell ref="L8:O21"/>
    <mergeCell ref="F3:H3"/>
    <mergeCell ref="F2:H2"/>
    <mergeCell ref="C2:E2"/>
    <mergeCell ref="C3:E3"/>
    <mergeCell ref="C4:E4"/>
    <mergeCell ref="C5:E5"/>
    <mergeCell ref="I1:J5"/>
    <mergeCell ref="B21:I21"/>
    <mergeCell ref="F5:H5"/>
    <mergeCell ref="C1:E1"/>
    <mergeCell ref="B58:H58"/>
    <mergeCell ref="F1:H1"/>
    <mergeCell ref="F4:H4"/>
    <mergeCell ref="A1:B5"/>
    <mergeCell ref="B46:H46"/>
    <mergeCell ref="B40:H40"/>
    <mergeCell ref="A22:D22"/>
    <mergeCell ref="A29:I29"/>
    <mergeCell ref="B52:H5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K42"/>
  <sheetViews>
    <sheetView tabSelected="1" zoomScale="85" zoomScaleNormal="85" workbookViewId="0">
      <selection activeCell="A19" sqref="A19"/>
    </sheetView>
  </sheetViews>
  <sheetFormatPr defaultColWidth="11.42578125" defaultRowHeight="14.45"/>
  <cols>
    <col min="1" max="1" width="14.7109375" customWidth="1"/>
    <col min="8" max="9" width="14.42578125" customWidth="1"/>
  </cols>
  <sheetData>
    <row r="1" spans="1:11" ht="14.45" customHeight="1">
      <c r="A1" s="37"/>
      <c r="B1" s="38"/>
      <c r="C1" s="65" t="s">
        <v>0</v>
      </c>
      <c r="D1" s="66"/>
      <c r="E1" s="67"/>
      <c r="F1" s="48">
        <f>Hoja1!F1</f>
        <v>18</v>
      </c>
      <c r="G1" s="48"/>
      <c r="H1" s="48"/>
      <c r="I1" s="80" t="s">
        <v>1</v>
      </c>
      <c r="J1" s="81"/>
      <c r="K1" s="82"/>
    </row>
    <row r="2" spans="1:11" ht="14.45" customHeight="1">
      <c r="A2" s="39"/>
      <c r="B2" s="40"/>
      <c r="C2" s="49" t="s">
        <v>3</v>
      </c>
      <c r="D2" s="50"/>
      <c r="E2" s="51"/>
      <c r="F2" s="48" t="str">
        <f>Hoja1!F2</f>
        <v>BANDOLERA PARA DAMA</v>
      </c>
      <c r="G2" s="48"/>
      <c r="H2" s="48"/>
      <c r="I2" s="80"/>
      <c r="J2" s="81"/>
      <c r="K2" s="82"/>
    </row>
    <row r="3" spans="1:11" ht="14.45" customHeight="1">
      <c r="A3" s="39"/>
      <c r="B3" s="40"/>
      <c r="C3" s="49" t="s">
        <v>6</v>
      </c>
      <c r="D3" s="50"/>
      <c r="E3" s="51"/>
      <c r="F3" s="69">
        <f>Hoja1!F3</f>
        <v>44985</v>
      </c>
      <c r="G3" s="69"/>
      <c r="H3" s="69"/>
      <c r="I3" s="80"/>
      <c r="J3" s="81"/>
      <c r="K3" s="82"/>
    </row>
    <row r="4" spans="1:11" ht="14.45" customHeight="1">
      <c r="A4" s="39"/>
      <c r="B4" s="40"/>
      <c r="C4" s="49" t="s">
        <v>8</v>
      </c>
      <c r="D4" s="50"/>
      <c r="E4" s="51"/>
      <c r="F4" s="48" t="str">
        <f>Hoja1!F4</f>
        <v>SENA</v>
      </c>
      <c r="G4" s="48"/>
      <c r="H4" s="48"/>
      <c r="I4" s="80"/>
      <c r="J4" s="81"/>
      <c r="K4" s="82"/>
    </row>
    <row r="5" spans="1:11" ht="15" customHeight="1" thickBot="1">
      <c r="A5" s="41"/>
      <c r="B5" s="42"/>
      <c r="C5" s="52" t="s">
        <v>11</v>
      </c>
      <c r="D5" s="53"/>
      <c r="E5" s="54"/>
      <c r="F5" s="72" t="str">
        <f>Hoja1!F5</f>
        <v>celda de Producción</v>
      </c>
      <c r="G5" s="72"/>
      <c r="H5" s="72"/>
      <c r="I5" s="83"/>
      <c r="J5" s="84"/>
      <c r="K5" s="85"/>
    </row>
    <row r="6" spans="1:11" ht="6.6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8" spans="1:11" ht="43.15">
      <c r="A8" s="19" t="s">
        <v>43</v>
      </c>
      <c r="B8" s="19" t="s">
        <v>44</v>
      </c>
      <c r="C8" s="19" t="s">
        <v>45</v>
      </c>
      <c r="D8" s="19" t="s">
        <v>46</v>
      </c>
      <c r="E8" s="19" t="s">
        <v>47</v>
      </c>
      <c r="F8" s="17"/>
      <c r="H8" s="78" t="s">
        <v>14</v>
      </c>
      <c r="I8" s="79"/>
      <c r="J8" s="19" t="s">
        <v>48</v>
      </c>
      <c r="K8" s="19" t="s">
        <v>49</v>
      </c>
    </row>
    <row r="9" spans="1:11">
      <c r="A9" s="1" t="str">
        <f>Hoja1!A9</f>
        <v>cuero</v>
      </c>
      <c r="B9" s="1" t="s">
        <v>21</v>
      </c>
      <c r="C9" s="2">
        <f>Hoja1!J21</f>
        <v>33.637399999999992</v>
      </c>
      <c r="D9" s="1">
        <f>K9</f>
        <v>0</v>
      </c>
      <c r="E9" s="18">
        <f>C9*D9</f>
        <v>0</v>
      </c>
      <c r="H9" s="76" t="str">
        <f>A9</f>
        <v>cuero</v>
      </c>
      <c r="I9" s="77"/>
      <c r="J9" s="23" t="str">
        <f>B9</f>
        <v>dm^2</v>
      </c>
      <c r="K9" s="23">
        <v>0</v>
      </c>
    </row>
    <row r="10" spans="1:11">
      <c r="A10" s="1" t="str">
        <f>Hoja1!A25</f>
        <v>forro cerdo</v>
      </c>
      <c r="B10" s="1" t="s">
        <v>21</v>
      </c>
      <c r="C10" s="2">
        <f>Hoja1!J29</f>
        <v>5.9459999999999997</v>
      </c>
      <c r="D10" s="1">
        <f>K10</f>
        <v>0</v>
      </c>
      <c r="E10" s="18">
        <f t="shared" ref="E10:E26" si="0">C10*D10</f>
        <v>0</v>
      </c>
      <c r="H10" s="76" t="str">
        <f t="shared" ref="H10:H25" si="1">A10</f>
        <v>forro cerdo</v>
      </c>
      <c r="I10" s="77"/>
      <c r="J10" s="23" t="str">
        <f>B10</f>
        <v>dm^2</v>
      </c>
      <c r="K10" s="23">
        <v>0</v>
      </c>
    </row>
    <row r="11" spans="1:11">
      <c r="A11" s="1" t="str">
        <f>Hoja1!A32</f>
        <v>FORRO</v>
      </c>
      <c r="B11" s="1" t="s">
        <v>50</v>
      </c>
      <c r="C11" s="2">
        <f>Hoja1!I40/70</f>
        <v>18.027585714285713</v>
      </c>
      <c r="D11" s="1">
        <f>K11/100</f>
        <v>0</v>
      </c>
      <c r="E11" s="18">
        <f t="shared" si="0"/>
        <v>0</v>
      </c>
      <c r="H11" s="76" t="str">
        <f t="shared" si="1"/>
        <v>FORRO</v>
      </c>
      <c r="I11" s="77"/>
      <c r="J11" s="23" t="s">
        <v>51</v>
      </c>
      <c r="K11" s="23">
        <v>0</v>
      </c>
    </row>
    <row r="12" spans="1:11">
      <c r="A12" s="1" t="str">
        <f>Hoja1!A43</f>
        <v>salpa #3</v>
      </c>
      <c r="B12" s="1" t="s">
        <v>50</v>
      </c>
      <c r="C12" s="2">
        <f>Hoja1!I46/140</f>
        <v>9.8214285714285712</v>
      </c>
      <c r="D12" s="1">
        <f>K12/100</f>
        <v>0</v>
      </c>
      <c r="E12" s="18">
        <f t="shared" si="0"/>
        <v>0</v>
      </c>
      <c r="H12" s="76" t="str">
        <f t="shared" si="1"/>
        <v>salpa #3</v>
      </c>
      <c r="I12" s="77"/>
      <c r="J12" s="23" t="s">
        <v>51</v>
      </c>
      <c r="K12" s="23">
        <v>0</v>
      </c>
    </row>
    <row r="13" spans="1:11">
      <c r="A13" s="1" t="str">
        <f>Hoja1!A49</f>
        <v>cambre</v>
      </c>
      <c r="B13" s="1" t="s">
        <v>50</v>
      </c>
      <c r="C13" s="2">
        <f>Hoja1!I52/140</f>
        <v>17.914285714285715</v>
      </c>
      <c r="D13" s="1">
        <f>K13/100</f>
        <v>0</v>
      </c>
      <c r="E13" s="18">
        <f t="shared" ref="E13:E14" si="2">C13*D13</f>
        <v>0</v>
      </c>
      <c r="H13" s="76" t="str">
        <f t="shared" si="1"/>
        <v>cambre</v>
      </c>
      <c r="I13" s="77"/>
      <c r="J13" s="23" t="s">
        <v>51</v>
      </c>
      <c r="K13" s="23">
        <v>0</v>
      </c>
    </row>
    <row r="14" spans="1:11">
      <c r="A14" s="1">
        <f>Hoja1!A55</f>
        <v>0</v>
      </c>
      <c r="B14" s="1" t="s">
        <v>50</v>
      </c>
      <c r="C14" s="2">
        <f>Hoja1!I58/100</f>
        <v>0</v>
      </c>
      <c r="D14" s="1">
        <f>K14/100</f>
        <v>0</v>
      </c>
      <c r="E14" s="18">
        <f t="shared" si="2"/>
        <v>0</v>
      </c>
      <c r="H14" s="76">
        <f t="shared" si="1"/>
        <v>0</v>
      </c>
      <c r="I14" s="77"/>
      <c r="J14" s="23" t="s">
        <v>51</v>
      </c>
      <c r="K14" s="23">
        <v>0</v>
      </c>
    </row>
    <row r="15" spans="1:11">
      <c r="A15" s="1" t="s">
        <v>52</v>
      </c>
      <c r="B15" s="1" t="s">
        <v>53</v>
      </c>
      <c r="C15" s="1">
        <v>2</v>
      </c>
      <c r="D15" s="1">
        <f>K15</f>
        <v>0</v>
      </c>
      <c r="E15" s="18">
        <f t="shared" si="0"/>
        <v>0</v>
      </c>
      <c r="H15" s="76" t="str">
        <f t="shared" si="1"/>
        <v>cuadrante 1''</v>
      </c>
      <c r="I15" s="77"/>
      <c r="J15" s="23" t="str">
        <f>B15</f>
        <v>unid</v>
      </c>
      <c r="K15" s="23">
        <v>0</v>
      </c>
    </row>
    <row r="16" spans="1:11">
      <c r="A16" s="1" t="s">
        <v>54</v>
      </c>
      <c r="B16" s="1" t="s">
        <v>53</v>
      </c>
      <c r="C16" s="1">
        <v>1</v>
      </c>
      <c r="D16" s="1">
        <f>K164</f>
        <v>0</v>
      </c>
      <c r="E16" s="18">
        <f t="shared" si="0"/>
        <v>0</v>
      </c>
      <c r="H16" s="76" t="str">
        <f t="shared" si="1"/>
        <v>trabilla 1''</v>
      </c>
      <c r="I16" s="77"/>
      <c r="J16" s="23" t="str">
        <f t="shared" ref="J16:J20" si="3">B16</f>
        <v>unid</v>
      </c>
      <c r="K16" s="23">
        <v>0</v>
      </c>
    </row>
    <row r="17" spans="1:11">
      <c r="A17" s="1" t="s">
        <v>55</v>
      </c>
      <c r="B17" s="1" t="s">
        <v>53</v>
      </c>
      <c r="C17" s="1">
        <v>2</v>
      </c>
      <c r="D17" s="1">
        <f>K17/100</f>
        <v>0</v>
      </c>
      <c r="E17" s="18">
        <f t="shared" si="0"/>
        <v>0</v>
      </c>
      <c r="H17" s="76" t="str">
        <f t="shared" si="1"/>
        <v>hebilla coscoja 3/4''</v>
      </c>
      <c r="I17" s="77"/>
      <c r="J17" s="23" t="str">
        <f t="shared" si="3"/>
        <v>unid</v>
      </c>
      <c r="K17" s="23">
        <v>0</v>
      </c>
    </row>
    <row r="18" spans="1:11">
      <c r="A18" s="1" t="s">
        <v>56</v>
      </c>
      <c r="B18" s="1" t="s">
        <v>53</v>
      </c>
      <c r="C18" s="1">
        <v>8</v>
      </c>
      <c r="D18" s="1">
        <f>K18</f>
        <v>0</v>
      </c>
      <c r="E18" s="18">
        <f t="shared" si="0"/>
        <v>0</v>
      </c>
      <c r="H18" s="76" t="str">
        <f t="shared" si="1"/>
        <v>remache tubular sencillo #6</v>
      </c>
      <c r="I18" s="77"/>
      <c r="J18" s="23" t="str">
        <f t="shared" si="3"/>
        <v>unid</v>
      </c>
      <c r="K18" s="23">
        <v>0</v>
      </c>
    </row>
    <row r="19" spans="1:11">
      <c r="A19" s="1" t="s">
        <v>57</v>
      </c>
      <c r="B19" s="1" t="s">
        <v>53</v>
      </c>
      <c r="C19" s="1">
        <v>6</v>
      </c>
      <c r="D19" s="1">
        <f>K19/100</f>
        <v>0</v>
      </c>
      <c r="E19" s="18">
        <f t="shared" si="0"/>
        <v>0</v>
      </c>
      <c r="H19" s="76" t="str">
        <f t="shared" si="1"/>
        <v>remache tubular #6 doble cabeza</v>
      </c>
      <c r="I19" s="77"/>
      <c r="J19" s="23" t="str">
        <f t="shared" si="3"/>
        <v>unid</v>
      </c>
      <c r="K19" s="23">
        <v>0</v>
      </c>
    </row>
    <row r="20" spans="1:11">
      <c r="A20" s="1" t="s">
        <v>58</v>
      </c>
      <c r="B20" s="1" t="s">
        <v>53</v>
      </c>
      <c r="C20" s="1">
        <v>2</v>
      </c>
      <c r="D20" s="1">
        <f>K20</f>
        <v>0</v>
      </c>
      <c r="E20" s="18">
        <f t="shared" si="0"/>
        <v>0</v>
      </c>
      <c r="H20" s="76" t="str">
        <f t="shared" si="1"/>
        <v>broche iman mediano</v>
      </c>
      <c r="I20" s="77"/>
      <c r="J20" s="23" t="str">
        <f t="shared" si="3"/>
        <v>unid</v>
      </c>
      <c r="K20" s="23">
        <v>0</v>
      </c>
    </row>
    <row r="21" spans="1:11">
      <c r="A21" s="1" t="s">
        <v>59</v>
      </c>
      <c r="B21" s="1" t="s">
        <v>50</v>
      </c>
      <c r="C21" s="1">
        <v>140</v>
      </c>
      <c r="D21" s="1">
        <f>K21/500</f>
        <v>0</v>
      </c>
      <c r="E21" s="18">
        <f t="shared" si="0"/>
        <v>0</v>
      </c>
      <c r="H21" s="76" t="str">
        <f t="shared" si="1"/>
        <v>cordon</v>
      </c>
      <c r="I21" s="77"/>
      <c r="J21" s="23" t="s">
        <v>51</v>
      </c>
      <c r="K21" s="23">
        <v>0</v>
      </c>
    </row>
    <row r="22" spans="1:11">
      <c r="A22" s="1"/>
      <c r="B22" s="1" t="s">
        <v>50</v>
      </c>
      <c r="C22" s="1">
        <v>160</v>
      </c>
      <c r="D22" s="1">
        <f>K22/500</f>
        <v>0</v>
      </c>
      <c r="E22" s="18">
        <f t="shared" si="0"/>
        <v>0</v>
      </c>
      <c r="H22" s="76">
        <f t="shared" si="1"/>
        <v>0</v>
      </c>
      <c r="I22" s="77"/>
      <c r="J22" s="23"/>
      <c r="K22" s="23">
        <v>0</v>
      </c>
    </row>
    <row r="23" spans="1:11">
      <c r="A23" s="1" t="s">
        <v>60</v>
      </c>
      <c r="B23" s="1" t="s">
        <v>61</v>
      </c>
      <c r="C23" s="2">
        <f>(Hoja1!H22+(160*2))*3/100</f>
        <v>26.67</v>
      </c>
      <c r="D23" s="2">
        <f>K23/3000</f>
        <v>0</v>
      </c>
      <c r="E23" s="18">
        <f t="shared" si="0"/>
        <v>0</v>
      </c>
      <c r="H23" s="76" t="str">
        <f t="shared" si="1"/>
        <v>hilo x 3000</v>
      </c>
      <c r="I23" s="77"/>
      <c r="J23" s="23" t="s">
        <v>62</v>
      </c>
      <c r="K23" s="23">
        <v>0</v>
      </c>
    </row>
    <row r="24" spans="1:11">
      <c r="A24" s="1" t="s">
        <v>63</v>
      </c>
      <c r="B24" s="1" t="s">
        <v>64</v>
      </c>
      <c r="C24" s="1">
        <v>30</v>
      </c>
      <c r="D24" s="1">
        <f>K24/3000</f>
        <v>0</v>
      </c>
      <c r="E24" s="18">
        <f t="shared" si="0"/>
        <v>0</v>
      </c>
      <c r="H24" s="76" t="str">
        <f t="shared" si="1"/>
        <v>pegante x 3000</v>
      </c>
      <c r="I24" s="77"/>
      <c r="J24" s="23" t="s">
        <v>65</v>
      </c>
      <c r="K24" s="23">
        <v>0</v>
      </c>
    </row>
    <row r="25" spans="1:11">
      <c r="A25" s="1" t="s">
        <v>66</v>
      </c>
      <c r="B25" s="1"/>
      <c r="C25" s="1">
        <v>1</v>
      </c>
      <c r="D25" s="1">
        <f>K25</f>
        <v>0</v>
      </c>
      <c r="E25" s="18">
        <f t="shared" si="0"/>
        <v>0</v>
      </c>
      <c r="H25" s="76" t="str">
        <f t="shared" si="1"/>
        <v>mano de obra</v>
      </c>
      <c r="I25" s="77"/>
      <c r="J25" s="23" t="s">
        <v>67</v>
      </c>
      <c r="K25" s="23">
        <v>0</v>
      </c>
    </row>
    <row r="26" spans="1:11">
      <c r="A26" s="1" t="s">
        <v>68</v>
      </c>
      <c r="B26" s="1"/>
      <c r="C26" s="2"/>
      <c r="D26" s="1">
        <f>K26/100</f>
        <v>0</v>
      </c>
      <c r="E26" s="18">
        <f t="shared" si="0"/>
        <v>0</v>
      </c>
      <c r="H26" s="76" t="str">
        <f>A26</f>
        <v>empaque (cambre)</v>
      </c>
      <c r="I26" s="77"/>
      <c r="J26" s="23" t="s">
        <v>51</v>
      </c>
      <c r="K26" s="23">
        <v>0</v>
      </c>
    </row>
    <row r="27" spans="1:11">
      <c r="A27" s="73" t="s">
        <v>69</v>
      </c>
      <c r="B27" s="73"/>
      <c r="C27" s="73"/>
      <c r="D27" s="73"/>
      <c r="E27" s="21">
        <f>SUM(E9:E26)</f>
        <v>0</v>
      </c>
    </row>
    <row r="28" spans="1:11">
      <c r="A28" s="45" t="s">
        <v>70</v>
      </c>
      <c r="B28" s="45"/>
      <c r="C28" s="20">
        <v>0</v>
      </c>
      <c r="D28" s="1"/>
      <c r="E28" s="18">
        <f>E27*C28</f>
        <v>0</v>
      </c>
    </row>
    <row r="29" spans="1:11" ht="14.45" customHeight="1">
      <c r="A29" s="45" t="s">
        <v>71</v>
      </c>
      <c r="B29" s="45"/>
      <c r="C29" s="20">
        <v>0</v>
      </c>
      <c r="D29" s="1"/>
      <c r="E29" s="18">
        <f>E27*C29</f>
        <v>0</v>
      </c>
      <c r="G29" s="71" t="s">
        <v>72</v>
      </c>
      <c r="H29" s="71" t="s">
        <v>73</v>
      </c>
      <c r="I29" s="71"/>
      <c r="J29" s="71"/>
      <c r="K29" s="71"/>
    </row>
    <row r="30" spans="1:11">
      <c r="A30" s="45" t="s">
        <v>74</v>
      </c>
      <c r="B30" s="45"/>
      <c r="C30" s="20">
        <v>0</v>
      </c>
      <c r="D30" s="1"/>
      <c r="E30" s="18">
        <f>E27*C30</f>
        <v>0</v>
      </c>
      <c r="G30" s="71"/>
      <c r="H30" s="71"/>
      <c r="I30" s="71"/>
      <c r="J30" s="71"/>
      <c r="K30" s="71"/>
    </row>
    <row r="31" spans="1:11">
      <c r="A31" s="31" t="s">
        <v>75</v>
      </c>
      <c r="B31" s="32"/>
      <c r="C31" s="32"/>
      <c r="D31" s="70"/>
      <c r="E31" s="22">
        <f>SUM(E27:E30)</f>
        <v>0</v>
      </c>
      <c r="G31" s="71"/>
      <c r="H31" s="71"/>
      <c r="I31" s="71"/>
      <c r="J31" s="71"/>
      <c r="K31" s="71"/>
    </row>
    <row r="34" spans="1:5">
      <c r="A34" s="27" t="s">
        <v>76</v>
      </c>
      <c r="B34" s="26" t="s">
        <v>77</v>
      </c>
      <c r="C34" s="1" t="s">
        <v>78</v>
      </c>
      <c r="D34" s="74"/>
      <c r="E34" s="75"/>
    </row>
    <row r="35" spans="1:5" ht="28.9">
      <c r="A35" s="27" t="s">
        <v>79</v>
      </c>
      <c r="B35" s="26" t="s">
        <v>80</v>
      </c>
      <c r="C35" s="27" t="s">
        <v>81</v>
      </c>
      <c r="D35" s="74"/>
      <c r="E35" s="75"/>
    </row>
    <row r="36" spans="1:5" ht="28.9" customHeight="1">
      <c r="A36" s="27" t="s">
        <v>82</v>
      </c>
      <c r="B36" s="26">
        <v>110</v>
      </c>
      <c r="C36" s="27" t="s">
        <v>83</v>
      </c>
      <c r="D36" s="31"/>
      <c r="E36" s="70"/>
    </row>
    <row r="37" spans="1:5">
      <c r="A37" s="27" t="s">
        <v>84</v>
      </c>
      <c r="B37" s="26">
        <v>40</v>
      </c>
    </row>
    <row r="38" spans="1:5">
      <c r="A38" s="27" t="s">
        <v>85</v>
      </c>
      <c r="B38" s="26" t="s">
        <v>86</v>
      </c>
    </row>
    <row r="39" spans="1:5">
      <c r="A39" s="1" t="s">
        <v>87</v>
      </c>
      <c r="B39" s="25"/>
      <c r="C39" s="68"/>
      <c r="D39" s="68"/>
      <c r="E39" s="68"/>
    </row>
    <row r="40" spans="1:5">
      <c r="A40" s="1" t="s">
        <v>88</v>
      </c>
      <c r="B40" s="25"/>
      <c r="C40" s="68"/>
      <c r="D40" s="68"/>
      <c r="E40" s="68"/>
    </row>
    <row r="41" spans="1:5">
      <c r="A41" s="1" t="s">
        <v>89</v>
      </c>
      <c r="B41" s="25"/>
      <c r="C41" s="68"/>
      <c r="D41" s="68"/>
      <c r="E41" s="68"/>
    </row>
    <row r="42" spans="1:5">
      <c r="A42" s="1" t="s">
        <v>90</v>
      </c>
      <c r="B42" s="25"/>
      <c r="C42" s="68"/>
      <c r="D42" s="68"/>
      <c r="E42" s="68"/>
    </row>
  </sheetData>
  <mergeCells count="42">
    <mergeCell ref="H8:I8"/>
    <mergeCell ref="I1:K5"/>
    <mergeCell ref="H19:I19"/>
    <mergeCell ref="H20:I20"/>
    <mergeCell ref="H21:I21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D35:E35"/>
    <mergeCell ref="H24:I24"/>
    <mergeCell ref="H25:I25"/>
    <mergeCell ref="H26:I26"/>
    <mergeCell ref="H22:I22"/>
    <mergeCell ref="H23:I23"/>
    <mergeCell ref="A27:D27"/>
    <mergeCell ref="A28:B28"/>
    <mergeCell ref="A29:B29"/>
    <mergeCell ref="A30:B30"/>
    <mergeCell ref="D34:E34"/>
    <mergeCell ref="C5:E5"/>
    <mergeCell ref="F1:H1"/>
    <mergeCell ref="C39:E42"/>
    <mergeCell ref="F2:H2"/>
    <mergeCell ref="F3:H3"/>
    <mergeCell ref="F4:H4"/>
    <mergeCell ref="A31:D31"/>
    <mergeCell ref="G29:G31"/>
    <mergeCell ref="H29:K31"/>
    <mergeCell ref="A1:B5"/>
    <mergeCell ref="C1:E1"/>
    <mergeCell ref="C2:E2"/>
    <mergeCell ref="C3:E3"/>
    <mergeCell ref="C4:E4"/>
    <mergeCell ref="F5:H5"/>
    <mergeCell ref="D36:E36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Mauricio Alejandro Rivera Restrepo</cp:lastModifiedBy>
  <cp:revision/>
  <dcterms:created xsi:type="dcterms:W3CDTF">2022-08-19T12:15:56Z</dcterms:created>
  <dcterms:modified xsi:type="dcterms:W3CDTF">2023-03-07T18:30:00Z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