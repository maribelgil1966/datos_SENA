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EMELY RIVERA\SOBRE ESTERILLADO TECNICO\"/>
    </mc:Choice>
  </mc:AlternateContent>
  <xr:revisionPtr revIDLastSave="0" documentId="13_ncr:1_{C3719DD9-24E0-461D-9274-BC97F7EECA0E}" xr6:coauthVersionLast="36" xr6:coauthVersionMax="47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W16" i="43" s="1"/>
  <c r="H18" i="61" a="1"/>
  <c r="H18" i="61" s="1"/>
  <c r="S17" i="43"/>
  <c r="H19" i="61" s="1" a="1"/>
  <c r="H19" i="61" s="1"/>
  <c r="S18" i="43"/>
  <c r="H20" i="61" s="1" a="1"/>
  <c r="H20" i="61" s="1"/>
  <c r="S19" i="43"/>
  <c r="H21" i="61" a="1"/>
  <c r="H21" i="61" s="1"/>
  <c r="S20" i="43"/>
  <c r="H22" i="61" s="1" a="1"/>
  <c r="H22" i="61" s="1"/>
  <c r="S21" i="43"/>
  <c r="H23" i="61" a="1"/>
  <c r="H23" i="61" s="1"/>
  <c r="S22" i="43"/>
  <c r="H24" i="61" s="1" a="1"/>
  <c r="H24" i="61" s="1"/>
  <c r="S23" i="43"/>
  <c r="H25" i="6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20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7" i="43" l="1"/>
  <c r="D5" i="43" s="1"/>
  <c r="B8" i="61" s="1"/>
  <c r="K14" i="61" a="1"/>
  <c r="K14" i="61" s="1"/>
  <c r="B14" i="61"/>
  <c r="O14" i="61"/>
  <c r="K24" i="61" a="1"/>
  <c r="K24" i="61" s="1"/>
  <c r="B24" i="61"/>
  <c r="O24" i="61"/>
  <c r="K23" i="61" a="1"/>
  <c r="K23" i="61" s="1"/>
  <c r="B23" i="61"/>
  <c r="O23" i="61"/>
  <c r="K13" i="61" a="1"/>
  <c r="K13" i="61" s="1"/>
  <c r="O13" i="61"/>
  <c r="B13" i="61"/>
  <c r="K12" i="61" a="1"/>
  <c r="K12" i="61" s="1"/>
  <c r="B12" i="61"/>
  <c r="O12" i="61"/>
  <c r="K21" i="61" a="1"/>
  <c r="K21" i="61" s="1"/>
  <c r="O21" i="61"/>
  <c r="B21" i="61"/>
  <c r="K22" i="61" a="1"/>
  <c r="K22" i="61" s="1"/>
  <c r="B22" i="61"/>
  <c r="O22" i="61"/>
  <c r="K25" i="61" a="1"/>
  <c r="K25" i="61" s="1"/>
  <c r="O25" i="61"/>
  <c r="B25" i="61"/>
  <c r="K30" i="61" a="1"/>
  <c r="K30" i="61" s="1"/>
  <c r="O30" i="61"/>
  <c r="B30" i="61"/>
  <c r="K20" i="61" a="1"/>
  <c r="K20" i="61" s="1"/>
  <c r="B20" i="61"/>
  <c r="O20" i="61"/>
  <c r="K29" i="61" a="1"/>
  <c r="K29" i="61" s="1"/>
  <c r="O29" i="61"/>
  <c r="B29" i="61"/>
  <c r="K19" i="61" a="1"/>
  <c r="K19" i="61" s="1"/>
  <c r="B19" i="61"/>
  <c r="O19" i="61"/>
  <c r="B28" i="61"/>
  <c r="O28" i="61"/>
  <c r="K28" i="61" a="1"/>
  <c r="K28" i="61" s="1"/>
  <c r="B27" i="61"/>
  <c r="O27" i="61"/>
  <c r="K27" i="61" a="1"/>
  <c r="K27" i="61" s="1"/>
  <c r="K18" i="61" a="1"/>
  <c r="K18" i="61" s="1"/>
  <c r="B18" i="61"/>
  <c r="O18" i="61"/>
  <c r="O32" i="61"/>
  <c r="K32" i="61" a="1"/>
  <c r="K32" i="61" s="1"/>
  <c r="B32" i="61"/>
  <c r="K17" i="61" a="1"/>
  <c r="K17" i="61" s="1"/>
  <c r="O17" i="61"/>
  <c r="B17" i="61"/>
  <c r="K31" i="61" a="1"/>
  <c r="K31" i="61" s="1"/>
  <c r="B31" i="61"/>
  <c r="O31" i="61"/>
  <c r="O26" i="61"/>
  <c r="K26" i="61" a="1"/>
  <c r="K26" i="61" s="1"/>
  <c r="B26" i="61"/>
  <c r="K16" i="61" a="1"/>
  <c r="K16" i="61" s="1"/>
  <c r="B16" i="61"/>
  <c r="O16" i="61"/>
  <c r="K15" i="61" a="1"/>
  <c r="K15" i="61" s="1"/>
  <c r="B15" i="61"/>
  <c r="O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<sst xmlns="http://schemas.openxmlformats.org/spreadsheetml/2006/main" count="5021" uniqueCount="1391">
  <si>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</si>
  <si>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</si>
  <si>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</si>
  <si>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</si>
  <si>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</si>
  <si>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</si>
  <si>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</si>
  <si>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</si>
  <si>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</si>
  <si>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</si>
  <si>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</si>
  <si>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</si>
  <si>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</si>
  <si>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</si>
  <si>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</si>
  <si>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</si>
  <si>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</si>
  <si>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</si>
  <si>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</si>
  <si>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</si>
  <si>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</si>
  <si>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</si>
  <si>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</si>
  <si>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</si>
  <si>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</si>
  <si>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</si>
  <si>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</si>
  <si>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</si>
  <si>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</si>
  <si>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</si>
  <si>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</si>
  <si>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</si>
  <si>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</si>
  <si>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</si>
  <si>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</si>
  <si>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</si>
  <si>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</si>
  <si>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</si>
  <si>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</si>
  <si>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</si>
  <si>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</si>
  <si>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</si>
  <si>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</si>
  <si>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</si>
  <si>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</si>
  <si>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</si>
  <si>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</si>
  <si>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</si>
  <si>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</si>
  <si>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</si>
  <si>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</si>
  <si>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</si>
  <si>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</si>
  <si>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</si>
  <si>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</si>
  <si>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</si>
  <si>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</si>
  <si>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</si>
  <si>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</si>
  <si>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</si>
  <si>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</si>
  <si>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</si>
  <si>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</si>
  <si>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</si>
  <si>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</si>
  <si>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</si>
  <si>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</si>
  <si>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</si>
  <si>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</si>
  <si>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</si>
  <si>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</si>
  <si>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</si>
  <si>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</si>
  <si>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</si>
  <si>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</si>
  <si>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</si>
  <si>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</si>
  <si>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</si>
  <si>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</si>
  <si>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</si>
  <si>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</si>
  <si>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</si>
  <si>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</si>
  <si>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</si>
  <si>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</si>
  <si>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</si>
  <si>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</si>
  <si>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</si>
  <si>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</si>
  <si>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</si>
  <si>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</si>
  <si>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</si>
  <si>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</si>
  <si>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</si>
  <si>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</si>
  <si>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</si>
  <si>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</si>
  <si>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</si>
  <si>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</si>
  <si>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</si>
  <si>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</si>
  <si>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</si>
  <si>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</si>
  <si>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</si>
  <si>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</si>
  <si>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</si>
  <si>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</si>
  <si>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</si>
  <si>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</si>
  <si>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</si>
  <si>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</si>
  <si>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</si>
  <si>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</si>
  <si>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</si>
  <si>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</si>
  <si>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</si>
  <si>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</si>
  <si>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</si>
  <si>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</si>
  <si>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</si>
  <si>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</si>
  <si>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</si>
  <si>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</si>
  <si>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</si>
  <si>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</si>
  <si>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</si>
  <si>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</si>
  <si>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</si>
  <si>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</si>
  <si>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</si>
  <si>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</si>
  <si>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</si>
  <si>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</si>
  <si>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</si>
  <si>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</si>
  <si>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</si>
  <si>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</si>
  <si>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</si>
  <si>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</si>
  <si>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</si>
  <si>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</si>
  <si>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</si>
  <si>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</si>
  <si>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</si>
  <si>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</si>
  <si>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</si>
  <si>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</si>
  <si>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</si>
  <si>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</si>
  <si>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</si>
  <si>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</si>
  <si>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</si>
  <si>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</si>
  <si>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</si>
  <si>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</si>
  <si>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</si>
  <si>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</si>
  <si>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</si>
  <si>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</si>
  <si>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</si>
  <si>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</si>
  <si>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</si>
  <si>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</si>
  <si>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</si>
  <si>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</si>
  <si>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</si>
  <si>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</si>
  <si>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</si>
  <si>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</si>
  <si>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</si>
  <si>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</si>
  <si>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</si>
  <si>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</si>
  <si>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</si>
  <si>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</si>
  <si>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</si>
  <si>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</si>
  <si>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</si>
  <si>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</si>
  <si>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</si>
  <si>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</si>
  <si>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</si>
  <si>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</si>
  <si>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</si>
  <si>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</si>
  <si>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</si>
  <si>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</si>
  <si>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</si>
  <si>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</si>
  <si>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</si>
  <si>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</si>
  <si>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</si>
  <si>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</si>
  <si>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</si>
  <si>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</si>
  <si>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</si>
  <si>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</si>
  <si>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</si>
  <si>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</si>
  <si>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</si>
  <si>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</si>
  <si>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</si>
  <si>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</si>
  <si>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</si>
  <si>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</si>
  <si>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</si>
  <si>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</si>
  <si>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</si>
  <si>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</si>
  <si>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</si>
  <si>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</si>
  <si>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</si>
  <si>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</si>
  <si>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</si>
  <si>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</si>
  <si>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</si>
  <si>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</si>
  <si>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</si>
  <si>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</si>
  <si>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</si>
  <si>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</si>
  <si>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</si>
  <si>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</si>
  <si>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</si>
  <si>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</si>
  <si>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</si>
  <si>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</si>
  <si>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</si>
  <si>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</si>
  <si>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</si>
  <si>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</si>
  <si>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</si>
  <si>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</si>
  <si>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</si>
  <si>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</si>
  <si>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</si>
  <si>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</si>
  <si>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</si>
  <si>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</si>
  <si>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</si>
  <si>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</si>
  <si>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</si>
  <si>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</si>
  <si>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</si>
  <si>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</si>
  <si>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</si>
  <si>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</si>
  <si>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</si>
  <si>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</si>
  <si>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</si>
  <si>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</si>
  <si>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</si>
  <si>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</si>
  <si>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</si>
  <si>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</si>
  <si>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</si>
  <si>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</si>
  <si>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</si>
  <si>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</si>
  <si>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</si>
  <si>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</si>
  <si>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</si>
  <si>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</si>
  <si>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</si>
  <si>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</si>
  <si>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</si>
  <si>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</si>
  <si>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</si>
  <si>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</si>
  <si>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</si>
  <si>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</si>
  <si>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</si>
  <si>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</si>
  <si>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</si>
  <si>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</si>
  <si>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</si>
  <si>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</si>
  <si>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</si>
  <si>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</si>
  <si>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</si>
  <si>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</si>
  <si>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</si>
  <si>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</si>
  <si>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</si>
  <si>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</si>
  <si>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</si>
  <si>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</si>
  <si>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</si>
  <si>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</si>
  <si>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</si>
  <si>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</si>
  <si>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</si>
  <si>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</si>
  <si>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</si>
  <si>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</si>
  <si>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</si>
  <si>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</si>
  <si>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</si>
  <si>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</si>
  <si>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</si>
  <si>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</si>
  <si>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</si>
  <si>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</si>
  <si>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</si>
  <si>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</si>
  <si>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</si>
  <si>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</si>
  <si>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</si>
  <si>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</si>
  <si>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</si>
  <si>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</si>
  <si>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</si>
  <si>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</si>
  <si>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</si>
  <si>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</si>
  <si>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</si>
  <si>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</si>
  <si>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</si>
  <si>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</si>
  <si>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</si>
  <si>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</si>
  <si>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</si>
  <si>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</si>
  <si>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</si>
  <si>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</si>
  <si>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</si>
  <si>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</si>
  <si>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</si>
  <si>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</si>
  <si>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</si>
  <si>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</si>
  <si>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</si>
  <si>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</si>
  <si>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</si>
  <si>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</si>
  <si>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</si>
  <si>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</si>
  <si>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</si>
  <si>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</si>
  <si>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</si>
  <si>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</si>
  <si>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</si>
  <si>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</si>
  <si>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</si>
  <si>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</si>
  <si>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</si>
  <si>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</si>
  <si>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</si>
  <si>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</si>
  <si>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</si>
  <si>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</si>
  <si>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</si>
  <si>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</si>
  <si>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</si>
  <si>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</si>
  <si>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</si>
  <si>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</si>
  <si>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</si>
  <si>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</si>
  <si>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</si>
  <si>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</si>
  <si>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</si>
  <si>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</si>
  <si>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</si>
  <si>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</si>
  <si>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</si>
  <si>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</si>
  <si>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</si>
  <si>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</si>
  <si>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</si>
  <si>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</si>
  <si>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</si>
  <si>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</si>
  <si>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</si>
  <si>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</si>
  <si>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</si>
  <si>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</si>
  <si>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</si>
  <si>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</si>
  <si>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</si>
  <si>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</si>
  <si>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</si>
  <si>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</si>
  <si>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</si>
  <si>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</si>
  <si>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</si>
  <si>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</si>
  <si>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</si>
  <si>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</si>
  <si>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</si>
  <si>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</si>
  <si>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</si>
  <si>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</si>
  <si>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</si>
  <si>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</si>
  <si>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</si>
  <si>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</si>
  <si>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</si>
  <si>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</si>
  <si>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</si>
  <si>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</si>
  <si>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</si>
  <si>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</si>
  <si>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</si>
  <si>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</si>
  <si>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</si>
  <si>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</si>
  <si>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</si>
  <si>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</si>
  <si>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</si>
  <si>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</si>
  <si>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</si>
  <si>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</si>
  <si>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</si>
  <si>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</si>
  <si>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</si>
  <si>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</si>
  <si>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</si>
  <si>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</si>
  <si>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</si>
  <si>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</si>
  <si>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</si>
  <si>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</si>
  <si>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</si>
  <si>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</si>
  <si>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</si>
  <si>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</si>
  <si>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</si>
  <si>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</si>
  <si>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</si>
  <si>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</si>
  <si>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</si>
  <si>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</si>
  <si>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</si>
  <si>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</si>
  <si>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</si>
  <si>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</si>
  <si>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</si>
  <si>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</si>
  <si>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</si>
  <si>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</si>
  <si>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</si>
  <si>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</si>
  <si>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</si>
  <si>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</si>
  <si>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</si>
  <si>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</si>
  <si>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</si>
  <si>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</si>
  <si>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</si>
  <si>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</si>
  <si>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</si>
  <si>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</si>
  <si>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</si>
  <si>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</si>
  <si>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</si>
  <si>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</si>
  <si>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</si>
  <si>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</si>
  <si>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</si>
  <si>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</si>
  <si>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</si>
  <si>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</si>
  <si>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</si>
  <si>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</si>
  <si>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</si>
  <si>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</si>
  <si>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</si>
  <si>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</si>
  <si>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</si>
  <si>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</si>
  <si>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</si>
  <si>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</si>
  <si>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</si>
  <si>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</si>
  <si>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</si>
  <si>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</si>
  <si>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</si>
  <si>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</si>
  <si>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</si>
  <si>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</si>
  <si>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</si>
  <si>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</si>
  <si>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</si>
  <si>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</si>
  <si>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</si>
  <si>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</si>
  <si>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</si>
  <si>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</si>
  <si>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</si>
  <si>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</si>
  <si>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</si>
  <si>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</si>
  <si>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</si>
  <si>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</si>
  <si>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</si>
  <si>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</si>
  <si>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</si>
  <si>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</si>
  <si>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</si>
  <si>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</si>
  <si>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</si>
  <si>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</si>
  <si>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</si>
  <si>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</si>
  <si>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</si>
  <si>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</si>
  <si>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</si>
  <si>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</si>
  <si>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</si>
  <si>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</si>
  <si>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</si>
  <si>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</si>
  <si>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</si>
  <si>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</si>
  <si>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</si>
  <si>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</si>
  <si>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</si>
  <si>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</si>
  <si>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</si>
  <si>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</si>
  <si>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</si>
  <si>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</si>
  <si>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</si>
  <si>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</si>
  <si>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</si>
  <si>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</si>
  <si>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</si>
  <si>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</si>
  <si>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</si>
  <si>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</si>
  <si>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</si>
  <si>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</si>
  <si>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</si>
  <si>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</si>
  <si>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</si>
  <si>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</si>
  <si>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</si>
  <si>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</si>
  <si>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</si>
  <si>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</si>
  <si>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</si>
  <si>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</si>
  <si>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</si>
  <si>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</si>
  <si>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</si>
  <si>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</si>
  <si>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</si>
  <si>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</si>
  <si>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</si>
  <si>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</si>
  <si>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</si>
  <si>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</si>
  <si>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</si>
  <si>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</si>
  <si>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</si>
  <si>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</si>
  <si>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</si>
  <si>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</si>
  <si>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</si>
  <si>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</si>
  <si>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</si>
  <si>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</si>
  <si>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</si>
  <si>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</si>
  <si>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</si>
  <si>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</si>
  <si>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</si>
  <si>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</si>
  <si>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</si>
  <si>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</si>
  <si>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</si>
  <si>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</si>
  <si>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</si>
  <si>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</si>
  <si>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</si>
  <si>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</si>
  <si>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</si>
  <si>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</si>
  <si>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</si>
  <si>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</si>
  <si>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</si>
  <si>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</si>
  <si>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</si>
  <si>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</si>
  <si>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</si>
  <si>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</si>
  <si>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</si>
  <si>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</si>
  <si>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</si>
  <si>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</si>
  <si>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</si>
  <si>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</si>
  <si>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</si>
  <si>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</si>
  <si>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</si>
  <si>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</si>
  <si>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</si>
  <si>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</si>
  <si>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</si>
  <si>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</si>
  <si>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</si>
  <si>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</si>
  <si>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</si>
  <si>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</si>
  <si>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</si>
  <si>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</si>
  <si>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</si>
  <si>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</si>
  <si>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</si>
  <si>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</si>
  <si>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</si>
  <si>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</si>
  <si>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</si>
  <si>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</si>
  <si>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</si>
  <si>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</si>
  <si>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</si>
  <si>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</si>
  <si>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</si>
  <si>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</si>
  <si>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</si>
  <si>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</si>
  <si>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</si>
  <si>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</si>
  <si>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</si>
  <si>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</si>
  <si>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</si>
  <si>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</si>
  <si>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</si>
  <si>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</si>
  <si>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</si>
  <si>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</si>
  <si>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</si>
  <si>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</si>
  <si>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</si>
  <si>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</si>
  <si>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</si>
  <si>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</si>
  <si>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</si>
  <si>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</si>
  <si>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</si>
  <si>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</si>
  <si>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</si>
  <si>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</si>
  <si>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</si>
  <si>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</si>
  <si>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</si>
  <si>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</si>
  <si>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</si>
  <si>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</si>
  <si>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</si>
  <si>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</si>
  <si>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</si>
  <si>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</si>
  <si>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</si>
  <si>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</si>
  <si>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</si>
  <si>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</si>
  <si>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</si>
  <si>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</si>
  <si>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</si>
  <si>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</si>
  <si>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</si>
  <si>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</si>
  <si>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</si>
  <si>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</si>
  <si>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</si>
  <si>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</si>
  <si>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</si>
  <si>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</si>
  <si>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</si>
  <si>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</si>
  <si>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</si>
  <si>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</si>
  <si>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</si>
  <si>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</si>
  <si>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</si>
  <si>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</si>
  <si>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</si>
  <si>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</si>
  <si>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</si>
  <si>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</si>
  <si>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</si>
  <si>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</si>
  <si>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</si>
  <si>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</si>
  <si>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</si>
  <si>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</si>
  <si>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</si>
  <si>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</si>
  <si>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</si>
  <si>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</si>
  <si>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</si>
  <si>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</si>
  <si>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</si>
  <si>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</si>
  <si>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</si>
  <si>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</si>
  <si>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</si>
  <si>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</si>
  <si>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</si>
  <si>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</si>
  <si>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</si>
  <si>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</si>
  <si>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</si>
  <si>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</si>
  <si>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</si>
  <si>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</si>
  <si>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</si>
  <si>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</si>
  <si>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</si>
  <si>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</si>
  <si>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</si>
  <si>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</si>
  <si>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</si>
  <si>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</si>
  <si>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</si>
  <si>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</si>
  <si>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</si>
  <si>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</si>
  <si>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</si>
  <si>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</si>
  <si>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</si>
  <si>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</si>
  <si>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</si>
  <si>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</si>
  <si>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</si>
  <si>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</si>
  <si>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</si>
  <si>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</si>
  <si>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</si>
  <si>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</si>
  <si>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</si>
  <si>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</si>
  <si>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</si>
  <si>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</si>
  <si>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</si>
  <si>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</si>
  <si>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</si>
  <si>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</si>
  <si>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</si>
  <si>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</si>
  <si>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</si>
  <si>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</si>
  <si>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</si>
  <si>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</si>
  <si>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</si>
  <si>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</si>
  <si>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</si>
  <si>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</si>
  <si>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</si>
  <si>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</si>
  <si>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</si>
  <si>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</si>
  <si>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</si>
  <si>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</si>
  <si>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</si>
  <si>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</si>
  <si>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</si>
  <si>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</si>
  <si>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</si>
  <si>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</si>
  <si>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</si>
  <si>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</si>
  <si>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</si>
  <si>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</si>
  <si>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</si>
  <si>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</si>
  <si>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</si>
  <si>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</si>
  <si>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</si>
  <si>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</si>
  <si>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</si>
  <si>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</si>
  <si>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</si>
  <si>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</si>
  <si>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</si>
  <si>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</si>
  <si>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</si>
  <si>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</si>
  <si>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</si>
  <si>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</si>
  <si>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</si>
  <si>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</si>
  <si>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</si>
  <si>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</si>
  <si>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</si>
  <si>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</si>
  <si>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</si>
  <si>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</si>
  <si>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</si>
  <si>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</si>
  <si>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</si>
  <si>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</si>
  <si>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</si>
  <si>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</si>
  <si>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</si>
  <si>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</si>
  <si>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</si>
  <si>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</si>
  <si>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</si>
  <si>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</si>
  <si>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</si>
  <si>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</si>
  <si>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</si>
  <si>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</si>
  <si>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</si>
  <si>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</si>
  <si>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</si>
  <si>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</si>
  <si>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</si>
  <si>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</si>
  <si>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</si>
  <si>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</si>
  <si>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</si>
  <si>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</si>
  <si>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</si>
  <si>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</si>
  <si>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</si>
  <si>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</si>
  <si>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</si>
  <si>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</si>
  <si>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</si>
  <si>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</si>
  <si>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</si>
  <si>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</si>
  <si>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</si>
  <si>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</si>
  <si>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</si>
  <si>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</si>
  <si>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</si>
  <si>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</si>
  <si>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</si>
  <si>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</si>
  <si>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</si>
  <si>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</si>
  <si>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</si>
  <si>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</si>
  <si>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</si>
  <si>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</si>
  <si>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</si>
  <si>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</si>
  <si>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</si>
  <si>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</si>
  <si>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</si>
  <si>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</si>
  <si>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</si>
  <si>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</si>
  <si>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</si>
  <si>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</si>
  <si>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</si>
  <si>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</si>
  <si>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</si>
  <si>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</si>
  <si>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</si>
  <si>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</si>
  <si>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</si>
  <si>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</si>
  <si>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</si>
  <si>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</si>
  <si>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</si>
  <si>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</si>
  <si>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</si>
  <si>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</si>
  <si>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</si>
  <si>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</si>
  <si>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</si>
  <si>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</si>
  <si>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</si>
  <si>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</si>
  <si>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</si>
  <si>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</si>
  <si>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</si>
  <si>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</si>
  <si>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</si>
  <si>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</si>
  <si>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</si>
  <si>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</si>
  <si>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</si>
  <si>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</si>
  <si>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</si>
  <si>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</si>
  <si>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</si>
  <si>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</si>
  <si>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</si>
  <si>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</si>
  <si>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</si>
  <si>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</si>
  <si>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</si>
  <si>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</si>
  <si>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</si>
  <si>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</si>
  <si>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</si>
  <si>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</si>
  <si>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</si>
  <si>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</si>
  <si>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</si>
  <si>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</si>
  <si>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</si>
  <si>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</si>
  <si>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</si>
  <si>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</si>
  <si>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</si>
  <si>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</si>
  <si>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</si>
  <si>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</si>
  <si>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</si>
  <si>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</si>
  <si>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</si>
  <si>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</si>
  <si>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</si>
  <si>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</si>
  <si>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</si>
  <si>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</si>
  <si>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</si>
  <si>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</si>
  <si>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</si>
  <si>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</si>
  <si>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</si>
  <si>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</si>
  <si>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</si>
  <si>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</si>
  <si>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</si>
  <si>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</si>
  <si>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</si>
  <si>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</si>
  <si>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</si>
  <si>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</si>
  <si>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</si>
  <si>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</si>
  <si>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</si>
  <si>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</si>
  <si>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</si>
  <si>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</si>
  <si>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</si>
  <si>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</si>
  <si>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</si>
  <si>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</si>
  <si>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</si>
  <si>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</si>
  <si>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</si>
  <si>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</si>
  <si>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</si>
  <si>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</si>
  <si>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</si>
  <si>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</si>
  <si>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</si>
  <si>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</si>
  <si>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</si>
  <si>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</si>
  <si>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</si>
  <si>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</si>
  <si>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</si>
  <si>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</si>
  <si>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</si>
  <si>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</si>
  <si>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</si>
  <si>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</si>
  <si>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</si>
  <si>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</si>
  <si>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</si>
  <si>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</si>
  <si>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</si>
  <si>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</si>
  <si>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</si>
  <si>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</si>
  <si>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</si>
  <si>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</si>
  <si>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</si>
  <si>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</si>
  <si>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</si>
  <si>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</si>
  <si>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</si>
  <si>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</si>
  <si>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</si>
  <si>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</si>
  <si>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</si>
  <si>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</si>
  <si>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</si>
  <si>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</si>
  <si>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</si>
  <si>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</si>
  <si>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</si>
  <si>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</si>
  <si>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</si>
  <si>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</si>
  <si>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</si>
  <si>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</si>
  <si>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</si>
  <si>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</si>
  <si>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</si>
  <si>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</si>
  <si>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</si>
  <si>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</si>
  <si>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</si>
  <si>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</si>
  <si>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</si>
  <si>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</si>
  <si>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</si>
  <si>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</si>
  <si>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</si>
  <si>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</si>
  <si>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</si>
  <si>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</si>
  <si>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</si>
  <si>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</si>
  <si>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</si>
  <si>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</si>
  <si>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</si>
  <si>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</si>
  <si>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</si>
  <si>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</si>
  <si>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</si>
  <si>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</si>
  <si>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</si>
  <si>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</si>
  <si>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</si>
  <si>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</si>
  <si>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</si>
  <si>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</si>
  <si>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</si>
  <si>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</si>
  <si>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</si>
  <si>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</si>
  <si>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</si>
  <si>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</si>
  <si>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</si>
  <si>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</si>
  <si>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</si>
  <si>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</si>
  <si>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</si>
  <si>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</si>
  <si>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</si>
  <si>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</si>
  <si>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</si>
  <si>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</si>
  <si>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</si>
  <si>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</si>
  <si>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</si>
  <si>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</si>
  <si>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</si>
  <si>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</si>
  <si>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</si>
  <si>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</si>
  <si>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</si>
  <si>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</si>
  <si>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</si>
  <si>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</si>
  <si>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</si>
  <si>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</si>
  <si>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</si>
  <si>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</si>
  <si>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</si>
  <si>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</si>
  <si>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</si>
  <si>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</si>
  <si>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</si>
  <si>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</si>
  <si>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</si>
  <si>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</si>
  <si>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</si>
  <si>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</si>
  <si>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</si>
  <si>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</si>
  <si>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</si>
  <si>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</si>
  <si>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</si>
  <si>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</si>
  <si>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</si>
  <si>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</si>
  <si>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</si>
  <si>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</si>
  <si>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</si>
  <si>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</si>
  <si>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</si>
  <si>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</si>
  <si>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</si>
  <si>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</si>
  <si>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</si>
  <si>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</si>
  <si>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</si>
  <si>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</si>
  <si>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</si>
  <si>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</si>
  <si>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</si>
  <si>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</si>
  <si>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</si>
  <si>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</si>
  <si>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</si>
  <si>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</si>
  <si>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</si>
  <si>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</si>
  <si>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</si>
  <si>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</si>
  <si>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</si>
  <si>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</si>
  <si>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</si>
  <si>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</si>
  <si>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</si>
  <si>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</si>
  <si>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</si>
  <si>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</si>
  <si>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</si>
  <si>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</si>
  <si>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</si>
  <si>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</si>
  <si>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</si>
  <si>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</si>
  <si>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</si>
  <si>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</si>
  <si>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</si>
  <si>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</si>
  <si>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</si>
  <si>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</si>
  <si>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</si>
  <si>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</si>
  <si>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</si>
  <si>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</si>
  <si>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</si>
  <si>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</si>
  <si>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</si>
  <si>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</si>
  <si>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</si>
  <si>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</si>
  <si>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</si>
  <si>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</si>
  <si>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</si>
  <si>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</si>
  <si>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</si>
  <si>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</si>
  <si>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</si>
  <si>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</si>
  <si>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</si>
  <si>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</si>
  <si>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</si>
  <si>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</si>
  <si>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</si>
  <si>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</si>
  <si>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</si>
  <si>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</si>
  <si>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</si>
  <si>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</si>
  <si>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</si>
  <si>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</si>
  <si>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</si>
  <si>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</si>
  <si>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</si>
  <si>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</si>
  <si>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</si>
  <si>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</si>
  <si>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</si>
  <si>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</si>
  <si>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</si>
  <si>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</si>
  <si>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</si>
  <si>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</si>
  <si>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</si>
  <si>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</si>
  <si>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</si>
  <si>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</si>
  <si>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</si>
  <si>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</si>
  <si>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</si>
  <si>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</si>
  <si>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</si>
  <si>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</si>
  <si>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</si>
  <si>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</si>
  <si>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</si>
  <si>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</si>
  <si>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</si>
  <si>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</si>
  <si>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</si>
  <si>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</si>
  <si>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</si>
  <si>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</si>
  <si>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</si>
  <si>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</si>
  <si>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</si>
  <si>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</si>
  <si>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</si>
  <si>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</si>
  <si>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</si>
  <si>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</si>
  <si>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</si>
  <si>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</si>
  <si>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</si>
  <si>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</si>
  <si>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</si>
  <si>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</si>
  <si>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</si>
  <si>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</si>
  <si>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</si>
  <si>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</si>
  <si>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</si>
  <si>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</si>
  <si>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</si>
  <si>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</si>
  <si>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</si>
  <si>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</si>
  <si>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</si>
  <si>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</si>
  <si>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</si>
  <si>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</si>
  <si>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</si>
  <si>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</si>
  <si>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</si>
  <si>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</si>
  <si>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</si>
  <si>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</si>
  <si>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</si>
  <si>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</si>
  <si>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</si>
  <si>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</si>
  <si>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</si>
  <si>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</si>
  <si>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</si>
  <si>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</si>
  <si>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</si>
  <si>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</si>
  <si>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</si>
  <si>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</si>
  <si>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</si>
  <si>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</si>
  <si>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</si>
  <si>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</si>
  <si>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</si>
  <si>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</si>
  <si>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</si>
  <si>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</si>
  <si>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</si>
  <si>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</si>
  <si>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</si>
  <si>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</si>
  <si>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</si>
  <si>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</si>
  <si>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</si>
  <si>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</si>
  <si>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</si>
  <si>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</si>
  <si>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</si>
  <si>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</si>
  <si>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</si>
  <si>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</si>
  <si>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</si>
  <si>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</si>
  <si>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</si>
  <si>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</si>
  <si>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</si>
  <si>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</si>
  <si>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</si>
  <si>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</si>
  <si>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</si>
  <si>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</si>
  <si>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</si>
  <si>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</si>
  <si>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</si>
  <si>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</si>
  <si>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</si>
  <si>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</si>
  <si>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</si>
  <si>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</si>
  <si>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</si>
  <si>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</si>
  <si>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</si>
  <si>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</si>
  <si>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</si>
  <si>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</si>
  <si>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</si>
  <si>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</si>
  <si>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</si>
  <si>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</si>
  <si>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</si>
  <si>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</si>
  <si>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</si>
  <si>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</si>
  <si>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</si>
  <si>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</si>
  <si>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</si>
  <si>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</si>
  <si>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</si>
  <si>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</si>
  <si>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</si>
  <si>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</si>
  <si>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</si>
  <si>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</si>
  <si>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</si>
  <si>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</si>
  <si>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</si>
  <si>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</si>
  <si>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</si>
  <si>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</si>
  <si>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</si>
  <si>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</si>
  <si>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</si>
  <si>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</si>
  <si>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</si>
  <si>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</si>
  <si>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</si>
  <si>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</si>
  <si>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</si>
  <si>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</si>
  <si>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</si>
  <si>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</si>
  <si>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</si>
  <si>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</si>
  <si>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</si>
  <si>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</si>
  <si>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</si>
  <si>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</si>
  <si>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</si>
  <si>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</si>
  <si>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</si>
  <si>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</si>
  <si>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</si>
  <si>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</si>
  <si>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</si>
  <si>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</si>
  <si>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</si>
  <si>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</si>
  <si>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</si>
  <si>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</si>
  <si>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</si>
  <si>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</si>
  <si>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</si>
  <si>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</si>
  <si>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</si>
  <si>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</si>
  <si>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</si>
  <si>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</si>
  <si>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</si>
  <si>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</si>
  <si>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</si>
  <si>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</si>
  <si>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</si>
  <si>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</si>
  <si>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</si>
  <si>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</si>
  <si>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</si>
  <si>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</si>
  <si>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</si>
  <si>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</si>
  <si>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</si>
  <si>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</si>
  <si>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</si>
  <si>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</si>
  <si>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</si>
  <si>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</si>
  <si>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</si>
  <si>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</si>
  <si>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</si>
  <si>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</si>
  <si>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</si>
  <si>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</si>
  <si>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</si>
  <si>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</si>
  <si>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</si>
  <si>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</si>
  <si>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</si>
  <si>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</si>
  <si>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</si>
  <si>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</si>
  <si>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</si>
  <si>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</si>
  <si>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</si>
  <si>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</si>
  <si>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</si>
  <si>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</si>
  <si>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</si>
  <si>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</si>
  <si>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</si>
  <si>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</si>
  <si>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</si>
  <si>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</si>
  <si>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</si>
  <si>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</si>
  <si>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</si>
  <si>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</si>
  <si>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</si>
  <si>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</si>
  <si>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</si>
  <si>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</si>
  <si>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</si>
  <si>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</si>
  <si>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</si>
  <si>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</si>
  <si>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</si>
  <si>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</si>
  <si>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MINI BOLSOS ESTERILLADO</t>
  </si>
  <si>
    <t xml:space="preserve">1  mts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</si>
</sst>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342901</xdr:colOff>
      <xdr:row>0</xdr:row>
      <xdr:rowOff>0</xdr:rowOff>
    </xdr:from>
    <xdr:to>
      <xdr:col>24</xdr:col>
      <xdr:colOff>114300</xdr:colOff>
      <xdr:row>6</xdr:row>
      <xdr:rowOff>303259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ABD64B7-EA52-766B-EF08-35660D4E7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5201" y="0"/>
          <a:ext cx="1600199" cy="20622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K5" sqref="K5:L5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ER0808-1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45877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1350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f>IF(E2="","",INDEX(Listas!H2:I30,MATCH('Soli_citud '!E2,Intructores,0),2))</f>
        <v>32142539</v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3190208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9629.2277380952401</v>
      </c>
      <c r="E5" s="346"/>
      <c r="F5" s="347"/>
      <c r="G5" s="348" t="s">
        <v>16</v>
      </c>
      <c r="H5" s="349"/>
      <c r="I5" s="349"/>
      <c r="J5" s="350"/>
      <c r="K5" s="400">
        <v>17</v>
      </c>
      <c r="L5" s="400"/>
      <c r="M5" s="401" t="s">
        <v>17</v>
      </c>
      <c r="N5" s="401"/>
      <c r="O5" s="397">
        <f>IFERROR(IF(K5=0,"",D5*K5),"")</f>
        <v>163696.87154761908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5.8823529411764705E-2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/>
      <c r="B10" s="309"/>
      <c r="C10" s="310"/>
      <c r="D10" s="322"/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/>
      </c>
      <c r="P10" s="315"/>
      <c r="Q10" s="316"/>
      <c r="R10" s="317"/>
      <c r="S10" s="318">
        <f>IFERROR(IF(Q10="Unidad","1",(Q10*$K$5)),"")</f>
        <v>0</v>
      </c>
      <c r="T10" s="319"/>
      <c r="U10" s="320"/>
      <c r="V10" s="326"/>
      <c r="W10" s="321" t="str">
        <f>IFERROR(IF(D10="","",INDEX(Tabla_Completa,MATCH('Soli_citud '!D10,Materiales,0),7)*S10),"")</f>
        <v/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50</v>
      </c>
      <c r="B11" s="309"/>
      <c r="C11" s="310"/>
      <c r="D11" s="322" t="s">
        <v>930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100</v>
      </c>
      <c r="R11" s="317"/>
      <c r="S11" s="318">
        <f t="shared" ref="S11:S31" si="1">IFERROR(IF(Q11="Unidad","1",(Q11*$K$5)),"")</f>
        <v>1700</v>
      </c>
      <c r="T11" s="319"/>
      <c r="U11" s="320"/>
      <c r="V11" s="320"/>
      <c r="W11" s="321">
        <f>IFERROR(IF(D11="","",INDEX(Tabla_Completa,MATCH('Soli_citud '!D11,Materiales,0),7)*S11),"")</f>
        <v>402.33333333333331</v>
      </c>
      <c r="X11" s="321"/>
      <c r="Y11" s="321"/>
    </row>
    <row r="12" spans="1:31" ht="15.75" customHeight="1">
      <c r="A12" s="308" t="s">
        <v>1058</v>
      </c>
      <c r="B12" s="309"/>
      <c r="C12" s="310"/>
      <c r="D12" s="325" t="s">
        <v>1089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Pliego</v>
      </c>
      <c r="P12" s="315"/>
      <c r="Q12" s="316">
        <v>4</v>
      </c>
      <c r="R12" s="317"/>
      <c r="S12" s="318">
        <f t="shared" si="1"/>
        <v>68</v>
      </c>
      <c r="T12" s="319"/>
      <c r="U12" s="320"/>
      <c r="V12" s="320"/>
      <c r="W12" s="321" t="str">
        <f>IFERROR(IF(D12="","",INDEX(Tabla_Completa,MATCH('Soli_citud '!D12,Materiales,0),7)*S12),"")</f>
        <v/>
      </c>
      <c r="X12" s="321"/>
      <c r="Y12" s="321"/>
    </row>
    <row r="13" spans="1:31" ht="15.75" customHeight="1">
      <c r="A13" s="308" t="s">
        <v>232</v>
      </c>
      <c r="B13" s="309"/>
      <c r="C13" s="310"/>
      <c r="D13" s="322" t="s">
        <v>348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Cono</v>
      </c>
      <c r="P13" s="315"/>
      <c r="Q13" s="316">
        <v>0.3</v>
      </c>
      <c r="R13" s="317"/>
      <c r="S13" s="318">
        <f t="shared" si="1"/>
        <v>5.0999999999999996</v>
      </c>
      <c r="T13" s="319"/>
      <c r="U13" s="320"/>
      <c r="V13" s="320"/>
      <c r="W13" s="321">
        <f>IFERROR(IF(D13="","",INDEX(Tabla_Completa,MATCH('Soli_citud '!D13,Materiales,0),7)*S13),"")</f>
        <v>37060</v>
      </c>
      <c r="X13" s="321"/>
      <c r="Y13" s="321"/>
    </row>
    <row r="14" spans="1:31" ht="17.25" customHeight="1">
      <c r="A14" s="308" t="s">
        <v>232</v>
      </c>
      <c r="B14" s="309"/>
      <c r="C14" s="310"/>
      <c r="D14" s="322" t="s">
        <v>349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Cono</v>
      </c>
      <c r="P14" s="315"/>
      <c r="Q14" s="316">
        <v>0.2</v>
      </c>
      <c r="R14" s="317"/>
      <c r="S14" s="318">
        <f t="shared" si="1"/>
        <v>3.4000000000000004</v>
      </c>
      <c r="T14" s="319"/>
      <c r="U14" s="320"/>
      <c r="V14" s="320"/>
      <c r="W14" s="321">
        <f>IFERROR(IF(D14="","",INDEX(Tabla_Completa,MATCH('Soli_citud '!D14,Materiales,0),7)*S14),"")</f>
        <v>24706.661000000004</v>
      </c>
      <c r="X14" s="321"/>
      <c r="Y14" s="321"/>
    </row>
    <row r="15" spans="1:31" ht="15.75" customHeight="1">
      <c r="A15" s="308" t="s">
        <v>1058</v>
      </c>
      <c r="B15" s="309"/>
      <c r="C15" s="310"/>
      <c r="D15" s="322" t="s">
        <v>1059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U</v>
      </c>
      <c r="P15" s="315"/>
      <c r="Q15" s="316">
        <v>1.1499999999999999</v>
      </c>
      <c r="R15" s="317"/>
      <c r="S15" s="318">
        <f t="shared" si="1"/>
        <v>19.549999999999997</v>
      </c>
      <c r="T15" s="319"/>
      <c r="U15" s="320"/>
      <c r="V15" s="320"/>
      <c r="W15" s="321">
        <f>IFERROR(IF(D15="","",INDEX(Tabla_Completa,MATCH('Soli_citud '!D15,Materiales,0),7)*S15),"")</f>
        <v>6712.1014999999989</v>
      </c>
      <c r="X15" s="321"/>
      <c r="Y15" s="321"/>
    </row>
    <row r="16" spans="1:31" ht="15.75" customHeight="1">
      <c r="A16" s="308" t="s">
        <v>232</v>
      </c>
      <c r="B16" s="309"/>
      <c r="C16" s="310"/>
      <c r="D16" s="322" t="s">
        <v>315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cm</v>
      </c>
      <c r="P16" s="315"/>
      <c r="Q16" s="316">
        <v>25</v>
      </c>
      <c r="R16" s="317"/>
      <c r="S16" s="318">
        <f t="shared" si="1"/>
        <v>425</v>
      </c>
      <c r="T16" s="319"/>
      <c r="U16" s="320"/>
      <c r="V16" s="320"/>
      <c r="W16" s="321">
        <f>IFERROR(IF(D16="","",INDEX(Tabla_Completa,MATCH('Soli_citud '!D16,Materiales,0),7)*S16),"")</f>
        <v>41650</v>
      </c>
      <c r="X16" s="321"/>
      <c r="Y16" s="321"/>
    </row>
    <row r="17" spans="1:25" ht="15.75" customHeight="1">
      <c r="A17" s="308" t="s">
        <v>40</v>
      </c>
      <c r="B17" s="309"/>
      <c r="C17" s="310"/>
      <c r="D17" s="322" t="s">
        <v>701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U</v>
      </c>
      <c r="P17" s="315"/>
      <c r="Q17" s="316">
        <v>1</v>
      </c>
      <c r="R17" s="317"/>
      <c r="S17" s="318">
        <f t="shared" si="1"/>
        <v>17</v>
      </c>
      <c r="T17" s="319"/>
      <c r="U17" s="320"/>
      <c r="V17" s="320"/>
      <c r="W17" s="321">
        <f>IFERROR(IF(D17="","",INDEX(Tabla_Completa,MATCH('Soli_citud '!D17,Materiales,0),7)*S17),"")</f>
        <v>49280.28</v>
      </c>
      <c r="X17" s="321"/>
      <c r="Y17" s="321"/>
    </row>
    <row r="18" spans="1:25" ht="15.75" customHeight="1">
      <c r="A18" s="308" t="s">
        <v>37</v>
      </c>
      <c r="B18" s="309"/>
      <c r="C18" s="310"/>
      <c r="D18" s="322" t="s">
        <v>477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kg</v>
      </c>
      <c r="P18" s="315"/>
      <c r="Q18" s="316">
        <v>1.5</v>
      </c>
      <c r="R18" s="317"/>
      <c r="S18" s="318">
        <f t="shared" si="1"/>
        <v>25.5</v>
      </c>
      <c r="T18" s="319"/>
      <c r="U18" s="320"/>
      <c r="V18" s="320"/>
      <c r="W18" s="321">
        <f>IFERROR(IF(D18="","",INDEX(Tabla_Completa,MATCH('Soli_citud '!D18,Materiales,0),7)*S18),"")</f>
        <v>0</v>
      </c>
      <c r="X18" s="321"/>
      <c r="Y18" s="321"/>
    </row>
    <row r="19" spans="1:25" ht="15.75">
      <c r="A19" s="308" t="s">
        <v>40</v>
      </c>
      <c r="B19" s="309"/>
      <c r="C19" s="310"/>
      <c r="D19" s="311" t="s">
        <v>858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U</v>
      </c>
      <c r="P19" s="315"/>
      <c r="Q19" s="316">
        <v>2</v>
      </c>
      <c r="R19" s="317"/>
      <c r="S19" s="318">
        <f t="shared" si="1"/>
        <v>34</v>
      </c>
      <c r="T19" s="319"/>
      <c r="U19" s="320"/>
      <c r="V19" s="320"/>
      <c r="W19" s="321">
        <f>IFERROR(IF(D19="","",INDEX(Tabla_Completa,MATCH('Soli_citud '!D19,Materiales,0),7)*S19),"")</f>
        <v>3884.16</v>
      </c>
      <c r="X19" s="321"/>
      <c r="Y19" s="321"/>
    </row>
    <row r="20" spans="1:25" ht="15.75">
      <c r="A20" s="308" t="s">
        <v>232</v>
      </c>
      <c r="B20" s="309"/>
      <c r="C20" s="310"/>
      <c r="D20" s="311" t="s">
        <v>432</v>
      </c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>cm2</v>
      </c>
      <c r="P20" s="315"/>
      <c r="Q20" s="316">
        <v>0.1</v>
      </c>
      <c r="R20" s="317"/>
      <c r="S20" s="318">
        <f t="shared" si="1"/>
        <v>1.7000000000000002</v>
      </c>
      <c r="T20" s="319"/>
      <c r="U20" s="320"/>
      <c r="V20" s="320"/>
      <c r="W20" s="321">
        <f>IFERROR(IF(D20="","",INDEX(Tabla_Completa,MATCH('Soli_citud '!D20,Materiales,0),7)*S20),"")</f>
        <v>1.3357142857142859</v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K17" sqref="K17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45877</v>
      </c>
      <c r="O1" s="417"/>
      <c r="P1" s="452" t="s">
        <v>55</v>
      </c>
      <c r="Q1" s="453"/>
      <c r="R1" s="458" t="str">
        <f>IF('Soli_citud '!D4="","",'Soli_citud '!D4)</f>
        <v>MINI BOLSOS ESTERILLADO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ER0808-1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>
        <f>IF('Soli_citud '!O3="","",'Soli_citud '!O3)</f>
        <v>3190208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9629.2277380952401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Emely Rivera Delgado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/>
      </c>
      <c r="C12" s="494" t="str">
        <f>IFERROR(IF('Soli_citud '!D10="","",'Soli_citud '!D10),"")</f>
        <v/>
      </c>
      <c r="D12" s="494"/>
      <c r="E12" s="494"/>
      <c r="F12" s="494"/>
      <c r="G12" s="213" t="str">
        <f>IF('Soli_citud '!O10="","",'Soli_citud '!O10)</f>
        <v/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ER0808-1</v>
      </c>
      <c r="C13" s="494" t="str">
        <f>IFERROR(IF('Soli_citud '!D11="","",'Soli_citud '!D11),"")</f>
        <v>POLITEX-KAMBREL 100 GR</v>
      </c>
      <c r="D13" s="494"/>
      <c r="E13" s="494"/>
      <c r="F13" s="494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1700</v>
      </c>
      <c r="I13" s="214">
        <v>45919</v>
      </c>
      <c r="J13" s="216">
        <v>1700</v>
      </c>
      <c r="K13" s="197" t="str" cm="1">
        <f t="array" ref="K13">IFERROR(_xlfn.IFS(H13="","",J13=H13,"Cumplido",J13&lt;H13,H13-J13,J13&gt;H13,"Revisar"),"")</f>
        <v>Cumplido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ER0808-1</v>
      </c>
      <c r="C14" s="494" t="str">
        <f>IFERROR(IF('Soli_citud '!D12="","",'Soli_citud '!D12),"")</f>
        <v xml:space="preserve">CARTULINA PLANA </v>
      </c>
      <c r="D14" s="494"/>
      <c r="E14" s="494"/>
      <c r="F14" s="494"/>
      <c r="G14" s="213" t="str">
        <f>IF('Soli_citud '!O12="","",'Soli_citud '!O12)</f>
        <v>Pliego</v>
      </c>
      <c r="H14" s="213" cm="1">
        <f t="array" ref="H14">_xlfn.IFS('Soli_citud '!S12="","",'Soli_citud '!S12&lt;=0,"",'Soli_citud '!S12&gt;0,'Soli_citud '!S12)</f>
        <v>68</v>
      </c>
      <c r="I14" s="214">
        <v>45919</v>
      </c>
      <c r="J14" s="216">
        <v>68</v>
      </c>
      <c r="K14" s="197" t="str" cm="1">
        <f t="array" ref="K14">IFERROR(_xlfn.IFS(H14="","",J14=H14,"Cumplido",J14&lt;H14,H14-J14,J14&gt;H14,"Revisar"),"")</f>
        <v>Cumplido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ER0808-1</v>
      </c>
      <c r="C15" s="494" t="str">
        <f>IFERROR(IF('Soli_citud '!D13="","",'Soli_citud '!D13),"")</f>
        <v xml:space="preserve">HILO NYLON #40
</v>
      </c>
      <c r="D15" s="494"/>
      <c r="E15" s="494"/>
      <c r="F15" s="494"/>
      <c r="G15" s="213" t="str">
        <f>IF('Soli_citud '!O13="","",'Soli_citud '!O13)</f>
        <v>Cono</v>
      </c>
      <c r="H15" s="213" cm="1">
        <f t="array" ref="H15">_xlfn.IFS('Soli_citud '!S13="","",'Soli_citud '!S13&lt;=0,"",'Soli_citud '!S13&gt;0,'Soli_citud '!S13)</f>
        <v>5.0999999999999996</v>
      </c>
      <c r="I15" s="214">
        <v>45919</v>
      </c>
      <c r="J15" s="216">
        <v>5.0999999999999996</v>
      </c>
      <c r="K15" s="197" t="str" cm="1">
        <f t="array" ref="K15">IFERROR(_xlfn.IFS(H15="","",J15=H15,"Cumplido",J15&lt;H15,H15-J15,J15&gt;H15,"Revisar"),"")</f>
        <v>Cumplido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ER0808-1</v>
      </c>
      <c r="C16" s="494" t="str">
        <f>IFERROR(IF('Soli_citud '!D14="","",'Soli_citud '!D14),"")</f>
        <v xml:space="preserve">HILO NYLON #60
</v>
      </c>
      <c r="D16" s="494"/>
      <c r="E16" s="494"/>
      <c r="F16" s="494"/>
      <c r="G16" s="213" t="str">
        <f>IF('Soli_citud '!O14="","",'Soli_citud '!O14)</f>
        <v>Cono</v>
      </c>
      <c r="H16" s="213" cm="1">
        <f t="array" ref="H16">_xlfn.IFS('Soli_citud '!S14="","",'Soli_citud '!S14&lt;=0,"",'Soli_citud '!S14&gt;0,'Soli_citud '!S14)</f>
        <v>3.4000000000000004</v>
      </c>
      <c r="I16" s="214">
        <v>45919</v>
      </c>
      <c r="J16" s="216">
        <v>3.4</v>
      </c>
      <c r="K16" s="197" t="str" cm="1">
        <f t="array" ref="K16">IFERROR(_xlfn.IFS(H16="","",J16=H16,"Cumplido",J16&lt;H16,H16-J16,J16&gt;H16,"Revisar"),"")</f>
        <v>Cumplido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ER0808-1</v>
      </c>
      <c r="C17" s="494" t="str">
        <f>IFERROR(IF('Soli_citud '!D15="","",'Soli_citud '!D15),"")</f>
        <v>AGUJA CORTA CABO DELGADO 110</v>
      </c>
      <c r="D17" s="494"/>
      <c r="E17" s="494"/>
      <c r="F17" s="494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19.549999999999997</v>
      </c>
      <c r="I17" s="214">
        <v>45919</v>
      </c>
      <c r="J17" s="216">
        <v>19.55</v>
      </c>
      <c r="K17" s="197" t="str" cm="1">
        <f t="array" ref="K17">IFERROR(_xlfn.IFS(H17="","",J17=H17,"Cumplido",J17&lt;H17,H17-J17,J17&gt;H17,"Revisar"),"")</f>
        <v>Cumplido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ER0808-1</v>
      </c>
      <c r="C18" s="494" t="str">
        <f>IFERROR(IF('Soli_citud '!D16="","",'Soli_citud '!D16),"")</f>
        <v xml:space="preserve">CREMALLERA EVERBRIGTH #5
</v>
      </c>
      <c r="D18" s="494"/>
      <c r="E18" s="494"/>
      <c r="F18" s="494"/>
      <c r="G18" s="213" t="str">
        <f>IF('Soli_citud '!O16="","",'Soli_citud '!O16)</f>
        <v>cm</v>
      </c>
      <c r="H18" s="213" cm="1">
        <f t="array" ref="H18">_xlfn.IFS('Soli_citud '!S16="","",'Soli_citud '!S16&lt;=0,"",'Soli_citud '!S16&gt;0,'Soli_citud '!S16)</f>
        <v>425</v>
      </c>
      <c r="I18" s="214">
        <v>45919</v>
      </c>
      <c r="J18" s="216">
        <v>425</v>
      </c>
      <c r="K18" s="197" t="str" cm="1">
        <f t="array" ref="K18">IFERROR(_xlfn.IFS(H18="","",J18=H18,"Cumplido",J18&lt;H18,H18-J18,J18&gt;H18,"Revisar"),"")</f>
        <v>Cumplido</v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ER0808-1</v>
      </c>
      <c r="C19" s="494" t="str">
        <f>IFERROR(IF('Soli_citud '!D17="","",'Soli_citud '!D17),"")</f>
        <v xml:space="preserve">LLAVE DESLIZADOR METALICO EVERBRIGHT ORO, PALETA GRANDE OVAL </v>
      </c>
      <c r="D19" s="494"/>
      <c r="E19" s="494"/>
      <c r="F19" s="494"/>
      <c r="G19" s="213" t="str">
        <f>IF('Soli_citud '!O17="","",'Soli_citud '!O17)</f>
        <v>U</v>
      </c>
      <c r="H19" s="213" cm="1">
        <f t="array" ref="H19">_xlfn.IFS('Soli_citud '!S17="","",'Soli_citud '!S17&lt;=0,"",'Soli_citud '!S17&gt;0,'Soli_citud '!S17)</f>
        <v>17</v>
      </c>
      <c r="I19" s="214">
        <v>45919</v>
      </c>
      <c r="J19" s="216">
        <v>17</v>
      </c>
      <c r="K19" s="197" t="str" cm="1">
        <f t="array" ref="K19">IFERROR(_xlfn.IFS(H19="","",J19=H19,"Cumplido",J19&lt;H19,H19-J19,J19&gt;H19,"Revisar"),"")</f>
        <v>Cumplido</v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ER0808-1</v>
      </c>
      <c r="C20" s="494" t="str">
        <f>IFERROR(IF('Soli_citud '!D18="","",'Soli_citud '!D18),"")</f>
        <v>Retal</v>
      </c>
      <c r="D20" s="494"/>
      <c r="E20" s="494"/>
      <c r="F20" s="494"/>
      <c r="G20" s="213" t="str">
        <f>IF('Soli_citud '!O18="","",'Soli_citud '!O18)</f>
        <v>kg</v>
      </c>
      <c r="H20" s="213" cm="1">
        <f t="array" ref="H20">_xlfn.IFS('Soli_citud '!S18="","",'Soli_citud '!S18&lt;=0,"",'Soli_citud '!S18&gt;0,'Soli_citud '!S18)</f>
        <v>25.5</v>
      </c>
      <c r="I20" s="214">
        <v>45919</v>
      </c>
      <c r="J20" s="216">
        <v>25.5</v>
      </c>
      <c r="K20" s="197" t="str" cm="1">
        <f t="array" ref="K20">IFERROR(_xlfn.IFS(H20="","",J20=H20,"Cumplido",J20&lt;H20,H20-J20,J20&gt;H20,"Revisar"),"")</f>
        <v>Cumplido</v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ER0808-1</v>
      </c>
      <c r="C21" s="494" t="str">
        <f>IFERROR(IF('Soli_citud '!D19="","",'Soli_citud '!D19),"")</f>
        <v>REMACHE SENCILLO #6 ORO</v>
      </c>
      <c r="D21" s="494"/>
      <c r="E21" s="494"/>
      <c r="F21" s="494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34</v>
      </c>
      <c r="I21" s="214">
        <v>45919</v>
      </c>
      <c r="J21" s="216">
        <v>34</v>
      </c>
      <c r="K21" s="197" t="str" cm="1">
        <f t="array" ref="K21">IFERROR(_xlfn.IFS(H21="","",J21=H21,"Cumplido",J21&lt;H21,H21-J21,J21&gt;H21,"Revisar"),"")</f>
        <v>Cumplido</v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ER0808-1</v>
      </c>
      <c r="C22" s="494" t="str">
        <f>IFERROR(IF('Soli_citud '!D20="","",'Soli_citud '!D20),"")</f>
        <v>SALPA 0.5mm</v>
      </c>
      <c r="D22" s="494"/>
      <c r="E22" s="494"/>
      <c r="F22" s="494"/>
      <c r="G22" s="213" t="str">
        <f>IF('Soli_citud '!O20="","",'Soli_citud '!O20)</f>
        <v>cm2</v>
      </c>
      <c r="H22" s="213" cm="1">
        <f t="array" ref="H22">_xlfn.IFS('Soli_citud '!S20="","",'Soli_citud '!S20&lt;=0,"",'Soli_citud '!S20&gt;0,'Soli_citud '!S20)</f>
        <v>1.7000000000000002</v>
      </c>
      <c r="I22" s="214">
        <v>45919</v>
      </c>
      <c r="J22" s="216">
        <v>1.7</v>
      </c>
      <c r="K22" s="197" t="str" cm="1">
        <f t="array" ref="K22">IFERROR(_xlfn.IFS(H22="","",J22=H22,"Cumplido",J22&lt;H22,H22-J22,J22&gt;H22,"Revisar"),"")</f>
        <v>Cumplido</v>
      </c>
      <c r="L22" s="495" t="s">
        <v>1390</v>
      </c>
      <c r="M22" s="496"/>
      <c r="N22" s="215">
        <v>140</v>
      </c>
      <c r="O22" s="198">
        <f t="shared" si="3"/>
        <v>1.2142857142857144E-2</v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2025-12-22T17:58:17Z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6245d8-e5f4-42ac-a19d-923c969a5d0b_Enabled">
    <vt:lpwstr>true</vt:lpwstr>
  </property>
  <property fmtid="{D5CDD505-2E9C-101B-9397-08002B2CF9AE}" pid="3" name="MSIP_Label_516245d8-e5f4-42ac-a19d-923c969a5d0b_SetDate">
    <vt:lpwstr>2025-08-08T16:58:53Z</vt:lpwstr>
  </property>
  <property fmtid="{D5CDD505-2E9C-101B-9397-08002B2CF9AE}" pid="4" name="MSIP_Label_516245d8-e5f4-42ac-a19d-923c969a5d0b_Method">
    <vt:lpwstr>Privileged</vt:lpwstr>
  </property>
  <property fmtid="{D5CDD505-2E9C-101B-9397-08002B2CF9AE}" pid="5" name="MSIP_Label_516245d8-e5f4-42ac-a19d-923c969a5d0b_Name">
    <vt:lpwstr>Confidential</vt:lpwstr>
  </property>
  <property fmtid="{D5CDD505-2E9C-101B-9397-08002B2CF9AE}" pid="6" name="MSIP_Label_516245d8-e5f4-42ac-a19d-923c969a5d0b_SiteId">
    <vt:lpwstr>cbc2c381-2f2e-4d93-91d1-506c9316ace7</vt:lpwstr>
  </property>
  <property fmtid="{D5CDD505-2E9C-101B-9397-08002B2CF9AE}" pid="7" name="MSIP_Label_516245d8-e5f4-42ac-a19d-923c969a5d0b_ActionId">
    <vt:lpwstr>b962d34e-0c9f-418e-9d62-88e3c90a3ad0</vt:lpwstr>
  </property>
  <property fmtid="{D5CDD505-2E9C-101B-9397-08002B2CF9AE}" pid="8" name="MSIP_Label_516245d8-e5f4-42ac-a19d-923c969a5d0b_ContentBits">
    <vt:lpwstr>0</vt:lpwstr>
  </property>
  <property fmtid="{D5CDD505-2E9C-101B-9397-08002B2CF9AE}" pid="9" name="MSIP_Label_516245d8-e5f4-42ac-a19d-923c969a5d0b_Tag">
    <vt:lpwstr>10, 0, 1, 1</vt:lpwstr>
  </property>
</Properties>
</file>