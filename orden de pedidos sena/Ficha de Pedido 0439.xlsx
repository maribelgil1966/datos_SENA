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DOCUMENTOS 2025\2908248 TECNOLOGO EN DESARROLLO DE COLECCIONES\PEDIDOS AL ALMACEN\PEDIDOS ALM PROYECTO 2\ALEJANDRO MOLINA\"/>
    </mc:Choice>
  </mc:AlternateContent>
  <xr:revisionPtr revIDLastSave="0" documentId="8_{FD1B3B24-8831-4629-9756-E42652908BF5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a="1"/>
  <c r="H15" i="61" s="1"/>
  <c r="S14" i="43"/>
  <c r="H16" i="6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/>
  <c r="O27" i="43"/>
  <c r="G29" i="61" s="1"/>
  <c r="O28" i="43"/>
  <c r="G30" i="61" s="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O29" i="61"/>
  <c r="K29" i="61" a="1"/>
  <c r="K29" i="61" s="1"/>
  <c r="K21" i="61" a="1"/>
  <c r="K21" i="61" s="1"/>
  <c r="B21" i="61"/>
  <c r="K14" i="61" a="1"/>
  <c r="K14" i="61" s="1"/>
  <c r="B14" i="61"/>
  <c r="O14" i="61"/>
  <c r="O23" i="61"/>
  <c r="K23" i="61" a="1"/>
  <c r="K23" i="61" s="1"/>
  <c r="B23" i="61"/>
  <c r="B18" i="61"/>
  <c r="O18" i="61"/>
  <c r="K18" i="61" a="1"/>
  <c r="K18" i="61" s="1"/>
  <c r="O13" i="61"/>
  <c r="B13" i="61"/>
  <c r="K13" i="61" a="1"/>
  <c r="K13" i="61" s="1"/>
  <c r="K19" i="61" a="1"/>
  <c r="K19" i="61" s="1"/>
  <c r="O19" i="61"/>
  <c r="B19" i="61"/>
  <c r="K32" i="61" a="1"/>
  <c r="K32" i="61" s="1"/>
  <c r="B32" i="61"/>
  <c r="O32" i="61"/>
  <c r="K28" i="61" a="1"/>
  <c r="K28" i="61" s="1"/>
  <c r="B28" i="61"/>
  <c r="O28" i="61"/>
  <c r="O17" i="61"/>
  <c r="B17" i="61"/>
  <c r="K17" i="61" a="1"/>
  <c r="K17" i="61" s="1"/>
  <c r="K27" i="61" a="1"/>
  <c r="K27" i="61" s="1"/>
  <c r="B27" i="61"/>
  <c r="O27" i="61"/>
  <c r="O22" i="61"/>
  <c r="K22" i="61" a="1"/>
  <c r="K22" i="61" s="1"/>
  <c r="B22" i="61"/>
  <c r="K12" i="61" a="1"/>
  <c r="K12" i="61" s="1"/>
  <c r="B12" i="61"/>
  <c r="O12" i="61"/>
  <c r="K31" i="61" a="1"/>
  <c r="K31" i="61" s="1"/>
  <c r="B31" i="61"/>
  <c r="O31" i="61"/>
  <c r="K26" i="61" a="1"/>
  <c r="K26" i="61" s="1"/>
  <c r="B26" i="61"/>
  <c r="O26" i="61"/>
  <c r="O16" i="61"/>
  <c r="K16" i="61" a="1"/>
  <c r="K16" i="61" s="1"/>
  <c r="B16" i="61"/>
  <c r="B25" i="61"/>
  <c r="K25" i="61" a="1"/>
  <c r="K25" i="61" s="1"/>
  <c r="O25" i="61"/>
  <c r="K30" i="61" a="1"/>
  <c r="K30" i="61" s="1"/>
  <c r="O30" i="61"/>
  <c r="B30" i="61"/>
  <c r="B15" i="61"/>
  <c r="O15" i="61"/>
  <c r="K15" i="61" a="1"/>
  <c r="K15" i="61" s="1"/>
  <c r="B24" i="61"/>
  <c r="O24" i="61"/>
  <c r="K24" i="61" a="1"/>
  <c r="K24" i="61" s="1"/>
  <c r="B20" i="61"/>
  <c r="O20" i="61"/>
  <c r="K20" i="61" a="1"/>
  <c r="K20" i="61" s="1"/>
  <c r="O21" i="61"/>
  <c r="B29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<sst xmlns="http://schemas.openxmlformats.org/spreadsheetml/2006/main" count="5020" uniqueCount="1393">
  <si>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</si>
  <si>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</si>
  <si>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</si>
  <si>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</si>
  <si>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</si>
  <si>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</si>
  <si>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</si>
  <si>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</si>
  <si>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</si>
  <si>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</si>
  <si>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</si>
  <si>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</si>
  <si>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</si>
  <si>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</si>
  <si>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</si>
  <si>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</si>
  <si>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</si>
  <si>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</si>
  <si>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</si>
  <si>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</si>
  <si>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</si>
  <si>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</si>
  <si>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</si>
  <si>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</si>
  <si>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</si>
  <si>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</si>
  <si>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</si>
  <si>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</si>
  <si>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</si>
  <si>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</si>
  <si>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</si>
  <si>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</si>
  <si>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</si>
  <si>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</si>
  <si>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</si>
  <si>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</si>
  <si>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</si>
  <si>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</si>
  <si>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</si>
  <si>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</si>
  <si>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</si>
  <si>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</si>
  <si>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</si>
  <si>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</si>
  <si>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</si>
  <si>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</si>
  <si>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</si>
  <si>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</si>
  <si>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</si>
  <si>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</si>
  <si>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</si>
  <si>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</si>
  <si>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</si>
  <si>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</si>
  <si>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</si>
  <si>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</si>
  <si>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</si>
  <si>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</si>
  <si>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</si>
  <si>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</si>
  <si>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</si>
  <si>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</si>
  <si>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</si>
  <si>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</si>
  <si>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</si>
  <si>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</si>
  <si>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</si>
  <si>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</si>
  <si>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</si>
  <si>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</si>
  <si>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</si>
  <si>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</si>
  <si>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</si>
  <si>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</si>
  <si>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</si>
  <si>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</si>
  <si>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</si>
  <si>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</si>
  <si>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</si>
  <si>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</si>
  <si>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</si>
  <si>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</si>
  <si>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</si>
  <si>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</si>
  <si>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</si>
  <si>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</si>
  <si>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</si>
  <si>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</si>
  <si>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</si>
  <si>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</si>
  <si>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</si>
  <si>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</si>
  <si>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</si>
  <si>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</si>
  <si>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</si>
  <si>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</si>
  <si>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</si>
  <si>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</si>
  <si>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</si>
  <si>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</si>
  <si>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</si>
  <si>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</si>
  <si>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</si>
  <si>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</si>
  <si>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</si>
  <si>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</si>
  <si>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</si>
  <si>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</si>
  <si>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</si>
  <si>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</si>
  <si>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</si>
  <si>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</si>
  <si>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</si>
  <si>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</si>
  <si>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</si>
  <si>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</si>
  <si>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</si>
  <si>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</si>
  <si>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</si>
  <si>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</si>
  <si>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</si>
  <si>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</si>
  <si>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</si>
  <si>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</si>
  <si>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</si>
  <si>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</si>
  <si>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</si>
  <si>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</si>
  <si>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</si>
  <si>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</si>
  <si>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</si>
  <si>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</si>
  <si>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</si>
  <si>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</si>
  <si>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</si>
  <si>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</si>
  <si>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</si>
  <si>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</si>
  <si>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</si>
  <si>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</si>
  <si>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</si>
  <si>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</si>
  <si>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</si>
  <si>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</si>
  <si>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</si>
  <si>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</si>
  <si>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</si>
  <si>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</si>
  <si>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</si>
  <si>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</si>
  <si>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</si>
  <si>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</si>
  <si>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</si>
  <si>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</si>
  <si>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</si>
  <si>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</si>
  <si>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</si>
  <si>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</si>
  <si>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</si>
  <si>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</si>
  <si>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</si>
  <si>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</si>
  <si>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</si>
  <si>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</si>
  <si>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</si>
  <si>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</si>
  <si>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</si>
  <si>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</si>
  <si>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</si>
  <si>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</si>
  <si>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</si>
  <si>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</si>
  <si>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</si>
  <si>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</si>
  <si>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</si>
  <si>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</si>
  <si>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</si>
  <si>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</si>
  <si>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</si>
  <si>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</si>
  <si>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</si>
  <si>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</si>
  <si>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</si>
  <si>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</si>
  <si>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</si>
  <si>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</si>
  <si>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</si>
  <si>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</si>
  <si>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</si>
  <si>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</si>
  <si>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</si>
  <si>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</si>
  <si>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</si>
  <si>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</si>
  <si>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</si>
  <si>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</si>
  <si>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</si>
  <si>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</si>
  <si>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</si>
  <si>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</si>
  <si>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</si>
  <si>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</si>
  <si>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</si>
  <si>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</si>
  <si>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</si>
  <si>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</si>
  <si>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</si>
  <si>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</si>
  <si>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</si>
  <si>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</si>
  <si>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</si>
  <si>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</si>
  <si>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</si>
  <si>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</si>
  <si>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</si>
  <si>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</si>
  <si>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</si>
  <si>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</si>
  <si>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</si>
  <si>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</si>
  <si>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</si>
  <si>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</si>
  <si>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</si>
  <si>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</si>
  <si>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</si>
  <si>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</si>
  <si>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</si>
  <si>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</si>
  <si>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</si>
  <si>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</si>
  <si>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</si>
  <si>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</si>
  <si>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</si>
  <si>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</si>
  <si>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</si>
  <si>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</si>
  <si>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</si>
  <si>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</si>
  <si>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</si>
  <si>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</si>
  <si>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</si>
  <si>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</si>
  <si>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</si>
  <si>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</si>
  <si>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</si>
  <si>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</si>
  <si>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</si>
  <si>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</si>
  <si>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</si>
  <si>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</si>
  <si>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</si>
  <si>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</si>
  <si>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</si>
  <si>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</si>
  <si>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</si>
  <si>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</si>
  <si>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</si>
  <si>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</si>
  <si>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</si>
  <si>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</si>
  <si>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</si>
  <si>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</si>
  <si>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</si>
  <si>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</si>
  <si>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</si>
  <si>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</si>
  <si>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</si>
  <si>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</si>
  <si>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</si>
  <si>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</si>
  <si>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</si>
  <si>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</si>
  <si>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</si>
  <si>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</si>
  <si>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</si>
  <si>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</si>
  <si>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</si>
  <si>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</si>
  <si>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</si>
  <si>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</si>
  <si>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</si>
  <si>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</si>
  <si>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</si>
  <si>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</si>
  <si>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</si>
  <si>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</si>
  <si>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</si>
  <si>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</si>
  <si>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</si>
  <si>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</si>
  <si>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</si>
  <si>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</si>
  <si>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</si>
  <si>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</si>
  <si>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</si>
  <si>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</si>
  <si>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</si>
  <si>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</si>
  <si>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</si>
  <si>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</si>
  <si>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</si>
  <si>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</si>
  <si>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</si>
  <si>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</si>
  <si>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</si>
  <si>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</si>
  <si>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</si>
  <si>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</si>
  <si>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</si>
  <si>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</si>
  <si>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</si>
  <si>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</si>
  <si>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</si>
  <si>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</si>
  <si>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</si>
  <si>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</si>
  <si>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</si>
  <si>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</si>
  <si>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</si>
  <si>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</si>
  <si>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</si>
  <si>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</si>
  <si>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</si>
  <si>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</si>
  <si>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</si>
  <si>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</si>
  <si>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</si>
  <si>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</si>
  <si>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</si>
  <si>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</si>
  <si>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</si>
  <si>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</si>
  <si>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</si>
  <si>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</si>
  <si>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</si>
  <si>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</si>
  <si>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</si>
  <si>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</si>
  <si>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</si>
  <si>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</si>
  <si>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</si>
  <si>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</si>
  <si>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</si>
  <si>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</si>
  <si>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</si>
  <si>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</si>
  <si>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</si>
  <si>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</si>
  <si>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</si>
  <si>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</si>
  <si>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</si>
  <si>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</si>
  <si>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</si>
  <si>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</si>
  <si>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</si>
  <si>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</si>
  <si>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</si>
  <si>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</si>
  <si>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</si>
  <si>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</si>
  <si>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</si>
  <si>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</si>
  <si>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</si>
  <si>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</si>
  <si>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</si>
  <si>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</si>
  <si>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</si>
  <si>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</si>
  <si>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</si>
  <si>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</si>
  <si>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</si>
  <si>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</si>
  <si>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</si>
  <si>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</si>
  <si>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</si>
  <si>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</si>
  <si>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</si>
  <si>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</si>
  <si>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</si>
  <si>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</si>
  <si>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</si>
  <si>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</si>
  <si>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</si>
  <si>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</si>
  <si>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</si>
  <si>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</si>
  <si>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</si>
  <si>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</si>
  <si>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</si>
  <si>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</si>
  <si>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</si>
  <si>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</si>
  <si>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</si>
  <si>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</si>
  <si>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</si>
  <si>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</si>
  <si>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</si>
  <si>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</si>
  <si>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</si>
  <si>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</si>
  <si>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</si>
  <si>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</si>
  <si>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</si>
  <si>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</si>
  <si>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</si>
  <si>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</si>
  <si>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</si>
  <si>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</si>
  <si>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</si>
  <si>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</si>
  <si>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</si>
  <si>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</si>
  <si>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</si>
  <si>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</si>
  <si>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</si>
  <si>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</si>
  <si>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</si>
  <si>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</si>
  <si>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</si>
  <si>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</si>
  <si>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</si>
  <si>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</si>
  <si>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</si>
  <si>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</si>
  <si>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</si>
  <si>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</si>
  <si>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</si>
  <si>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</si>
  <si>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</si>
  <si>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</si>
  <si>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</si>
  <si>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</si>
  <si>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</si>
  <si>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</si>
  <si>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</si>
  <si>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</si>
  <si>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</si>
  <si>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</si>
  <si>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</si>
  <si>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</si>
  <si>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</si>
  <si>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</si>
  <si>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</si>
  <si>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</si>
  <si>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</si>
  <si>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</si>
  <si>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</si>
  <si>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</si>
  <si>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</si>
  <si>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</si>
  <si>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</si>
  <si>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</si>
  <si>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</si>
  <si>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</si>
  <si>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</si>
  <si>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</si>
  <si>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</si>
  <si>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</si>
  <si>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</si>
  <si>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</si>
  <si>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</si>
  <si>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</si>
  <si>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</si>
  <si>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</si>
  <si>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</si>
  <si>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</si>
  <si>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</si>
  <si>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</si>
  <si>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</si>
  <si>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</si>
  <si>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</si>
  <si>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</si>
  <si>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</si>
  <si>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</si>
  <si>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</si>
  <si>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</si>
  <si>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</si>
  <si>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</si>
  <si>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</si>
  <si>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</si>
  <si>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</si>
  <si>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</si>
  <si>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</si>
  <si>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</si>
  <si>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</si>
  <si>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</si>
  <si>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</si>
  <si>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</si>
  <si>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</si>
  <si>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</si>
  <si>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</si>
  <si>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</si>
  <si>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</si>
  <si>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</si>
  <si>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</si>
  <si>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</si>
  <si>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</si>
  <si>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</si>
  <si>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</si>
  <si>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</si>
  <si>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</si>
  <si>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</si>
  <si>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</si>
  <si>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</si>
  <si>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</si>
  <si>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</si>
  <si>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</si>
  <si>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</si>
  <si>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</si>
  <si>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</si>
  <si>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</si>
  <si>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</si>
  <si>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</si>
  <si>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</si>
  <si>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</si>
  <si>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</si>
  <si>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</si>
  <si>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</si>
  <si>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</si>
  <si>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</si>
  <si>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</si>
  <si>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</si>
  <si>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</si>
  <si>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</si>
  <si>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</si>
  <si>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</si>
  <si>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</si>
  <si>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</si>
  <si>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</si>
  <si>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</si>
  <si>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</si>
  <si>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</si>
  <si>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</si>
  <si>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</si>
  <si>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</si>
  <si>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</si>
  <si>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</si>
  <si>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</si>
  <si>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</si>
  <si>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</si>
  <si>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</si>
  <si>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</si>
  <si>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</si>
  <si>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</si>
  <si>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</si>
  <si>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</si>
  <si>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</si>
  <si>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</si>
  <si>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</si>
  <si>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</si>
  <si>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</si>
  <si>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</si>
  <si>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</si>
  <si>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</si>
  <si>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</si>
  <si>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</si>
  <si>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</si>
  <si>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</si>
  <si>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</si>
  <si>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</si>
  <si>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</si>
  <si>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</si>
  <si>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</si>
  <si>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</si>
  <si>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</si>
  <si>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</si>
  <si>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</si>
  <si>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</si>
  <si>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</si>
  <si>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</si>
  <si>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</si>
  <si>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</si>
  <si>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</si>
  <si>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</si>
  <si>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</si>
  <si>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</si>
  <si>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</si>
  <si>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</si>
  <si>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</si>
  <si>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</si>
  <si>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</si>
  <si>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</si>
  <si>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</si>
  <si>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</si>
  <si>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</si>
  <si>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</si>
  <si>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</si>
  <si>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</si>
  <si>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</si>
  <si>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</si>
  <si>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</si>
  <si>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</si>
  <si>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</si>
  <si>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</si>
  <si>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</si>
  <si>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</si>
  <si>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</si>
  <si>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</si>
  <si>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</si>
  <si>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</si>
  <si>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</si>
  <si>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</si>
  <si>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</si>
  <si>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</si>
  <si>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</si>
  <si>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</si>
  <si>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</si>
  <si>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</si>
  <si>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</si>
  <si>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</si>
  <si>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</si>
  <si>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</si>
  <si>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</si>
  <si>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</si>
  <si>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</si>
  <si>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</si>
  <si>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</si>
  <si>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</si>
  <si>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</si>
  <si>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</si>
  <si>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</si>
  <si>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</si>
  <si>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</si>
  <si>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</si>
  <si>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</si>
  <si>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</si>
  <si>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</si>
  <si>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</si>
  <si>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</si>
  <si>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</si>
  <si>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</si>
  <si>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</si>
  <si>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</si>
  <si>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</si>
  <si>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</si>
  <si>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</si>
  <si>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</si>
  <si>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</si>
  <si>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</si>
  <si>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</si>
  <si>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</si>
  <si>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</si>
  <si>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</si>
  <si>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</si>
  <si>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</si>
  <si>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</si>
  <si>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</si>
  <si>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</si>
  <si>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</si>
  <si>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</si>
  <si>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</si>
  <si>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</si>
  <si>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</si>
  <si>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</si>
  <si>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</si>
  <si>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</si>
  <si>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</si>
  <si>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</si>
  <si>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</si>
  <si>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</si>
  <si>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</si>
  <si>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</si>
  <si>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</si>
  <si>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</si>
  <si>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</si>
  <si>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</si>
  <si>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</si>
  <si>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</si>
  <si>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</si>
  <si>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</si>
  <si>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</si>
  <si>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</si>
  <si>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</si>
  <si>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</si>
  <si>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</si>
  <si>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</si>
  <si>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</si>
  <si>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</si>
  <si>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</si>
  <si>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</si>
  <si>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</si>
  <si>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</si>
  <si>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</si>
  <si>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</si>
  <si>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</si>
  <si>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</si>
  <si>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</si>
  <si>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</si>
  <si>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</si>
  <si>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</si>
  <si>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</si>
  <si>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</si>
  <si>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</si>
  <si>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</si>
  <si>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</si>
  <si>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</si>
  <si>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</si>
  <si>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</si>
  <si>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</si>
  <si>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</si>
  <si>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</si>
  <si>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</si>
  <si>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</si>
  <si>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</si>
  <si>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</si>
  <si>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</si>
  <si>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</si>
  <si>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</si>
  <si>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</si>
  <si>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</si>
  <si>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</si>
  <si>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</si>
  <si>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</si>
  <si>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</si>
  <si>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</si>
  <si>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</si>
  <si>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</si>
  <si>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</si>
  <si>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</si>
  <si>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</si>
  <si>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</si>
  <si>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</si>
  <si>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</si>
  <si>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</si>
  <si>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</si>
  <si>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</si>
  <si>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</si>
  <si>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</si>
  <si>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</si>
  <si>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</si>
  <si>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</si>
  <si>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</si>
  <si>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</si>
  <si>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</si>
  <si>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</si>
  <si>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</si>
  <si>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</si>
  <si>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</si>
  <si>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</si>
  <si>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</si>
  <si>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</si>
  <si>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</si>
  <si>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</si>
  <si>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</si>
  <si>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</si>
  <si>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</si>
  <si>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</si>
  <si>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</si>
  <si>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</si>
  <si>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</si>
  <si>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</si>
  <si>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</si>
  <si>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</si>
  <si>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</si>
  <si>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</si>
  <si>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</si>
  <si>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</si>
  <si>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</si>
  <si>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</si>
  <si>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</si>
  <si>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</si>
  <si>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</si>
  <si>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</si>
  <si>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</si>
  <si>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</si>
  <si>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</si>
  <si>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</si>
  <si>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</si>
  <si>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</si>
  <si>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</si>
  <si>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</si>
  <si>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</si>
  <si>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</si>
  <si>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</si>
  <si>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</si>
  <si>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</si>
  <si>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</si>
  <si>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</si>
  <si>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</si>
  <si>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</si>
  <si>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</si>
  <si>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</si>
  <si>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</si>
  <si>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</si>
  <si>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</si>
  <si>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</si>
  <si>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</si>
  <si>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</si>
  <si>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</si>
  <si>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</si>
  <si>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</si>
  <si>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</si>
  <si>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</si>
  <si>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</si>
  <si>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</si>
  <si>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</si>
  <si>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</si>
  <si>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</si>
  <si>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</si>
  <si>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</si>
  <si>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</si>
  <si>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</si>
  <si>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</si>
  <si>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</si>
  <si>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</si>
  <si>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</si>
  <si>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</si>
  <si>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</si>
  <si>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</si>
  <si>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</si>
  <si>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</si>
  <si>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</si>
  <si>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</si>
  <si>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</si>
  <si>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</si>
  <si>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</si>
  <si>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</si>
  <si>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</si>
  <si>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</si>
  <si>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</si>
  <si>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</si>
  <si>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</si>
  <si>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</si>
  <si>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</si>
  <si>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</si>
  <si>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</si>
  <si>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</si>
  <si>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</si>
  <si>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</si>
  <si>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</si>
  <si>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</si>
  <si>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</si>
  <si>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</si>
  <si>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</si>
  <si>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</si>
  <si>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</si>
  <si>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</si>
  <si>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</si>
  <si>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</si>
  <si>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</si>
  <si>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</si>
  <si>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</si>
  <si>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</si>
  <si>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</si>
  <si>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</si>
  <si>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</si>
  <si>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</si>
  <si>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</si>
  <si>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</si>
  <si>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</si>
  <si>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</si>
  <si>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</si>
  <si>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</si>
  <si>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</si>
  <si>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</si>
  <si>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</si>
  <si>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</si>
  <si>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</si>
  <si>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</si>
  <si>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</si>
  <si>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</si>
  <si>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</si>
  <si>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</si>
  <si>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</si>
  <si>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</si>
  <si>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</si>
  <si>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</si>
  <si>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</si>
  <si>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</si>
  <si>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</si>
  <si>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</si>
  <si>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</si>
  <si>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</si>
  <si>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</si>
  <si>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</si>
  <si>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</si>
  <si>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</si>
  <si>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</si>
  <si>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</si>
  <si>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</si>
  <si>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</si>
  <si>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</si>
  <si>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</si>
  <si>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</si>
  <si>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</si>
  <si>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</si>
  <si>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</si>
  <si>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</si>
  <si>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</si>
  <si>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</si>
  <si>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</si>
  <si>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</si>
  <si>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</si>
  <si>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</si>
  <si>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</si>
  <si>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</si>
  <si>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</si>
  <si>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</si>
  <si>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</si>
  <si>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</si>
  <si>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</si>
  <si>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</si>
  <si>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</si>
  <si>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</si>
  <si>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</si>
  <si>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</si>
  <si>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</si>
  <si>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</si>
  <si>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</si>
  <si>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</si>
  <si>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</si>
  <si>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</si>
  <si>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</si>
  <si>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</si>
  <si>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</si>
  <si>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</si>
  <si>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</si>
  <si>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</si>
  <si>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</si>
  <si>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</si>
  <si>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</si>
  <si>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</si>
  <si>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</si>
  <si>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</si>
  <si>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</si>
  <si>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</si>
  <si>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</si>
  <si>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</si>
  <si>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</si>
  <si>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</si>
  <si>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</si>
  <si>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</si>
  <si>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</si>
  <si>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</si>
  <si>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</si>
  <si>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</si>
  <si>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</si>
  <si>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</si>
  <si>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</si>
  <si>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</si>
  <si>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</si>
  <si>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</si>
  <si>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</si>
  <si>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</si>
  <si>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</si>
  <si>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</si>
  <si>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</si>
  <si>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</si>
  <si>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</si>
  <si>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</si>
  <si>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</si>
  <si>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</si>
  <si>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</si>
  <si>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</si>
  <si>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</si>
  <si>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</si>
  <si>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</si>
  <si>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</si>
  <si>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</si>
  <si>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</si>
  <si>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</si>
  <si>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</si>
  <si>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</si>
  <si>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</si>
  <si>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</si>
  <si>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</si>
  <si>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</si>
  <si>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</si>
  <si>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</si>
  <si>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</si>
  <si>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</si>
  <si>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</si>
  <si>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</si>
  <si>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</si>
  <si>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</si>
  <si>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</si>
  <si>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</si>
  <si>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</si>
  <si>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</si>
  <si>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</si>
  <si>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</si>
  <si>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</si>
  <si>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</si>
  <si>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</si>
  <si>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</si>
  <si>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</si>
  <si>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</si>
  <si>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</si>
  <si>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</si>
  <si>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</si>
  <si>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</si>
  <si>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</si>
  <si>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</si>
  <si>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</si>
  <si>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</si>
  <si>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</si>
  <si>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</si>
  <si>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</si>
  <si>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</si>
  <si>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</si>
  <si>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</si>
  <si>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</si>
  <si>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</si>
  <si>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</si>
  <si>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</si>
  <si>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</si>
  <si>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</si>
  <si>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</si>
  <si>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</si>
  <si>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</si>
  <si>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</si>
  <si>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</si>
  <si>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</si>
  <si>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</si>
  <si>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</si>
  <si>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</si>
  <si>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</si>
  <si>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</si>
  <si>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</si>
  <si>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</si>
  <si>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</si>
  <si>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</si>
  <si>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</si>
  <si>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</si>
  <si>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</si>
  <si>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</si>
  <si>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</si>
  <si>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</si>
  <si>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</si>
  <si>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</si>
  <si>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</si>
  <si>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</si>
  <si>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</si>
  <si>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</si>
  <si>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</si>
  <si>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</si>
  <si>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</si>
  <si>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</si>
  <si>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</si>
  <si>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</si>
  <si>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</si>
  <si>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</si>
  <si>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</si>
  <si>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</si>
  <si>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</si>
  <si>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</si>
  <si>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</si>
  <si>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</si>
  <si>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</si>
  <si>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</si>
  <si>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</si>
  <si>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</si>
  <si>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</si>
  <si>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</si>
  <si>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</si>
  <si>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</si>
  <si>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</si>
  <si>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</si>
  <si>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</si>
  <si>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</si>
  <si>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</si>
  <si>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</si>
  <si>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</si>
  <si>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</si>
  <si>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</si>
  <si>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</si>
  <si>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</si>
  <si>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</si>
  <si>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</si>
  <si>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</si>
  <si>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</si>
  <si>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</si>
  <si>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</si>
  <si>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</si>
  <si>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</si>
  <si>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</si>
  <si>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</si>
  <si>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</si>
  <si>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</si>
  <si>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</si>
  <si>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</si>
  <si>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</si>
  <si>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</si>
  <si>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</si>
  <si>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</si>
  <si>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</si>
  <si>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</si>
  <si>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</si>
  <si>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</si>
  <si>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</si>
  <si>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</si>
  <si>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</si>
  <si>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</si>
  <si>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</si>
  <si>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</si>
  <si>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</si>
  <si>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</si>
  <si>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</si>
  <si>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</si>
  <si>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</si>
  <si>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</si>
  <si>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</si>
  <si>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</si>
  <si>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</si>
  <si>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</si>
  <si>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</si>
  <si>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</si>
  <si>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</si>
  <si>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</si>
  <si>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</si>
  <si>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</si>
  <si>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</si>
  <si>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</si>
  <si>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</si>
  <si>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</si>
  <si>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</si>
  <si>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</si>
  <si>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</si>
  <si>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</si>
  <si>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</si>
  <si>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</si>
  <si>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</si>
  <si>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</si>
  <si>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</si>
  <si>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</si>
  <si>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</si>
  <si>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</si>
  <si>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</si>
  <si>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</si>
  <si>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</si>
  <si>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</si>
  <si>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</si>
  <si>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</si>
  <si>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</si>
  <si>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</si>
  <si>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</si>
  <si>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</si>
  <si>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</si>
  <si>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</si>
  <si>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</si>
  <si>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</si>
  <si>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</si>
  <si>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</si>
  <si>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</si>
  <si>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</si>
  <si>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</si>
  <si>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</si>
  <si>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</si>
  <si>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</si>
  <si>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</si>
  <si>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</si>
  <si>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</si>
  <si>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</si>
  <si>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</si>
  <si>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</si>
  <si>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</si>
  <si>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</si>
  <si>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</si>
  <si>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</si>
  <si>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</si>
  <si>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</si>
  <si>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</si>
  <si>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</si>
  <si>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</si>
  <si>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</si>
  <si>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</si>
  <si>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</si>
  <si>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</si>
  <si>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</si>
  <si>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</si>
  <si>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</si>
  <si>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</si>
  <si>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</si>
  <si>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</si>
  <si>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</si>
  <si>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</si>
  <si>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</si>
  <si>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</si>
  <si>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</si>
  <si>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</si>
  <si>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</si>
  <si>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</si>
  <si>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</si>
  <si>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</si>
  <si>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</si>
  <si>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</si>
  <si>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</si>
  <si>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</si>
  <si>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</si>
  <si>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</si>
  <si>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</si>
  <si>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</si>
  <si>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</si>
  <si>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</si>
  <si>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</si>
  <si>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</si>
  <si>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</si>
  <si>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</si>
  <si>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</si>
  <si>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</si>
  <si>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</si>
  <si>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</si>
  <si>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</si>
  <si>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</si>
  <si>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</si>
  <si>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</si>
  <si>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</si>
  <si>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</si>
  <si>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</si>
  <si>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</si>
  <si>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</si>
  <si>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</si>
  <si>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</si>
  <si>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</si>
  <si>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</si>
  <si>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</si>
  <si>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</si>
  <si>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</si>
  <si>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</si>
  <si>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</si>
  <si>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</si>
  <si>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</si>
  <si>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</si>
  <si>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</si>
  <si>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</si>
  <si>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</si>
  <si>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</si>
  <si>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</si>
  <si>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</si>
  <si>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</si>
  <si>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</si>
  <si>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</si>
  <si>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</si>
  <si>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</si>
  <si>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</si>
  <si>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</si>
  <si>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</si>
  <si>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</si>
  <si>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</si>
  <si>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</si>
  <si>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</si>
  <si>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</si>
  <si>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</si>
  <si>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</si>
  <si>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</si>
  <si>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</si>
  <si>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</si>
  <si>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</si>
  <si>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</si>
  <si>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</si>
  <si>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</si>
  <si>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</si>
  <si>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</si>
  <si>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</si>
  <si>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</si>
  <si>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</si>
  <si>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</si>
  <si>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</si>
  <si>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</si>
  <si>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</si>
  <si>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</si>
  <si>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</si>
  <si>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</si>
  <si>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</si>
  <si>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</si>
  <si>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</si>
  <si>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</si>
  <si>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</si>
  <si>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</si>
  <si>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</si>
  <si>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</si>
  <si>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</si>
  <si>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</si>
  <si>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</si>
  <si>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</si>
  <si>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</si>
  <si>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</si>
  <si>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</si>
  <si>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</si>
  <si>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</si>
  <si>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</si>
  <si>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</si>
  <si>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</si>
  <si>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</si>
  <si>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</si>
  <si>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</si>
  <si>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</si>
  <si>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</si>
  <si>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</si>
  <si>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</si>
  <si>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</si>
  <si>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</si>
  <si>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</si>
  <si>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</si>
  <si>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</si>
  <si>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</si>
  <si>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</si>
  <si>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</si>
  <si>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</si>
  <si>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</si>
  <si>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</si>
  <si>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</si>
  <si>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</si>
  <si>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</si>
  <si>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</si>
  <si>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</si>
  <si>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</si>
  <si>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</si>
  <si>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</si>
  <si>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</si>
  <si>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</si>
  <si>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</si>
  <si>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</si>
  <si>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</si>
  <si>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</si>
  <si>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</si>
  <si>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</si>
  <si>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</si>
  <si>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</si>
  <si>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</si>
  <si>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</si>
  <si>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</si>
  <si>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</si>
  <si>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</si>
  <si>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</si>
  <si>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</si>
  <si>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</si>
  <si>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</si>
  <si>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</si>
  <si>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</si>
  <si>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</si>
  <si>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</si>
  <si>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</si>
  <si>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</si>
  <si>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</si>
  <si>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</si>
  <si>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</si>
  <si>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</si>
  <si>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</si>
  <si>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</si>
  <si>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</si>
  <si>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</si>
  <si>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</si>
  <si>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</si>
  <si>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</si>
  <si>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</si>
  <si>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</si>
  <si>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</si>
  <si>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</si>
  <si>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</si>
  <si>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</si>
  <si>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</si>
  <si>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</si>
  <si>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</si>
  <si>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</si>
  <si>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</si>
  <si>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</si>
  <si>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</si>
  <si>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</si>
  <si>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</si>
  <si>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</si>
  <si>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</si>
  <si>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</si>
  <si>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</si>
  <si>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</si>
  <si>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</si>
  <si>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</si>
  <si>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</si>
  <si>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</si>
  <si>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</si>
  <si>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</si>
  <si>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</si>
  <si>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</si>
  <si>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</si>
  <si>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</si>
  <si>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</si>
  <si>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</si>
  <si>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</si>
  <si>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</si>
  <si>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</si>
  <si>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</si>
  <si>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</si>
  <si>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</si>
  <si>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</si>
  <si>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</si>
  <si>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</si>
  <si>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</si>
  <si>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</si>
  <si>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</si>
  <si>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ALEJANDRO MOLINA- MILITAR SAHARA 1</t>
  </si>
  <si>
    <t>negro</t>
  </si>
  <si>
    <t>verde</t>
  </si>
  <si>
    <t>CORDON REDONDO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</si>
</sst>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  <xdr:twoCellAnchor editAs="oneCell">
    <xdr:from>
      <xdr:col>20</xdr:col>
      <xdr:colOff>28575</xdr:colOff>
      <xdr:row>0</xdr:row>
      <xdr:rowOff>38100</xdr:rowOff>
    </xdr:from>
    <xdr:to>
      <xdr:col>24</xdr:col>
      <xdr:colOff>514350</xdr:colOff>
      <xdr:row>6</xdr:row>
      <xdr:rowOff>290676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55EEC2-6F0B-42B3-B5B8-6BADC5FCA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5750" y="38100"/>
          <a:ext cx="2228850" cy="20242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22" sqref="Q22:R2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JV3004-3</v>
      </c>
      <c r="G1" s="405"/>
      <c r="H1" s="406"/>
      <c r="I1" s="351" t="s">
        <v>1</v>
      </c>
      <c r="J1" s="352"/>
      <c r="K1" s="232">
        <v>3</v>
      </c>
      <c r="L1" s="353" t="s">
        <v>2</v>
      </c>
      <c r="M1" s="354"/>
      <c r="N1" s="354"/>
      <c r="O1" s="355">
        <v>45777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1367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71639999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2908248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1321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25949.207619047618</v>
      </c>
      <c r="E5" s="346"/>
      <c r="F5" s="347"/>
      <c r="G5" s="348" t="s">
        <v>16</v>
      </c>
      <c r="H5" s="349"/>
      <c r="I5" s="349"/>
      <c r="J5" s="350"/>
      <c r="K5" s="400">
        <v>1</v>
      </c>
      <c r="L5" s="400"/>
      <c r="M5" s="401" t="s">
        <v>17</v>
      </c>
      <c r="N5" s="401"/>
      <c r="O5" s="397">
        <f>IFERROR(IF(K5=0,"",D5*K5),"")</f>
        <v>25949.207619047618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1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50</v>
      </c>
      <c r="B10" s="309"/>
      <c r="C10" s="310"/>
      <c r="D10" s="322" t="s">
        <v>944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1812</v>
      </c>
      <c r="R10" s="317"/>
      <c r="S10" s="318">
        <f>IFERROR(IF(Q10="Unidad","1",(Q10*$K$5)),"")</f>
        <v>1812</v>
      </c>
      <c r="T10" s="319"/>
      <c r="U10" s="320" t="s">
        <v>1390</v>
      </c>
      <c r="V10" s="326"/>
      <c r="W10" s="321">
        <f>IFERROR(IF(D10="","",INDEX(Tabla_Completa,MATCH('Soli_citud '!D10,Materiales,0),7)*S10),"")</f>
        <v>5060.6571428571424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902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4540</v>
      </c>
      <c r="R11" s="317"/>
      <c r="S11" s="318">
        <f t="shared" ref="S11:S31" si="1">IFERROR(IF(Q11="Unidad","1",(Q11*$K$5)),"")</f>
        <v>4540</v>
      </c>
      <c r="T11" s="319"/>
      <c r="U11" s="320"/>
      <c r="V11" s="320"/>
      <c r="W11" s="321">
        <f>IFERROR(IF(D11="","",INDEX(Tabla_Completa,MATCH('Soli_citud '!D11,Materiales,0),7)*S11),"")</f>
        <v>9085.1885714285727</v>
      </c>
      <c r="X11" s="321"/>
      <c r="Y11" s="321"/>
    </row>
    <row r="12" spans="1:31" ht="15.75" customHeight="1">
      <c r="A12" s="308" t="s">
        <v>50</v>
      </c>
      <c r="B12" s="309"/>
      <c r="C12" s="310"/>
      <c r="D12" s="325" t="s">
        <v>901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cm2</v>
      </c>
      <c r="P12" s="315"/>
      <c r="Q12" s="316">
        <v>800</v>
      </c>
      <c r="R12" s="317"/>
      <c r="S12" s="318">
        <f t="shared" si="1"/>
        <v>800</v>
      </c>
      <c r="T12" s="319"/>
      <c r="U12" s="320"/>
      <c r="V12" s="320"/>
      <c r="W12" s="321">
        <f>IFERROR(IF(D12="","",INDEX(Tabla_Completa,MATCH('Soli_citud '!D12,Materiales,0),7)*S12),"")</f>
        <v>501.16190476190479</v>
      </c>
      <c r="X12" s="321"/>
      <c r="Y12" s="321"/>
    </row>
    <row r="13" spans="1:31" ht="15.75" customHeight="1">
      <c r="A13" s="308" t="s">
        <v>232</v>
      </c>
      <c r="B13" s="309"/>
      <c r="C13" s="310"/>
      <c r="D13" s="322" t="s">
        <v>331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cm2</v>
      </c>
      <c r="P13" s="315"/>
      <c r="Q13" s="316">
        <v>266</v>
      </c>
      <c r="R13" s="317"/>
      <c r="S13" s="318">
        <f t="shared" si="1"/>
        <v>266</v>
      </c>
      <c r="T13" s="319"/>
      <c r="U13" s="320"/>
      <c r="V13" s="320"/>
      <c r="W13" s="321">
        <f>IFERROR(IF(D13="","",INDEX(Tabla_Completa,MATCH('Soli_citud '!D13,Materiales,0),7)*S13),"")</f>
        <v>372.4</v>
      </c>
      <c r="X13" s="321"/>
      <c r="Y13" s="321"/>
    </row>
    <row r="14" spans="1:31" ht="17.25" customHeight="1">
      <c r="A14" s="308" t="s">
        <v>232</v>
      </c>
      <c r="B14" s="309"/>
      <c r="C14" s="310"/>
      <c r="D14" s="322" t="s">
        <v>332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cm2</v>
      </c>
      <c r="P14" s="315"/>
      <c r="Q14" s="316">
        <v>107</v>
      </c>
      <c r="R14" s="317"/>
      <c r="S14" s="318">
        <f t="shared" si="1"/>
        <v>107</v>
      </c>
      <c r="T14" s="319"/>
      <c r="U14" s="320"/>
      <c r="V14" s="320"/>
      <c r="W14" s="321">
        <f>IFERROR(IF(D14="","",INDEX(Tabla_Completa,MATCH('Soli_citud '!D14,Materiales,0),7)*S14),"")</f>
        <v>107</v>
      </c>
      <c r="X14" s="321"/>
      <c r="Y14" s="321"/>
    </row>
    <row r="15" spans="1:31" ht="15.75" customHeight="1">
      <c r="A15" s="308" t="s">
        <v>232</v>
      </c>
      <c r="B15" s="309"/>
      <c r="C15" s="310"/>
      <c r="D15" s="322" t="s">
        <v>1392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50</v>
      </c>
      <c r="B16" s="309"/>
      <c r="C16" s="310"/>
      <c r="D16" s="322" t="s">
        <v>942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cm2</v>
      </c>
      <c r="P16" s="315"/>
      <c r="Q16" s="316">
        <v>1764</v>
      </c>
      <c r="R16" s="317"/>
      <c r="S16" s="318">
        <f t="shared" si="1"/>
        <v>1764</v>
      </c>
      <c r="T16" s="319"/>
      <c r="U16" s="320" t="s">
        <v>1391</v>
      </c>
      <c r="V16" s="320"/>
      <c r="W16" s="321">
        <f>IFERROR(IF(D16="","",INDEX(Tabla_Completa,MATCH('Soli_citud '!D16,Materiales,0),7)*S16),"")</f>
        <v>5544</v>
      </c>
      <c r="X16" s="321"/>
      <c r="Y16" s="321"/>
    </row>
    <row r="17" spans="1:25" ht="15.75" customHeight="1">
      <c r="A17" s="308" t="s">
        <v>52</v>
      </c>
      <c r="B17" s="309"/>
      <c r="C17" s="310"/>
      <c r="D17" s="322" t="s">
        <v>991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Par</v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 t="s">
        <v>40</v>
      </c>
      <c r="B18" s="309"/>
      <c r="C18" s="310"/>
      <c r="D18" s="322" t="s">
        <v>798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40</v>
      </c>
      <c r="R18" s="317"/>
      <c r="S18" s="318">
        <f t="shared" si="1"/>
        <v>40</v>
      </c>
      <c r="T18" s="319"/>
      <c r="U18" s="320"/>
      <c r="V18" s="320"/>
      <c r="W18" s="321">
        <f>IFERROR(IF(D18="","",INDEX(Tabla_Completa,MATCH('Soli_citud '!D18,Materiales,0),7)*S18),"")</f>
        <v>5278.8</v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" sqref="C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45777</v>
      </c>
      <c r="O1" s="417"/>
      <c r="P1" s="452" t="s">
        <v>55</v>
      </c>
      <c r="Q1" s="453"/>
      <c r="R1" s="458" t="str">
        <f>IF('Soli_citud '!D4="","",'Soli_citud '!D4)</f>
        <v>ALEJANDRO MOLINA- MILITAR SAHARA 1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JV3004-3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2908248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Calzado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25949.207619047618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Juan Villa Salazar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JV3004-3</v>
      </c>
      <c r="C12" s="494" t="str">
        <f>IFERROR(IF('Soli_citud '!D10="","",'Soli_citud '!D10),"")</f>
        <v>SINTETICO PVC</v>
      </c>
      <c r="D12" s="494"/>
      <c r="E12" s="494"/>
      <c r="F12" s="494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1812</v>
      </c>
      <c r="I12" s="214"/>
      <c r="J12" s="215"/>
      <c r="K12" s="197" cm="1">
        <f t="array" ref="K12">IFERROR(_xlfn.IFS(H12="","",J12=H12,"Cumplido",J12&lt;H12,H12-J12,J12&gt;H12,"Revisar"),"")</f>
        <v>1812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JV3004-3</v>
      </c>
      <c r="C13" s="494" t="str">
        <f>IFERROR(IF('Soli_citud '!D11="","",'Soli_citud '!D11),"")</f>
        <v>FORRO  PIQUET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4540</v>
      </c>
      <c r="I13" s="214"/>
      <c r="J13" s="216"/>
      <c r="K13" s="197" cm="1">
        <f t="array" ref="K13">IFERROR(_xlfn.IFS(H13="","",J13=H13,"Cumplido",J13&lt;H13,H13-J13,J13&gt;H13,"Revisar"),"")</f>
        <v>4540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JV3004-3</v>
      </c>
      <c r="C14" s="494" t="str">
        <f>IFERROR(IF('Soli_citud '!D12="","",'Soli_citud '!D12),"")</f>
        <v>ARSENAL COLOR VERDE MILITAR</v>
      </c>
      <c r="D14" s="494"/>
      <c r="E14" s="494"/>
      <c r="F14" s="494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800</v>
      </c>
      <c r="I14" s="214"/>
      <c r="J14" s="216"/>
      <c r="K14" s="197" cm="1">
        <f t="array" ref="K14">IFERROR(_xlfn.IFS(H14="","",J14=H14,"Cumplido",J14&lt;H14,H14-J14,J14&gt;H14,"Revisar"),"")</f>
        <v>800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JV3004-3</v>
      </c>
      <c r="C15" s="494" t="str">
        <f>IFERROR(IF('Soli_citud '!D13="","",'Soli_citud '!D13),"")</f>
        <v>ESPUMA MULTIFORM DENSIDAD 40 DE 10 mm</v>
      </c>
      <c r="D15" s="494"/>
      <c r="E15" s="494"/>
      <c r="F15" s="494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266</v>
      </c>
      <c r="I15" s="214"/>
      <c r="J15" s="216"/>
      <c r="K15" s="197" cm="1">
        <f t="array" ref="K15">IFERROR(_xlfn.IFS(H15="","",J15=H15,"Cumplido",J15&lt;H15,H15-J15,J15&gt;H15,"Revisar"),"")</f>
        <v>266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JV3004-3</v>
      </c>
      <c r="C16" s="494" t="str">
        <f>IFERROR(IF('Soli_citud '!D14="","",'Soli_citud '!D14),"")</f>
        <v>ESPUMA MULTIFORM DENSIDAD 40 DE 5 mm</v>
      </c>
      <c r="D16" s="494"/>
      <c r="E16" s="494"/>
      <c r="F16" s="494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107</v>
      </c>
      <c r="I16" s="214"/>
      <c r="J16" s="216"/>
      <c r="K16" s="197" cm="1">
        <f t="array" ref="K16">IFERROR(_xlfn.IFS(H16="","",J16=H16,"Cumplido",J16&lt;H16,H16-J16,J16&gt;H16,"Revisar"),"")</f>
        <v>107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>CORDON REDONDO VERDE</v>
      </c>
      <c r="D17" s="494"/>
      <c r="E17" s="494"/>
      <c r="F17" s="494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JV3004-3</v>
      </c>
      <c r="C18" s="494" t="str">
        <f>IFERROR(IF('Soli_citud '!D16="","",'Soli_citud '!D16),"")</f>
        <v>SINTÉTICO P.U PARA CALZADO</v>
      </c>
      <c r="D18" s="494"/>
      <c r="E18" s="494"/>
      <c r="F18" s="494"/>
      <c r="G18" s="213" t="str">
        <f>IF('Soli_citud '!O16="","",'Soli_citud '!O16)</f>
        <v>cm2</v>
      </c>
      <c r="H18" s="213" cm="1">
        <f t="array" ref="H18">_xlfn.IFS('Soli_citud '!S16="","",'Soli_citud '!S16&lt;=0,"",'Soli_citud '!S16&gt;0,'Soli_citud '!S16)</f>
        <v>1764</v>
      </c>
      <c r="I18" s="214"/>
      <c r="J18" s="216"/>
      <c r="K18" s="197" cm="1">
        <f t="array" ref="K18">IFERROR(_xlfn.IFS(H18="","",J18=H18,"Cumplido",J18&lt;H18,H18-J18,J18&gt;H18,"Revisar"),"")</f>
        <v>1764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>SUELA HOMBRE  ESPANSO SALOMON NEGRO</v>
      </c>
      <c r="D19" s="494"/>
      <c r="E19" s="494"/>
      <c r="F19" s="494"/>
      <c r="G19" s="213" t="str">
        <f>IF('Soli_citud '!O17="","",'Soli_citud '!O17)</f>
        <v>Par</v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JV3004-3</v>
      </c>
      <c r="C20" s="494" t="str">
        <f>IFERROR(IF('Soli_citud '!D18="","",'Soli_citud '!D18),"")</f>
        <v>OJALETE LATÓN NEGRO 3/16</v>
      </c>
      <c r="D20" s="494"/>
      <c r="E20" s="494"/>
      <c r="F20" s="494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40</v>
      </c>
      <c r="I20" s="214"/>
      <c r="J20" s="216"/>
      <c r="K20" s="197" cm="1">
        <f t="array" ref="K20">IFERROR(_xlfn.IFS(H20="","",J20=H20,"Cumplido",J20&lt;H20,H20-J20,J20&gt;H20,"Revisar"),"")</f>
        <v>40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2025-04-30T18:16:10Z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